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upakit.jit\Desktop\นาย\นาย\รง.ผลิตอาหารสัตว์บกโคกกรวด\Fire alarm (เพิ่มเติม69)\BOQ\"/>
    </mc:Choice>
  </mc:AlternateContent>
  <xr:revisionPtr revIDLastSave="0" documentId="13_ncr:1_{78D73B8C-1BD5-42AD-8F5F-92FD4E49247D}" xr6:coauthVersionLast="47" xr6:coauthVersionMax="47" xr10:uidLastSave="{00000000-0000-0000-0000-000000000000}"/>
  <bookViews>
    <workbookView xWindow="-108" yWindow="-108" windowWidth="23256" windowHeight="12456" xr2:uid="{00000000-000D-0000-FFFF-FFFF00000000}"/>
  </bookViews>
  <sheets>
    <sheet name="SUM" sheetId="8" r:id="rId1"/>
    <sheet name="Detail " sheetId="9"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0">'[1]PNT-QUOT-#3'!#REF!</definedName>
    <definedName name="\a">#REF!</definedName>
    <definedName name="\b">#N/A</definedName>
    <definedName name="\c">#REF!</definedName>
    <definedName name="\d">#N/A</definedName>
    <definedName name="\e">#N/A</definedName>
    <definedName name="\f">#REF!</definedName>
    <definedName name="\h">#REF!</definedName>
    <definedName name="\i">#N/A</definedName>
    <definedName name="\j">#N/A</definedName>
    <definedName name="\k">#N/A</definedName>
    <definedName name="\l">#REF!</definedName>
    <definedName name="\m">#N/A</definedName>
    <definedName name="\n">#N/A</definedName>
    <definedName name="\o">#N/A</definedName>
    <definedName name="\p">#N/A</definedName>
    <definedName name="\q">#N/A</definedName>
    <definedName name="\r">#REF!</definedName>
    <definedName name="\s">#REF!</definedName>
    <definedName name="\t">#N/A</definedName>
    <definedName name="\u">#N/A</definedName>
    <definedName name="\v">#REF!</definedName>
    <definedName name="\w">#N/A</definedName>
    <definedName name="\x">#REF!</definedName>
    <definedName name="\z">#N/A</definedName>
    <definedName name="_">[2]PRICE!#REF!</definedName>
    <definedName name="__">[2]PRICE!#REF!</definedName>
    <definedName name="___">[2]PRICE!#REF!</definedName>
    <definedName name="____">[2]PRICE!#REF!</definedName>
    <definedName name="_____">[2]PRICE!#REF!</definedName>
    <definedName name="______">[2]PRICE!#REF!</definedName>
    <definedName name="_______">[2]PRICE!#REF!</definedName>
    <definedName name="________">[2]PRICE!#REF!</definedName>
    <definedName name="_________">[2]PRICE!#REF!</definedName>
    <definedName name="__________">[2]PRICE!#REF!</definedName>
    <definedName name="___________">[2]PRICE!#REF!</definedName>
    <definedName name="_____________">[2]PRICE!#REF!</definedName>
    <definedName name="_______________">[2]PRICE!#REF!</definedName>
    <definedName name="_________________">[2]PRICE!#REF!</definedName>
    <definedName name="___________________">[2]PRICE!#REF!</definedName>
    <definedName name="____________________">[2]PRICE!#REF!</definedName>
    <definedName name="________________________">[2]PRICE!#REF!</definedName>
    <definedName name="____________________________________________sub1">#REF!</definedName>
    <definedName name="___________________________________________DUM2">[3]stair!#REF!</definedName>
    <definedName name="___________________________________________DUM3">[3]stair!#REF!</definedName>
    <definedName name="___________________________________________DUM4">[3]stair!#REF!</definedName>
    <definedName name="___________________________________________LL1">[3]stair!#REF!</definedName>
    <definedName name="___________________________________________LL3">[3]stair!#REF!</definedName>
    <definedName name="___________________________________________NC1">#REF!</definedName>
    <definedName name="___________________________________________NC2">[4]STRUCTURE!#REF!</definedName>
    <definedName name="___________________________________________NC3">[4]STRUCTURE!#REF!</definedName>
    <definedName name="___________________________________________RU1">[3]stair!#REF!</definedName>
    <definedName name="___________________________________________RU2">[3]stair!#REF!</definedName>
    <definedName name="___________________________________________sub1">#REF!</definedName>
    <definedName name="___________________________________________TP2">#REF!</definedName>
    <definedName name="___________________________________________WL1">[3]stair!#REF!</definedName>
    <definedName name="___________________________________________WL2">[3]stair!#REF!</definedName>
    <definedName name="___________________________________________WU1">[3]stair!#REF!</definedName>
    <definedName name="___________________________________________WU3">[3]stair!#REF!</definedName>
    <definedName name="__________________________________________DUM2">[3]stair!#REF!</definedName>
    <definedName name="__________________________________________DUM3">[3]stair!#REF!</definedName>
    <definedName name="__________________________________________DUM4">[3]stair!#REF!</definedName>
    <definedName name="__________________________________________LL1">[3]stair!#REF!</definedName>
    <definedName name="__________________________________________LL3">[3]stair!#REF!</definedName>
    <definedName name="__________________________________________NC1">#REF!</definedName>
    <definedName name="__________________________________________NC2">[4]STRUCTURE!#REF!</definedName>
    <definedName name="__________________________________________NC3">[4]STRUCTURE!#REF!</definedName>
    <definedName name="__________________________________________RU1">[3]stair!#REF!</definedName>
    <definedName name="__________________________________________RU2">[3]stair!#REF!</definedName>
    <definedName name="__________________________________________sub1">#REF!</definedName>
    <definedName name="__________________________________________TP2">#REF!</definedName>
    <definedName name="__________________________________________WL1">[3]stair!#REF!</definedName>
    <definedName name="__________________________________________WL2">[3]stair!#REF!</definedName>
    <definedName name="__________________________________________WU1">[3]stair!#REF!</definedName>
    <definedName name="__________________________________________WU3">[3]stair!#REF!</definedName>
    <definedName name="_________________________________________DUM2">[3]stair!#REF!</definedName>
    <definedName name="_________________________________________DUM3">[3]stair!#REF!</definedName>
    <definedName name="_________________________________________DUM4">[3]stair!#REF!</definedName>
    <definedName name="_________________________________________LL1">[3]stair!#REF!</definedName>
    <definedName name="_________________________________________LL3">[3]stair!#REF!</definedName>
    <definedName name="_________________________________________NC1">#REF!</definedName>
    <definedName name="_________________________________________NC2">[4]STRUCTURE!#REF!</definedName>
    <definedName name="_________________________________________NC3">[4]STRUCTURE!#REF!</definedName>
    <definedName name="_________________________________________RU1">[3]stair!#REF!</definedName>
    <definedName name="_________________________________________RU2">[3]stair!#REF!</definedName>
    <definedName name="_________________________________________sub1">#REF!</definedName>
    <definedName name="_________________________________________TP2">#REF!</definedName>
    <definedName name="_________________________________________WL1">[3]stair!#REF!</definedName>
    <definedName name="_________________________________________WL2">[3]stair!#REF!</definedName>
    <definedName name="_________________________________________WU1">[3]stair!#REF!</definedName>
    <definedName name="_________________________________________WU3">[3]stair!#REF!</definedName>
    <definedName name="________________________________________sub1">#REF!</definedName>
    <definedName name="_____________________________________DUM2">[3]stair!#REF!</definedName>
    <definedName name="_____________________________________DUM3">[3]stair!#REF!</definedName>
    <definedName name="_____________________________________DUM4">[3]stair!#REF!</definedName>
    <definedName name="_____________________________________LL1">[3]stair!#REF!</definedName>
    <definedName name="_____________________________________LL3">[3]stair!#REF!</definedName>
    <definedName name="_____________________________________NC1">#REF!</definedName>
    <definedName name="_____________________________________NC2">[4]STRUCTURE!#REF!</definedName>
    <definedName name="_____________________________________NC3">[4]STRUCTURE!#REF!</definedName>
    <definedName name="_____________________________________RU1">[3]stair!#REF!</definedName>
    <definedName name="_____________________________________RU2">[3]stair!#REF!</definedName>
    <definedName name="_____________________________________TP2">#REF!</definedName>
    <definedName name="_____________________________________WL1">[3]stair!#REF!</definedName>
    <definedName name="_____________________________________WL2">[3]stair!#REF!</definedName>
    <definedName name="_____________________________________WU1">[3]stair!#REF!</definedName>
    <definedName name="_____________________________________WU3">[3]stair!#REF!</definedName>
    <definedName name="____________________________________a1">#REF!,#REF!,#REF!,#REF!,#REF!,#REF!,#REF!,#REF!,#REF!,#REF!,#REF!,#REF!</definedName>
    <definedName name="____________________________________A166999">#REF!</definedName>
    <definedName name="____________________________________A16999">#REF!</definedName>
    <definedName name="____________________________________a19999">#REF!</definedName>
    <definedName name="____________________________________a2">#REF!</definedName>
    <definedName name="____________________________________a20000">#REF!</definedName>
    <definedName name="____________________________________a99999">#REF!</definedName>
    <definedName name="____________________________________ab1">#REF!</definedName>
    <definedName name="____________________________________bc1">#REF!</definedName>
    <definedName name="____________________________________bc2">#REF!,#REF!,#REF!,#REF!,#REF!,#REF!,#REF!,#REF!,#REF!,#REF!,#REF!,#REF!</definedName>
    <definedName name="____________________________________bc3">#REF!</definedName>
    <definedName name="____________________________________si1">#REF!</definedName>
    <definedName name="____________________________________sl2">#REF!</definedName>
    <definedName name="____________________________________sub1">#REF!</definedName>
    <definedName name="___________________________________a1">#REF!,#REF!,#REF!,#REF!,#REF!,#REF!,#REF!,#REF!,#REF!,#REF!,#REF!,#REF!</definedName>
    <definedName name="___________________________________A166999">#REF!</definedName>
    <definedName name="___________________________________A16999">#REF!</definedName>
    <definedName name="___________________________________a19999">#REF!</definedName>
    <definedName name="___________________________________a2">#REF!</definedName>
    <definedName name="___________________________________a20000">#REF!</definedName>
    <definedName name="___________________________________a99999">#REF!</definedName>
    <definedName name="___________________________________ab1">#REF!</definedName>
    <definedName name="___________________________________bc1">#REF!</definedName>
    <definedName name="___________________________________bc2">#REF!,#REF!,#REF!,#REF!,#REF!,#REF!,#REF!,#REF!,#REF!,#REF!,#REF!,#REF!</definedName>
    <definedName name="___________________________________bc3">#REF!</definedName>
    <definedName name="___________________________________DUM2">[3]stair!#REF!</definedName>
    <definedName name="___________________________________DUM3">[3]stair!#REF!</definedName>
    <definedName name="___________________________________DUM4">[3]stair!#REF!</definedName>
    <definedName name="___________________________________LL1">[3]stair!#REF!</definedName>
    <definedName name="___________________________________LL3">[3]stair!#REF!</definedName>
    <definedName name="___________________________________NC1">#REF!</definedName>
    <definedName name="___________________________________NC2">[4]STRUCTURE!#REF!</definedName>
    <definedName name="___________________________________NC3">[4]STRUCTURE!#REF!</definedName>
    <definedName name="___________________________________RU1">[3]stair!#REF!</definedName>
    <definedName name="___________________________________RU2">[3]stair!#REF!</definedName>
    <definedName name="___________________________________si1">#REF!</definedName>
    <definedName name="___________________________________sl2">#REF!</definedName>
    <definedName name="___________________________________TP2">#REF!</definedName>
    <definedName name="___________________________________WL1">[3]stair!#REF!</definedName>
    <definedName name="___________________________________WL2">[3]stair!#REF!</definedName>
    <definedName name="___________________________________WU1">[3]stair!#REF!</definedName>
    <definedName name="___________________________________WU3">[3]stair!#REF!</definedName>
    <definedName name="__________________________________a1">#REF!,#REF!,#REF!,#REF!,#REF!,#REF!,#REF!,#REF!,#REF!,#REF!,#REF!,#REF!</definedName>
    <definedName name="__________________________________A166999">#REF!</definedName>
    <definedName name="__________________________________A16999">#REF!</definedName>
    <definedName name="__________________________________a19999">#REF!</definedName>
    <definedName name="__________________________________a2">#REF!</definedName>
    <definedName name="__________________________________a20000">#REF!</definedName>
    <definedName name="__________________________________a99999">#REF!</definedName>
    <definedName name="__________________________________ab1">#REF!</definedName>
    <definedName name="__________________________________bc1">#REF!</definedName>
    <definedName name="__________________________________bc2">#REF!,#REF!,#REF!,#REF!,#REF!,#REF!,#REF!,#REF!,#REF!,#REF!,#REF!,#REF!</definedName>
    <definedName name="__________________________________bc3">#REF!</definedName>
    <definedName name="__________________________________si1">#REF!</definedName>
    <definedName name="__________________________________sl2">#REF!</definedName>
    <definedName name="__________________________________sub1">#REF!</definedName>
    <definedName name="_________________________________a1">#REF!,#REF!,#REF!,#REF!,#REF!,#REF!,#REF!,#REF!,#REF!,#REF!,#REF!,#REF!</definedName>
    <definedName name="_________________________________A166999">#REF!</definedName>
    <definedName name="_________________________________A16999">#REF!</definedName>
    <definedName name="_________________________________a19999">#REF!</definedName>
    <definedName name="_________________________________a2">#REF!</definedName>
    <definedName name="_________________________________a20000">#REF!</definedName>
    <definedName name="_________________________________a99999">#REF!</definedName>
    <definedName name="_________________________________ab1">#REF!</definedName>
    <definedName name="_________________________________bc1">#REF!</definedName>
    <definedName name="_________________________________bc2">#REF!,#REF!,#REF!,#REF!,#REF!,#REF!,#REF!,#REF!,#REF!,#REF!,#REF!,#REF!</definedName>
    <definedName name="_________________________________bc3">#REF!</definedName>
    <definedName name="_________________________________DUM2">[3]stair!#REF!</definedName>
    <definedName name="_________________________________DUM3">[3]stair!#REF!</definedName>
    <definedName name="_________________________________DUM4">[3]stair!#REF!</definedName>
    <definedName name="_________________________________LL1">[3]stair!#REF!</definedName>
    <definedName name="_________________________________LL3">[3]stair!#REF!</definedName>
    <definedName name="_________________________________NC1">#REF!</definedName>
    <definedName name="_________________________________NC2">[4]STRUCTURE!#REF!</definedName>
    <definedName name="_________________________________NC3">[4]STRUCTURE!#REF!</definedName>
    <definedName name="_________________________________RU1">[3]stair!#REF!</definedName>
    <definedName name="_________________________________RU2">[3]stair!#REF!</definedName>
    <definedName name="_________________________________si1">#REF!</definedName>
    <definedName name="_________________________________sl2">#REF!</definedName>
    <definedName name="_________________________________sub1">#REF!</definedName>
    <definedName name="_________________________________TP2">#REF!</definedName>
    <definedName name="_________________________________WL1">[3]stair!#REF!</definedName>
    <definedName name="_________________________________WL2">[3]stair!#REF!</definedName>
    <definedName name="_________________________________WU1">[3]stair!#REF!</definedName>
    <definedName name="_________________________________WU3">[3]stair!#REF!</definedName>
    <definedName name="________________________________a1">#REF!,#REF!,#REF!,#REF!,#REF!,#REF!,#REF!,#REF!,#REF!,#REF!,#REF!,#REF!</definedName>
    <definedName name="________________________________A166999">#REF!</definedName>
    <definedName name="________________________________A16999">#REF!</definedName>
    <definedName name="________________________________a19999">#REF!</definedName>
    <definedName name="________________________________a2">#REF!</definedName>
    <definedName name="________________________________a20000">#REF!</definedName>
    <definedName name="________________________________a99999">#REF!</definedName>
    <definedName name="________________________________ab1">#REF!</definedName>
    <definedName name="________________________________bc1">#REF!</definedName>
    <definedName name="________________________________bc2">#REF!,#REF!,#REF!,#REF!,#REF!,#REF!,#REF!,#REF!,#REF!,#REF!,#REF!,#REF!</definedName>
    <definedName name="________________________________bc3">#REF!</definedName>
    <definedName name="________________________________DUM2">[3]stair!#REF!</definedName>
    <definedName name="________________________________DUM3">[3]stair!#REF!</definedName>
    <definedName name="________________________________DUM4">[3]stair!#REF!</definedName>
    <definedName name="________________________________LL1">[3]stair!#REF!</definedName>
    <definedName name="________________________________LL3">[3]stair!#REF!</definedName>
    <definedName name="________________________________NC1">#REF!</definedName>
    <definedName name="________________________________NC2">[4]STRUCTURE!#REF!</definedName>
    <definedName name="________________________________NC3">[4]STRUCTURE!#REF!</definedName>
    <definedName name="________________________________RU1">[3]stair!#REF!</definedName>
    <definedName name="________________________________RU2">[3]stair!#REF!</definedName>
    <definedName name="________________________________si1">#REF!</definedName>
    <definedName name="________________________________sl2">#REF!</definedName>
    <definedName name="________________________________sub1">#REF!</definedName>
    <definedName name="________________________________TP2">#REF!</definedName>
    <definedName name="________________________________WL1">[3]stair!#REF!</definedName>
    <definedName name="________________________________WL2">[3]stair!#REF!</definedName>
    <definedName name="________________________________WU1">[3]stair!#REF!</definedName>
    <definedName name="________________________________WU3">[3]stair!#REF!</definedName>
    <definedName name="_______________________________a1">#REF!,#REF!,#REF!,#REF!,#REF!,#REF!,#REF!,#REF!,#REF!,#REF!,#REF!,#REF!</definedName>
    <definedName name="_______________________________A166999">#REF!</definedName>
    <definedName name="_______________________________A16999">#REF!</definedName>
    <definedName name="_______________________________a19999">#REF!</definedName>
    <definedName name="_______________________________a2">#REF!</definedName>
    <definedName name="_______________________________a20000">#REF!</definedName>
    <definedName name="_______________________________a99999">#REF!</definedName>
    <definedName name="_______________________________ab1">#REF!</definedName>
    <definedName name="_______________________________bc1">#REF!</definedName>
    <definedName name="_______________________________bc2">#REF!,#REF!,#REF!,#REF!,#REF!,#REF!,#REF!,#REF!,#REF!,#REF!,#REF!,#REF!</definedName>
    <definedName name="_______________________________bc3">#REF!</definedName>
    <definedName name="_______________________________DUM2">[3]stair!#REF!</definedName>
    <definedName name="_______________________________DUM3">[3]stair!#REF!</definedName>
    <definedName name="_______________________________DUM4">[3]stair!#REF!</definedName>
    <definedName name="_______________________________LL1">[3]stair!#REF!</definedName>
    <definedName name="_______________________________LL3">[3]stair!#REF!</definedName>
    <definedName name="_______________________________NC1">#REF!</definedName>
    <definedName name="_______________________________NC2">[4]STRUCTURE!#REF!</definedName>
    <definedName name="_______________________________NC3">[4]STRUCTURE!#REF!</definedName>
    <definedName name="_______________________________RU1">[3]stair!#REF!</definedName>
    <definedName name="_______________________________RU2">[3]stair!#REF!</definedName>
    <definedName name="_______________________________si1">#REF!</definedName>
    <definedName name="_______________________________sl2">#REF!</definedName>
    <definedName name="_______________________________sub1">#REF!</definedName>
    <definedName name="_______________________________TP2">#REF!</definedName>
    <definedName name="_______________________________WL1">[3]stair!#REF!</definedName>
    <definedName name="_______________________________WL2">[3]stair!#REF!</definedName>
    <definedName name="_______________________________WU1">[3]stair!#REF!</definedName>
    <definedName name="_______________________________WU3">[3]stair!#REF!</definedName>
    <definedName name="______________________________a1">#REF!,#REF!,#REF!,#REF!,#REF!,#REF!,#REF!,#REF!,#REF!,#REF!,#REF!,#REF!</definedName>
    <definedName name="______________________________A166999">#REF!</definedName>
    <definedName name="______________________________A16999">#REF!</definedName>
    <definedName name="______________________________a19999">#REF!</definedName>
    <definedName name="______________________________a2">#REF!</definedName>
    <definedName name="______________________________a20000">#REF!</definedName>
    <definedName name="______________________________a99999">#REF!</definedName>
    <definedName name="______________________________ab1">#REF!</definedName>
    <definedName name="______________________________bc1">#REF!</definedName>
    <definedName name="______________________________bc2">#REF!,#REF!,#REF!,#REF!,#REF!,#REF!,#REF!,#REF!,#REF!,#REF!,#REF!,#REF!</definedName>
    <definedName name="______________________________bc3">#REF!</definedName>
    <definedName name="______________________________DUM2">[3]stair!#REF!</definedName>
    <definedName name="______________________________DUM3">[3]stair!#REF!</definedName>
    <definedName name="______________________________DUM4">[3]stair!#REF!</definedName>
    <definedName name="______________________________LL1">[3]stair!#REF!</definedName>
    <definedName name="______________________________LL3">[3]stair!#REF!</definedName>
    <definedName name="______________________________NC1">#REF!</definedName>
    <definedName name="______________________________NC2">[4]STRUCTURE!#REF!</definedName>
    <definedName name="______________________________NC3">[4]STRUCTURE!#REF!</definedName>
    <definedName name="______________________________RU1">[3]stair!#REF!</definedName>
    <definedName name="______________________________RU2">[3]stair!#REF!</definedName>
    <definedName name="______________________________si1">#REF!</definedName>
    <definedName name="______________________________sl2">#REF!</definedName>
    <definedName name="______________________________sub1">#REF!</definedName>
    <definedName name="______________________________TP2">#REF!</definedName>
    <definedName name="______________________________WL1">[3]stair!#REF!</definedName>
    <definedName name="______________________________WL2">[3]stair!#REF!</definedName>
    <definedName name="______________________________WU1">[3]stair!#REF!</definedName>
    <definedName name="______________________________WU3">[3]stair!#REF!</definedName>
    <definedName name="_____________________________a1">#REF!,#REF!,#REF!,#REF!,#REF!,#REF!,#REF!,#REF!,#REF!,#REF!,#REF!,#REF!</definedName>
    <definedName name="_____________________________A166999">#REF!</definedName>
    <definedName name="_____________________________A16999">#REF!</definedName>
    <definedName name="_____________________________a19999">#REF!</definedName>
    <definedName name="_____________________________a2">#REF!</definedName>
    <definedName name="_____________________________a20000">#REF!</definedName>
    <definedName name="_____________________________a99999">#REF!</definedName>
    <definedName name="_____________________________ab1">#REF!</definedName>
    <definedName name="_____________________________bc1">#REF!</definedName>
    <definedName name="_____________________________bc2">#REF!,#REF!,#REF!,#REF!,#REF!,#REF!,#REF!,#REF!,#REF!,#REF!,#REF!,#REF!</definedName>
    <definedName name="_____________________________bc3">#REF!</definedName>
    <definedName name="_____________________________DUM2">[3]stair!#REF!</definedName>
    <definedName name="_____________________________DUM3">[3]stair!#REF!</definedName>
    <definedName name="_____________________________DUM4">[3]stair!#REF!</definedName>
    <definedName name="_____________________________LL1">[3]stair!#REF!</definedName>
    <definedName name="_____________________________LL3">[3]stair!#REF!</definedName>
    <definedName name="_____________________________NC1">#REF!</definedName>
    <definedName name="_____________________________NC2">[4]STRUCTURE!#REF!</definedName>
    <definedName name="_____________________________NC3">[4]STRUCTURE!#REF!</definedName>
    <definedName name="_____________________________RU1">[3]stair!#REF!</definedName>
    <definedName name="_____________________________RU2">[3]stair!#REF!</definedName>
    <definedName name="_____________________________si1">#REF!</definedName>
    <definedName name="_____________________________sl2">#REF!</definedName>
    <definedName name="_____________________________sub1">#REF!</definedName>
    <definedName name="_____________________________TP2">#REF!</definedName>
    <definedName name="_____________________________WL1">[3]stair!#REF!</definedName>
    <definedName name="_____________________________WL2">[3]stair!#REF!</definedName>
    <definedName name="_____________________________WU1">[3]stair!#REF!</definedName>
    <definedName name="_____________________________WU3">[3]stair!#REF!</definedName>
    <definedName name="____________________________a1">#REF!,#REF!,#REF!,#REF!,#REF!,#REF!,#REF!,#REF!,#REF!,#REF!,#REF!,#REF!</definedName>
    <definedName name="____________________________A166999">#REF!</definedName>
    <definedName name="____________________________A16999">#REF!</definedName>
    <definedName name="____________________________a19999">#REF!</definedName>
    <definedName name="____________________________a2">#REF!</definedName>
    <definedName name="____________________________a20000">#REF!</definedName>
    <definedName name="____________________________a99999">#REF!</definedName>
    <definedName name="____________________________ab1">#REF!</definedName>
    <definedName name="____________________________bc1">#REF!</definedName>
    <definedName name="____________________________bc2">#REF!,#REF!,#REF!,#REF!,#REF!,#REF!,#REF!,#REF!,#REF!,#REF!,#REF!,#REF!</definedName>
    <definedName name="____________________________bc3">#REF!</definedName>
    <definedName name="____________________________DUM2">[3]stair!#REF!</definedName>
    <definedName name="____________________________DUM3">[3]stair!#REF!</definedName>
    <definedName name="____________________________DUM4">[3]stair!#REF!</definedName>
    <definedName name="____________________________LL1">[3]stair!#REF!</definedName>
    <definedName name="____________________________LL3">[3]stair!#REF!</definedName>
    <definedName name="____________________________NC1">#REF!</definedName>
    <definedName name="____________________________NC2">[4]STRUCTURE!#REF!</definedName>
    <definedName name="____________________________NC3">[4]STRUCTURE!#REF!</definedName>
    <definedName name="____________________________RU1">[3]stair!#REF!</definedName>
    <definedName name="____________________________RU2">[3]stair!#REF!</definedName>
    <definedName name="____________________________si1">#REF!</definedName>
    <definedName name="____________________________sl2">#REF!</definedName>
    <definedName name="____________________________sub1">#REF!</definedName>
    <definedName name="____________________________TP2">#REF!</definedName>
    <definedName name="____________________________WL1">[3]stair!#REF!</definedName>
    <definedName name="____________________________WL2">[3]stair!#REF!</definedName>
    <definedName name="____________________________WU1">[3]stair!#REF!</definedName>
    <definedName name="____________________________WU3">[3]stair!#REF!</definedName>
    <definedName name="___________________________a1">#REF!,#REF!,#REF!,#REF!,#REF!,#REF!,#REF!,#REF!,#REF!,#REF!,#REF!,#REF!</definedName>
    <definedName name="___________________________A166999">#REF!</definedName>
    <definedName name="___________________________A16999">#REF!</definedName>
    <definedName name="___________________________a19999">#REF!</definedName>
    <definedName name="___________________________a2">#REF!</definedName>
    <definedName name="___________________________a20000">#REF!</definedName>
    <definedName name="___________________________a99999">#REF!</definedName>
    <definedName name="___________________________ab1">#REF!</definedName>
    <definedName name="___________________________bc1">#REF!</definedName>
    <definedName name="___________________________bc2">#REF!,#REF!,#REF!,#REF!,#REF!,#REF!,#REF!,#REF!,#REF!,#REF!,#REF!,#REF!</definedName>
    <definedName name="___________________________bc3">#REF!</definedName>
    <definedName name="___________________________si1">#REF!</definedName>
    <definedName name="___________________________sl2">#REF!</definedName>
    <definedName name="___________________________sub1">#REF!</definedName>
    <definedName name="__________________________a1">#REF!,#REF!,#REF!,#REF!,#REF!,#REF!,#REF!,#REF!,#REF!,#REF!,#REF!,#REF!</definedName>
    <definedName name="__________________________A166999">#REF!</definedName>
    <definedName name="__________________________A16999">#REF!</definedName>
    <definedName name="__________________________a19999">#REF!</definedName>
    <definedName name="__________________________a2">#REF!</definedName>
    <definedName name="__________________________a20000">#REF!</definedName>
    <definedName name="__________________________a99999">#REF!</definedName>
    <definedName name="__________________________ab1">#REF!</definedName>
    <definedName name="__________________________bc1">#REF!</definedName>
    <definedName name="__________________________bc2">#REF!,#REF!,#REF!,#REF!,#REF!,#REF!,#REF!,#REF!,#REF!,#REF!,#REF!,#REF!</definedName>
    <definedName name="__________________________bc3">#REF!</definedName>
    <definedName name="__________________________DUM2">[5]stair!#REF!</definedName>
    <definedName name="__________________________DUM3">[5]stair!#REF!</definedName>
    <definedName name="__________________________DUM4">[5]stair!#REF!</definedName>
    <definedName name="__________________________LL1">[5]stair!#REF!</definedName>
    <definedName name="__________________________LL3">[5]stair!#REF!</definedName>
    <definedName name="__________________________NC1">#REF!</definedName>
    <definedName name="__________________________NC2">[6]STRUCTURE!#REF!</definedName>
    <definedName name="__________________________NC3">[6]STRUCTURE!#REF!</definedName>
    <definedName name="__________________________RU1">[5]stair!#REF!</definedName>
    <definedName name="__________________________RU2">[5]stair!#REF!</definedName>
    <definedName name="__________________________si1">#REF!</definedName>
    <definedName name="__________________________sl2">#REF!</definedName>
    <definedName name="__________________________sub1">#REF!</definedName>
    <definedName name="__________________________TP2">#REF!</definedName>
    <definedName name="__________________________WL1">[5]stair!#REF!</definedName>
    <definedName name="__________________________WL2">[5]stair!#REF!</definedName>
    <definedName name="__________________________WU1">[5]stair!#REF!</definedName>
    <definedName name="__________________________WU3">[5]stair!#REF!</definedName>
    <definedName name="_________________________a1">#REF!,#REF!,#REF!,#REF!,#REF!,#REF!,#REF!,#REF!,#REF!,#REF!,#REF!,#REF!</definedName>
    <definedName name="_________________________A166999">#REF!</definedName>
    <definedName name="_________________________A16999">#REF!</definedName>
    <definedName name="_________________________a19999">#REF!</definedName>
    <definedName name="_________________________a2">#REF!</definedName>
    <definedName name="_________________________a20000">#REF!</definedName>
    <definedName name="_________________________a99999">#REF!</definedName>
    <definedName name="_________________________ab1">#REF!</definedName>
    <definedName name="_________________________bc1">#REF!</definedName>
    <definedName name="_________________________bc2">#REF!,#REF!,#REF!,#REF!,#REF!,#REF!,#REF!,#REF!,#REF!,#REF!,#REF!,#REF!</definedName>
    <definedName name="_________________________bc3">#REF!</definedName>
    <definedName name="_________________________DUM2">[3]stair!#REF!</definedName>
    <definedName name="_________________________DUM3">[3]stair!#REF!</definedName>
    <definedName name="_________________________DUM4">[3]stair!#REF!</definedName>
    <definedName name="_________________________LL1">[3]stair!#REF!</definedName>
    <definedName name="_________________________LL3">[3]stair!#REF!</definedName>
    <definedName name="_________________________NC1">#REF!</definedName>
    <definedName name="_________________________NC2">[4]STRUCTURE!#REF!</definedName>
    <definedName name="_________________________NC3">[4]STRUCTURE!#REF!</definedName>
    <definedName name="_________________________RU1">[3]stair!#REF!</definedName>
    <definedName name="_________________________RU2">[3]stair!#REF!</definedName>
    <definedName name="_________________________si1">#REF!</definedName>
    <definedName name="_________________________sl2">#REF!</definedName>
    <definedName name="_________________________sub1">#REF!</definedName>
    <definedName name="_________________________TP2">#REF!</definedName>
    <definedName name="_________________________WL1">[3]stair!#REF!</definedName>
    <definedName name="_________________________WL2">[3]stair!#REF!</definedName>
    <definedName name="_________________________WU1">[3]stair!#REF!</definedName>
    <definedName name="_________________________WU3">[3]stair!#REF!</definedName>
    <definedName name="________________________a1">#REF!,#REF!,#REF!,#REF!,#REF!,#REF!,#REF!,#REF!,#REF!,#REF!,#REF!,#REF!</definedName>
    <definedName name="________________________A166999">#REF!</definedName>
    <definedName name="________________________A16999">#REF!</definedName>
    <definedName name="________________________a19999">#REF!</definedName>
    <definedName name="________________________a2">#REF!</definedName>
    <definedName name="________________________a20000">#REF!</definedName>
    <definedName name="________________________a99999">#REF!</definedName>
    <definedName name="________________________ab1">#REF!</definedName>
    <definedName name="________________________bc1">#REF!</definedName>
    <definedName name="________________________bc2">#REF!,#REF!,#REF!,#REF!,#REF!,#REF!,#REF!,#REF!,#REF!,#REF!,#REF!,#REF!</definedName>
    <definedName name="________________________bc3">#REF!</definedName>
    <definedName name="________________________DUM2">[5]stair!#REF!</definedName>
    <definedName name="________________________DUM3">[5]stair!#REF!</definedName>
    <definedName name="________________________DUM4">[5]stair!#REF!</definedName>
    <definedName name="________________________LL1">[5]stair!#REF!</definedName>
    <definedName name="________________________LL3">[5]stair!#REF!</definedName>
    <definedName name="________________________NC1">#REF!</definedName>
    <definedName name="________________________NC2">[6]STRUCTURE!#REF!</definedName>
    <definedName name="________________________NC3">[6]STRUCTURE!#REF!</definedName>
    <definedName name="________________________RU1">[5]stair!#REF!</definedName>
    <definedName name="________________________RU2">[5]stair!#REF!</definedName>
    <definedName name="________________________si1">#REF!</definedName>
    <definedName name="________________________sl2">#REF!</definedName>
    <definedName name="________________________sub1">#REF!</definedName>
    <definedName name="________________________TP2">#REF!</definedName>
    <definedName name="________________________WL1">[5]stair!#REF!</definedName>
    <definedName name="________________________WL2">[5]stair!#REF!</definedName>
    <definedName name="________________________WU1">[5]stair!#REF!</definedName>
    <definedName name="________________________WU3">[5]stair!#REF!</definedName>
    <definedName name="_______________________a1">#REF!,#REF!,#REF!,#REF!,#REF!,#REF!,#REF!,#REF!,#REF!,#REF!,#REF!,#REF!</definedName>
    <definedName name="_______________________A166999">#REF!</definedName>
    <definedName name="_______________________A16999">#REF!</definedName>
    <definedName name="_______________________a19999">#REF!</definedName>
    <definedName name="_______________________a2">#REF!</definedName>
    <definedName name="_______________________a20000">#REF!</definedName>
    <definedName name="_______________________a99999">#REF!</definedName>
    <definedName name="_______________________ab1">#REF!</definedName>
    <definedName name="_______________________bc1">#REF!</definedName>
    <definedName name="_______________________bc2">#REF!,#REF!,#REF!,#REF!,#REF!,#REF!,#REF!,#REF!,#REF!,#REF!,#REF!,#REF!</definedName>
    <definedName name="_______________________bc3">#REF!</definedName>
    <definedName name="_______________________DUM2">[5]stair!#REF!</definedName>
    <definedName name="_______________________DUM3">[5]stair!#REF!</definedName>
    <definedName name="_______________________DUM4">[5]stair!#REF!</definedName>
    <definedName name="_______________________LL1">[5]stair!#REF!</definedName>
    <definedName name="_______________________LL3">[5]stair!#REF!</definedName>
    <definedName name="_______________________NC1">#REF!</definedName>
    <definedName name="_______________________NC2">[6]STRUCTURE!#REF!</definedName>
    <definedName name="_______________________NC3">[6]STRUCTURE!#REF!</definedName>
    <definedName name="_______________________RU1">[5]stair!#REF!</definedName>
    <definedName name="_______________________RU2">[5]stair!#REF!</definedName>
    <definedName name="_______________________si1">#REF!</definedName>
    <definedName name="_______________________sl2">#REF!</definedName>
    <definedName name="_______________________sub1">#REF!</definedName>
    <definedName name="_______________________TP2">#REF!</definedName>
    <definedName name="_______________________WL1">[5]stair!#REF!</definedName>
    <definedName name="_______________________WL2">[5]stair!#REF!</definedName>
    <definedName name="_______________________WU1">[5]stair!#REF!</definedName>
    <definedName name="_______________________WU3">[5]stair!#REF!</definedName>
    <definedName name="______________________a1">#REF!,#REF!,#REF!,#REF!,#REF!,#REF!,#REF!,#REF!,#REF!,#REF!,#REF!,#REF!</definedName>
    <definedName name="______________________A166999">#REF!</definedName>
    <definedName name="______________________A16999">#REF!</definedName>
    <definedName name="______________________a19999">#REF!</definedName>
    <definedName name="______________________a2">#REF!</definedName>
    <definedName name="______________________a20000">#REF!</definedName>
    <definedName name="______________________a99999">#REF!</definedName>
    <definedName name="______________________ab1">#REF!</definedName>
    <definedName name="______________________bc1">#REF!</definedName>
    <definedName name="______________________bc2">#REF!,#REF!,#REF!,#REF!,#REF!,#REF!,#REF!,#REF!,#REF!,#REF!,#REF!,#REF!</definedName>
    <definedName name="______________________bc3">#REF!</definedName>
    <definedName name="______________________DUM2">[5]stair!#REF!</definedName>
    <definedName name="______________________DUM3">[5]stair!#REF!</definedName>
    <definedName name="______________________DUM4">[5]stair!#REF!</definedName>
    <definedName name="______________________LL1">[5]stair!#REF!</definedName>
    <definedName name="______________________LL3">[5]stair!#REF!</definedName>
    <definedName name="______________________NC1">#REF!</definedName>
    <definedName name="______________________NC2">[6]STRUCTURE!#REF!</definedName>
    <definedName name="______________________NC3">[6]STRUCTURE!#REF!</definedName>
    <definedName name="______________________RU1">[5]stair!#REF!</definedName>
    <definedName name="______________________RU2">[5]stair!#REF!</definedName>
    <definedName name="______________________si1">#REF!</definedName>
    <definedName name="______________________sl2">#REF!</definedName>
    <definedName name="______________________sub1">#REF!</definedName>
    <definedName name="______________________TP2">#REF!</definedName>
    <definedName name="______________________WL1">[5]stair!#REF!</definedName>
    <definedName name="______________________WL2">[5]stair!#REF!</definedName>
    <definedName name="______________________WU1">[5]stair!#REF!</definedName>
    <definedName name="______________________WU3">[5]stair!#REF!</definedName>
    <definedName name="_____________________a1">#REF!,#REF!,#REF!,#REF!,#REF!,#REF!,#REF!,#REF!,#REF!,#REF!,#REF!,#REF!</definedName>
    <definedName name="_____________________A166999">#REF!</definedName>
    <definedName name="_____________________A16999">#REF!</definedName>
    <definedName name="_____________________a19999">#REF!</definedName>
    <definedName name="_____________________a2">#REF!</definedName>
    <definedName name="_____________________a20000">#REF!</definedName>
    <definedName name="_____________________a99999">#REF!</definedName>
    <definedName name="_____________________ab1">#REF!</definedName>
    <definedName name="_____________________bc1">#REF!</definedName>
    <definedName name="_____________________bc2">#REF!,#REF!,#REF!,#REF!,#REF!,#REF!,#REF!,#REF!,#REF!,#REF!,#REF!,#REF!</definedName>
    <definedName name="_____________________bc3">#REF!</definedName>
    <definedName name="_____________________DUM2">[5]stair!#REF!</definedName>
    <definedName name="_____________________DUM3">[5]stair!#REF!</definedName>
    <definedName name="_____________________DUM4">[5]stair!#REF!</definedName>
    <definedName name="_____________________LL1">[5]stair!#REF!</definedName>
    <definedName name="_____________________LL3">[5]stair!#REF!</definedName>
    <definedName name="_____________________NC1">#REF!</definedName>
    <definedName name="_____________________NC2">[6]STRUCTURE!#REF!</definedName>
    <definedName name="_____________________NC3">[6]STRUCTURE!#REF!</definedName>
    <definedName name="_____________________RU1">[5]stair!#REF!</definedName>
    <definedName name="_____________________RU2">[5]stair!#REF!</definedName>
    <definedName name="_____________________si1">#REF!</definedName>
    <definedName name="_____________________sl2">#REF!</definedName>
    <definedName name="_____________________sub1">#REF!</definedName>
    <definedName name="_____________________TP2">#REF!</definedName>
    <definedName name="_____________________WL1">[5]stair!#REF!</definedName>
    <definedName name="_____________________WL2">[5]stair!#REF!</definedName>
    <definedName name="_____________________WU1">[5]stair!#REF!</definedName>
    <definedName name="_____________________WU3">[5]stair!#REF!</definedName>
    <definedName name="____________________a1">#REF!,#REF!,#REF!,#REF!,#REF!,#REF!,#REF!,#REF!,#REF!,#REF!,#REF!,#REF!</definedName>
    <definedName name="____________________A166999">#REF!</definedName>
    <definedName name="____________________A16999">#REF!</definedName>
    <definedName name="____________________a19999">#REF!</definedName>
    <definedName name="____________________a2">#REF!</definedName>
    <definedName name="____________________a20000">#REF!</definedName>
    <definedName name="____________________a99999">#REF!</definedName>
    <definedName name="____________________ab1">#REF!</definedName>
    <definedName name="____________________bc1">#REF!</definedName>
    <definedName name="____________________bc2">#REF!,#REF!,#REF!,#REF!,#REF!,#REF!,#REF!,#REF!,#REF!,#REF!,#REF!,#REF!</definedName>
    <definedName name="____________________bc3">#REF!</definedName>
    <definedName name="____________________DUM2">[5]stair!#REF!</definedName>
    <definedName name="____________________DUM3">[5]stair!#REF!</definedName>
    <definedName name="____________________DUM4">[5]stair!#REF!</definedName>
    <definedName name="____________________LL1">[5]stair!#REF!</definedName>
    <definedName name="____________________LL3">[5]stair!#REF!</definedName>
    <definedName name="____________________NC1">#REF!</definedName>
    <definedName name="____________________NC2">[6]STRUCTURE!#REF!</definedName>
    <definedName name="____________________NC3">[6]STRUCTURE!#REF!</definedName>
    <definedName name="____________________RU1">[5]stair!#REF!</definedName>
    <definedName name="____________________RU2">[5]stair!#REF!</definedName>
    <definedName name="____________________si1">#REF!</definedName>
    <definedName name="____________________sl2">#REF!</definedName>
    <definedName name="____________________sub1">#REF!</definedName>
    <definedName name="____________________TP2">#REF!</definedName>
    <definedName name="____________________WL1">[5]stair!#REF!</definedName>
    <definedName name="____________________WL2">[5]stair!#REF!</definedName>
    <definedName name="____________________WU1">[5]stair!#REF!</definedName>
    <definedName name="____________________WU3">[5]stair!#REF!</definedName>
    <definedName name="___________________a1">#REF!,#REF!,#REF!,#REF!,#REF!,#REF!,#REF!,#REF!,#REF!,#REF!,#REF!,#REF!</definedName>
    <definedName name="___________________A166999">#REF!</definedName>
    <definedName name="___________________A16999">#REF!</definedName>
    <definedName name="___________________a19999">#REF!</definedName>
    <definedName name="___________________a2">#REF!</definedName>
    <definedName name="___________________a20000">#REF!</definedName>
    <definedName name="___________________a99999">#REF!</definedName>
    <definedName name="___________________ab1">#REF!</definedName>
    <definedName name="___________________bc1">#REF!</definedName>
    <definedName name="___________________bc2">#REF!,#REF!,#REF!,#REF!,#REF!,#REF!,#REF!,#REF!,#REF!,#REF!,#REF!,#REF!</definedName>
    <definedName name="___________________bc3">#REF!</definedName>
    <definedName name="___________________DUM2">[5]stair!#REF!</definedName>
    <definedName name="___________________DUM3">[5]stair!#REF!</definedName>
    <definedName name="___________________DUM4">[5]stair!#REF!</definedName>
    <definedName name="___________________LL1">[5]stair!#REF!</definedName>
    <definedName name="___________________LL3">[5]stair!#REF!</definedName>
    <definedName name="___________________NC1">#REF!</definedName>
    <definedName name="___________________NC2">[6]STRUCTURE!#REF!</definedName>
    <definedName name="___________________NC3">[6]STRUCTURE!#REF!</definedName>
    <definedName name="___________________RU1">[5]stair!#REF!</definedName>
    <definedName name="___________________RU2">[5]stair!#REF!</definedName>
    <definedName name="___________________si1">#REF!</definedName>
    <definedName name="___________________sl2">#REF!</definedName>
    <definedName name="___________________str1">#REF!</definedName>
    <definedName name="___________________str2">#REF!</definedName>
    <definedName name="___________________str3">#REF!</definedName>
    <definedName name="___________________sub1">#REF!</definedName>
    <definedName name="___________________TP2">#REF!</definedName>
    <definedName name="___________________WL1">[5]stair!#REF!</definedName>
    <definedName name="___________________WL2">[5]stair!#REF!</definedName>
    <definedName name="___________________WU1">[5]stair!#REF!</definedName>
    <definedName name="___________________WU3">[5]stair!#REF!</definedName>
    <definedName name="__________________a1">#REF!,#REF!,#REF!,#REF!,#REF!,#REF!,#REF!,#REF!,#REF!,#REF!,#REF!,#REF!</definedName>
    <definedName name="__________________A166999">#REF!</definedName>
    <definedName name="__________________A16999">#REF!</definedName>
    <definedName name="__________________a19999">#REF!</definedName>
    <definedName name="__________________a2">#REF!</definedName>
    <definedName name="__________________a20000">#REF!</definedName>
    <definedName name="__________________a99999">#REF!</definedName>
    <definedName name="__________________ab1">#REF!</definedName>
    <definedName name="__________________bc1">#REF!</definedName>
    <definedName name="__________________bc2">#REF!,#REF!,#REF!,#REF!,#REF!,#REF!,#REF!,#REF!,#REF!,#REF!,#REF!,#REF!</definedName>
    <definedName name="__________________bc3">#REF!</definedName>
    <definedName name="__________________DUM2">[5]stair!#REF!</definedName>
    <definedName name="__________________DUM3">[5]stair!#REF!</definedName>
    <definedName name="__________________DUM4">[5]stair!#REF!</definedName>
    <definedName name="__________________LL1">[5]stair!#REF!</definedName>
    <definedName name="__________________LL3">[5]stair!#REF!</definedName>
    <definedName name="__________________NC1">#REF!</definedName>
    <definedName name="__________________NC2">[6]STRUCTURE!#REF!</definedName>
    <definedName name="__________________NC3">[6]STRUCTURE!#REF!</definedName>
    <definedName name="__________________RU1">[5]stair!#REF!</definedName>
    <definedName name="__________________RU2">[5]stair!#REF!</definedName>
    <definedName name="__________________si1">#REF!</definedName>
    <definedName name="__________________sl2">#REF!</definedName>
    <definedName name="__________________str1">#REF!</definedName>
    <definedName name="__________________str2">#REF!</definedName>
    <definedName name="__________________str3">#REF!</definedName>
    <definedName name="__________________sub1">#REF!</definedName>
    <definedName name="__________________TP2">#REF!</definedName>
    <definedName name="__________________WL1">[5]stair!#REF!</definedName>
    <definedName name="__________________WL2">[5]stair!#REF!</definedName>
    <definedName name="__________________WU1">[5]stair!#REF!</definedName>
    <definedName name="__________________WU3">[5]stair!#REF!</definedName>
    <definedName name="_________________a1">#REF!,#REF!,#REF!,#REF!,#REF!,#REF!,#REF!,#REF!,#REF!,#REF!,#REF!,#REF!</definedName>
    <definedName name="_________________A166999">#REF!</definedName>
    <definedName name="_________________A16999">#REF!</definedName>
    <definedName name="_________________a19999">#REF!</definedName>
    <definedName name="_________________a2">#REF!</definedName>
    <definedName name="_________________a20000">#REF!</definedName>
    <definedName name="_________________a99999">#REF!</definedName>
    <definedName name="_________________ab1">#REF!</definedName>
    <definedName name="_________________bc1">#REF!</definedName>
    <definedName name="_________________bc2">#REF!,#REF!,#REF!,#REF!,#REF!,#REF!,#REF!,#REF!,#REF!,#REF!,#REF!,#REF!</definedName>
    <definedName name="_________________bc3">#REF!</definedName>
    <definedName name="_________________DUM2">[5]stair!#REF!</definedName>
    <definedName name="_________________DUM3">[5]stair!#REF!</definedName>
    <definedName name="_________________DUM4">[5]stair!#REF!</definedName>
    <definedName name="_________________LL1">[5]stair!#REF!</definedName>
    <definedName name="_________________LL3">[5]stair!#REF!</definedName>
    <definedName name="_________________NC1">#REF!</definedName>
    <definedName name="_________________NC2">[6]STRUCTURE!#REF!</definedName>
    <definedName name="_________________NC3">[6]STRUCTURE!#REF!</definedName>
    <definedName name="_________________RU1">[5]stair!#REF!</definedName>
    <definedName name="_________________RU2">[5]stair!#REF!</definedName>
    <definedName name="_________________si1">#REF!</definedName>
    <definedName name="_________________sl2">#REF!</definedName>
    <definedName name="_________________str1">#REF!</definedName>
    <definedName name="_________________str2">#REF!</definedName>
    <definedName name="_________________str3">#REF!</definedName>
    <definedName name="_________________sub1">#REF!</definedName>
    <definedName name="_________________TP2">#REF!</definedName>
    <definedName name="_________________WL1">[5]stair!#REF!</definedName>
    <definedName name="_________________WL2">[5]stair!#REF!</definedName>
    <definedName name="_________________WU1">[5]stair!#REF!</definedName>
    <definedName name="_________________WU3">[5]stair!#REF!</definedName>
    <definedName name="________________a1">#REF!,#REF!,#REF!,#REF!,#REF!,#REF!,#REF!,#REF!,#REF!,#REF!,#REF!,#REF!</definedName>
    <definedName name="________________A166999">#REF!</definedName>
    <definedName name="________________A16999">#REF!</definedName>
    <definedName name="________________a19999">#REF!</definedName>
    <definedName name="________________a2">#REF!</definedName>
    <definedName name="________________a20000">#REF!</definedName>
    <definedName name="________________a99999">#REF!</definedName>
    <definedName name="________________ab1">#REF!</definedName>
    <definedName name="________________bc1">#REF!</definedName>
    <definedName name="________________bc2">#REF!,#REF!,#REF!,#REF!,#REF!,#REF!,#REF!,#REF!,#REF!,#REF!,#REF!,#REF!</definedName>
    <definedName name="________________bc3">#REF!</definedName>
    <definedName name="________________DUM2">[5]stair!#REF!</definedName>
    <definedName name="________________DUM3">[5]stair!#REF!</definedName>
    <definedName name="________________DUM4">[5]stair!#REF!</definedName>
    <definedName name="________________LL1">[5]stair!#REF!</definedName>
    <definedName name="________________LL3">[5]stair!#REF!</definedName>
    <definedName name="________________NC1">#REF!</definedName>
    <definedName name="________________NC2">[6]STRUCTURE!#REF!</definedName>
    <definedName name="________________NC3">[6]STRUCTURE!#REF!</definedName>
    <definedName name="________________RU1">[5]stair!#REF!</definedName>
    <definedName name="________________RU2">[5]stair!#REF!</definedName>
    <definedName name="________________si1">#REF!</definedName>
    <definedName name="________________sl2">#REF!</definedName>
    <definedName name="________________str1">#REF!</definedName>
    <definedName name="________________str2">#REF!</definedName>
    <definedName name="________________str3">#REF!</definedName>
    <definedName name="________________sub1">#REF!</definedName>
    <definedName name="________________TP2">#REF!</definedName>
    <definedName name="________________WL1">[5]stair!#REF!</definedName>
    <definedName name="________________WL2">[5]stair!#REF!</definedName>
    <definedName name="________________WU1">[5]stair!#REF!</definedName>
    <definedName name="________________WU3">[5]stair!#REF!</definedName>
    <definedName name="_______________a1">#REF!,#REF!,#REF!,#REF!,#REF!,#REF!,#REF!,#REF!,#REF!,#REF!,#REF!,#REF!</definedName>
    <definedName name="_______________A166999">#REF!</definedName>
    <definedName name="_______________A16999">#REF!</definedName>
    <definedName name="_______________a19999">#REF!</definedName>
    <definedName name="_______________a2">#REF!</definedName>
    <definedName name="_______________a20000">#REF!</definedName>
    <definedName name="_______________a99999">#REF!</definedName>
    <definedName name="_______________ab1">#REF!</definedName>
    <definedName name="_______________bc1">#REF!</definedName>
    <definedName name="_______________bc2">#REF!,#REF!,#REF!,#REF!,#REF!,#REF!,#REF!,#REF!,#REF!,#REF!,#REF!,#REF!</definedName>
    <definedName name="_______________bc3">#REF!</definedName>
    <definedName name="_______________DUM2">[5]stair!#REF!</definedName>
    <definedName name="_______________DUM3">[5]stair!#REF!</definedName>
    <definedName name="_______________DUM4">[5]stair!#REF!</definedName>
    <definedName name="_______________LL1">[5]stair!#REF!</definedName>
    <definedName name="_______________LL3">[5]stair!#REF!</definedName>
    <definedName name="_______________NC1">#REF!</definedName>
    <definedName name="_______________NC2">[6]STRUCTURE!#REF!</definedName>
    <definedName name="_______________NC3">[6]STRUCTURE!#REF!</definedName>
    <definedName name="_______________RU1">[5]stair!#REF!</definedName>
    <definedName name="_______________RU2">[5]stair!#REF!</definedName>
    <definedName name="_______________si1">#REF!</definedName>
    <definedName name="_______________sl2">#REF!</definedName>
    <definedName name="_______________str1">#REF!</definedName>
    <definedName name="_______________str2">#REF!</definedName>
    <definedName name="_______________str3">#REF!</definedName>
    <definedName name="_______________sub1">#REF!</definedName>
    <definedName name="_______________TP2">#REF!</definedName>
    <definedName name="_______________WL1">[5]stair!#REF!</definedName>
    <definedName name="_______________WL2">[5]stair!#REF!</definedName>
    <definedName name="_______________WU1">[5]stair!#REF!</definedName>
    <definedName name="_______________WU3">[5]stair!#REF!</definedName>
    <definedName name="______________a1">#REF!,#REF!,#REF!,#REF!,#REF!,#REF!,#REF!,#REF!,#REF!,#REF!,#REF!,#REF!</definedName>
    <definedName name="______________A166999">#REF!</definedName>
    <definedName name="______________A16999">#REF!</definedName>
    <definedName name="______________a19999">#REF!</definedName>
    <definedName name="______________a2">#REF!</definedName>
    <definedName name="______________a20000">#REF!</definedName>
    <definedName name="______________a99999">#REF!</definedName>
    <definedName name="______________ab1">#REF!</definedName>
    <definedName name="______________bc1">#REF!</definedName>
    <definedName name="______________bc2">#REF!,#REF!,#REF!,#REF!,#REF!,#REF!,#REF!,#REF!,#REF!,#REF!,#REF!,#REF!</definedName>
    <definedName name="______________bc3">#REF!</definedName>
    <definedName name="______________DUM2">[7]stair!#REF!</definedName>
    <definedName name="______________DUM3">[7]stair!#REF!</definedName>
    <definedName name="______________DUM4">[7]stair!#REF!</definedName>
    <definedName name="______________LL1">[7]stair!#REF!</definedName>
    <definedName name="______________LL3">[7]stair!#REF!</definedName>
    <definedName name="______________NC1">#REF!</definedName>
    <definedName name="______________NC2">[8]STRUCTURE!#REF!</definedName>
    <definedName name="______________NC3">[8]STRUCTURE!#REF!</definedName>
    <definedName name="______________RN22">#REF!</definedName>
    <definedName name="______________RU1">[7]stair!#REF!</definedName>
    <definedName name="______________RU2">[7]stair!#REF!</definedName>
    <definedName name="______________si1">#REF!</definedName>
    <definedName name="______________sl2">#REF!</definedName>
    <definedName name="______________str1">#REF!</definedName>
    <definedName name="______________str2">#REF!</definedName>
    <definedName name="______________str3">#REF!</definedName>
    <definedName name="______________sub1">#REF!</definedName>
    <definedName name="______________TP2">#REF!</definedName>
    <definedName name="______________WL1">[7]stair!#REF!</definedName>
    <definedName name="______________WL2">[7]stair!#REF!</definedName>
    <definedName name="______________WU1">[7]stair!#REF!</definedName>
    <definedName name="______________WU3">[7]stair!#REF!</definedName>
    <definedName name="_____________a1">#REF!,#REF!,#REF!,#REF!,#REF!,#REF!,#REF!,#REF!,#REF!,#REF!,#REF!,#REF!</definedName>
    <definedName name="_____________A166999">#REF!</definedName>
    <definedName name="_____________A16999">#REF!</definedName>
    <definedName name="_____________a19999">#REF!</definedName>
    <definedName name="_____________a2">#REF!</definedName>
    <definedName name="_____________a20000">#REF!</definedName>
    <definedName name="_____________a99999">#REF!</definedName>
    <definedName name="_____________ab1">#REF!</definedName>
    <definedName name="_____________bc1">#REF!</definedName>
    <definedName name="_____________bc2">#REF!,#REF!,#REF!,#REF!,#REF!,#REF!,#REF!,#REF!,#REF!,#REF!,#REF!,#REF!</definedName>
    <definedName name="_____________bc3">#REF!</definedName>
    <definedName name="_____________DUM2">[5]stair!#REF!</definedName>
    <definedName name="_____________DUM3">[5]stair!#REF!</definedName>
    <definedName name="_____________DUM4">[5]stair!#REF!</definedName>
    <definedName name="_____________LL1">[5]stair!#REF!</definedName>
    <definedName name="_____________LL3">[5]stair!#REF!</definedName>
    <definedName name="_____________NC1">#REF!</definedName>
    <definedName name="_____________NC2">[6]STRUCTURE!#REF!</definedName>
    <definedName name="_____________NC3">[6]STRUCTURE!#REF!</definedName>
    <definedName name="_____________RN22">#REF!</definedName>
    <definedName name="_____________RU1">[5]stair!#REF!</definedName>
    <definedName name="_____________RU2">[5]stair!#REF!</definedName>
    <definedName name="_____________si1">#REF!</definedName>
    <definedName name="_____________sl2">#REF!</definedName>
    <definedName name="_____________str1">#REF!</definedName>
    <definedName name="_____________str2">#REF!</definedName>
    <definedName name="_____________str3">#REF!</definedName>
    <definedName name="_____________sub1">#REF!</definedName>
    <definedName name="_____________TP2">#REF!</definedName>
    <definedName name="_____________WL1">[5]stair!#REF!</definedName>
    <definedName name="_____________WL2">[5]stair!#REF!</definedName>
    <definedName name="_____________WU1">[5]stair!#REF!</definedName>
    <definedName name="_____________WU3">[5]stair!#REF!</definedName>
    <definedName name="____________a1">#REF!,#REF!,#REF!,#REF!,#REF!,#REF!,#REF!,#REF!,#REF!,#REF!,#REF!,#REF!</definedName>
    <definedName name="____________A166999">#REF!</definedName>
    <definedName name="____________A16999">#REF!</definedName>
    <definedName name="____________a19999">#REF!</definedName>
    <definedName name="____________a2">#REF!</definedName>
    <definedName name="____________a20000">#REF!</definedName>
    <definedName name="____________a99999">#REF!</definedName>
    <definedName name="____________ab1">#REF!</definedName>
    <definedName name="____________bc1">#REF!</definedName>
    <definedName name="____________bc2">#REF!,#REF!,#REF!,#REF!,#REF!,#REF!,#REF!,#REF!,#REF!,#REF!,#REF!,#REF!</definedName>
    <definedName name="____________bc3">#REF!</definedName>
    <definedName name="____________DUM2">[3]stair!#REF!</definedName>
    <definedName name="____________DUM3">[3]stair!#REF!</definedName>
    <definedName name="____________DUM4">[3]stair!#REF!</definedName>
    <definedName name="____________LL1">[3]stair!#REF!</definedName>
    <definedName name="____________LL3">[3]stair!#REF!</definedName>
    <definedName name="____________NC1">#REF!</definedName>
    <definedName name="____________NC2">[4]STRUCTURE!#REF!</definedName>
    <definedName name="____________NC3">[4]STRUCTURE!#REF!</definedName>
    <definedName name="____________RN22">#REF!</definedName>
    <definedName name="____________RU1">[3]stair!#REF!</definedName>
    <definedName name="____________RU2">[3]stair!#REF!</definedName>
    <definedName name="____________si1">#REF!</definedName>
    <definedName name="____________sl2">#REF!</definedName>
    <definedName name="____________str1">#REF!</definedName>
    <definedName name="____________str2">#REF!</definedName>
    <definedName name="____________str3">#REF!</definedName>
    <definedName name="____________sub1">#REF!</definedName>
    <definedName name="____________TP2">#REF!</definedName>
    <definedName name="____________WL1">[3]stair!#REF!</definedName>
    <definedName name="____________WL2">[3]stair!#REF!</definedName>
    <definedName name="____________WU1">[3]stair!#REF!</definedName>
    <definedName name="____________WU3">[3]stair!#REF!</definedName>
    <definedName name="___________a1">#REF!,#REF!,#REF!,#REF!,#REF!,#REF!,#REF!,#REF!,#REF!,#REF!,#REF!,#REF!</definedName>
    <definedName name="___________A166999">#REF!</definedName>
    <definedName name="___________A16999">#REF!</definedName>
    <definedName name="___________a19999">#REF!</definedName>
    <definedName name="___________a2">#REF!</definedName>
    <definedName name="___________a20000">#REF!</definedName>
    <definedName name="___________a99999">#REF!</definedName>
    <definedName name="___________ab1">#REF!</definedName>
    <definedName name="___________AWP2" hidden="1">{"'Sheet1'!$E$7:$O$12"}</definedName>
    <definedName name="___________bc1">#REF!</definedName>
    <definedName name="___________bc2">#REF!,#REF!,#REF!,#REF!,#REF!,#REF!,#REF!,#REF!,#REF!,#REF!,#REF!,#REF!</definedName>
    <definedName name="___________bc3">#REF!</definedName>
    <definedName name="___________DUM2">[3]stair!#REF!</definedName>
    <definedName name="___________DUM3">[3]stair!#REF!</definedName>
    <definedName name="___________DUM4">[3]stair!#REF!</definedName>
    <definedName name="___________LL1">[3]stair!#REF!</definedName>
    <definedName name="___________LL3">[3]stair!#REF!</definedName>
    <definedName name="___________NC1">#REF!</definedName>
    <definedName name="___________NC2">[4]STRUCTURE!#REF!</definedName>
    <definedName name="___________NC3">[4]STRUCTURE!#REF!</definedName>
    <definedName name="___________RN22">#REF!</definedName>
    <definedName name="___________RU1">[3]stair!#REF!</definedName>
    <definedName name="___________RU2">[3]stair!#REF!</definedName>
    <definedName name="___________si1">#REF!</definedName>
    <definedName name="___________sl2">#REF!</definedName>
    <definedName name="___________str1">#REF!</definedName>
    <definedName name="___________str2">#REF!</definedName>
    <definedName name="___________str3">#REF!</definedName>
    <definedName name="___________sub1">#REF!</definedName>
    <definedName name="___________TP2">#REF!</definedName>
    <definedName name="___________WL1">[3]stair!#REF!</definedName>
    <definedName name="___________WL2">[3]stair!#REF!</definedName>
    <definedName name="___________WU1">[3]stair!#REF!</definedName>
    <definedName name="___________WU3">[3]stair!#REF!</definedName>
    <definedName name="__________a1">#REF!,#REF!,#REF!,#REF!,#REF!,#REF!,#REF!,#REF!,#REF!,#REF!,#REF!,#REF!</definedName>
    <definedName name="__________A166999">#REF!</definedName>
    <definedName name="__________A16999">#REF!</definedName>
    <definedName name="__________a19999">#REF!</definedName>
    <definedName name="__________a2">#REF!</definedName>
    <definedName name="__________a20000">#REF!</definedName>
    <definedName name="__________a99999">#REF!</definedName>
    <definedName name="__________ab1">#REF!</definedName>
    <definedName name="__________AWP2" hidden="1">{"'Sheet1'!$E$7:$O$12"}</definedName>
    <definedName name="__________bc1">#REF!</definedName>
    <definedName name="__________bc2">#REF!,#REF!,#REF!,#REF!,#REF!,#REF!,#REF!,#REF!,#REF!,#REF!,#REF!,#REF!</definedName>
    <definedName name="__________bc3">#REF!</definedName>
    <definedName name="__________DUM2">[3]stair!#REF!</definedName>
    <definedName name="__________DUM3">[3]stair!#REF!</definedName>
    <definedName name="__________DUM4">[3]stair!#REF!</definedName>
    <definedName name="__________FAC1">[9]สรุป!$C$307</definedName>
    <definedName name="__________LL1">[3]stair!#REF!</definedName>
    <definedName name="__________LL3">[3]stair!#REF!</definedName>
    <definedName name="__________NC1">#REF!</definedName>
    <definedName name="__________NC2">[4]STRUCTURE!#REF!</definedName>
    <definedName name="__________NC3">[4]STRUCTURE!#REF!</definedName>
    <definedName name="__________RN22">#REF!</definedName>
    <definedName name="__________RU1">[3]stair!#REF!</definedName>
    <definedName name="__________RU2">[3]stair!#REF!</definedName>
    <definedName name="__________si1">#REF!</definedName>
    <definedName name="__________sl2">#REF!</definedName>
    <definedName name="__________str1">#REF!</definedName>
    <definedName name="__________str2">#REF!</definedName>
    <definedName name="__________str3">#REF!</definedName>
    <definedName name="__________sub1">#REF!</definedName>
    <definedName name="__________TP2">#REF!</definedName>
    <definedName name="__________WL1">[3]stair!#REF!</definedName>
    <definedName name="__________WL2">[3]stair!#REF!</definedName>
    <definedName name="__________WU1">[3]stair!#REF!</definedName>
    <definedName name="__________WU3">[3]stair!#REF!</definedName>
    <definedName name="_________a1">#REF!,#REF!,#REF!,#REF!,#REF!,#REF!,#REF!,#REF!,#REF!,#REF!,#REF!,#REF!</definedName>
    <definedName name="_________A166999">#REF!</definedName>
    <definedName name="_________A16999">#REF!</definedName>
    <definedName name="_________a19999">#REF!</definedName>
    <definedName name="_________a2">#REF!</definedName>
    <definedName name="_________a20000">#REF!</definedName>
    <definedName name="_________a99999">#REF!</definedName>
    <definedName name="_________ab1">#REF!</definedName>
    <definedName name="_________AWP2" hidden="1">{"'Sheet1'!$E$7:$O$12"}</definedName>
    <definedName name="_________bc1">#REF!</definedName>
    <definedName name="_________bc2">#REF!,#REF!,#REF!,#REF!,#REF!,#REF!,#REF!,#REF!,#REF!,#REF!,#REF!,#REF!</definedName>
    <definedName name="_________bc3">#REF!</definedName>
    <definedName name="_________DUM2">[3]stair!#REF!</definedName>
    <definedName name="_________DUM3">[3]stair!#REF!</definedName>
    <definedName name="_________DUM4">[3]stair!#REF!</definedName>
    <definedName name="_________FAC1">[9]สรุป!$C$307</definedName>
    <definedName name="_________LL1">[3]stair!#REF!</definedName>
    <definedName name="_________LL3">[3]stair!#REF!</definedName>
    <definedName name="_________NC1">#REF!</definedName>
    <definedName name="_________NC2">[4]STRUCTURE!#REF!</definedName>
    <definedName name="_________NC3">[4]STRUCTURE!#REF!</definedName>
    <definedName name="_________RU1">[3]stair!#REF!</definedName>
    <definedName name="_________RU2">[3]stair!#REF!</definedName>
    <definedName name="_________si1">#REF!</definedName>
    <definedName name="_________sl2">#REF!</definedName>
    <definedName name="_________str1">#REF!</definedName>
    <definedName name="_________str2">#REF!</definedName>
    <definedName name="_________str3">#REF!</definedName>
    <definedName name="_________sub1">#REF!</definedName>
    <definedName name="_________TP2">#REF!</definedName>
    <definedName name="_________WL1">[3]stair!#REF!</definedName>
    <definedName name="_________WL2">[3]stair!#REF!</definedName>
    <definedName name="_________WU1">[3]stair!#REF!</definedName>
    <definedName name="_________WU3">[3]stair!#REF!</definedName>
    <definedName name="________a1">#REF!,#REF!,#REF!,#REF!,#REF!,#REF!,#REF!,#REF!,#REF!,#REF!,#REF!,#REF!</definedName>
    <definedName name="________A166999">#REF!</definedName>
    <definedName name="________A16999">#REF!</definedName>
    <definedName name="________a19999">#REF!</definedName>
    <definedName name="________a2">#REF!</definedName>
    <definedName name="________a20000">#REF!</definedName>
    <definedName name="________a99999">#REF!</definedName>
    <definedName name="________ab1">#REF!</definedName>
    <definedName name="________AWP2" hidden="1">{"'Sheet1'!$E$7:$O$12"}</definedName>
    <definedName name="________bc1">#REF!</definedName>
    <definedName name="________bc2">#REF!,#REF!,#REF!,#REF!,#REF!,#REF!,#REF!,#REF!,#REF!,#REF!,#REF!,#REF!</definedName>
    <definedName name="________bc3">#REF!</definedName>
    <definedName name="________DUM2">[10]stair!#REF!</definedName>
    <definedName name="________DUM3">[10]stair!#REF!</definedName>
    <definedName name="________DUM4">[10]stair!#REF!</definedName>
    <definedName name="________FAC1">[9]สรุป!$C$307</definedName>
    <definedName name="________LL1">[10]stair!#REF!</definedName>
    <definedName name="________LL3">[10]stair!#REF!</definedName>
    <definedName name="________NC1">#REF!</definedName>
    <definedName name="________NC2">[11]STRUCTURE!#REF!</definedName>
    <definedName name="________NC3">[11]STRUCTURE!#REF!</definedName>
    <definedName name="________RN22">#REF!</definedName>
    <definedName name="________RU1">[10]stair!#REF!</definedName>
    <definedName name="________RU2">[10]stair!#REF!</definedName>
    <definedName name="________si1">#REF!</definedName>
    <definedName name="________sl2">#REF!</definedName>
    <definedName name="________str1">#REF!</definedName>
    <definedName name="________str2">#REF!</definedName>
    <definedName name="________str3">#REF!</definedName>
    <definedName name="________sub1">#REF!</definedName>
    <definedName name="________TP2">#REF!</definedName>
    <definedName name="________WL1">[10]stair!#REF!</definedName>
    <definedName name="________WL2">[10]stair!#REF!</definedName>
    <definedName name="________WU1">[10]stair!#REF!</definedName>
    <definedName name="________WU3">[10]stair!#REF!</definedName>
    <definedName name="_______a1">#REF!,#REF!,#REF!,#REF!,#REF!,#REF!,#REF!,#REF!,#REF!,#REF!,#REF!,#REF!</definedName>
    <definedName name="_______A166999">#REF!</definedName>
    <definedName name="_______A16999">#REF!</definedName>
    <definedName name="_______a19999">#REF!</definedName>
    <definedName name="_______a2">#REF!</definedName>
    <definedName name="_______a20000">#REF!</definedName>
    <definedName name="_______a99999">#REF!</definedName>
    <definedName name="_______ab1">#REF!</definedName>
    <definedName name="_______AWP2" hidden="1">{"'Sheet1'!$E$7:$O$12"}</definedName>
    <definedName name="_______bc1">#REF!</definedName>
    <definedName name="_______bc2">#REF!,#REF!,#REF!,#REF!,#REF!,#REF!,#REF!,#REF!,#REF!,#REF!,#REF!,#REF!</definedName>
    <definedName name="_______bc3">#REF!</definedName>
    <definedName name="_______DUM2">[5]stair!#REF!</definedName>
    <definedName name="_______DUM3">[5]stair!#REF!</definedName>
    <definedName name="_______DUM4">[5]stair!#REF!</definedName>
    <definedName name="_______FAC1">[9]สรุป!$C$307</definedName>
    <definedName name="_______LL1">[5]stair!#REF!</definedName>
    <definedName name="_______LL3">[5]stair!#REF!</definedName>
    <definedName name="_______NC1">#REF!</definedName>
    <definedName name="_______NC2">[6]STRUCTURE!#REF!</definedName>
    <definedName name="_______NC3">[6]STRUCTURE!#REF!</definedName>
    <definedName name="_______RN22">#REF!</definedName>
    <definedName name="_______RU1">[5]stair!#REF!</definedName>
    <definedName name="_______RU2">[5]stair!#REF!</definedName>
    <definedName name="_______si1">#REF!</definedName>
    <definedName name="_______sl2">#REF!</definedName>
    <definedName name="_______str1">#REF!</definedName>
    <definedName name="_______str2">#REF!</definedName>
    <definedName name="_______str3">#REF!</definedName>
    <definedName name="_______sub1">#REF!</definedName>
    <definedName name="_______TP2">#REF!</definedName>
    <definedName name="_______WL1">[5]stair!#REF!</definedName>
    <definedName name="_______WL2">[5]stair!#REF!</definedName>
    <definedName name="_______WU1">[5]stair!#REF!</definedName>
    <definedName name="_______WU3">[5]stair!#REF!</definedName>
    <definedName name="______a1">#REF!,#REF!,#REF!,#REF!,#REF!,#REF!,#REF!,#REF!,#REF!,#REF!,#REF!,#REF!</definedName>
    <definedName name="______A166999">#REF!</definedName>
    <definedName name="______A16999">#REF!</definedName>
    <definedName name="______a19999">#REF!</definedName>
    <definedName name="______a2">#REF!</definedName>
    <definedName name="______a20000">#REF!</definedName>
    <definedName name="______a99999">#REF!</definedName>
    <definedName name="______ab1">#REF!</definedName>
    <definedName name="______AWP2" hidden="1">{"'Sheet1'!$E$7:$O$12"}</definedName>
    <definedName name="______bc1">#REF!</definedName>
    <definedName name="______bc2">#REF!,#REF!,#REF!,#REF!,#REF!,#REF!,#REF!,#REF!,#REF!,#REF!,#REF!,#REF!</definedName>
    <definedName name="______bc3">#REF!</definedName>
    <definedName name="______DUM2">[3]stair!#REF!</definedName>
    <definedName name="______DUM3">[3]stair!#REF!</definedName>
    <definedName name="______DUM4">[3]stair!#REF!</definedName>
    <definedName name="______FAC1">[9]สรุป!$C$307</definedName>
    <definedName name="______LL1">[3]stair!#REF!</definedName>
    <definedName name="______LL3">[3]stair!#REF!</definedName>
    <definedName name="______NC1">#REF!</definedName>
    <definedName name="______NC2">[4]STRUCTURE!#REF!</definedName>
    <definedName name="______NC3">[4]STRUCTURE!#REF!</definedName>
    <definedName name="______RN22">#REF!</definedName>
    <definedName name="______RU1">[3]stair!#REF!</definedName>
    <definedName name="______RU2">[3]stair!#REF!</definedName>
    <definedName name="______si1">#REF!</definedName>
    <definedName name="______sl2">#REF!</definedName>
    <definedName name="______str1">#REF!</definedName>
    <definedName name="______str2">#REF!</definedName>
    <definedName name="______str3">#REF!</definedName>
    <definedName name="______sub1">#REF!</definedName>
    <definedName name="______TP2">#REF!</definedName>
    <definedName name="______WL1">[3]stair!#REF!</definedName>
    <definedName name="______WL2">[3]stair!#REF!</definedName>
    <definedName name="______WU1">[3]stair!#REF!</definedName>
    <definedName name="______WU3">[3]stair!#REF!</definedName>
    <definedName name="_____a1">#REF!,#REF!,#REF!,#REF!,#REF!,#REF!,#REF!,#REF!,#REF!,#REF!,#REF!,#REF!</definedName>
    <definedName name="_____A166999">#REF!</definedName>
    <definedName name="_____A16999">#REF!</definedName>
    <definedName name="_____a19999">#REF!</definedName>
    <definedName name="_____a2">#REF!</definedName>
    <definedName name="_____a20000">#REF!</definedName>
    <definedName name="_____a99999">#REF!</definedName>
    <definedName name="_____ab1">#REF!</definedName>
    <definedName name="_____AWP2" hidden="1">{"'Sheet1'!$E$7:$O$12"}</definedName>
    <definedName name="_____bc1">#REF!</definedName>
    <definedName name="_____bc2">#REF!,#REF!,#REF!,#REF!,#REF!,#REF!,#REF!,#REF!,#REF!,#REF!,#REF!,#REF!</definedName>
    <definedName name="_____bc3">#REF!</definedName>
    <definedName name="_____DUM2">[5]stair!#REF!</definedName>
    <definedName name="_____DUM3">[5]stair!#REF!</definedName>
    <definedName name="_____DUM4">[5]stair!#REF!</definedName>
    <definedName name="_____FAC1">[9]สรุป!$C$307</definedName>
    <definedName name="_____LL1">[5]stair!#REF!</definedName>
    <definedName name="_____LL3">[5]stair!#REF!</definedName>
    <definedName name="_____NC1">#REF!</definedName>
    <definedName name="_____NC2">[6]STRUCTURE!#REF!</definedName>
    <definedName name="_____NC3">[6]STRUCTURE!#REF!</definedName>
    <definedName name="_____RN22">#REF!</definedName>
    <definedName name="_____RU1">[5]stair!#REF!</definedName>
    <definedName name="_____RU2">[5]stair!#REF!</definedName>
    <definedName name="_____si1">#REF!</definedName>
    <definedName name="_____sl2">#REF!</definedName>
    <definedName name="_____str1">#REF!</definedName>
    <definedName name="_____str2">#REF!</definedName>
    <definedName name="_____str3">#REF!</definedName>
    <definedName name="_____sub1">#REF!</definedName>
    <definedName name="_____TP2">#REF!</definedName>
    <definedName name="_____WL1">[5]stair!#REF!</definedName>
    <definedName name="_____WL2">[5]stair!#REF!</definedName>
    <definedName name="_____WU1">[5]stair!#REF!</definedName>
    <definedName name="_____WU3">[5]stair!#REF!</definedName>
    <definedName name="____a1">#REF!,#REF!,#REF!,#REF!,#REF!,#REF!,#REF!,#REF!,#REF!,#REF!,#REF!,#REF!</definedName>
    <definedName name="____A166999">#REF!</definedName>
    <definedName name="____A16999">#REF!</definedName>
    <definedName name="____a19999">#REF!</definedName>
    <definedName name="____a2">#REF!</definedName>
    <definedName name="____a20000">#REF!</definedName>
    <definedName name="____a99999">#REF!</definedName>
    <definedName name="____ab1">#REF!</definedName>
    <definedName name="____AWP2" hidden="1">{"'Sheet1'!$E$7:$O$12"}</definedName>
    <definedName name="____bc1">#REF!</definedName>
    <definedName name="____bc2">#REF!,#REF!,#REF!,#REF!,#REF!,#REF!,#REF!,#REF!,#REF!,#REF!,#REF!,#REF!</definedName>
    <definedName name="____bc3">#REF!</definedName>
    <definedName name="____DUM2">[5]stair!#REF!</definedName>
    <definedName name="____DUM3">[5]stair!#REF!</definedName>
    <definedName name="____DUM4">[5]stair!#REF!</definedName>
    <definedName name="____FAC1">[9]สรุป!$C$307</definedName>
    <definedName name="____LL1">[5]stair!#REF!</definedName>
    <definedName name="____LL3">[5]stair!#REF!</definedName>
    <definedName name="____NC1">#REF!</definedName>
    <definedName name="____NC2">[6]STRUCTURE!#REF!</definedName>
    <definedName name="____NC3">[6]STRUCTURE!#REF!</definedName>
    <definedName name="____RU1">[5]stair!#REF!</definedName>
    <definedName name="____RU2">[5]stair!#REF!</definedName>
    <definedName name="____si1">#REF!</definedName>
    <definedName name="____sl2">#REF!</definedName>
    <definedName name="____str1">#REF!</definedName>
    <definedName name="____str2">#REF!</definedName>
    <definedName name="____str3">#REF!</definedName>
    <definedName name="____sub1">#REF!</definedName>
    <definedName name="____TP2">#REF!</definedName>
    <definedName name="____WL1">[5]stair!#REF!</definedName>
    <definedName name="____WL2">[5]stair!#REF!</definedName>
    <definedName name="____WU1">[5]stair!#REF!</definedName>
    <definedName name="____WU3">[5]stair!#REF!</definedName>
    <definedName name="___a1">#REF!,#REF!,#REF!,#REF!,#REF!,#REF!,#REF!,#REF!,#REF!,#REF!,#REF!,#REF!</definedName>
    <definedName name="___A166999">#REF!</definedName>
    <definedName name="___A16999">#REF!</definedName>
    <definedName name="___a19999">#REF!</definedName>
    <definedName name="___a2">#REF!</definedName>
    <definedName name="___a20000">#REF!</definedName>
    <definedName name="___a99999">#REF!</definedName>
    <definedName name="___ab1">#REF!</definedName>
    <definedName name="___AWP2" hidden="1">{"'Sheet1'!$E$7:$O$12"}</definedName>
    <definedName name="___bc1">#REF!</definedName>
    <definedName name="___bc2">#REF!,#REF!,#REF!,#REF!,#REF!,#REF!,#REF!,#REF!,#REF!,#REF!,#REF!,#REF!</definedName>
    <definedName name="___bc3">#REF!</definedName>
    <definedName name="___DUM2">[3]stair!#REF!</definedName>
    <definedName name="___DUM3">[3]stair!#REF!</definedName>
    <definedName name="___DUM4">[3]stair!#REF!</definedName>
    <definedName name="___FAC1">[9]สรุป!$C$307</definedName>
    <definedName name="___LL1">[3]stair!#REF!</definedName>
    <definedName name="___LL3">[3]stair!#REF!</definedName>
    <definedName name="___NC1">#REF!</definedName>
    <definedName name="___NC2">[4]STRUCTURE!#REF!</definedName>
    <definedName name="___NC3">[4]STRUCTURE!#REF!</definedName>
    <definedName name="___RN22">#REF!</definedName>
    <definedName name="___RU1">[3]stair!#REF!</definedName>
    <definedName name="___RU2">[3]stair!#REF!</definedName>
    <definedName name="___si1">#REF!</definedName>
    <definedName name="___sl2">#REF!</definedName>
    <definedName name="___str1">#REF!</definedName>
    <definedName name="___str2">#REF!</definedName>
    <definedName name="___str3">#REF!</definedName>
    <definedName name="___sub1">#REF!</definedName>
    <definedName name="___TP2">#REF!</definedName>
    <definedName name="___WL1">[3]stair!#REF!</definedName>
    <definedName name="___WL2">[3]stair!#REF!</definedName>
    <definedName name="___WU1">[3]stair!#REF!</definedName>
    <definedName name="___WU3">[3]stair!#REF!</definedName>
    <definedName name="__123Graph_D" hidden="1">[12]FR!#REF!</definedName>
    <definedName name="__a1">#REF!,#REF!,#REF!,#REF!,#REF!,#REF!,#REF!,#REF!,#REF!,#REF!,#REF!,#REF!</definedName>
    <definedName name="__A166999">#REF!</definedName>
    <definedName name="__A16999">#REF!</definedName>
    <definedName name="__a19999">#REF!</definedName>
    <definedName name="__a2">#REF!</definedName>
    <definedName name="__a20000">#REF!</definedName>
    <definedName name="__a99999">#REF!</definedName>
    <definedName name="__ab1">#REF!</definedName>
    <definedName name="__AWP2" hidden="1">{"'Sheet1'!$E$7:$O$12"}</definedName>
    <definedName name="__bc1">#REF!</definedName>
    <definedName name="__bc2">#REF!,#REF!,#REF!,#REF!,#REF!,#REF!,#REF!,#REF!,#REF!,#REF!,#REF!,#REF!</definedName>
    <definedName name="__bc3">#REF!</definedName>
    <definedName name="__DUM2">[3]stair!#REF!</definedName>
    <definedName name="__DUM3">[3]stair!#REF!</definedName>
    <definedName name="__DUM4">[3]stair!#REF!</definedName>
    <definedName name="__FAC1">[9]สรุป!$C$307</definedName>
    <definedName name="__LL1">[3]stair!#REF!</definedName>
    <definedName name="__LL3">[3]stair!#REF!</definedName>
    <definedName name="__NC1">#REF!</definedName>
    <definedName name="__NC2">[4]STRUCTURE!#REF!</definedName>
    <definedName name="__NC3">[4]STRUCTURE!#REF!</definedName>
    <definedName name="__R__P_BS_ยอดเง">#N/A</definedName>
    <definedName name="__RN22">#REF!</definedName>
    <definedName name="__RU1">[3]stair!#REF!</definedName>
    <definedName name="__RU2">[3]stair!#REF!</definedName>
    <definedName name="__si1">#REF!</definedName>
    <definedName name="__sl2">#REF!</definedName>
    <definedName name="__str1">#REF!</definedName>
    <definedName name="__str2">#REF!</definedName>
    <definedName name="__str3">#REF!</definedName>
    <definedName name="__sub1">#REF!</definedName>
    <definedName name="__TP2">#REF!</definedName>
    <definedName name="__WL1">[3]stair!#REF!</definedName>
    <definedName name="__WL2">[3]stair!#REF!</definedName>
    <definedName name="__WU1">[3]stair!#REF!</definedName>
    <definedName name="__WU3">[3]stair!#REF!</definedName>
    <definedName name="_1">#N/A</definedName>
    <definedName name="_1_">[2]PRICE!#REF!</definedName>
    <definedName name="_1__01">#REF!</definedName>
    <definedName name="_10">#REF!</definedName>
    <definedName name="_10Excel_BuiltIn_Print_Area_4_1_1_1">#REF!</definedName>
    <definedName name="_10Excel_BuiltIn_Print_Area_5_1_1_1_1_1_1_1_1_1_1_1_1">#REF!</definedName>
    <definedName name="_11">#REF!</definedName>
    <definedName name="_11Excel_BuiltIn_Print_Area_5_1_1_1_1_1_1_1_1_1_1_1_1_1_1">#REF!</definedName>
    <definedName name="_11Excel_BuiltIn_Print_Titles_22_1_1_1">#REF!</definedName>
    <definedName name="_12">#REF!</definedName>
    <definedName name="_123">#REF!</definedName>
    <definedName name="_12Excel_BuiltIn_Print_Area_3_1">#REF!</definedName>
    <definedName name="_12Excel_BuiltIn_Print_Area_6_1_1_1_1_1_1_1_1_1">#REF!</definedName>
    <definedName name="_13">#REF!</definedName>
    <definedName name="_13Excel_BuiltIn_Print_Area_3_1_1_1_1">#REF!</definedName>
    <definedName name="_13Excel_BuiltIn_Print_Area_7_1_1_1_1_1_1_1_1">#REF!</definedName>
    <definedName name="_14">#REF!</definedName>
    <definedName name="_14Excel_BuiltIn_Print_Area_8_1_1_1_1_1_1_1">#REF!</definedName>
    <definedName name="_15">#REF!</definedName>
    <definedName name="_15Excel_BuiltIn_Print_Titles_22_1_1_1">#REF!</definedName>
    <definedName name="_16">#REF!</definedName>
    <definedName name="_17">#REF!</definedName>
    <definedName name="_18">#REF!</definedName>
    <definedName name="_19">#REF!</definedName>
    <definedName name="_1997_年1__7月经营分析表">#REF!</definedName>
    <definedName name="_1Excel_BuiltIn_Print_Area_15_1_1_1_1">#REF!</definedName>
    <definedName name="_2">#N/A</definedName>
    <definedName name="_2_">[2]PRICE!#REF!</definedName>
    <definedName name="_2_0">[2]PRICE!#REF!</definedName>
    <definedName name="_20">#REF!</definedName>
    <definedName name="_2Excel_BuiltIn_Print_Area_16_1_1">#REF!</definedName>
    <definedName name="_3">#N/A</definedName>
    <definedName name="_3Excel_BuiltIn_Print_Area_15_1_1_1_1">#REF!</definedName>
    <definedName name="_3Excel_BuiltIn_Print_Area_16_1_1_1_1">#REF!</definedName>
    <definedName name="_4">#N/A</definedName>
    <definedName name="_4.0___M_E_COST_BREAKDOWN">#REF!</definedName>
    <definedName name="_4.0___M_E_COST_BREAKDOWN___0">#REF!</definedName>
    <definedName name="_4_0">[2]PRICE!#REF!</definedName>
    <definedName name="_4Excel_BuiltIn_Print_Area_2_1">[13]S0!$A$1:$L$134</definedName>
    <definedName name="_5">#N/A</definedName>
    <definedName name="_5Excel_BuiltIn_Print_Area_3_1">#REF!</definedName>
    <definedName name="_6">#N/A</definedName>
    <definedName name="_6Excel_BuiltIn_Print_Area_16_1_1">#REF!</definedName>
    <definedName name="_6Excel_BuiltIn_Print_Area_3_1_1_1_1">#REF!</definedName>
    <definedName name="_7">#N/A</definedName>
    <definedName name="_7Excel_BuiltIn_Print_Area_3_1_1_1_1_1_1_1_1_1_1_1_1_1_1_1_1_1_1_1_1_1_1_1_1_1_1_1_1_1_1_1_1_1_1">#REF!</definedName>
    <definedName name="_8">#N/A</definedName>
    <definedName name="_8Excel_BuiltIn_Print_Area_4_1_1_1">#REF!</definedName>
    <definedName name="_9">#N/A</definedName>
    <definedName name="_90_days">#REF!</definedName>
    <definedName name="_9394">#REF!</definedName>
    <definedName name="_9Excel_BuiltIn_Print_Area_16_1_1_1_1">#REF!</definedName>
    <definedName name="_9Excel_BuiltIn_Print_Area_4_1_1_1_1_1_1_1_1_1_1_1_1_1_1_1_1">#REF!</definedName>
    <definedName name="_a">#REF!</definedName>
    <definedName name="_a___0">#REF!</definedName>
    <definedName name="_a___4">#REF!</definedName>
    <definedName name="_a1">#REF!,#REF!,#REF!,#REF!,#REF!,#REF!,#REF!,#REF!,#REF!,#REF!,#REF!,#REF!</definedName>
    <definedName name="_A166999">#REF!</definedName>
    <definedName name="_A16999">#REF!</definedName>
    <definedName name="_a19999">#REF!</definedName>
    <definedName name="_a2">#REF!</definedName>
    <definedName name="_a20000">#REF!</definedName>
    <definedName name="_a99999">#REF!</definedName>
    <definedName name="_ab1">#REF!</definedName>
    <definedName name="_APP1_FCBR_D__B">#N/A</definedName>
    <definedName name="_AWP2" hidden="1">{"'Sheet1'!$E$7:$O$12"}</definedName>
    <definedName name="_b">#REF!</definedName>
    <definedName name="_bc1">#REF!</definedName>
    <definedName name="_bc2">#REF!,#REF!,#REF!,#REF!,#REF!,#REF!,#REF!,#REF!,#REF!,#REF!,#REF!,#REF!</definedName>
    <definedName name="_bc3">#REF!</definedName>
    <definedName name="_BIGRIGHT_2__R_">#N/A</definedName>
    <definedName name="_c">#REF!</definedName>
    <definedName name="_c___0">#REF!</definedName>
    <definedName name="_c___4">#REF!</definedName>
    <definedName name="_d">#REF!</definedName>
    <definedName name="_D__R_7___R_3__">#N/A</definedName>
    <definedName name="_Dist_Bin" hidden="1">#REF!</definedName>
    <definedName name="_Dist_Values" hidden="1">#REF!</definedName>
    <definedName name="_DUM2">[3]stair!#REF!</definedName>
    <definedName name="_DUM3">[3]stair!#REF!</definedName>
    <definedName name="_DUM4">[3]stair!#REF!</definedName>
    <definedName name="_e">#REF!</definedName>
    <definedName name="_END__L__D_">#N/A</definedName>
    <definedName name="_FAC1">[9]สรุป!$C$307</definedName>
    <definedName name="_Fill" hidden="1">[14]PL!#REF!</definedName>
    <definedName name="_h">#REF!</definedName>
    <definedName name="_Key1" hidden="1">#REF!</definedName>
    <definedName name="_Key2" hidden="1">#REF!</definedName>
    <definedName name="_l">#REF!</definedName>
    <definedName name="_L_._L_6___C__L">#N/A</definedName>
    <definedName name="_LD_FR_FCT">[3]footing!#REF!</definedName>
    <definedName name="_LL1">[3]stair!#REF!</definedName>
    <definedName name="_LL3">[3]stair!#REF!</definedName>
    <definedName name="_LM_SUMMARY">#REF!</definedName>
    <definedName name="_NC1">#REF!</definedName>
    <definedName name="_NC2">[4]STRUCTURE!#REF!</definedName>
    <definedName name="_NC3">[4]STRUCTURE!#REF!</definedName>
    <definedName name="_Order1" hidden="1">255</definedName>
    <definedName name="_p">#REF!</definedName>
    <definedName name="_PGUP_7__U_._EN">#N/A</definedName>
    <definedName name="_q">#REF!</definedName>
    <definedName name="_R__59_BS_0_R__">#N/A</definedName>
    <definedName name="_RN22">#REF!</definedName>
    <definedName name="_RU1">[3]stair!#REF!</definedName>
    <definedName name="_RU2">[3]stair!#REF!</definedName>
    <definedName name="_si1">#REF!</definedName>
    <definedName name="_sl2">#REF!</definedName>
    <definedName name="_Sort" hidden="1">#REF!</definedName>
    <definedName name="_str1">#REF!</definedName>
    <definedName name="_str2">#REF!</definedName>
    <definedName name="_str3">#REF!</definedName>
    <definedName name="_sub1">#REF!</definedName>
    <definedName name="_Table1_In1" hidden="1">#REF!</definedName>
    <definedName name="_Table1_Out" hidden="1">#REF!</definedName>
    <definedName name="_TP2">#REF!</definedName>
    <definedName name="_w">#REF!</definedName>
    <definedName name="_WDR_">[15]วัดใต้!#REF!</definedName>
    <definedName name="_WIR_D_2___APP1">#N/A</definedName>
    <definedName name="_WL1">[3]stair!#REF!</definedName>
    <definedName name="_WL2">[3]stair!#REF!</definedName>
    <definedName name="_WU1">[3]stair!#REF!</definedName>
    <definedName name="_WU3">[3]stair!#REF!</definedName>
    <definedName name="_z">#REF!</definedName>
    <definedName name="A">#REF!</definedName>
    <definedName name="a___0">#REF!</definedName>
    <definedName name="A0">#REF!</definedName>
    <definedName name="aa">'[16]SH-G'!$C$1:$G$600</definedName>
    <definedName name="aaa" hidden="1">{"'SUMMATION'!$B$2:$I$2"}</definedName>
    <definedName name="aaaa" hidden="1">{"'SUMMATION'!$B$2:$I$2"}</definedName>
    <definedName name="aaaa___0">#REF!</definedName>
    <definedName name="AAAAA">#REF!</definedName>
    <definedName name="ab">#REF!</definedName>
    <definedName name="abc">[17]Sheet7!#REF!</definedName>
    <definedName name="ac">#REF!</definedName>
    <definedName name="AccessDatabase" hidden="1">"C:\My Documents\MRTA\COST\VO\BS\L_subway.mdb"</definedName>
    <definedName name="ACESS">[3]footing!#REF!</definedName>
    <definedName name="Affiliate">#REF!</definedName>
    <definedName name="AgroOpt1">#REF!</definedName>
    <definedName name="AgroOpt2">#REF!</definedName>
    <definedName name="AgroOpt3">#REF!</definedName>
    <definedName name="AgroOpt4">#REF!</definedName>
    <definedName name="AgroOpt5">#REF!</definedName>
    <definedName name="AgroOpt6">#REF!</definedName>
    <definedName name="AIR">#REF!</definedName>
    <definedName name="aj">[18]extruder!#REF!</definedName>
    <definedName name="ALL">#REF!</definedName>
    <definedName name="Amount">#REF!,#REF!,#REF!,#REF!,#REF!,#REF!,#REF!,#REF!,#REF!,#REF!,#REF!,#REF!</definedName>
    <definedName name="Analyze">#REF!</definedName>
    <definedName name="AO">'[19]FFGM06-1'!#REF!</definedName>
    <definedName name="area">OFFSET('[20]AGRO-DATA'!$D$10,0,0,COUNTA('[20]AGRO-DATA'!$D:$D)-1)</definedName>
    <definedName name="area1">OFFSET(#REF!,0,0,(COUNTA(#REF!)-1))</definedName>
    <definedName name="AS16_">[3]footing!#REF!</definedName>
    <definedName name="AS20_">[3]footing!#REF!</definedName>
    <definedName name="AS22_">[3]footing!#REF!</definedName>
    <definedName name="AS25_">[3]footing!#REF!</definedName>
    <definedName name="AS28_">[3]footing!#REF!</definedName>
    <definedName name="AS2DocOpenMode" hidden="1">"AS2DocumentEdit"</definedName>
    <definedName name="asasasas"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ASD">'[21]8-原料耗用价格比较'!$EO$1:$FD$85</definedName>
    <definedName name="asdsd">#REF!</definedName>
    <definedName name="AV12_">[3]footing!#REF!</definedName>
    <definedName name="AV6_">[3]footing!#REF!</definedName>
    <definedName name="AV9_">[3]footing!#REF!</definedName>
    <definedName name="b">'[22]SH-B'!$C$1:$G$482</definedName>
    <definedName name="B1.">#REF!</definedName>
    <definedName name="BB">#REF!</definedName>
    <definedName name="BBBB">#REF!</definedName>
    <definedName name="bc">#REF!</definedName>
    <definedName name="bdfx">[23]Sheet10!$A$1:$X$83</definedName>
    <definedName name="Beg_Bal">#REF!</definedName>
    <definedName name="BEGIN">#REF!</definedName>
    <definedName name="bgzbv">#REF!</definedName>
    <definedName name="BIGC" hidden="1">{#N/A,#N/A,TRUE,"Str.";#N/A,#N/A,TRUE,"Steel &amp; Roof";#N/A,#N/A,TRUE,"Arc.";#N/A,#N/A,TRUE,"Preliminary";#N/A,#N/A,TRUE,"Sum_Prelim"}</definedName>
    <definedName name="BJFX">#REF!</definedName>
    <definedName name="BJFX1">#REF!</definedName>
    <definedName name="bjgx">[23]Sheet19!$A$1:$AP$56</definedName>
    <definedName name="BL">#REF!</definedName>
    <definedName name="Black_C">'[24]Main Summary'!$F$3</definedName>
    <definedName name="BLT">[25]Totals!$U$28</definedName>
    <definedName name="BOOK1">#REF!</definedName>
    <definedName name="BOQ">#REF!</definedName>
    <definedName name="BOQS">#REF!</definedName>
    <definedName name="BOQsum">#REF!</definedName>
    <definedName name="BOQงานถนน" hidden="1">{#N/A,#N/A,TRUE,"Str.";#N/A,#N/A,TRUE,"Steel &amp; Roof";#N/A,#N/A,TRUE,"Arc.";#N/A,#N/A,TRUE,"Preliminary";#N/A,#N/A,TRUE,"Sum_Prelim"}</definedName>
    <definedName name="BudgetSum">#REF!</definedName>
    <definedName name="BuiltIn_AutoFilter___6">#REF!</definedName>
    <definedName name="Button_1">"MAT_PRICE_Sheet1_List"</definedName>
    <definedName name="C_">#REF!</definedName>
    <definedName name="cc">NA()</definedName>
    <definedName name="cc___0">NA()</definedName>
    <definedName name="cc___10">NA()</definedName>
    <definedName name="cc___3">NA()</definedName>
    <definedName name="cc___4">NA()</definedName>
    <definedName name="cc___5">NA()</definedName>
    <definedName name="cc___6">NA()</definedName>
    <definedName name="cc___7">NA()</definedName>
    <definedName name="cc___8">NA()</definedName>
    <definedName name="cc___9">NA()</definedName>
    <definedName name="ccc">#REF!,#REF!,#REF!,#REF!,#REF!,#REF!,#REF!,#REF!,#REF!,#REF!,#REF!,#REF!</definedName>
    <definedName name="CCCCC">#REF!</definedName>
    <definedName name="ccccc___0">NA()</definedName>
    <definedName name="ccccc___10">NA()</definedName>
    <definedName name="ccccc___3">NA()</definedName>
    <definedName name="ccccc___4">NA()</definedName>
    <definedName name="ccccc___5">NA()</definedName>
    <definedName name="ccccc___6">NA()</definedName>
    <definedName name="ccccc___7">NA()</definedName>
    <definedName name="ccccc___8">NA()</definedName>
    <definedName name="ccccc___9">NA()</definedName>
    <definedName name="CCTV">[26]boq!#REF!</definedName>
    <definedName name="CHLM">'[27]LM-COST'!$J$2:$K$120</definedName>
    <definedName name="CL">#REF!</definedName>
    <definedName name="COAT">'[1]PNT-QUOT-#3'!#REF!</definedName>
    <definedName name="code">#REF!</definedName>
    <definedName name="Code1">#REF!</definedName>
    <definedName name="COMPLETE">#REF!</definedName>
    <definedName name="cont">'[28]cov-estimate'!$B$1:$H$46</definedName>
    <definedName name="COST">'[19]FFGM06-1'!#REF!</definedName>
    <definedName name="cost_lab">#REF!</definedName>
    <definedName name="cost_lab___0">#REF!</definedName>
    <definedName name="cost_mat">#REF!</definedName>
    <definedName name="cost_mat___0">#REF!</definedName>
    <definedName name="cpxscb">[23]Sheet2!$Z$5:$AC$81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xl">[23]Sheet16!$A$1:$O$66</definedName>
    <definedName name="d">'[22]SH-D'!$C$1:$G$531</definedName>
    <definedName name="d_w">#REF!</definedName>
    <definedName name="DAI">#REF!</definedName>
    <definedName name="Data">#REF!</definedName>
    <definedName name="data10">#REF!</definedName>
    <definedName name="data2">[29]ค่าวัสดุ!$C:$F</definedName>
    <definedName name="data4">#REF!</definedName>
    <definedName name="data84">#REF!</definedName>
    <definedName name="_xlnm.Database">#REF!</definedName>
    <definedName name="dd">#REF!</definedName>
    <definedName name="DDDDD">#REF!</definedName>
    <definedName name="ddddddddd">[30]extruder!#REF!</definedName>
    <definedName name="details">#REF!</definedName>
    <definedName name="DFDF"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dflt2">#REF!</definedName>
    <definedName name="dflt3">#REF!</definedName>
    <definedName name="dflt4">#REF!</definedName>
    <definedName name="dflt5">#REF!</definedName>
    <definedName name="dflt6">#REF!</definedName>
    <definedName name="dflt7">[31]Invoice!#REF!</definedName>
    <definedName name="DL">#REF!</definedName>
    <definedName name="Doc">[25]Totals!$S$4</definedName>
    <definedName name="Document_array">{"Thuxm2.xls","Sheet1"}</definedName>
    <definedName name="DOL">#REF!</definedName>
    <definedName name="dsad">#REF!</definedName>
    <definedName name="DW">#REF!</definedName>
    <definedName name="dwcbb">[23]Sheet6!$A$1:$K$19</definedName>
    <definedName name="e">'[22]SH-E'!$C$1:$G$600</definedName>
    <definedName name="e___0">#REF!</definedName>
    <definedName name="ecewvt4t">[18]extruder!#REF!</definedName>
    <definedName name="EE">#REF!</definedName>
    <definedName name="eec">[32]covert!$L$27</definedName>
    <definedName name="eec___0">#REF!</definedName>
    <definedName name="EEEEE">#REF!</definedName>
    <definedName name="EL">#REF!</definedName>
    <definedName name="ELEMENT__Sanitary_System">#REF!</definedName>
    <definedName name="ELEMENT__Sanitary_System___0">#REF!</definedName>
    <definedName name="End_Bal">#REF!</definedName>
    <definedName name="erty" hidden="1">{"Input_Fin",#N/A,FALSE,"By Code";"Input_Opt",#N/A,FALSE,"By Code"}</definedName>
    <definedName name="Excel_BuiltIn_Print_Area">#REF!</definedName>
    <definedName name="Excel_BuiltIn_Print_Area_0">#REF!</definedName>
    <definedName name="Excel_BuiltIn_Print_Area_0___0">#REF!</definedName>
    <definedName name="Excel_BuiltIn_Print_Area_0___0___0">#REF!</definedName>
    <definedName name="Excel_BuiltIn_Print_Area_0___11">#REF!</definedName>
    <definedName name="Excel_BuiltIn_Print_Area_0___12">#REF!</definedName>
    <definedName name="Excel_BuiltIn_Print_Area_0___13">#REF!</definedName>
    <definedName name="Excel_BuiltIn_Print_Area_0___14">#REF!</definedName>
    <definedName name="Excel_BuiltIn_Print_Area_0___15">#REF!</definedName>
    <definedName name="Excel_BuiltIn_Print_Area_0___16">#REF!</definedName>
    <definedName name="Excel_BuiltIn_Print_Area_0___8">#REF!</definedName>
    <definedName name="Excel_BuiltIn_Print_Area_0___9">#REF!</definedName>
    <definedName name="Excel_BuiltIn_Print_Area_1_1">#REF!</definedName>
    <definedName name="Excel_BuiltIn_Print_Area_1_1___0">#REF!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_1_1_1_1">#REF!</definedName>
    <definedName name="Excel_BuiltIn_Print_Area_10_1_1_1_1_1_1_1_1_1">#REF!</definedName>
    <definedName name="Excel_BuiltIn_Print_Area_10_1_1_1_1_1_1_1_1_1_1">#REF!</definedName>
    <definedName name="Excel_BuiltIn_Print_Area_11_1">#REF!</definedName>
    <definedName name="Excel_BuiltIn_Print_Area_11_1_1">#REF!</definedName>
    <definedName name="Excel_BuiltIn_Print_Area_11_1_1_1">#REF!</definedName>
    <definedName name="Excel_BuiltIn_Print_Area_11_1_1_1_1">#REF!</definedName>
    <definedName name="Excel_BuiltIn_Print_Area_11_1_1_1_1_1">#REF!</definedName>
    <definedName name="Excel_BuiltIn_Print_Area_11_1_1_1_1_1_1">#REF!</definedName>
    <definedName name="Excel_BuiltIn_Print_Area_11_1_1_1_1_1_1_1">#REF!</definedName>
    <definedName name="Excel_BuiltIn_Print_Area_11_1_1_1_1_1_1_1_1">#REF!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_1">#REF!</definedName>
    <definedName name="Excel_BuiltIn_Print_Area_12_1_1_1_1_1_1_1">#REF!</definedName>
    <definedName name="Excel_BuiltIn_Print_Area_12_1_1_1_1_1_1_1_1">#REF!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3_1_1_1_1_1_1">#REF!</definedName>
    <definedName name="Excel_BuiltIn_Print_Area_13_1_1_1_1_1_1_1">#REF!</definedName>
    <definedName name="Excel_BuiltIn_Print_Area_13_1_1_1_1_1_1_1_1">#REF!</definedName>
    <definedName name="Excel_BuiltIn_Print_Area_13_1_1_1_1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4_1_1_1_1_1">#REF!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#REF!</definedName>
    <definedName name="Excel_BuiltIn_Print_Area_15_1_1_1_1_1">#REF!</definedName>
    <definedName name="Excel_BuiltIn_Print_Area_15_1_1_1_1_1_1">#REF!</definedName>
    <definedName name="Excel_BuiltIn_Print_Area_15_1_1_1_1_1_1_1">#REF!</definedName>
    <definedName name="Excel_BuiltIn_Print_Area_15_1_1_1_1_1_1_1_1">#REF!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_1">#REF!</definedName>
    <definedName name="Excel_BuiltIn_Print_Area_16_1_1_1_1_1_1_1">#REF!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_1">#REF!</definedName>
    <definedName name="Excel_BuiltIn_Print_Area_17_1_1_1_1_1_1_1">#REF!</definedName>
    <definedName name="Excel_BuiltIn_Print_Area_17_1_1_1_1_1_1_1_1">#REF!</definedName>
    <definedName name="Excel_BuiltIn_Print_Area_18">#REF!</definedName>
    <definedName name="Excel_BuiltIn_Print_Area_18_1">#REF!</definedName>
    <definedName name="Excel_BuiltIn_Print_Area_18_1_1">#REF!</definedName>
    <definedName name="Excel_BuiltIn_Print_Area_19_1">#REF!</definedName>
    <definedName name="Excel_BuiltIn_Print_Area_19_1_1">#REF!</definedName>
    <definedName name="Excel_BuiltIn_Print_Area_19_1_1_1">#REF!</definedName>
    <definedName name="Excel_BuiltIn_Print_Area_19_1_1_1_1">#REF!</definedName>
    <definedName name="Excel_BuiltIn_Print_Area_19_1_1_1_1_1">#REF!</definedName>
    <definedName name="Excel_BuiltIn_Print_Area_2___0">#REF!</definedName>
    <definedName name="Excel_BuiltIn_Print_Area_2_1">#REF!</definedName>
    <definedName name="Excel_BuiltIn_Print_Area_2_1_1">#REF!</definedName>
    <definedName name="Excel_BuiltIn_Print_Area_2_1_1_1">#REF!</definedName>
    <definedName name="Excel_BuiltIn_Print_Area_20_1">#REF!</definedName>
    <definedName name="Excel_BuiltIn_Print_Area_22_1">#REF!</definedName>
    <definedName name="Excel_BuiltIn_Print_Area_23_1">#REF!</definedName>
    <definedName name="Excel_BuiltIn_Print_Area_24_1">#REF!</definedName>
    <definedName name="Excel_BuiltIn_Print_Area_24_1_1">#REF!</definedName>
    <definedName name="Excel_BuiltIn_Print_Area_25_1">#REF!</definedName>
    <definedName name="Excel_BuiltIn_Print_Area_25_1_1">#REF!</definedName>
    <definedName name="Excel_BuiltIn_Print_Area_25_1_1_1">#REF!</definedName>
    <definedName name="Excel_BuiltIn_Print_Area_27_1">#REF!</definedName>
    <definedName name="Excel_BuiltIn_Print_Area_3_1">#REF!</definedName>
    <definedName name="Excel_BuiltIn_Print_Area_3_1_1">#REF!</definedName>
    <definedName name="Excel_BuiltIn_Print_Area_3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_1_1_1_1_1_1_1_1">#REF!</definedName>
    <definedName name="Excel_BuiltIn_Print_Area_4_1_1_1_1_1_1_1_1_1_1_1_1_1_1">#REF!</definedName>
    <definedName name="Excel_BuiltIn_Print_Area_4_1_1_1_1_1_1_1_1_1_1_1_1_1_1_1">#REF!</definedName>
    <definedName name="Excel_BuiltIn_Print_Area_4_1_1_1_1_1_1_1_1_1_1_1_1_1_1_1_1">#REF!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_1">#REF!</definedName>
    <definedName name="Excel_BuiltIn_Print_Area_5_1_1_1_1_1_1_1_1_1_1">#REF!</definedName>
    <definedName name="Excel_BuiltIn_Print_Area_5_1_1_1_1_1_1_1_1_1_1_1">#REF!</definedName>
    <definedName name="Excel_BuiltIn_Print_Area_5_1_1_1_1_1_1_1_1_1_1_1_1">#REF!</definedName>
    <definedName name="Excel_BuiltIn_Print_Area_5_1_1_1_1_1_1_1_1_1_1_1_1_1">#REF!</definedName>
    <definedName name="Excel_BuiltIn_Print_Area_5_1_1_1_1_1_1_1_1_1_1_1_1_1_1">#REF!</definedName>
    <definedName name="Excel_BuiltIn_Print_Area_5_1_1_1_1_1_1_1_1_1_1_1_1_1_1_1">#REF!</definedName>
    <definedName name="Excel_BuiltIn_Print_Area_5_1_1_1_1_1_1_1_1_1_1_1_1_1_1_1_1">#REF!</definedName>
    <definedName name="Excel_BuiltIn_Print_Area_6_1">#REF!</definedName>
    <definedName name="Excel_BuiltIn_Print_Area_6_1_1">#REF!</definedName>
    <definedName name="Excel_BuiltIn_Print_Area_6_1_1_1">#REF!</definedName>
    <definedName name="Excel_BuiltIn_Print_Area_6_1_1_1_1">#REF!</definedName>
    <definedName name="Excel_BuiltIn_Print_Area_6_1_1_1_1_1">#REF!</definedName>
    <definedName name="Excel_BuiltIn_Print_Area_6_1_1_1_1_1_1">#REF!</definedName>
    <definedName name="Excel_BuiltIn_Print_Area_6_1_1_1_1_1_1_1">#REF!</definedName>
    <definedName name="Excel_BuiltIn_Print_Area_6_1_1_1_1_1_1_1_1">#REF!</definedName>
    <definedName name="Excel_BuiltIn_Print_Area_6_1_1_1_1_1_1_1_1_1">#REF!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_1">#REF!</definedName>
    <definedName name="Excel_BuiltIn_Print_Area_7_1_1_1_1_1_1_1">#REF!</definedName>
    <definedName name="Excel_BuiltIn_Print_Area_7_1_1_1_1_1_1_1_1">#REF!</definedName>
    <definedName name="Excel_BuiltIn_Print_Area_7_1_1_1_1_1_1_1_1_1">#REF!</definedName>
    <definedName name="Excel_BuiltIn_Print_Area_7_1_1_1_1_1_1_1_1_1_1">#REF!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_1">#REF!</definedName>
    <definedName name="Excel_BuiltIn_Print_Area_8_1_1_1_1_1_1_1">#REF!</definedName>
    <definedName name="Excel_BuiltIn_Print_Area_8_1_1_1_1_1_1_1_1">#REF!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_1_1_1">#REF!</definedName>
    <definedName name="Excel_BuiltIn_Print_Area_9_1_1_1_1_1_1_1">#REF!</definedName>
    <definedName name="Excel_BuiltIn_Print_Titles_0">#REF!</definedName>
    <definedName name="Excel_BuiltIn_Print_Titles_1">#REF!</definedName>
    <definedName name="Excel_BuiltIn_Print_Titles_1_1">#REF!</definedName>
    <definedName name="Excel_BuiltIn_Print_Titles_1_1_1">#REF!</definedName>
    <definedName name="Excel_BuiltIn_Print_Titles_10">#REF!</definedName>
    <definedName name="Excel_BuiltIn_Print_Titles_10_1">#REF!</definedName>
    <definedName name="Excel_BuiltIn_Print_Titles_11">#REF!</definedName>
    <definedName name="Excel_BuiltIn_Print_Titles_11_1">#REF!</definedName>
    <definedName name="Excel_BuiltIn_Print_Titles_12_1">#REF!</definedName>
    <definedName name="Excel_BuiltIn_Print_Titles_12_1_1">#REF!</definedName>
    <definedName name="Excel_BuiltIn_Print_Titles_12_1_1_1">#REF!</definedName>
    <definedName name="Excel_BuiltIn_Print_Titles_13">#REF!</definedName>
    <definedName name="Excel_BuiltIn_Print_Titles_13_1">#REF!</definedName>
    <definedName name="Excel_BuiltIn_Print_Titles_14">#REF!</definedName>
    <definedName name="Excel_BuiltIn_Print_Titles_14_1">#REF!</definedName>
    <definedName name="Excel_BuiltIn_Print_Titles_15_1">#REF!</definedName>
    <definedName name="Excel_BuiltIn_Print_Titles_16">#REF!</definedName>
    <definedName name="Excel_BuiltIn_Print_Titles_16_1">#REF!</definedName>
    <definedName name="Excel_BuiltIn_Print_Titles_17">#REF!</definedName>
    <definedName name="Excel_BuiltIn_Print_Titles_17_1">#REF!</definedName>
    <definedName name="Excel_BuiltIn_Print_Titles_17_1_1">#REF!</definedName>
    <definedName name="Excel_BuiltIn_Print_Titles_18">#REF!</definedName>
    <definedName name="Excel_BuiltIn_Print_Titles_18_1">#REF!</definedName>
    <definedName name="Excel_BuiltIn_Print_Titles_18_1_1">#REF!</definedName>
    <definedName name="Excel_BuiltIn_Print_Titles_19_1">#REF!</definedName>
    <definedName name="Excel_BuiltIn_Print_Titles_2_1">#REF!</definedName>
    <definedName name="Excel_BuiltIn_Print_Titles_2_1_1">#REF!</definedName>
    <definedName name="Excel_BuiltIn_Print_Titles_20_1">#REF!</definedName>
    <definedName name="Excel_BuiltIn_Print_Titles_21_1">#REF!</definedName>
    <definedName name="Excel_BuiltIn_Print_Titles_22_1">#REF!</definedName>
    <definedName name="Excel_BuiltIn_Print_Titles_22_1_1">#REF!</definedName>
    <definedName name="Excel_BuiltIn_Print_Titles_23_1">#REF!</definedName>
    <definedName name="Excel_BuiltIn_Print_Titles_23_1_1">#REF!</definedName>
    <definedName name="Excel_BuiltIn_Print_Titles_24_1">#REF!</definedName>
    <definedName name="Excel_BuiltIn_Print_Titles_24_1_1">#REF!</definedName>
    <definedName name="Excel_BuiltIn_Print_Titles_25_1">#REF!</definedName>
    <definedName name="Excel_BuiltIn_Print_Titles_26_1">#REF!</definedName>
    <definedName name="Excel_BuiltIn_Print_Titles_27_1">#REF!</definedName>
    <definedName name="Excel_BuiltIn_Print_Titles_3_1">#REF!</definedName>
    <definedName name="Excel_BuiltIn_Print_Titles_3_1_1">#REF!</definedName>
    <definedName name="Excel_BuiltIn_Print_Titles_3_1_1_1_1">#REF!</definedName>
    <definedName name="Excel_BuiltIn_Print_Titles_3_1_1_1_1_1">#REF!</definedName>
    <definedName name="Excel_BuiltIn_Print_Titles_3_1_1_1_1_1_1">#REF!</definedName>
    <definedName name="Excel_BuiltIn_Print_Titles_4_1">#REF!</definedName>
    <definedName name="Excel_BuiltIn_Print_Titles_4_1_1">#REF!</definedName>
    <definedName name="Excel_BuiltIn_Print_Titles_4_1_1_1">#REF!</definedName>
    <definedName name="Excel_BuiltIn_Print_Titles_4_1_1_1_1">#REF!</definedName>
    <definedName name="Excel_BuiltIn_Print_Titles_5_1">#REF!</definedName>
    <definedName name="Excel_BuiltIn_Print_Titles_5_1_1">#REF!</definedName>
    <definedName name="Excel_BuiltIn_Print_Titles_5_1_1_1">#REF!</definedName>
    <definedName name="Excel_BuiltIn_Print_Titles_6_1">#REF!</definedName>
    <definedName name="Excel_BuiltIn_Print_Titles_7_1">#REF!</definedName>
    <definedName name="Excel_BuiltIn_Print_Titles_7_1_1">#REF!</definedName>
    <definedName name="Excel_BuiltIn_Print_Titles_8_1">#REF!</definedName>
    <definedName name="Excel_BuiltIn_Print_Titles_9_1">#REF!</definedName>
    <definedName name="Export_Packing">[25]Totals!$U$10</definedName>
    <definedName name="Extra_Pay">#REF!</definedName>
    <definedName name="f">'[22]SH-F'!$C$1:$G$600</definedName>
    <definedName name="f___0">#REF!</definedName>
    <definedName name="fa">#REF!</definedName>
    <definedName name="FACTOR">#REF!</definedName>
    <definedName name="FEED">#REF!</definedName>
    <definedName name="FF">#REF!</definedName>
    <definedName name="FFFFFF">#REF!</definedName>
    <definedName name="fgff" hidden="1">{#N/A,#N/A,TRUE,"SUM";#N/A,#N/A,TRUE,"EE";#N/A,#N/A,TRUE,"AC";#N/A,#N/A,TRUE,"SN"}</definedName>
    <definedName name="fgh">#REF!</definedName>
    <definedName name="FILL">#REF!</definedName>
    <definedName name="footing">#REF!</definedName>
    <definedName name="Formula">#REF!</definedName>
    <definedName name="FP">'[1]COAT&amp;WRAP-QIOT-#3'!#REF!</definedName>
    <definedName name="fsdaf">#REF!</definedName>
    <definedName name="Full_Print">#REF!</definedName>
    <definedName name="g">'[22]SH-G'!$C$1:$G$600</definedName>
    <definedName name="G_A">#REF!</definedName>
    <definedName name="gcm">'[33]gia vt,nc,may'!$H$7:$I$17</definedName>
    <definedName name="GEN">#REF!</definedName>
    <definedName name="ggg" hidden="1">{"'Sheet1'!$E$7:$O$12"}</definedName>
    <definedName name="GGGG">'[34]1(分品种)'!#REF!</definedName>
    <definedName name="GGGGG">#REF!</definedName>
    <definedName name="gnc">'[33]gia vt,nc,may'!$E$7:$F$12</definedName>
    <definedName name="gvt">'[33]gia vt,nc,may'!$B$7:$C$159</definedName>
    <definedName name="hd">#REF!</definedName>
    <definedName name="Header_Row">ROW(#REF!)</definedName>
    <definedName name="HHH">#REF!</definedName>
    <definedName name="HHHHHH">#REF!</definedName>
    <definedName name="hi" hidden="1">{#N/A,#N/A,TRUE,"SUM";#N/A,#N/A,TRUE,"EE";#N/A,#N/A,TRUE,"AC";#N/A,#N/A,TRUE,"SN"}</definedName>
    <definedName name="HKDBUD">#REF!</definedName>
    <definedName name="HKDFOR">#REF!</definedName>
    <definedName name="hn">#REF!</definedName>
    <definedName name="hs">#REF!</definedName>
    <definedName name="HTML_CodePage" hidden="1">874</definedName>
    <definedName name="HTML_Control" hidden="1">{"'SUMMATION'!$B$2:$I$2"}</definedName>
    <definedName name="HTML_Description" hidden="1">""</definedName>
    <definedName name="HTML_Email" hidden="1">""</definedName>
    <definedName name="HTML_Header" hidden="1">"SUMMATION"</definedName>
    <definedName name="HTML_LastUpdate" hidden="1">"21/3/02"</definedName>
    <definedName name="HTML_LineAfter" hidden="1">FALSE</definedName>
    <definedName name="HTML_LineBefore" hidden="1">FALSE</definedName>
    <definedName name="HTML_Name" hidden="1">"Estimate_5"</definedName>
    <definedName name="HTML_OBDlg2" hidden="1">TRUE</definedName>
    <definedName name="HTML_OBDlg4" hidden="1">TRUE</definedName>
    <definedName name="HTML_OS" hidden="1">0</definedName>
    <definedName name="HTML_PathFile" hidden="1">"C:\SAni.htm"</definedName>
    <definedName name="HTML_Title" hidden="1">"อาคารเรียนรวม"</definedName>
    <definedName name="hu">#REF!</definedName>
    <definedName name="i">[25]Totals!$X$5</definedName>
    <definedName name="ID">#REF!</definedName>
    <definedName name="ie">#REF!</definedName>
    <definedName name="ie___0">#REF!</definedName>
    <definedName name="if">'[35]44.CPF CS'!#REF!</definedName>
    <definedName name="IndOpt1">#REF!</definedName>
    <definedName name="IndOpt2">#REF!</definedName>
    <definedName name="IndOpt3">#REF!</definedName>
    <definedName name="IndOpt4">#REF!</definedName>
    <definedName name="INLAND">[25]Totals!$W$23</definedName>
    <definedName name="Int">#REF!</definedName>
    <definedName name="Interest_Rate">#REF!</definedName>
    <definedName name="IO">'[1]COAT&amp;WRAP-QIOT-#3'!#REF!</definedName>
    <definedName name="iuhip">[36]Totals!$U$19</definedName>
    <definedName name="j">#REF!</definedName>
    <definedName name="jgbd">#REF!</definedName>
    <definedName name="jgbdfx">[23]Sheet5!$A$1:$M$83</definedName>
    <definedName name="jj">#REF!,#REF!,#REF!,#REF!,#REF!,#REF!,#REF!,#REF!,#REF!,#REF!,#REF!,#REF!</definedName>
    <definedName name="jjbdfx">[23]Sheet5!$A$1:$I$83</definedName>
    <definedName name="jjc">#REF!</definedName>
    <definedName name="jjcb">#REF!</definedName>
    <definedName name="jjj">#REF!</definedName>
    <definedName name="k">[37]Totals!$U$30</definedName>
    <definedName name="KOUNT">#REF!</definedName>
    <definedName name="L">#REF!</definedName>
    <definedName name="l___0">#REF!</definedName>
    <definedName name="L_UNIT">#REF!</definedName>
    <definedName name="lady">"Picture 223"</definedName>
    <definedName name="Last_Row">NA()</definedName>
    <definedName name="Last_Row___0">NA()</definedName>
    <definedName name="Last_Row___10">NA()</definedName>
    <definedName name="Last_Row___2">NA()</definedName>
    <definedName name="Last_Row___3">NA()</definedName>
    <definedName name="Last_Row___4">NA()</definedName>
    <definedName name="Last_Row___5">NA()</definedName>
    <definedName name="Last_Row___6">NA()</definedName>
    <definedName name="Last_Row___7">NA()</definedName>
    <definedName name="Last_Row___8">NA()</definedName>
    <definedName name="Last_Row___9">NA()</definedName>
    <definedName name="LATERAL" hidden="1">{"'Sheet1'!$E$7:$O$12"}</definedName>
    <definedName name="leiji">#REF!</definedName>
    <definedName name="ljjy">[23]Sheet2!$A$88:$S$169</definedName>
    <definedName name="ljjy_">[23]Sheet2!$A$91:$S$167</definedName>
    <definedName name="ljml">#REF!</definedName>
    <definedName name="lll">#REF!,#REF!,#REF!,#REF!,#REF!,#REF!,#REF!,#REF!,#REF!,#REF!,#REF!,#REF!</definedName>
    <definedName name="Loan_Amount">#REF!</definedName>
    <definedName name="Loan_Start">#REF!</definedName>
    <definedName name="Loan_Years">#REF!</definedName>
    <definedName name="looj">DATE(YEAR(Loan_Start),MONTH(Loan_Start)+Number_of_Payments___8,DAY(Loan_Start))</definedName>
    <definedName name="LTL">[25]Totals!$AA$2</definedName>
    <definedName name="LYXG">#REF!</definedName>
    <definedName name="m">#REF!,#REF!,#REF!,#REF!,#REF!,#REF!,#REF!,#REF!,#REF!,#REF!,#REF!,#REF!</definedName>
    <definedName name="M__PGUP_7__U_._">#N/A</definedName>
    <definedName name="M_UNIT">#REF!</definedName>
    <definedName name="MAIN_MENU">#REF!</definedName>
    <definedName name="Mastervarer">[38]Masterpricelist!$A$5:$E$7459</definedName>
    <definedName name="MAT">'[1]COAT&amp;WRAP-QIOT-#3'!#REF!</definedName>
    <definedName name="Matt_C">'[24]Main Summary'!$E$3</definedName>
    <definedName name="MATV">[26]boq!#REF!</definedName>
    <definedName name="MATV1">[26]boq!#REF!</definedName>
    <definedName name="mechanicla">#REF!</definedName>
    <definedName name="Meinhardt__Thailand__Ltd.">#REF!</definedName>
    <definedName name="Meinhardt__Thailand__Ltd.___0">#REF!</definedName>
    <definedName name="MF">'[1]COAT&amp;WRAP-QIOT-#3'!#REF!</definedName>
    <definedName name="MFT">#REF!</definedName>
    <definedName name="mlbdfx">#REF!</definedName>
    <definedName name="mlbdfx_">[23]Sheet11!$A$4:$U$72</definedName>
    <definedName name="mlbdfx1">#REF!</definedName>
    <definedName name="mldbfx1">#REF!</definedName>
    <definedName name="mlfx">#REF!</definedName>
    <definedName name="mm">#REF!</definedName>
    <definedName name="mmmmmmmmmm">#REF!</definedName>
    <definedName name="month">#REF!</definedName>
    <definedName name="MP">#REF!</definedName>
    <definedName name="name">#REF!</definedName>
    <definedName name="name5">#REF!</definedName>
    <definedName name="name6">#REF!</definedName>
    <definedName name="nameq">#REF!</definedName>
    <definedName name="NEW">[39]Totals!$U$28</definedName>
    <definedName name="no.3">#REF!</definedName>
    <definedName name="non_active">#REF!</definedName>
    <definedName name="Num_Pmt_Per_Year">#REF!</definedName>
    <definedName name="NUMBER">#REF!</definedName>
    <definedName name="Number_of_Payments">#N/A</definedName>
    <definedName name="Number_of_Payments___0">#N/A</definedName>
    <definedName name="Number_of_Payments___10">#N/A</definedName>
    <definedName name="Number_of_Payments___2">#N/A</definedName>
    <definedName name="Number_of_Payments___3">#N/A</definedName>
    <definedName name="Number_of_Payments___4">#N/A</definedName>
    <definedName name="Number_of_Payments___5">#N/A</definedName>
    <definedName name="Number_of_Payments___6">#N/A</definedName>
    <definedName name="Number_of_Payments___7">#N/A</definedName>
    <definedName name="Number_of_Payments___8">MATCH(0.01,End_Bal,-1)+1</definedName>
    <definedName name="Number_of_Payments___9">#N/A</definedName>
    <definedName name="O">#REF!</definedName>
    <definedName name="OCEAN">[25]Totals!$W$25</definedName>
    <definedName name="oo">#REF!</definedName>
    <definedName name="ooo">#REF!</definedName>
    <definedName name="oooo">OFFSET(Full_Print,0,0,Last_Row___10)</definedName>
    <definedName name="Order">#REF!</definedName>
    <definedName name="Out">#REF!</definedName>
    <definedName name="outsider">#REF!</definedName>
    <definedName name="P">#REF!</definedName>
    <definedName name="P_L_MENU">#REF!</definedName>
    <definedName name="page1">#REF!</definedName>
    <definedName name="page2">#REF!</definedName>
    <definedName name="page3">#REF!</definedName>
    <definedName name="page5">#REF!</definedName>
    <definedName name="page6">#REF!</definedName>
    <definedName name="page7">#REF!</definedName>
    <definedName name="page8">#REF!</definedName>
    <definedName name="pagea">#REF!</definedName>
    <definedName name="pageb">#REF!</definedName>
    <definedName name="pagec">#REF!</definedName>
    <definedName name="PART">#REF!</definedName>
    <definedName name="Pay_Date">#REF!</definedName>
    <definedName name="Pay_Num">#REF!</definedName>
    <definedName name="Payment_Date">#N/A</definedName>
    <definedName name="Payment_Date___0">#N/A</definedName>
    <definedName name="Payment_Date___10">#N/A</definedName>
    <definedName name="Payment_Date___2">#N/A</definedName>
    <definedName name="Payment_Date___3">#N/A</definedName>
    <definedName name="Payment_Date___4">#N/A</definedName>
    <definedName name="Payment_Date___5">#N/A</definedName>
    <definedName name="Payment_Date___6">#N/A</definedName>
    <definedName name="Payment_Date___7">#N/A</definedName>
    <definedName name="Payment_Date___8">#N/A</definedName>
    <definedName name="Payment_Date___9">#N/A</definedName>
    <definedName name="PEJM">'[1]COAT&amp;WRAP-QIOT-#3'!#REF!</definedName>
    <definedName name="PF">'[1]PNT-QUOT-#3'!#REF!</definedName>
    <definedName name="PM">[40]IBASE!$AH$16:$AV$110</definedName>
    <definedName name="Por">[39]Totals!$U$3</definedName>
    <definedName name="Port">[25]Totals!$U$3</definedName>
    <definedName name="PP">#REF!</definedName>
    <definedName name="Princ">#REF!</definedName>
    <definedName name="PRINT">#REF!</definedName>
    <definedName name="_xlnm.Print_Area" localSheetId="1">'Detail '!$A$1:$J$144</definedName>
    <definedName name="_xlnm.Print_Area" localSheetId="0">SUM!$A$1:$H$34</definedName>
    <definedName name="_xlnm.Print_Area">#REF!</definedName>
    <definedName name="Print_Area_MI">#REF!</definedName>
    <definedName name="Print_Area_MI___0">#REF!</definedName>
    <definedName name="Print_Area_MI___4">#REF!</definedName>
    <definedName name="Print_Area_Reset">#N/A</definedName>
    <definedName name="Print_Area_Reset___0">#N/A</definedName>
    <definedName name="Print_Area_Reset___10">#N/A</definedName>
    <definedName name="Print_Area_Reset___2">#N/A</definedName>
    <definedName name="Print_Area_Reset___3">#N/A</definedName>
    <definedName name="Print_Area_Reset___4">#N/A</definedName>
    <definedName name="Print_Area_Reset___5">#N/A</definedName>
    <definedName name="Print_Area_Reset___6">#N/A</definedName>
    <definedName name="Print_Area_Reset___7">#N/A</definedName>
    <definedName name="Print_Area_Reset___8">#N/A</definedName>
    <definedName name="Print_Area_Reset___9">#N/A</definedName>
    <definedName name="Print_Area1">#REF!</definedName>
    <definedName name="Print_Area2">#REF!</definedName>
    <definedName name="Print_Area3">#REF!</definedName>
    <definedName name="Print_Area31">#REF!</definedName>
    <definedName name="Print_Area310">#REF!</definedName>
    <definedName name="Print_Area311">#REF!</definedName>
    <definedName name="Print_Area312">#REF!</definedName>
    <definedName name="Print_Area313">#REF!</definedName>
    <definedName name="Print_Area314">#REF!</definedName>
    <definedName name="Print_Area315">#REF!</definedName>
    <definedName name="Print_Area316">#REF!</definedName>
    <definedName name="Print_Area317">#REF!</definedName>
    <definedName name="Print_Area318">#REF!</definedName>
    <definedName name="Print_Area319">#REF!</definedName>
    <definedName name="Print_Area32">#REF!</definedName>
    <definedName name="Print_Area320">#REF!</definedName>
    <definedName name="Print_Area321">#REF!</definedName>
    <definedName name="Print_Area322">#REF!</definedName>
    <definedName name="Print_Area323">#REF!</definedName>
    <definedName name="Print_Area324">#REF!</definedName>
    <definedName name="Print_Area325">#REF!</definedName>
    <definedName name="Print_Area326">#REF!</definedName>
    <definedName name="Print_Area327">#REF!</definedName>
    <definedName name="Print_Area328">#REF!</definedName>
    <definedName name="Print_Area329">#REF!</definedName>
    <definedName name="Print_Area33">#REF!</definedName>
    <definedName name="Print_Area330">#REF!</definedName>
    <definedName name="Print_Area331">#REF!</definedName>
    <definedName name="Print_Area332">#REF!</definedName>
    <definedName name="Print_Area333">#REF!</definedName>
    <definedName name="Print_Area334">#REF!</definedName>
    <definedName name="Print_Area335">#REF!</definedName>
    <definedName name="Print_Area336">#REF!</definedName>
    <definedName name="Print_Area337">#REF!</definedName>
    <definedName name="Print_Area338">#REF!</definedName>
    <definedName name="Print_Area339">#REF!</definedName>
    <definedName name="Print_Area34">#REF!</definedName>
    <definedName name="Print_Area340">#REF!</definedName>
    <definedName name="Print_Area341">#REF!</definedName>
    <definedName name="Print_Area342">#REF!</definedName>
    <definedName name="Print_Area343">#REF!</definedName>
    <definedName name="Print_Area344">#REF!</definedName>
    <definedName name="Print_Area345">#REF!</definedName>
    <definedName name="Print_Area346">#REF!</definedName>
    <definedName name="Print_Area347">#REF!</definedName>
    <definedName name="Print_Area348">#REF!</definedName>
    <definedName name="Print_Area349">#REF!</definedName>
    <definedName name="Print_Area35">#REF!</definedName>
    <definedName name="Print_Area350">#REF!</definedName>
    <definedName name="Print_Area351">#REF!</definedName>
    <definedName name="Print_Area352">#REF!</definedName>
    <definedName name="Print_Area353">#REF!</definedName>
    <definedName name="Print_Area354">#REF!</definedName>
    <definedName name="Print_Area355">#REF!</definedName>
    <definedName name="Print_Area356">#REF!</definedName>
    <definedName name="Print_Area357">#REF!</definedName>
    <definedName name="Print_Area358">#REF!</definedName>
    <definedName name="Print_Area359">#REF!</definedName>
    <definedName name="Print_Area36">#REF!</definedName>
    <definedName name="Print_Area360">#REF!</definedName>
    <definedName name="Print_Area361">#REF!</definedName>
    <definedName name="Print_Area362">#REF!</definedName>
    <definedName name="Print_Area37">#REF!</definedName>
    <definedName name="Print_Area38">#REF!</definedName>
    <definedName name="Print_Area39">#REF!</definedName>
    <definedName name="PRINT_MENU">#REF!</definedName>
    <definedName name="_xlnm.Print_Titles" localSheetId="1">'Detail '!$4:$9</definedName>
    <definedName name="_xlnm.Print_Titles">#REF!</definedName>
    <definedName name="PRINT_TITLES_MI">#REF!</definedName>
    <definedName name="Print_Titles_MI___4">#REF!</definedName>
    <definedName name="PROJECT_NAME____Capsugel_Relocation_Project">#REF!</definedName>
    <definedName name="PROJECT_NAME____Capsugel_Relocation_Project___0">#REF!</definedName>
    <definedName name="ProjNo.">#REF!</definedName>
    <definedName name="province">OFFSET('[20]AGRO-DATA'!$E$10,0,0,COUNTA('[20]AGRO-DATA'!$E:$E)-1)</definedName>
    <definedName name="province1">OFFSET(#REF!,0,0,COUNTA(#REF!))</definedName>
    <definedName name="PRT.GM_MENU">#REF!</definedName>
    <definedName name="PRT.P_L_MENU">#REF!</definedName>
    <definedName name="PYLM">'[27]LM-COST'!$M$2:$N$120</definedName>
    <definedName name="Q">#REF!</definedName>
    <definedName name="q_ty">#REF!</definedName>
    <definedName name="QQQ">#REF!</definedName>
    <definedName name="qqqq">#REF!</definedName>
    <definedName name="QQQQQ">#REF!</definedName>
    <definedName name="qswqww2">#REF!</definedName>
    <definedName name="qty">#REF!</definedName>
    <definedName name="qty___0">#REF!</definedName>
    <definedName name="R_UNIT">#REF!</definedName>
    <definedName name="_xlnm.Recorder">#REF!</definedName>
    <definedName name="resource">'[41]Bill No. 2 - Carpark'!$A$1:$C$97</definedName>
    <definedName name="ResPricing">#REF!</definedName>
    <definedName name="Rf">#REF!</definedName>
    <definedName name="RM_Range">#REF!</definedName>
    <definedName name="RM_Table">#REF!</definedName>
    <definedName name="RNAME">#REF!</definedName>
    <definedName name="ROUND">#REF!</definedName>
    <definedName name="rr">#REF!</definedName>
    <definedName name="RT">'[1]COAT&amp;WRAP-QIOT-#3'!#REF!</definedName>
    <definedName name="S">#REF!</definedName>
    <definedName name="s___0">#REF!</definedName>
    <definedName name="S_D_S_D___D__AP">#N/A</definedName>
    <definedName name="sa" hidden="1">{#N/A,#N/A,TRUE,"Str.";#N/A,#N/A,TRUE,"Steel &amp; Roof";#N/A,#N/A,TRUE,"Arc.";#N/A,#N/A,TRUE,"Preliminary";#N/A,#N/A,TRUE,"Sum_Prelim"}</definedName>
    <definedName name="SALE">#REF!</definedName>
    <definedName name="SAM">#REF!</definedName>
    <definedName name="SAVE">#REF!</definedName>
    <definedName name="SB">#REF!</definedName>
    <definedName name="SC">#REF!</definedName>
    <definedName name="sccbbd">[23]Sheet10!$A$1:$M$83</definedName>
    <definedName name="SCCR">#REF!</definedName>
    <definedName name="SCDT">#REF!</definedName>
    <definedName name="Sched_Pay">#REF!</definedName>
    <definedName name="Scheduled_Extra_Payments">#REF!</definedName>
    <definedName name="Scheduled_Interest_Rate">#REF!</definedName>
    <definedName name="Scheduled_Monthly_Payment">#REF!</definedName>
    <definedName name="sd">#REF!,#REF!,#REF!,#REF!,#REF!,#REF!,#REF!,#REF!,#REF!,#REF!,#REF!,#REF!</definedName>
    <definedName name="sdssddf">[42]extruder!#REF!</definedName>
    <definedName name="SE">#REF!</definedName>
    <definedName name="sf">#REF!</definedName>
    <definedName name="SGGG">#REF!</definedName>
    <definedName name="SHARE_MENU">#REF!</definedName>
    <definedName name="SHEETH">#REF!</definedName>
    <definedName name="SheetList">#REF!</definedName>
    <definedName name="sheetNO">[43]sheetNO!$A$1:$C$6</definedName>
    <definedName name="shippin">[39]Totals!$U$27</definedName>
    <definedName name="Shipping">[25]Totals!$U$27</definedName>
    <definedName name="shjh">#REF!</definedName>
    <definedName name="shui">#REF!</definedName>
    <definedName name="SKLM">'[27]LM-COST'!$A$2:$B$120</definedName>
    <definedName name="SL">#REF!</definedName>
    <definedName name="slab">#REF!</definedName>
    <definedName name="slablayer1">#REF!</definedName>
    <definedName name="SN">#REF!</definedName>
    <definedName name="SORT">#REF!</definedName>
    <definedName name="SORT_AREA">'[44]DI-ESTI'!$A$8:$R$489</definedName>
    <definedName name="SORTALL">#REF!</definedName>
    <definedName name="SP">'[1]PNT-QUOT-#3'!#REF!</definedName>
    <definedName name="ss">NA()</definedName>
    <definedName name="ss___0">NA()</definedName>
    <definedName name="ss___10">NA()</definedName>
    <definedName name="ss___2">NA()</definedName>
    <definedName name="ss___3">NA()</definedName>
    <definedName name="ss___4">NA()</definedName>
    <definedName name="ss___5">NA()</definedName>
    <definedName name="ss___6">NA()</definedName>
    <definedName name="ss___7">NA()</definedName>
    <definedName name="ss___8">NA()</definedName>
    <definedName name="ss___9">NA()</definedName>
    <definedName name="sss">#REF!</definedName>
    <definedName name="START2">#REF!</definedName>
    <definedName name="STARTUP">#REF!</definedName>
    <definedName name="startup1">#REF!</definedName>
    <definedName name="STLM">'[27]LM-COST'!$G$2:$H$120</definedName>
    <definedName name="str">#REF!</definedName>
    <definedName name="Summary">#REF!</definedName>
    <definedName name="Sumprice">#REF!</definedName>
    <definedName name="sunyi0128">#REF!</definedName>
    <definedName name="SUPP">#REF!</definedName>
    <definedName name="t">[25]Totals!$X$7</definedName>
    <definedName name="T.">#N/A</definedName>
    <definedName name="T_">#N/A</definedName>
    <definedName name="tax">0.07</definedName>
    <definedName name="Tcontainer20">[25]Totals!$V$19</definedName>
    <definedName name="Tcontainer40">[25]Totals!$U$19</definedName>
    <definedName name="Termite">'[24]Main Summary'!$F$2</definedName>
    <definedName name="TEST">#REF!</definedName>
    <definedName name="text">[45]存货汇总表10!#REF!</definedName>
    <definedName name="TextRefCopy2">#REF!</definedName>
    <definedName name="TextRefCopy3">[46]存货汇总表10!#REF!</definedName>
    <definedName name="TextRefCopy5">#REF!</definedName>
    <definedName name="TextRefCopy6">#REF!</definedName>
    <definedName name="TextRefCopyRangeCount" hidden="1">8</definedName>
    <definedName name="THK">'[1]COAT&amp;WRAP-QIOT-#3'!#REF!</definedName>
    <definedName name="TL">#REF!</definedName>
    <definedName name="TLH">'[47]SH-E'!$C$1:$G$600</definedName>
    <definedName name="TN">#REF!</definedName>
    <definedName name="TOTAL">#REF!</definedName>
    <definedName name="Total_Interest">#REF!</definedName>
    <definedName name="total_lab">#REF!</definedName>
    <definedName name="total_mat">#REF!</definedName>
    <definedName name="Total_Pay">#REF!</definedName>
    <definedName name="Total_Payment">NA()</definedName>
    <definedName name="Total_Payment___0">NA()</definedName>
    <definedName name="Total_Payment___10">NA()</definedName>
    <definedName name="Total_Payment___2">NA()</definedName>
    <definedName name="Total_Payment___3">NA()</definedName>
    <definedName name="Total_Payment___4">NA()</definedName>
    <definedName name="Total_Payment___5">NA()</definedName>
    <definedName name="Total_Payment___6">NA()</definedName>
    <definedName name="Total_Payment___7">NA()</definedName>
    <definedName name="Total_Payment___8">NA()</definedName>
    <definedName name="Total_Payment___9">NA()</definedName>
    <definedName name="Total_Weight">#REF!</definedName>
    <definedName name="Total3">#REF!</definedName>
    <definedName name="TOTBUD">#REF!</definedName>
    <definedName name="TOTFOR">#REF!</definedName>
    <definedName name="tr___allocation">#REF!</definedName>
    <definedName name="tr_profit_centre">#REF!</definedName>
    <definedName name="TTTT">'[48]FFGM06-1'!#REF!</definedName>
    <definedName name="U">#REF!</definedName>
    <definedName name="U_lab">#REF!</definedName>
    <definedName name="U_mat">#REF!</definedName>
    <definedName name="unit_lab">#REF!</definedName>
    <definedName name="unit_lab___0">#REF!</definedName>
    <definedName name="unit_mat">#REF!</definedName>
    <definedName name="unit_mat___0">#REF!</definedName>
    <definedName name="unit_total">#REF!</definedName>
    <definedName name="unit_total___0">#REF!</definedName>
    <definedName name="usc">#REF!</definedName>
    <definedName name="use">#REF!</definedName>
    <definedName name="V1LT">[25]FInput!$B$9</definedName>
    <definedName name="V2LT">[25]FInput!$B$10</definedName>
    <definedName name="V3LT">[25]FInput!$B$11</definedName>
    <definedName name="V4LT">[25]FInput!$B$12</definedName>
    <definedName name="Values_Entered">#N/A</definedName>
    <definedName name="Values_Entered___0">#N/A</definedName>
    <definedName name="Values_Entered___10">#N/A</definedName>
    <definedName name="Values_Entered___2">#N/A</definedName>
    <definedName name="Values_Entered___3">#N/A</definedName>
    <definedName name="Values_Entered___4">#N/A</definedName>
    <definedName name="Values_Entered___5">#N/A</definedName>
    <definedName name="Values_Entered___6">#N/A</definedName>
    <definedName name="Values_Entered___7">#N/A</definedName>
    <definedName name="Values_Entered___8">#N/A</definedName>
    <definedName name="Values_Entered___9">#N/A</definedName>
    <definedName name="VAR">#REF!</definedName>
    <definedName name="Vendor_1_Lead_time">[25]Totals!$U$29</definedName>
    <definedName name="Vendor_2_Lead_time">[25]Totals!$U$30</definedName>
    <definedName name="Vendor_3_Lead_time">[25]Totals!$U$31</definedName>
    <definedName name="Vendor_4_Lead_time">[25]Totals!$U$32</definedName>
    <definedName name="VOLUME">[25]Totals!$U$11</definedName>
    <definedName name="W">#REF!</definedName>
    <definedName name="we">#REF!</definedName>
    <definedName name="wed" hidden="1">{"'Sheet1'!$E$7:$O$12"}</definedName>
    <definedName name="wert" hidden="1">{"Input_Fin",#N/A,FALSE,"By Code";"Input_Opt",#N/A,FALSE,"By Code"}</definedName>
    <definedName name="WORKSHOP">{"Thuxm2.xls","Sheet1"}</definedName>
    <definedName name="wq">#REF!</definedName>
    <definedName name="wrn.A." hidden="1">{#N/A,#N/A,TRUE,"SUM";#N/A,#N/A,TRUE,"EE";#N/A,#N/A,TRUE,"AC";#N/A,#N/A,TRUE,"SN"}</definedName>
    <definedName name="wrn.BILLS._.OF._.QUANTITY." hidden="1">{#N/A,#N/A,TRUE,"Str.";#N/A,#N/A,TRUE,"Steel &amp; Roof";#N/A,#N/A,TRUE,"Arc.";#N/A,#N/A,TRUE,"Preliminary";#N/A,#N/A,TRUE,"Sum_Prelim"}</definedName>
    <definedName name="wrn.BOOK11." hidden="1">{"SUM",#N/A,FALSE,"summary";"BOOK11-1",#N/A,FALSE,"1CityGarden";"BOOK11-2",#N/A,FALSE,"2CountryGarden";"BOOK11-3",#N/A,FALSE,"3JUNGLE";"BOOK11-4CIVIL",#N/A,FALSE,"CIVIL"}</definedName>
    <definedName name="wrn.Boq_summary." hidden="1">{#N/A,#N/A,FALSE,"Sum_BOQ";#N/A,#N/A,FALSE,"Preliminary";#N/A,#N/A,FALSE,"Sum_Prelim";#N/A,#N/A,FALSE,"Prime Cost&amp;Prov_sum"}</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Input._.Data." hidden="1">{"Input_Fin",#N/A,FALSE,"By Code";"Input_Opt",#N/A,FALSE,"By Code"}</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u">OFFSET('[49]AGRO-DATA'!$D$10,0,0,COUNTA('[49]AGRO-DATA'!$D:$D)-1)</definedName>
    <definedName name="ww">#REF!</definedName>
    <definedName name="www">#REF!</definedName>
    <definedName name="wwww" hidden="1">{"Input_Fin",#N/A,FALSE,"By Code";"Input_Opt",#N/A,FALSE,"By Code"}</definedName>
    <definedName name="wwwww">#REF!</definedName>
    <definedName name="x" hidden="1">{"'SUMMATION'!$B$2:$I$2"}</definedName>
    <definedName name="xiaolongmoaji">#REF!,#REF!,#REF!,#REF!,#REF!,#REF!,#REF!,#REF!,#REF!,#REF!,#REF!,#REF!</definedName>
    <definedName name="xl">#REF!,#REF!,#REF!,#REF!,#REF!,#REF!,#REF!,#REF!,#REF!,#REF!,#REF!,#REF!</definedName>
    <definedName name="xlb">[23]Sheet12!$A$1:$N$61</definedName>
    <definedName name="xscbbd">[23]Sheet10!$P$1:$X$82</definedName>
    <definedName name="xx">#REF!</definedName>
    <definedName name="xxx">[23]Sheet6!$A$1:$M$19</definedName>
    <definedName name="XXXX">#REF!</definedName>
    <definedName name="Y_BIGRIGHT_4___">#N/A</definedName>
    <definedName name="YD">#REF!</definedName>
    <definedName name="ydjy">[23]Sheet2!$A$2:$S$83</definedName>
    <definedName name="ydjy_">[23]Sheet2!$A$5:$S$81</definedName>
    <definedName name="ydml">#REF!</definedName>
    <definedName name="z">'[22]SH-C'!$C$1:$G$600</definedName>
    <definedName name="ZHLM">'[27]LM-COST'!$D$2:$E$120</definedName>
    <definedName name="ziyang">#REF!,#REF!,#REF!,#REF!,#REF!,#REF!,#REF!,#REF!,#REF!,#REF!,#REF!,#REF!</definedName>
    <definedName name="zsb">#REF!</definedName>
    <definedName name="ZX">"椭圆 3"</definedName>
    <definedName name="zxb">[17]Sheet7!#REF!</definedName>
    <definedName name="ZYX">#REF!</definedName>
    <definedName name="zz">#REF!</definedName>
    <definedName name="ZZZ">#REF!</definedName>
    <definedName name="ก">'[50]SH-D'!$C$1:$G$531</definedName>
    <definedName name="กฟ6">#REF!</definedName>
    <definedName name="กราวน์">[26]boq!#REF!</definedName>
    <definedName name="ขนไม้">[15]วัดใต้!#REF!</definedName>
    <definedName name="โครงการ">#REF!</definedName>
    <definedName name="งานถนน" hidden="1">{#N/A,#N/A,TRUE,"SUM";#N/A,#N/A,TRUE,"EE";#N/A,#N/A,TRUE,"AC";#N/A,#N/A,TRUE,"SN"}</definedName>
    <definedName name="งานโฮมโปร">#REF!</definedName>
    <definedName name="จำนวนเงิน__บาท">#REF!</definedName>
    <definedName name="เตรียมการ">#REF!</definedName>
    <definedName name="บันทัด">#REF!</definedName>
    <definedName name="แบบบ้าน">[51]Store!$A$3:$D$11</definedName>
    <definedName name="ปก32" hidden="1">{"'SUMMATION'!$B$2:$I$2"}</definedName>
    <definedName name="พี">[42]extruder!#REF!</definedName>
    <definedName name="ฟ">'[52]SH-A'!$C$1:$G$600</definedName>
    <definedName name="ฟ1">#REF!</definedName>
    <definedName name="ฟ3">#REF!</definedName>
    <definedName name="ฟ30">#REF!</definedName>
    <definedName name="ฟ48">#REF!</definedName>
    <definedName name="ฟฟ">[18]extruder!#REF!</definedName>
    <definedName name="ฟภุ">'[53]ประมาณการประตูหน้าต่าง '!#REF!</definedName>
    <definedName name="ฟห">'[54]SH-F'!$C$1:$G$600</definedName>
    <definedName name="ฟๅ">#REF!</definedName>
    <definedName name="ภาพและเสียง">[26]boq!#REF!</definedName>
    <definedName name="ยย">[18]extruder!#REF!</definedName>
    <definedName name="ฤ">#REF!</definedName>
    <definedName name="สถาปัตยกรรม">#REF!</definedName>
    <definedName name="สรุปทั้งหมด">#REF!</definedName>
    <definedName name="สรุปรวมงานระบบทั้งหมด">'[16]SH-A'!$C$1:$G$600</definedName>
    <definedName name="สิริ">"$"</definedName>
    <definedName name="แสง">[26]boq!#REF!</definedName>
    <definedName name="แสงสว่างห้องประชุม">[26]boq!#REF!</definedName>
    <definedName name="ห418">#REF!</definedName>
    <definedName name="แอ1">'[55]schedule '!#REF!</definedName>
    <definedName name="上月原料成本">#REF!</definedName>
    <definedName name="上月平均净销售">#REF!</definedName>
    <definedName name="上月平均包装费用">#REF!</definedName>
    <definedName name="上月平均回扣">#REF!</definedName>
    <definedName name="上月平均毛销售">#REF!</definedName>
    <definedName name="上月销量">#REF!</definedName>
    <definedName name="二月净利">#REF!</definedName>
    <definedName name="产品01">'[56]1'!$F$7:$F$81</definedName>
    <definedName name="产品02">'[56]2'!$F$7:$F$74</definedName>
    <definedName name="产品03">'[56]3'!$F$7:$F$78</definedName>
    <definedName name="产品04">'[56]4'!$F$7:$F$84</definedName>
    <definedName name="产品05">'[56]5'!$F$7:$F$111</definedName>
    <definedName name="产品06">'[56]6'!$F$7:$F$114</definedName>
    <definedName name="产品07">'[56]7'!$F$7:$F$114</definedName>
    <definedName name="产品08">'[56]8'!$F$7:$F$109</definedName>
    <definedName name="产品09">'[56]9'!$F$7:$F$109</definedName>
    <definedName name="产品10">'[56]10'!$F$7:$F$109</definedName>
    <definedName name="产品11">'[56]11'!$F$7:$F$109</definedName>
    <definedName name="产品12">'[56]12'!$F$7:$F$109</definedName>
    <definedName name="产品13">[56]TOTAL!$F$7:$F$114</definedName>
    <definedName name="产量A3">[57]生产部金额!#REF!</definedName>
    <definedName name="仁寿区域地图">[58]宣1!$A$5:$I$36</definedName>
    <definedName name="其他应付款10月"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其他应收款10月"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其他应收款2">#REF!</definedName>
    <definedName name="净价01">'[56]1'!$N$7:$N$81</definedName>
    <definedName name="净价02">'[56]2'!$N$7:$N$74</definedName>
    <definedName name="净价03">'[56]3'!$N$7:$N$78</definedName>
    <definedName name="净价04">'[56]4'!$N$7:$N$84</definedName>
    <definedName name="净价05">'[56]5'!$N$7:$N$111</definedName>
    <definedName name="净价06">'[56]6'!$N$7:$N$114</definedName>
    <definedName name="净价07">'[56]7'!$N$7:$N$114</definedName>
    <definedName name="净价08">'[56]8'!$N$7:$N$109</definedName>
    <definedName name="净价09">'[56]9'!$N$7:$N$109</definedName>
    <definedName name="净价10">'[56]10'!$N$7:$N$109</definedName>
    <definedName name="净价11">'[56]11'!$N$7:$N$109</definedName>
    <definedName name="净价12">'[56]12'!$N$7:$N$109</definedName>
    <definedName name="净价13">[56]TOTAL!$N$7:$N$114</definedName>
    <definedName name="分">#REF!</definedName>
    <definedName name="分品">#REF!,#REF!,#REF!,#REF!,#REF!,#REF!,#REF!,#REF!,#REF!,#REF!,#REF!,#REF!</definedName>
    <definedName name="分品种">#REF!</definedName>
    <definedName name="分品种损益">#REF!</definedName>
    <definedName name="分种损益">#REF!</definedName>
    <definedName name="利润">#REF!,#REF!,#REF!,#REF!,#REF!,#REF!,#REF!,#REF!,#REF!,#REF!,#REF!,#REF!</definedName>
    <definedName name="利潤">#REF!,#REF!,#REF!,#REF!,#REF!,#REF!,#REF!,#REF!,#REF!,#REF!,#REF!,#REF!</definedName>
    <definedName name="制造费用1">#REF!</definedName>
    <definedName name="单位">#REF!,#REF!,#REF!,#REF!,#REF!,#REF!,#REF!,#REF!,#REF!,#REF!,#REF!,#REF!</definedName>
    <definedName name="单位利润1">#REF!,#REF!,#REF!,#REF!,#REF!,#REF!,#REF!,#REF!,#REF!,#REF!,#REF!,#REF!</definedName>
    <definedName name="单位利润1.xls">#REF!,#REF!,#REF!,#REF!,#REF!,#REF!,#REF!,#REF!,#REF!,#REF!,#REF!,#REF!</definedName>
    <definedName name="单包01">'[56]1'!$AF$7:$AF$81</definedName>
    <definedName name="单包02">'[56]2'!$AF$7:$AF$74</definedName>
    <definedName name="单包03">'[56]3'!$AF$7:$AF$78</definedName>
    <definedName name="单包04">'[56]4'!$AF$7:$AF$84</definedName>
    <definedName name="单包05">'[56]5'!$AF$7:$AF$111</definedName>
    <definedName name="单包06">'[56]6'!$AF$7:$AF$114</definedName>
    <definedName name="单包07">'[56]7'!$AF$7:$AF$114</definedName>
    <definedName name="单包08">'[56]8'!$AF$7:$AF$109</definedName>
    <definedName name="单包09">'[56]9'!$AF$7:$AF$109</definedName>
    <definedName name="单包10">'[56]10'!$AF$7:$AF$109</definedName>
    <definedName name="单包11">'[56]11'!$AF$7:$AF$109</definedName>
    <definedName name="单包12">'[56]12'!$AF$7:$AF$109</definedName>
    <definedName name="单包13">[56]TOTAL!$AF$7:$AF$114</definedName>
    <definedName name="单料01">'[56]1'!$AD$7:$AD$81</definedName>
    <definedName name="单料02">'[56]2'!$AD$7:$AD$74</definedName>
    <definedName name="单料03">'[56]3'!$AD$7:$AD$78</definedName>
    <definedName name="单料04">'[56]4'!$AD$7:$AD$84</definedName>
    <definedName name="单料05">'[56]5'!$AD$7:$AD$111</definedName>
    <definedName name="单料06">'[56]6'!$AD$7:$AD$114</definedName>
    <definedName name="单料07">'[56]7'!$AD$7:$AD$114</definedName>
    <definedName name="单料08">'[56]8'!$AD$7:$AD$109</definedName>
    <definedName name="单料09">'[56]9'!$AD$7:$AD$109</definedName>
    <definedName name="单料10">'[56]10'!$AD$7:$AD$109</definedName>
    <definedName name="单料11">'[56]11'!$AD$7:$AD$109</definedName>
    <definedName name="单料12">'[56]12'!$AD$7:$AD$109</definedName>
    <definedName name="单料13">[56]TOTAL!$AD$7:$AD$114</definedName>
    <definedName name="单费01">'[56]1'!$AH$7:$AH$81</definedName>
    <definedName name="单费02">'[56]2'!$AH$7:$AH$74</definedName>
    <definedName name="单费03">'[56]3'!$AH$7:$AH$78</definedName>
    <definedName name="单费04">'[56]4'!$AH$7:$AH$84</definedName>
    <definedName name="单费05">'[56]5'!$AH$7:$AH$111</definedName>
    <definedName name="单费06">'[56]6'!$AH$7:$AH$114</definedName>
    <definedName name="单费07">'[56]7'!$AH$7:$AH$114</definedName>
    <definedName name="单费08">'[56]8'!$AH$7:$AH$109</definedName>
    <definedName name="单费09">'[56]9'!$AH$7:$AH$109</definedName>
    <definedName name="单费10">'[56]10'!$AH$7:$AH$109</definedName>
    <definedName name="单费11">'[56]11'!$AH$7:$AH$109</definedName>
    <definedName name="单费12">'[56]12'!$AH$7:$AH$109</definedName>
    <definedName name="单费13">[56]TOTAL!$AH$7:$AH$114</definedName>
    <definedName name="原料四">#REF!</definedName>
    <definedName name="双流东区销售区域图">#REF!</definedName>
    <definedName name="双流片区销售区域">#REF!</definedName>
    <definedName name="品种9">#REF!,#REF!,#REF!,#REF!,#REF!,#REF!,#REF!,#REF!,#REF!,#REF!,#REF!,#REF!</definedName>
    <definedName name="封面">#REF!</definedName>
    <definedName name="待摊">#REF!</definedName>
    <definedName name="打算非"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损益表汇总1">#REF!</definedName>
    <definedName name="撒">#REF!</definedName>
    <definedName name="月热线">#REF!,#REF!,#REF!,#REF!,#REF!,#REF!,#REF!,#REF!,#REF!,#REF!,#REF!,#REF!</definedName>
    <definedName name="本月原料成本">#REF!</definedName>
    <definedName name="本月平均净销售">#REF!</definedName>
    <definedName name="本月平均包装费用">#REF!</definedName>
    <definedName name="本月平均回扣">#REF!</definedName>
    <definedName name="本月平均毛销售">#REF!</definedName>
    <definedName name="本月销量">#REF!</definedName>
    <definedName name="林">'[59]2月'!#REF!</definedName>
    <definedName name="查询1">#REF!</definedName>
    <definedName name="查询2">#REF!</definedName>
    <definedName name="水产"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电费"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直">#REF!</definedName>
    <definedName name="种鱼料">'[34]1(分品种)'!#REF!</definedName>
    <definedName name="竞争厂家02月份主要品种价格表">#REF!</definedName>
    <definedName name="经营绩效"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货币资金1">#REF!</definedName>
    <definedName name="费用">#REF!</definedName>
    <definedName name="资">#REF!</definedName>
    <definedName name="资产">#REF!</definedName>
    <definedName name="资产负">#REF!</definedName>
    <definedName name="资产负债表_Balance_Sheet">#REF!</definedName>
    <definedName name="资产负债表1">#REF!</definedName>
    <definedName name="资产负债表说明8">#REF!</definedName>
    <definedName name="辅导"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重庆">#REF!,#REF!,#REF!,#REF!,#REF!,#REF!,#REF!,#REF!,#REF!,#REF!,#REF!,#REF!</definedName>
    <definedName name="销成01">'[56]1'!$AJ$7:$AJ$81</definedName>
    <definedName name="销成02">'[56]2'!$AJ$7:$AJ$74</definedName>
    <definedName name="销成03">'[56]3'!$AJ$7:$AJ$78</definedName>
    <definedName name="销成04">'[56]4'!$AJ$7:$AJ$84</definedName>
    <definedName name="销成05">'[56]5'!$AJ$7:$AJ$111</definedName>
    <definedName name="销成06">'[56]6'!$AJ$7:$AJ$114</definedName>
    <definedName name="销成07">'[56]7'!$AJ$7:$AJ$114</definedName>
    <definedName name="销成09">'[56]9'!$AJ$7:$AJ$109</definedName>
    <definedName name="销成10">'[56]10'!$AJ$7:$AJ$109</definedName>
    <definedName name="销成11">'[56]11'!$AJ$7:$AJ$109</definedName>
    <definedName name="销成12">'[56]12'!$AJ$7:$AJ$109</definedName>
    <definedName name="销成13">[56]TOTAL!$AJ$7:$AJ$114</definedName>
    <definedName name="销量01">'[56]1'!$H$7:$H$81</definedName>
    <definedName name="销量02">'[56]2'!$H$7:$H$74</definedName>
    <definedName name="销量03">'[56]3'!$H$7:$H$78</definedName>
    <definedName name="销量04">'[56]4'!$H$7:$H$84</definedName>
    <definedName name="销量05">'[56]5'!$H$7:$H$111</definedName>
    <definedName name="销量06">'[56]6'!$H$7:$H$114</definedName>
    <definedName name="销量07">'[56]7'!$H$7:$H$114</definedName>
    <definedName name="销量08">'[56]8'!$H$7:$H$109</definedName>
    <definedName name="销量09">'[56]9'!$H$7:$H$109</definedName>
    <definedName name="销量10">'[56]10'!$H$7:$H$109</definedName>
    <definedName name="销量11">'[56]11'!$H$7:$H$109</definedName>
    <definedName name="销量12">'[56]12'!$H$7:$H$109</definedName>
    <definedName name="销量13">[56]TOTAL!$H$7:$H$114</definedName>
    <definedName name="预算数据">[23]Sheet6!$P$2:$AD$29</definedName>
    <definedName name="饲料">#REF!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9" l="1"/>
  <c r="H91" i="9"/>
  <c r="F91" i="9"/>
  <c r="F111" i="9"/>
  <c r="E20" i="8" s="1"/>
  <c r="F74" i="9"/>
  <c r="H65" i="9"/>
  <c r="F37" i="9"/>
  <c r="H28" i="9"/>
  <c r="H45" i="9"/>
  <c r="F45" i="9"/>
  <c r="H124" i="9"/>
  <c r="F124" i="9"/>
  <c r="H123" i="9"/>
  <c r="H129" i="9" s="1"/>
  <c r="F123" i="9"/>
  <c r="F129" i="9" s="1"/>
  <c r="E22" i="8" s="1"/>
  <c r="H115" i="9"/>
  <c r="F115" i="9"/>
  <c r="H114" i="9"/>
  <c r="F114" i="9"/>
  <c r="F120" i="9" s="1"/>
  <c r="E21" i="8" s="1"/>
  <c r="H106" i="9"/>
  <c r="H111" i="9" s="1"/>
  <c r="F20" i="8" s="1"/>
  <c r="F106" i="9"/>
  <c r="H105" i="9"/>
  <c r="F105" i="9"/>
  <c r="H97" i="9"/>
  <c r="F97" i="9"/>
  <c r="H96" i="9"/>
  <c r="H102" i="9" s="1"/>
  <c r="F19" i="8" s="1"/>
  <c r="F96" i="9"/>
  <c r="F102" i="9" s="1"/>
  <c r="E19" i="8" s="1"/>
  <c r="H87" i="9"/>
  <c r="F87" i="9"/>
  <c r="H86" i="9"/>
  <c r="F86" i="9"/>
  <c r="F93" i="9" s="1"/>
  <c r="E18" i="8" s="1"/>
  <c r="H78" i="9"/>
  <c r="F78" i="9"/>
  <c r="H77" i="9"/>
  <c r="H83" i="9" s="1"/>
  <c r="F17" i="8" s="1"/>
  <c r="F77" i="9"/>
  <c r="F83" i="9" s="1"/>
  <c r="E17" i="8" s="1"/>
  <c r="H69" i="9"/>
  <c r="F69" i="9"/>
  <c r="H68" i="9"/>
  <c r="H74" i="9" s="1"/>
  <c r="F16" i="8" s="1"/>
  <c r="F68" i="9"/>
  <c r="H60" i="9"/>
  <c r="F60" i="9"/>
  <c r="H59" i="9"/>
  <c r="F59" i="9"/>
  <c r="F65" i="9" s="1"/>
  <c r="E15" i="8" s="1"/>
  <c r="H51" i="9"/>
  <c r="H56" i="9" s="1"/>
  <c r="F14" i="8" s="1"/>
  <c r="F51" i="9"/>
  <c r="H50" i="9"/>
  <c r="F50" i="9"/>
  <c r="F56" i="9" s="1"/>
  <c r="E14" i="8" s="1"/>
  <c r="H41" i="9"/>
  <c r="F41" i="9"/>
  <c r="H40" i="9"/>
  <c r="F40" i="9"/>
  <c r="F47" i="9" s="1"/>
  <c r="E13" i="8" s="1"/>
  <c r="H32" i="9"/>
  <c r="F32" i="9"/>
  <c r="H31" i="9"/>
  <c r="F31" i="9"/>
  <c r="H23" i="9"/>
  <c r="F23" i="9"/>
  <c r="H22" i="9"/>
  <c r="F22" i="9"/>
  <c r="F28" i="9" s="1"/>
  <c r="H13" i="9"/>
  <c r="H14" i="9"/>
  <c r="F13" i="9"/>
  <c r="F14" i="9"/>
  <c r="F12" i="9"/>
  <c r="F19" i="9" s="1"/>
  <c r="H12" i="9"/>
  <c r="H19" i="9" s="1"/>
  <c r="B23" i="8"/>
  <c r="B22" i="8"/>
  <c r="B21" i="8"/>
  <c r="B20" i="8"/>
  <c r="B19" i="8"/>
  <c r="B18" i="8"/>
  <c r="B17" i="8"/>
  <c r="B16" i="8"/>
  <c r="B15" i="8"/>
  <c r="B14" i="8"/>
  <c r="B13" i="8"/>
  <c r="B11" i="8"/>
  <c r="B10" i="8"/>
  <c r="E16" i="8"/>
  <c r="D2" i="8"/>
  <c r="D1" i="8"/>
  <c r="H47" i="9" l="1"/>
  <c r="H37" i="9"/>
  <c r="H93" i="9"/>
  <c r="F18" i="8" s="1"/>
  <c r="I91" i="9"/>
  <c r="I114" i="9"/>
  <c r="H120" i="9"/>
  <c r="F21" i="8" s="1"/>
  <c r="I45" i="9"/>
  <c r="I124" i="9"/>
  <c r="I123" i="9"/>
  <c r="I129" i="9" s="1"/>
  <c r="I115" i="9"/>
  <c r="I105" i="9"/>
  <c r="I96" i="9"/>
  <c r="I106" i="9"/>
  <c r="I77" i="9"/>
  <c r="I97" i="9"/>
  <c r="I86" i="9"/>
  <c r="I87" i="9"/>
  <c r="I78" i="9"/>
  <c r="I69" i="9"/>
  <c r="I59" i="9"/>
  <c r="I68" i="9"/>
  <c r="I74" i="9" s="1"/>
  <c r="I60" i="9"/>
  <c r="I51" i="9"/>
  <c r="I50" i="9"/>
  <c r="I56" i="9" s="1"/>
  <c r="G14" i="8" s="1"/>
  <c r="I41" i="9"/>
  <c r="I31" i="9"/>
  <c r="I37" i="9" s="1"/>
  <c r="I40" i="9"/>
  <c r="I32" i="9"/>
  <c r="I23" i="9"/>
  <c r="I22" i="9"/>
  <c r="I28" i="9" s="1"/>
  <c r="I14" i="9"/>
  <c r="I13" i="9"/>
  <c r="I12" i="9"/>
  <c r="G22" i="8"/>
  <c r="F22" i="8"/>
  <c r="G16" i="8"/>
  <c r="F15" i="8"/>
  <c r="F13" i="8"/>
  <c r="H136" i="9"/>
  <c r="F136" i="9"/>
  <c r="H135" i="9"/>
  <c r="F135" i="9"/>
  <c r="H134" i="9"/>
  <c r="F134" i="9"/>
  <c r="H133" i="9"/>
  <c r="F133" i="9"/>
  <c r="H132" i="9"/>
  <c r="F132" i="9"/>
  <c r="F11" i="8"/>
  <c r="E11" i="8"/>
  <c r="I19" i="9" l="1"/>
  <c r="I93" i="9"/>
  <c r="G18" i="8" s="1"/>
  <c r="H138" i="9"/>
  <c r="F23" i="8" s="1"/>
  <c r="I83" i="9"/>
  <c r="G17" i="8" s="1"/>
  <c r="I120" i="9"/>
  <c r="G21" i="8" s="1"/>
  <c r="I65" i="9"/>
  <c r="G15" i="8" s="1"/>
  <c r="I102" i="9"/>
  <c r="G19" i="8" s="1"/>
  <c r="H140" i="9"/>
  <c r="I47" i="9"/>
  <c r="G13" i="8" s="1"/>
  <c r="I111" i="9"/>
  <c r="G20" i="8" s="1"/>
  <c r="I136" i="9"/>
  <c r="I135" i="9"/>
  <c r="F138" i="9"/>
  <c r="I134" i="9"/>
  <c r="G11" i="8"/>
  <c r="E12" i="8"/>
  <c r="I133" i="9"/>
  <c r="F12" i="8"/>
  <c r="E10" i="8"/>
  <c r="F10" i="8"/>
  <c r="I132" i="9"/>
  <c r="I138" i="9" l="1"/>
  <c r="E23" i="8"/>
  <c r="F140" i="9"/>
  <c r="I140" i="9"/>
  <c r="G23" i="8"/>
  <c r="G12" i="8"/>
  <c r="G10" i="8"/>
  <c r="G25" i="8" l="1"/>
  <c r="B12" i="8"/>
  <c r="I141" i="9" l="1"/>
  <c r="G26" i="8" l="1"/>
  <c r="I142" i="9"/>
  <c r="G27" i="8" s="1"/>
  <c r="I143" i="9" l="1"/>
  <c r="G28" i="8" s="1"/>
  <c r="I144" i="9" l="1"/>
  <c r="G29" i="8" s="1"/>
</calcChain>
</file>

<file path=xl/sharedStrings.xml><?xml version="1.0" encoding="utf-8"?>
<sst xmlns="http://schemas.openxmlformats.org/spreadsheetml/2006/main" count="219" uniqueCount="95">
  <si>
    <t>ค่าวัสดุ</t>
  </si>
  <si>
    <t>ค่าแรง</t>
  </si>
  <si>
    <t>รวม</t>
  </si>
  <si>
    <t>ลำดับ</t>
  </si>
  <si>
    <t>รายการ</t>
  </si>
  <si>
    <t>หน่วย</t>
  </si>
  <si>
    <t>บาท</t>
  </si>
  <si>
    <t>Lot</t>
  </si>
  <si>
    <t>Job :</t>
  </si>
  <si>
    <t>Location :</t>
  </si>
  <si>
    <t>Owner :</t>
  </si>
  <si>
    <t xml:space="preserve">Revision : </t>
  </si>
  <si>
    <t>Date :</t>
  </si>
  <si>
    <t>ปริมาณวัสดุ</t>
  </si>
  <si>
    <t xml:space="preserve">รวมราคา </t>
  </si>
  <si>
    <t>ปริมาณ</t>
  </si>
  <si>
    <t>Overhead &amp; Profit</t>
  </si>
  <si>
    <t>Vat 7%</t>
  </si>
  <si>
    <t>Total (THB)</t>
  </si>
  <si>
    <t>VAT 7%</t>
  </si>
  <si>
    <t xml:space="preserve"> TOTAL</t>
  </si>
  <si>
    <t>LOT</t>
  </si>
  <si>
    <t xml:space="preserve">SUM </t>
  </si>
  <si>
    <t>CPF (Thailand) Public Company</t>
  </si>
  <si>
    <t>1 C.P. Tower 2 (Fortune Town Bldg.),</t>
  </si>
  <si>
    <t>11st  Floor Ratchadapisek Rd.,</t>
  </si>
  <si>
    <t>Dindaeng Bangkok 10400, THAILAND</t>
  </si>
  <si>
    <t xml:space="preserve"> THAILAND</t>
  </si>
  <si>
    <t xml:space="preserve">Dindaeng Bangkok 10400, </t>
  </si>
  <si>
    <t>SUM 3</t>
  </si>
  <si>
    <t>Other</t>
  </si>
  <si>
    <t>SUM</t>
  </si>
  <si>
    <t>set</t>
  </si>
  <si>
    <t xml:space="preserve"> - Test &amp; Commissioning</t>
  </si>
  <si>
    <t xml:space="preserve"> - Transportation</t>
  </si>
  <si>
    <t xml:space="preserve"> - ค่าทำงานที่สูง , นั่งร้าน , Boom Lift</t>
  </si>
  <si>
    <t>บมจ.ซีพีเอฟ (ประเทศไทย)</t>
  </si>
  <si>
    <t>SUM 2</t>
  </si>
  <si>
    <t>SUM 1</t>
  </si>
  <si>
    <t>งานติดตั้งระบบแจ้งเหตุเพลิงไหม้ โรงฉ่ำวัตถุดิบ</t>
  </si>
  <si>
    <t xml:space="preserve"> - Safety Cost ( จป.หัวหน้างาน )</t>
  </si>
  <si>
    <t xml:space="preserve"> - Shop, Asbuild Drawing (Soft &amp; Hard Coppy  With Last  Payment ) วิศกรสามัญขึ้นไปเซ็นรับรอง</t>
  </si>
  <si>
    <t>1</t>
  </si>
  <si>
    <t>ea</t>
  </si>
  <si>
    <t>SUM 4</t>
  </si>
  <si>
    <t xml:space="preserve">หมายเหตุ </t>
  </si>
  <si>
    <t xml:space="preserve">ค่าวัสดุ </t>
  </si>
  <si>
    <r>
      <t>หมายเหตุ</t>
    </r>
    <r>
      <rPr>
        <sz val="16"/>
        <rFont val="FreesiaUPC"/>
        <family val="2"/>
      </rPr>
      <t xml:space="preserve"> :</t>
    </r>
  </si>
  <si>
    <t>โรงงานผลิตอาหารสัตว์บกโคกกรวด</t>
  </si>
  <si>
    <t>โรงเก็บเชื่อเพลิง+หอพกชั้น2</t>
  </si>
  <si>
    <t>วิศวกรรม</t>
  </si>
  <si>
    <t>ห้อง Battery อสร.</t>
  </si>
  <si>
    <t>ห้องควบคุมโรบอท</t>
  </si>
  <si>
    <t>ห้องเก็บเอกสาร</t>
  </si>
  <si>
    <t>Office คลัง+ Office จป.</t>
  </si>
  <si>
    <t>ห้อง Inverter</t>
  </si>
  <si>
    <t>ห้องเก็บวัตถุดิบ</t>
  </si>
  <si>
    <t>ห้องควบคุมผลิต ชั้น2</t>
  </si>
  <si>
    <t>ห้องไฟฟ้าอาคารผลิต ชั้น2</t>
  </si>
  <si>
    <t>ห้องไฟฟ้าอาคารผลิต ชั้น1</t>
  </si>
  <si>
    <t>ห้องน้ำยาเอนไซม์</t>
  </si>
  <si>
    <t>ห้องหม้อแปลง</t>
  </si>
  <si>
    <t>14</t>
  </si>
  <si>
    <t>SUM 1-14</t>
  </si>
  <si>
    <t>SUM 1 - 14</t>
  </si>
  <si>
    <t>SUM 14</t>
  </si>
  <si>
    <t>SUM 13</t>
  </si>
  <si>
    <t>SUM 12</t>
  </si>
  <si>
    <t>SUM 11</t>
  </si>
  <si>
    <t>SUM 10</t>
  </si>
  <si>
    <t>SUM 9</t>
  </si>
  <si>
    <t>SUM 8</t>
  </si>
  <si>
    <t>SUM 7</t>
  </si>
  <si>
    <t>SUM 6</t>
  </si>
  <si>
    <t>SUM 5</t>
  </si>
  <si>
    <t>Heat detector explosion proof</t>
  </si>
  <si>
    <t>Smoke detector</t>
  </si>
  <si>
    <t>Installation work</t>
  </si>
  <si>
    <t xml:space="preserve"> -  IMC Conduit 3/4</t>
  </si>
  <si>
    <t xml:space="preserve"> -  IEC01 Copper 1x1.5 Sq.mm. </t>
  </si>
  <si>
    <t xml:space="preserve"> -  Flexible conduit and fitting</t>
  </si>
  <si>
    <t>lot</t>
  </si>
  <si>
    <t>Heat detector</t>
  </si>
  <si>
    <t>งานฝังท่อ</t>
  </si>
  <si>
    <t>งานรื้อถอนอุปกรณ์นอกห้อง</t>
  </si>
  <si>
    <t>Note:</t>
  </si>
  <si>
    <t>บริษัทxxx</t>
  </si>
  <si>
    <t>ชื่อ-นามสกุล (ผู้เสนอราคา/ผู้เข้าประมูล) :</t>
  </si>
  <si>
    <t xml:space="preserve">เบอร์ติดต่อ : </t>
  </si>
  <si>
    <t xml:space="preserve">E-mail : </t>
  </si>
  <si>
    <t>Natchaya Khamsiyaphorn (Khaning)</t>
  </si>
  <si>
    <t>ณัฐชยา คำสิยาภรณ์ (คะนิ้ง)</t>
  </si>
  <si>
    <t>Account Executive</t>
  </si>
  <si>
    <t>M : 06-3918-3474   </t>
  </si>
  <si>
    <t>E-mail : natchaya.kha@pantavanij.com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</si>
</sst>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87" formatCode="_(* #,##0.00_);_(* \(#,##0.00\);_(* &quot;-&quot;??_);_(@_)"/>
    <numFmt numFmtId="188" formatCode="_-* #,##0_-;\-* #,##0_-;_-* &quot;-&quot;??_-;_-@_-"/>
  </numFmts>
  <fonts count="49" x14ac:knownFonts="1">
    <font>
      <sz val="11"/>
      <color theme="1"/>
      <name val="Tahoma"/>
      <family val="2"/>
      <charset val="222"/>
      <scheme val="minor"/>
    </font>
    <font>
      <sz val="11"/>
      <color theme="1"/>
      <name val="Tahoma"/>
      <family val="2"/>
      <scheme val="minor"/>
    </font>
    <font>
      <sz val="11"/>
      <color theme="1"/>
      <name val="Tahoma"/>
      <family val="2"/>
      <scheme val="minor"/>
    </font>
    <font>
      <sz val="11"/>
      <color theme="1"/>
      <name val="Tahoma"/>
      <family val="2"/>
      <charset val="222"/>
      <scheme val="minor"/>
    </font>
    <font>
      <sz val="10"/>
      <name val="Arial"/>
      <family val="2"/>
    </font>
    <font>
      <u/>
      <sz val="10"/>
      <color indexed="12"/>
      <name val="Arial"/>
      <family val="2"/>
    </font>
    <font>
      <sz val="14"/>
      <name val="AngsanaUPC"/>
      <family val="1"/>
      <charset val="222"/>
    </font>
    <font>
      <sz val="16"/>
      <name val="Angsana New"/>
      <family val="1"/>
    </font>
    <font>
      <b/>
      <sz val="16"/>
      <name val="Angsana New"/>
      <family val="1"/>
    </font>
    <font>
      <sz val="14"/>
      <name val="AngsanaUPC"/>
      <family val="1"/>
    </font>
    <font>
      <sz val="16"/>
      <color theme="1"/>
      <name val="Angsana New"/>
      <family val="1"/>
    </font>
    <font>
      <b/>
      <sz val="16"/>
      <color theme="1"/>
      <name val="FreesiaUPC"/>
      <family val="2"/>
    </font>
    <font>
      <sz val="16"/>
      <color theme="1"/>
      <name val="FreesiaUPC"/>
      <family val="2"/>
    </font>
    <font>
      <sz val="16"/>
      <name val="FreesiaUPC"/>
      <family val="2"/>
    </font>
    <font>
      <b/>
      <sz val="16"/>
      <name val="FreesiaUPC"/>
      <family val="2"/>
    </font>
    <font>
      <b/>
      <sz val="16"/>
      <color theme="0"/>
      <name val="FreesiaUPC"/>
      <family val="2"/>
    </font>
    <font>
      <sz val="14"/>
      <name val="DilleniaUPC"/>
      <family val="1"/>
    </font>
    <font>
      <sz val="11"/>
      <color indexed="8"/>
      <name val="Calibri"/>
      <family val="2"/>
    </font>
    <font>
      <b/>
      <sz val="18"/>
      <name val="FreesiaUPC"/>
      <family val="2"/>
    </font>
    <font>
      <sz val="18"/>
      <name val="FreesiaUPC"/>
      <family val="2"/>
    </font>
    <font>
      <sz val="14"/>
      <name val="FreesiaUPC"/>
      <family val="2"/>
    </font>
    <font>
      <b/>
      <sz val="16"/>
      <color theme="0"/>
      <name val="Angsana New"/>
      <family val="1"/>
    </font>
    <font>
      <b/>
      <sz val="22"/>
      <color theme="0"/>
      <name val="FreesiaUPC"/>
      <family val="2"/>
    </font>
    <font>
      <b/>
      <sz val="28"/>
      <color theme="0"/>
      <name val="FreesiaUPC"/>
      <family val="2"/>
    </font>
    <font>
      <u/>
      <sz val="16"/>
      <name val="FreesiaUPC"/>
      <family val="2"/>
    </font>
    <font>
      <b/>
      <sz val="22"/>
      <name val="FreesiaUPC"/>
      <family val="2"/>
    </font>
    <font>
      <sz val="22"/>
      <name val="FreesiaUPC"/>
      <family val="2"/>
    </font>
    <font>
      <sz val="22"/>
      <color rgb="FF000000"/>
      <name val="FreesiaUPC"/>
      <family val="2"/>
    </font>
    <font>
      <sz val="22"/>
      <color theme="1"/>
      <name val="FreesiaUPC"/>
      <family val="2"/>
    </font>
    <font>
      <b/>
      <sz val="22"/>
      <color rgb="FF000000"/>
      <name val="FreesiaUPC"/>
      <family val="2"/>
    </font>
    <font>
      <b/>
      <sz val="22"/>
      <color theme="1"/>
      <name val="FreesiaUPC"/>
      <family val="2"/>
    </font>
    <font>
      <sz val="20"/>
      <color indexed="8"/>
      <name val="FreesiaUPC"/>
      <family val="2"/>
    </font>
    <font>
      <sz val="20"/>
      <name val="FreesiaUPC"/>
      <family val="2"/>
    </font>
    <font>
      <b/>
      <sz val="20"/>
      <name val="FreesiaUPC"/>
      <family val="2"/>
    </font>
    <font>
      <b/>
      <sz val="36"/>
      <color theme="0"/>
      <name val="FreesiaUPC"/>
      <family val="2"/>
    </font>
    <font>
      <sz val="20"/>
      <color rgb="FF000000"/>
      <name val="FreesiaUPC"/>
      <family val="2"/>
    </font>
    <font>
      <sz val="20"/>
      <color theme="1"/>
      <name val="FreesiaUPC"/>
      <family val="2"/>
    </font>
    <font>
      <b/>
      <sz val="20"/>
      <color rgb="FF000000"/>
      <name val="FreesiaUPC"/>
      <family val="2"/>
    </font>
    <font>
      <b/>
      <sz val="20"/>
      <color theme="1"/>
      <name val="FreesiaUPC"/>
      <family val="2"/>
    </font>
    <font>
      <b/>
      <sz val="18"/>
      <color theme="1"/>
      <name val="FreesiaUPC"/>
      <family val="2"/>
    </font>
    <font>
      <sz val="18"/>
      <color theme="1"/>
      <name val="FreesiaUPC"/>
      <family val="2"/>
    </font>
    <font>
      <sz val="14"/>
      <color theme="1"/>
      <name val="FreesiaUPC"/>
      <family val="2"/>
    </font>
    <font>
      <b/>
      <u/>
      <sz val="10"/>
      <name val="Arial Narrow"/>
      <family val="2"/>
    </font>
    <font>
      <b/>
      <sz val="10"/>
      <name val="Arial Narrow"/>
      <family val="2"/>
    </font>
    <font>
      <sz val="10"/>
      <name val="Arial Narrow"/>
      <family val="2"/>
    </font>
    <font>
      <sz val="8"/>
      <color theme="1"/>
      <name val="Segoe UI"/>
      <family val="2"/>
    </font>
    <font>
      <b/>
      <sz val="8"/>
      <color rgb="FF1E53A3"/>
      <name val="Segoe UI"/>
      <family val="2"/>
    </font>
    <font>
      <b/>
      <sz val="8"/>
      <color theme="1"/>
      <name val="Segoe UI"/>
      <family val="2"/>
    </font>
    <font>
      <u/>
      <sz val="11"/>
      <color theme="10"/>
      <name val="Tahoma"/>
      <family val="2"/>
      <charset val="222"/>
      <scheme val="minor"/>
    </font>
  </fonts>
  <fills count="13">
    <fill>
      <patternFill patternType="none"/>
    </fill>
    <fill>
      <patternFill patternType="gray125"/>
    </fill>
    <fill>
      <patternFill patternType="solid">
        <fgColor theme="0"/>
        <bgColor indexed="64"/>
      </patternFill>
    </fill>
    <fill>
      <patternFill patternType="solid">
        <fgColor theme="0" tint="0.79998168889431442"/>
        <bgColor indexed="64"/>
      </patternFill>
    </fill>
    <fill>
      <patternFill patternType="solid">
        <fgColor theme="5" tint="0.39997558519241921"/>
        <bgColor indexed="64"/>
      </patternFill>
    </fill>
    <fill>
      <patternFill patternType="solid">
        <fgColor rgb="FF002060"/>
        <bgColor indexed="64"/>
      </patternFill>
    </fill>
    <fill>
      <patternFill patternType="solid">
        <fgColor rgb="FF1A8A27"/>
        <bgColor indexed="64"/>
      </patternFill>
    </fill>
    <fill>
      <patternFill patternType="solid">
        <fgColor theme="8" tint="0.39997558519241921"/>
        <bgColor indexed="64"/>
      </patternFill>
    </fill>
    <fill>
      <patternFill patternType="solid">
        <fgColor rgb="FFFFFF99"/>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00000"/>
        <bgColor indexed="64"/>
      </patternFill>
    </fill>
  </fills>
  <borders count="2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s>
  <cellStyleXfs count="22">
    <xf numFmtId="0" fontId="0" fillId="0" borderId="0"/>
    <xf numFmtId="43" fontId="3" fillId="0" borderId="0" applyFont="0" applyFill="0" applyBorder="0" applyAlignment="0" applyProtection="0"/>
    <xf numFmtId="0" fontId="4" fillId="0" borderId="0"/>
    <xf numFmtId="0" fontId="4" fillId="0" borderId="0"/>
    <xf numFmtId="0" fontId="5" fillId="0" borderId="0" applyNumberFormat="0" applyFill="0" applyBorder="0" applyAlignment="0" applyProtection="0">
      <alignment vertical="top"/>
      <protection locked="0"/>
    </xf>
    <xf numFmtId="187" fontId="3" fillId="0" borderId="0" applyFont="0" applyFill="0" applyBorder="0" applyAlignment="0" applyProtection="0"/>
    <xf numFmtId="0" fontId="9" fillId="0" borderId="0"/>
    <xf numFmtId="0" fontId="4" fillId="0" borderId="0"/>
    <xf numFmtId="0" fontId="4" fillId="0" borderId="0"/>
    <xf numFmtId="187" fontId="6" fillId="0" borderId="0" applyFont="0" applyFill="0" applyBorder="0" applyAlignment="0" applyProtection="0"/>
    <xf numFmtId="0" fontId="4" fillId="0" borderId="0"/>
    <xf numFmtId="187" fontId="4"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0" fontId="16" fillId="0" borderId="0"/>
    <xf numFmtId="43" fontId="17" fillId="0" borderId="0" applyFont="0" applyFill="0" applyBorder="0" applyAlignment="0" applyProtection="0"/>
    <xf numFmtId="3" fontId="9" fillId="0" borderId="0" applyFill="0" applyBorder="0" applyAlignment="0"/>
    <xf numFmtId="0" fontId="2" fillId="0" borderId="0"/>
    <xf numFmtId="187" fontId="2" fillId="0" borderId="0" applyFont="0" applyFill="0" applyBorder="0" applyAlignment="0" applyProtection="0"/>
    <xf numFmtId="0" fontId="1" fillId="0" borderId="0"/>
    <xf numFmtId="187" fontId="1" fillId="0" borderId="0" applyFont="0" applyFill="0" applyBorder="0" applyAlignment="0" applyProtection="0"/>
    <xf numFmtId="0" fontId="48" fillId="0" borderId="0" applyNumberFormat="0" applyFill="0" applyBorder="0" applyAlignment="0" applyProtection="0"/>
  </cellStyleXfs>
  <cellXfs count="278">
    <xf numFmtId="0" fontId="0" fillId="0" borderId="0" xfId="0"/>
    <xf numFmtId="0" fontId="10" fillId="0" borderId="0" xfId="6" applyFont="1" applyAlignment="1">
      <alignment horizontal="center" vertical="center"/>
    </xf>
    <xf numFmtId="0" fontId="9" fillId="0" borderId="0" xfId="6"/>
    <xf numFmtId="4" fontId="10" fillId="0" borderId="0" xfId="6" applyNumberFormat="1" applyFont="1" applyAlignment="1">
      <alignment vertical="center"/>
    </xf>
    <xf numFmtId="0" fontId="7" fillId="0" borderId="0" xfId="6" applyFont="1"/>
    <xf numFmtId="4" fontId="10" fillId="0" borderId="0" xfId="6" quotePrefix="1" applyNumberFormat="1" applyFont="1" applyAlignment="1">
      <alignment vertical="center"/>
    </xf>
    <xf numFmtId="0" fontId="12" fillId="0" borderId="0" xfId="8" applyFont="1" applyAlignment="1">
      <alignment horizontal="center" vertical="center"/>
    </xf>
    <xf numFmtId="0" fontId="12" fillId="0" borderId="0" xfId="8" applyFont="1" applyAlignment="1">
      <alignment vertical="center"/>
    </xf>
    <xf numFmtId="4" fontId="12" fillId="0" borderId="0" xfId="8" applyNumberFormat="1" applyFont="1" applyAlignment="1">
      <alignment horizontal="left" vertical="center"/>
    </xf>
    <xf numFmtId="0" fontId="13" fillId="0" borderId="0" xfId="6" applyFont="1"/>
    <xf numFmtId="4" fontId="12" fillId="0" borderId="0" xfId="8" applyNumberFormat="1" applyFont="1" applyAlignment="1">
      <alignment vertical="center"/>
    </xf>
    <xf numFmtId="4" fontId="12" fillId="0" borderId="0" xfId="8" quotePrefix="1" applyNumberFormat="1" applyFont="1" applyAlignment="1">
      <alignment vertical="center"/>
    </xf>
    <xf numFmtId="0" fontId="11" fillId="0" borderId="0" xfId="6" applyFont="1"/>
    <xf numFmtId="49" fontId="13" fillId="0" borderId="0" xfId="6" applyNumberFormat="1" applyFont="1" applyAlignment="1">
      <alignment horizontal="center"/>
    </xf>
    <xf numFmtId="0" fontId="13" fillId="2" borderId="0" xfId="6" applyFont="1" applyFill="1"/>
    <xf numFmtId="0" fontId="20" fillId="0" borderId="0" xfId="6" applyFont="1"/>
    <xf numFmtId="4" fontId="12" fillId="0" borderId="0" xfId="6" applyNumberFormat="1" applyFont="1" applyAlignment="1">
      <alignment horizontal="left" vertical="center"/>
    </xf>
    <xf numFmtId="0" fontId="20" fillId="0" borderId="0" xfId="6" applyFont="1" applyAlignment="1">
      <alignment horizontal="center"/>
    </xf>
    <xf numFmtId="0" fontId="12" fillId="0" borderId="0" xfId="6" applyFont="1"/>
    <xf numFmtId="0" fontId="14" fillId="2" borderId="9" xfId="10" applyFont="1" applyFill="1" applyBorder="1" applyAlignment="1" applyProtection="1">
      <alignment horizontal="center" vertical="center"/>
      <protection hidden="1"/>
    </xf>
    <xf numFmtId="0" fontId="19" fillId="0" borderId="11" xfId="14" applyFont="1" applyBorder="1" applyAlignment="1">
      <alignment horizontal="center" vertical="center"/>
    </xf>
    <xf numFmtId="187" fontId="14" fillId="2" borderId="9" xfId="11" applyFont="1" applyFill="1" applyBorder="1" applyAlignment="1" applyProtection="1">
      <alignment horizontal="center"/>
      <protection hidden="1"/>
    </xf>
    <xf numFmtId="187" fontId="22" fillId="5" borderId="1" xfId="11" applyFont="1" applyFill="1" applyBorder="1" applyAlignment="1" applyProtection="1">
      <alignment horizontal="center"/>
      <protection hidden="1"/>
    </xf>
    <xf numFmtId="187" fontId="14" fillId="2" borderId="9" xfId="11" applyFont="1" applyFill="1" applyBorder="1" applyAlignment="1" applyProtection="1">
      <protection hidden="1"/>
    </xf>
    <xf numFmtId="0" fontId="13" fillId="0" borderId="11" xfId="6" applyFont="1" applyBorder="1"/>
    <xf numFmtId="0" fontId="19" fillId="7" borderId="1" xfId="14" applyFont="1" applyFill="1" applyBorder="1" applyAlignment="1">
      <alignment horizontal="center" vertical="center"/>
    </xf>
    <xf numFmtId="0" fontId="13" fillId="8" borderId="1" xfId="6" applyFont="1" applyFill="1" applyBorder="1"/>
    <xf numFmtId="0" fontId="13" fillId="0" borderId="8" xfId="6" applyFont="1" applyBorder="1"/>
    <xf numFmtId="187" fontId="15" fillId="5" borderId="1" xfId="11" applyFont="1" applyFill="1" applyBorder="1" applyAlignment="1" applyProtection="1">
      <alignment horizontal="center" vertical="center"/>
      <protection hidden="1"/>
    </xf>
    <xf numFmtId="0" fontId="13" fillId="0" borderId="1" xfId="6" applyFont="1" applyBorder="1" applyAlignment="1">
      <alignment horizontal="center"/>
    </xf>
    <xf numFmtId="0" fontId="13" fillId="0" borderId="11" xfId="6" applyFont="1" applyBorder="1" applyAlignment="1">
      <alignment horizontal="center"/>
    </xf>
    <xf numFmtId="0" fontId="13" fillId="0" borderId="0" xfId="6" applyFont="1" applyAlignment="1">
      <alignment horizontal="center"/>
    </xf>
    <xf numFmtId="0" fontId="13" fillId="0" borderId="1" xfId="10" applyFont="1" applyBorder="1" applyAlignment="1" applyProtection="1">
      <alignment horizontal="center" vertical="center"/>
      <protection hidden="1"/>
    </xf>
    <xf numFmtId="0" fontId="13" fillId="8" borderId="1" xfId="6" applyFont="1" applyFill="1" applyBorder="1" applyAlignment="1">
      <alignment horizontal="center"/>
    </xf>
    <xf numFmtId="0" fontId="13" fillId="0" borderId="15" xfId="10" quotePrefix="1" applyFont="1" applyBorder="1" applyAlignment="1" applyProtection="1">
      <alignment horizontal="left" vertical="center"/>
      <protection hidden="1"/>
    </xf>
    <xf numFmtId="0" fontId="13" fillId="0" borderId="15" xfId="10" applyFont="1" applyBorder="1" applyAlignment="1" applyProtection="1">
      <alignment horizontal="left" vertical="center"/>
      <protection hidden="1"/>
    </xf>
    <xf numFmtId="0" fontId="13" fillId="0" borderId="15" xfId="6" applyFont="1" applyBorder="1" applyAlignment="1">
      <alignment horizontal="left"/>
    </xf>
    <xf numFmtId="0" fontId="13" fillId="8" borderId="15" xfId="6" applyFont="1" applyFill="1" applyBorder="1" applyAlignment="1">
      <alignment horizontal="center"/>
    </xf>
    <xf numFmtId="0" fontId="13" fillId="0" borderId="8" xfId="6" applyFont="1" applyBorder="1" applyAlignment="1">
      <alignment horizontal="center"/>
    </xf>
    <xf numFmtId="0" fontId="13" fillId="0" borderId="17" xfId="6" applyFont="1" applyBorder="1" applyAlignment="1">
      <alignment horizontal="center"/>
    </xf>
    <xf numFmtId="0" fontId="13" fillId="8" borderId="17" xfId="6" applyFont="1" applyFill="1" applyBorder="1"/>
    <xf numFmtId="187" fontId="14" fillId="0" borderId="15" xfId="11" applyFont="1" applyFill="1" applyBorder="1" applyAlignment="1" applyProtection="1">
      <alignment horizontal="center" vertical="center"/>
      <protection hidden="1"/>
    </xf>
    <xf numFmtId="187" fontId="14" fillId="8" borderId="15" xfId="6" applyNumberFormat="1" applyFont="1" applyFill="1" applyBorder="1"/>
    <xf numFmtId="187" fontId="14" fillId="0" borderId="8" xfId="6" applyNumberFormat="1" applyFont="1" applyBorder="1"/>
    <xf numFmtId="49" fontId="26" fillId="3" borderId="11" xfId="6" applyNumberFormat="1" applyFont="1" applyFill="1" applyBorder="1" applyAlignment="1">
      <alignment horizontal="center" vertical="center"/>
    </xf>
    <xf numFmtId="43" fontId="28" fillId="0" borderId="11" xfId="13" applyFont="1" applyBorder="1" applyAlignment="1">
      <alignment horizontal="right" vertical="center"/>
    </xf>
    <xf numFmtId="0" fontId="26" fillId="0" borderId="11" xfId="6" applyFont="1" applyBorder="1"/>
    <xf numFmtId="0" fontId="26" fillId="0" borderId="11" xfId="14" applyFont="1" applyBorder="1" applyAlignment="1">
      <alignment horizontal="center" vertical="center"/>
    </xf>
    <xf numFmtId="0" fontId="25" fillId="8" borderId="1" xfId="6" applyFont="1" applyFill="1" applyBorder="1" applyAlignment="1">
      <alignment horizontal="center" vertical="center"/>
    </xf>
    <xf numFmtId="0" fontId="25" fillId="8" borderId="1" xfId="6" applyFont="1" applyFill="1" applyBorder="1" applyAlignment="1">
      <alignment horizontal="center"/>
    </xf>
    <xf numFmtId="43" fontId="25" fillId="8" borderId="1" xfId="1" applyFont="1" applyFill="1" applyBorder="1" applyAlignment="1">
      <alignment horizontal="center" vertical="center"/>
    </xf>
    <xf numFmtId="43" fontId="25" fillId="8" borderId="1" xfId="1" applyFont="1" applyFill="1" applyBorder="1" applyAlignment="1">
      <alignment horizontal="center"/>
    </xf>
    <xf numFmtId="0" fontId="25" fillId="2" borderId="11" xfId="6" applyFont="1" applyFill="1" applyBorder="1" applyAlignment="1">
      <alignment horizontal="center" vertical="center"/>
    </xf>
    <xf numFmtId="0" fontId="25" fillId="2" borderId="11" xfId="6" applyFont="1" applyFill="1" applyBorder="1" applyAlignment="1">
      <alignment horizontal="center"/>
    </xf>
    <xf numFmtId="43" fontId="25" fillId="2" borderId="11" xfId="1" applyFont="1" applyFill="1" applyBorder="1" applyAlignment="1">
      <alignment horizontal="center" vertical="center"/>
    </xf>
    <xf numFmtId="0" fontId="25" fillId="0" borderId="11" xfId="6" applyFont="1" applyBorder="1" applyAlignment="1">
      <alignment horizontal="center" vertical="center"/>
    </xf>
    <xf numFmtId="0" fontId="25" fillId="0" borderId="11" xfId="6" applyFont="1" applyBorder="1" applyAlignment="1">
      <alignment horizontal="center"/>
    </xf>
    <xf numFmtId="43" fontId="25" fillId="0" borderId="11" xfId="1" applyFont="1" applyBorder="1" applyAlignment="1">
      <alignment horizontal="center" vertical="center"/>
    </xf>
    <xf numFmtId="43" fontId="25" fillId="0" borderId="11" xfId="1" applyFont="1" applyBorder="1" applyAlignment="1">
      <alignment horizontal="center"/>
    </xf>
    <xf numFmtId="49" fontId="26" fillId="0" borderId="0" xfId="6" applyNumberFormat="1" applyFont="1" applyAlignment="1">
      <alignment horizontal="center"/>
    </xf>
    <xf numFmtId="0" fontId="26" fillId="0" borderId="0" xfId="6" applyFont="1"/>
    <xf numFmtId="0" fontId="25" fillId="8" borderId="17" xfId="6" applyFont="1" applyFill="1" applyBorder="1" applyAlignment="1">
      <alignment horizontal="center"/>
    </xf>
    <xf numFmtId="0" fontId="25" fillId="2" borderId="0" xfId="6" applyFont="1" applyFill="1" applyAlignment="1">
      <alignment horizontal="center"/>
    </xf>
    <xf numFmtId="0" fontId="25" fillId="0" borderId="0" xfId="6" applyFont="1" applyAlignment="1">
      <alignment horizontal="center"/>
    </xf>
    <xf numFmtId="187" fontId="22" fillId="5" borderId="17" xfId="11" applyFont="1" applyFill="1" applyBorder="1" applyAlignment="1" applyProtection="1">
      <alignment horizontal="center"/>
      <protection hidden="1"/>
    </xf>
    <xf numFmtId="187" fontId="14" fillId="2" borderId="3" xfId="11" applyFont="1" applyFill="1" applyBorder="1" applyAlignment="1" applyProtection="1">
      <alignment horizontal="center"/>
      <protection hidden="1"/>
    </xf>
    <xf numFmtId="43" fontId="28" fillId="0" borderId="0" xfId="12" applyFont="1" applyBorder="1" applyAlignment="1">
      <alignment horizontal="center" vertical="center"/>
    </xf>
    <xf numFmtId="3" fontId="31" fillId="9" borderId="10" xfId="16" applyFont="1" applyFill="1" applyBorder="1" applyAlignment="1">
      <alignment horizontal="right"/>
    </xf>
    <xf numFmtId="3" fontId="31" fillId="0" borderId="10" xfId="16" applyFont="1" applyFill="1" applyBorder="1" applyAlignment="1">
      <alignment horizontal="right"/>
    </xf>
    <xf numFmtId="187" fontId="14" fillId="2" borderId="3" xfId="11" applyFont="1" applyFill="1" applyBorder="1" applyAlignment="1" applyProtection="1">
      <protection hidden="1"/>
    </xf>
    <xf numFmtId="43" fontId="25" fillId="8" borderId="17" xfId="1" applyFont="1" applyFill="1" applyBorder="1" applyAlignment="1">
      <alignment horizontal="center"/>
    </xf>
    <xf numFmtId="43" fontId="25" fillId="2" borderId="0" xfId="1" applyFont="1" applyFill="1" applyBorder="1" applyAlignment="1">
      <alignment horizontal="center"/>
    </xf>
    <xf numFmtId="43" fontId="25" fillId="0" borderId="0" xfId="1" applyFont="1" applyBorder="1" applyAlignment="1">
      <alignment horizontal="center"/>
    </xf>
    <xf numFmtId="0" fontId="25" fillId="4" borderId="9" xfId="14" applyFont="1" applyFill="1" applyBorder="1" applyAlignment="1">
      <alignment horizontal="center" vertical="center"/>
    </xf>
    <xf numFmtId="49" fontId="25" fillId="4" borderId="9" xfId="6" applyNumberFormat="1" applyFont="1" applyFill="1" applyBorder="1" applyAlignment="1">
      <alignment horizontal="center" vertical="center"/>
    </xf>
    <xf numFmtId="49" fontId="26" fillId="7" borderId="16" xfId="6" applyNumberFormat="1" applyFont="1" applyFill="1" applyBorder="1" applyAlignment="1">
      <alignment horizontal="center" vertical="center"/>
    </xf>
    <xf numFmtId="43" fontId="28" fillId="7" borderId="6" xfId="12" applyFont="1" applyFill="1" applyBorder="1" applyAlignment="1">
      <alignment horizontal="center" vertical="center"/>
    </xf>
    <xf numFmtId="43" fontId="28" fillId="0" borderId="12" xfId="12" applyFont="1" applyBorder="1" applyAlignment="1">
      <alignment horizontal="center" vertical="center"/>
    </xf>
    <xf numFmtId="43" fontId="26" fillId="0" borderId="23" xfId="1" applyFont="1" applyFill="1" applyBorder="1" applyAlignment="1">
      <alignment horizontal="right" vertical="center"/>
    </xf>
    <xf numFmtId="0" fontId="26" fillId="0" borderId="12" xfId="6" applyFont="1" applyBorder="1"/>
    <xf numFmtId="0" fontId="24" fillId="2" borderId="0" xfId="6" applyFont="1" applyFill="1" applyAlignment="1">
      <alignment horizontal="center" vertical="center"/>
    </xf>
    <xf numFmtId="0" fontId="20" fillId="10" borderId="0" xfId="6" applyFont="1" applyFill="1"/>
    <xf numFmtId="0" fontId="11" fillId="0" borderId="0" xfId="7" applyFont="1" applyAlignment="1">
      <alignment horizontal="left" vertical="center"/>
    </xf>
    <xf numFmtId="4" fontId="11" fillId="0" borderId="0" xfId="8" applyNumberFormat="1" applyFont="1" applyAlignment="1">
      <alignment horizontal="left" vertical="center"/>
    </xf>
    <xf numFmtId="0" fontId="14" fillId="2" borderId="8" xfId="10" applyFont="1" applyFill="1" applyBorder="1" applyAlignment="1" applyProtection="1">
      <alignment horizontal="center" vertical="center"/>
      <protection hidden="1"/>
    </xf>
    <xf numFmtId="0" fontId="27" fillId="0" borderId="8" xfId="6" quotePrefix="1" applyFont="1" applyBorder="1"/>
    <xf numFmtId="0" fontId="27" fillId="0" borderId="25" xfId="6" quotePrefix="1" applyFont="1" applyBorder="1"/>
    <xf numFmtId="0" fontId="29" fillId="7" borderId="7" xfId="6" quotePrefix="1" applyFont="1" applyFill="1" applyBorder="1" applyAlignment="1">
      <alignment horizontal="center"/>
    </xf>
    <xf numFmtId="0" fontId="25" fillId="8" borderId="15" xfId="6" applyFont="1" applyFill="1" applyBorder="1" applyAlignment="1">
      <alignment horizontal="center"/>
    </xf>
    <xf numFmtId="0" fontId="25" fillId="2" borderId="8" xfId="6" applyFont="1" applyFill="1" applyBorder="1" applyAlignment="1">
      <alignment horizontal="center"/>
    </xf>
    <xf numFmtId="0" fontId="25" fillId="0" borderId="8" xfId="6" applyFont="1" applyBorder="1" applyAlignment="1">
      <alignment horizontal="center"/>
    </xf>
    <xf numFmtId="49" fontId="26" fillId="3" borderId="13" xfId="6" applyNumberFormat="1" applyFont="1" applyFill="1" applyBorder="1" applyAlignment="1">
      <alignment horizontal="center" vertical="center"/>
    </xf>
    <xf numFmtId="49" fontId="26" fillId="3" borderId="10" xfId="6" applyNumberFormat="1" applyFont="1" applyFill="1" applyBorder="1" applyAlignment="1">
      <alignment horizontal="center" vertical="center"/>
    </xf>
    <xf numFmtId="49" fontId="26" fillId="3" borderId="12" xfId="6" applyNumberFormat="1" applyFont="1" applyFill="1" applyBorder="1" applyAlignment="1">
      <alignment horizontal="center" vertical="center"/>
    </xf>
    <xf numFmtId="43" fontId="25" fillId="8" borderId="17" xfId="1" applyFont="1" applyFill="1" applyBorder="1" applyAlignment="1">
      <alignment horizontal="center" vertical="center"/>
    </xf>
    <xf numFmtId="0" fontId="12" fillId="0" borderId="0" xfId="9" applyNumberFormat="1" applyFont="1" applyFill="1" applyBorder="1" applyAlignment="1">
      <alignment horizontal="left" vertical="center"/>
    </xf>
    <xf numFmtId="188" fontId="32" fillId="0" borderId="22" xfId="1" applyNumberFormat="1" applyFont="1" applyFill="1" applyBorder="1" applyAlignment="1">
      <alignment horizontal="right" vertical="center"/>
    </xf>
    <xf numFmtId="188" fontId="32" fillId="0" borderId="10" xfId="1" applyNumberFormat="1" applyFont="1" applyFill="1" applyBorder="1" applyAlignment="1">
      <alignment horizontal="right" vertical="center"/>
    </xf>
    <xf numFmtId="188" fontId="19" fillId="7" borderId="1" xfId="1" applyNumberFormat="1" applyFont="1" applyFill="1" applyBorder="1" applyAlignment="1">
      <alignment horizontal="right" vertical="center"/>
    </xf>
    <xf numFmtId="188" fontId="18" fillId="7" borderId="1" xfId="1" applyNumberFormat="1" applyFont="1" applyFill="1" applyBorder="1" applyAlignment="1">
      <alignment horizontal="right" vertical="center"/>
    </xf>
    <xf numFmtId="3" fontId="31" fillId="0" borderId="0" xfId="16" applyFont="1" applyFill="1" applyBorder="1" applyAlignment="1">
      <alignment horizontal="right"/>
    </xf>
    <xf numFmtId="3" fontId="31" fillId="9" borderId="11" xfId="16" applyFont="1" applyFill="1" applyBorder="1" applyAlignment="1">
      <alignment horizontal="right"/>
    </xf>
    <xf numFmtId="3" fontId="31" fillId="9" borderId="0" xfId="16" applyFont="1" applyFill="1" applyBorder="1" applyAlignment="1">
      <alignment horizontal="right"/>
    </xf>
    <xf numFmtId="0" fontId="33" fillId="7" borderId="15" xfId="14" applyFont="1" applyFill="1" applyBorder="1" applyAlignment="1">
      <alignment horizontal="center" vertical="center"/>
    </xf>
    <xf numFmtId="43" fontId="32" fillId="7" borderId="17" xfId="1" applyFont="1" applyFill="1" applyBorder="1" applyAlignment="1">
      <alignment horizontal="center" vertical="center"/>
    </xf>
    <xf numFmtId="188" fontId="32" fillId="7" borderId="1" xfId="1" applyNumberFormat="1" applyFont="1" applyFill="1" applyBorder="1" applyAlignment="1">
      <alignment horizontal="right" vertical="center"/>
    </xf>
    <xf numFmtId="188" fontId="33" fillId="7" borderId="1" xfId="1" applyNumberFormat="1" applyFont="1" applyFill="1" applyBorder="1" applyAlignment="1">
      <alignment horizontal="right" vertical="center"/>
    </xf>
    <xf numFmtId="0" fontId="35" fillId="0" borderId="8" xfId="6" quotePrefix="1" applyFont="1" applyBorder="1"/>
    <xf numFmtId="43" fontId="36" fillId="0" borderId="0" xfId="12" applyFont="1" applyBorder="1" applyAlignment="1">
      <alignment horizontal="center" vertical="center"/>
    </xf>
    <xf numFmtId="43" fontId="36" fillId="0" borderId="11" xfId="13" applyFont="1" applyBorder="1" applyAlignment="1">
      <alignment horizontal="right" vertical="center"/>
    </xf>
    <xf numFmtId="0" fontId="32" fillId="0" borderId="0" xfId="6" applyFont="1"/>
    <xf numFmtId="0" fontId="32" fillId="0" borderId="11" xfId="6" applyFont="1" applyBorder="1"/>
    <xf numFmtId="0" fontId="33" fillId="4" borderId="15" xfId="10" applyFont="1" applyFill="1" applyBorder="1" applyAlignment="1" applyProtection="1">
      <alignment horizontal="left" vertical="center"/>
      <protection hidden="1"/>
    </xf>
    <xf numFmtId="43" fontId="32" fillId="4" borderId="17" xfId="1" applyFont="1" applyFill="1" applyBorder="1" applyAlignment="1">
      <alignment horizontal="center" vertical="center"/>
    </xf>
    <xf numFmtId="43" fontId="32" fillId="4" borderId="1" xfId="1" applyFont="1" applyFill="1" applyBorder="1" applyAlignment="1">
      <alignment horizontal="right" vertical="center"/>
    </xf>
    <xf numFmtId="43" fontId="32" fillId="4" borderId="17" xfId="1" applyFont="1" applyFill="1" applyBorder="1" applyAlignment="1">
      <alignment horizontal="right" vertical="center"/>
    </xf>
    <xf numFmtId="3" fontId="31" fillId="0" borderId="8" xfId="16" applyFont="1" applyFill="1" applyBorder="1" applyAlignment="1">
      <alignment horizontal="left"/>
    </xf>
    <xf numFmtId="3" fontId="31" fillId="0" borderId="11" xfId="16" applyFont="1" applyFill="1" applyBorder="1" applyAlignment="1">
      <alignment horizontal="center"/>
    </xf>
    <xf numFmtId="0" fontId="32" fillId="0" borderId="8" xfId="14" applyFont="1" applyBorder="1" applyAlignment="1">
      <alignment horizontal="left" vertical="center"/>
    </xf>
    <xf numFmtId="43" fontId="32" fillId="0" borderId="0" xfId="1" applyFont="1" applyFill="1" applyBorder="1" applyAlignment="1">
      <alignment horizontal="center" vertical="center"/>
    </xf>
    <xf numFmtId="43" fontId="32" fillId="0" borderId="11" xfId="1" applyFont="1" applyFill="1" applyBorder="1" applyAlignment="1">
      <alignment horizontal="right" vertical="center"/>
    </xf>
    <xf numFmtId="43" fontId="32" fillId="0" borderId="0" xfId="1" applyFont="1" applyFill="1" applyBorder="1" applyAlignment="1">
      <alignment horizontal="right" vertical="center"/>
    </xf>
    <xf numFmtId="0" fontId="37" fillId="4" borderId="4" xfId="6" quotePrefix="1" applyFont="1" applyFill="1" applyBorder="1"/>
    <xf numFmtId="43" fontId="36" fillId="4" borderId="3" xfId="12" applyFont="1" applyFill="1" applyBorder="1" applyAlignment="1">
      <alignment horizontal="center" vertical="center"/>
    </xf>
    <xf numFmtId="43" fontId="36" fillId="4" borderId="9" xfId="13" applyFont="1" applyFill="1" applyBorder="1" applyAlignment="1">
      <alignment horizontal="right" vertical="center"/>
    </xf>
    <xf numFmtId="0" fontId="32" fillId="4" borderId="3" xfId="6" applyFont="1" applyFill="1" applyBorder="1"/>
    <xf numFmtId="0" fontId="32" fillId="4" borderId="9" xfId="6" applyFont="1" applyFill="1" applyBorder="1"/>
    <xf numFmtId="0" fontId="35" fillId="0" borderId="24" xfId="6" quotePrefix="1" applyFont="1" applyBorder="1"/>
    <xf numFmtId="43" fontId="32" fillId="0" borderId="13" xfId="1" applyFont="1" applyFill="1" applyBorder="1" applyAlignment="1">
      <alignment horizontal="center" vertical="center"/>
    </xf>
    <xf numFmtId="0" fontId="35" fillId="0" borderId="20" xfId="6" quotePrefix="1" applyFont="1" applyBorder="1"/>
    <xf numFmtId="43" fontId="36" fillId="0" borderId="10" xfId="12" applyFont="1" applyBorder="1" applyAlignment="1">
      <alignment horizontal="center" vertical="center"/>
    </xf>
    <xf numFmtId="49" fontId="30" fillId="4" borderId="9" xfId="6" applyNumberFormat="1" applyFont="1" applyFill="1" applyBorder="1" applyAlignment="1">
      <alignment horizontal="center" vertical="center"/>
    </xf>
    <xf numFmtId="0" fontId="38" fillId="4" borderId="4" xfId="6" quotePrefix="1" applyFont="1" applyFill="1" applyBorder="1"/>
    <xf numFmtId="0" fontId="36" fillId="4" borderId="3" xfId="6" applyFont="1" applyFill="1" applyBorder="1"/>
    <xf numFmtId="0" fontId="36" fillId="4" borderId="9" xfId="6" applyFont="1" applyFill="1" applyBorder="1"/>
    <xf numFmtId="49" fontId="28" fillId="3" borderId="13" xfId="6" applyNumberFormat="1" applyFont="1" applyFill="1" applyBorder="1" applyAlignment="1">
      <alignment horizontal="center" vertical="center"/>
    </xf>
    <xf numFmtId="0" fontId="36" fillId="0" borderId="24" xfId="6" quotePrefix="1" applyFont="1" applyBorder="1"/>
    <xf numFmtId="188" fontId="36" fillId="0" borderId="22" xfId="1" applyNumberFormat="1" applyFont="1" applyFill="1" applyBorder="1" applyAlignment="1">
      <alignment horizontal="right" vertical="center"/>
    </xf>
    <xf numFmtId="3" fontId="36" fillId="9" borderId="10" xfId="16" applyFont="1" applyFill="1" applyBorder="1" applyAlignment="1">
      <alignment horizontal="right"/>
    </xf>
    <xf numFmtId="188" fontId="36" fillId="0" borderId="10" xfId="1" applyNumberFormat="1" applyFont="1" applyFill="1" applyBorder="1" applyAlignment="1">
      <alignment horizontal="right" vertical="center"/>
    </xf>
    <xf numFmtId="49" fontId="28" fillId="3" borderId="10" xfId="6" applyNumberFormat="1" applyFont="1" applyFill="1" applyBorder="1" applyAlignment="1">
      <alignment horizontal="center" vertical="center"/>
    </xf>
    <xf numFmtId="0" fontId="36" fillId="0" borderId="20" xfId="6" quotePrefix="1" applyFont="1" applyBorder="1"/>
    <xf numFmtId="3" fontId="36" fillId="0" borderId="10" xfId="16" applyFont="1" applyFill="1" applyBorder="1" applyAlignment="1">
      <alignment horizontal="right"/>
    </xf>
    <xf numFmtId="49" fontId="28" fillId="3" borderId="12" xfId="6" applyNumberFormat="1" applyFont="1" applyFill="1" applyBorder="1" applyAlignment="1">
      <alignment horizontal="center" vertical="center"/>
    </xf>
    <xf numFmtId="49" fontId="28" fillId="7" borderId="16" xfId="6" applyNumberFormat="1" applyFont="1" applyFill="1" applyBorder="1" applyAlignment="1">
      <alignment horizontal="center" vertical="center"/>
    </xf>
    <xf numFmtId="0" fontId="38" fillId="7" borderId="15" xfId="14" applyFont="1" applyFill="1" applyBorder="1" applyAlignment="1">
      <alignment horizontal="center" vertical="center"/>
    </xf>
    <xf numFmtId="43" fontId="36" fillId="7" borderId="1" xfId="1" applyFont="1" applyFill="1" applyBorder="1" applyAlignment="1">
      <alignment horizontal="center" vertical="center"/>
    </xf>
    <xf numFmtId="43" fontId="36" fillId="7" borderId="17" xfId="1" applyFont="1" applyFill="1" applyBorder="1" applyAlignment="1">
      <alignment horizontal="center" vertical="center"/>
    </xf>
    <xf numFmtId="188" fontId="39" fillId="7" borderId="1" xfId="1" applyNumberFormat="1" applyFont="1" applyFill="1" applyBorder="1" applyAlignment="1">
      <alignment horizontal="right" vertical="center"/>
    </xf>
    <xf numFmtId="188" fontId="40" fillId="7" borderId="1" xfId="1" applyNumberFormat="1" applyFont="1" applyFill="1" applyBorder="1" applyAlignment="1">
      <alignment horizontal="right" vertical="center"/>
    </xf>
    <xf numFmtId="0" fontId="11" fillId="2" borderId="9" xfId="10" applyFont="1" applyFill="1" applyBorder="1" applyAlignment="1" applyProtection="1">
      <alignment horizontal="center" vertical="center"/>
      <protection hidden="1"/>
    </xf>
    <xf numFmtId="0" fontId="11" fillId="2" borderId="0" xfId="10" applyFont="1" applyFill="1" applyAlignment="1" applyProtection="1">
      <alignment horizontal="center" vertical="center"/>
      <protection hidden="1"/>
    </xf>
    <xf numFmtId="187" fontId="11" fillId="2" borderId="0" xfId="11" applyFont="1" applyFill="1" applyBorder="1" applyAlignment="1" applyProtection="1">
      <alignment horizontal="center"/>
      <protection hidden="1"/>
    </xf>
    <xf numFmtId="187" fontId="11" fillId="2" borderId="3" xfId="11" applyFont="1" applyFill="1" applyBorder="1" applyAlignment="1" applyProtection="1">
      <alignment horizontal="center"/>
      <protection hidden="1"/>
    </xf>
    <xf numFmtId="187" fontId="11" fillId="2" borderId="4" xfId="11" applyFont="1" applyFill="1" applyBorder="1" applyAlignment="1" applyProtection="1">
      <alignment horizontal="center"/>
      <protection hidden="1"/>
    </xf>
    <xf numFmtId="187" fontId="11" fillId="2" borderId="3" xfId="11" applyFont="1" applyFill="1" applyBorder="1" applyAlignment="1" applyProtection="1">
      <protection hidden="1"/>
    </xf>
    <xf numFmtId="187" fontId="11" fillId="2" borderId="9" xfId="11" applyFont="1" applyFill="1" applyBorder="1" applyAlignment="1" applyProtection="1">
      <protection hidden="1"/>
    </xf>
    <xf numFmtId="1" fontId="30" fillId="4" borderId="1" xfId="14" applyNumberFormat="1" applyFont="1" applyFill="1" applyBorder="1" applyAlignment="1">
      <alignment horizontal="center" vertical="center"/>
    </xf>
    <xf numFmtId="0" fontId="38" fillId="4" borderId="17" xfId="10" quotePrefix="1" applyFont="1" applyFill="1" applyBorder="1" applyAlignment="1" applyProtection="1">
      <alignment horizontal="left" vertical="center"/>
      <protection hidden="1"/>
    </xf>
    <xf numFmtId="3" fontId="36" fillId="4" borderId="1" xfId="15" applyNumberFormat="1" applyFont="1" applyFill="1" applyBorder="1" applyAlignment="1">
      <alignment horizontal="center" vertical="center"/>
    </xf>
    <xf numFmtId="0" fontId="36" fillId="4" borderId="17" xfId="14" applyFont="1" applyFill="1" applyBorder="1" applyAlignment="1">
      <alignment horizontal="center" vertical="center"/>
    </xf>
    <xf numFmtId="43" fontId="36" fillId="4" borderId="9" xfId="1" applyFont="1" applyFill="1" applyBorder="1" applyAlignment="1">
      <alignment horizontal="center" vertical="center"/>
    </xf>
    <xf numFmtId="43" fontId="36" fillId="4" borderId="4" xfId="1" applyFont="1" applyFill="1" applyBorder="1" applyAlignment="1">
      <alignment horizontal="right" vertical="center"/>
    </xf>
    <xf numFmtId="43" fontId="36" fillId="4" borderId="3" xfId="1" applyFont="1" applyFill="1" applyBorder="1" applyAlignment="1">
      <alignment horizontal="right" vertical="center"/>
    </xf>
    <xf numFmtId="43" fontId="36" fillId="4" borderId="9" xfId="1" applyFont="1" applyFill="1" applyBorder="1" applyAlignment="1">
      <alignment horizontal="right" vertical="center"/>
    </xf>
    <xf numFmtId="0" fontId="12" fillId="0" borderId="12" xfId="6" applyFont="1" applyBorder="1"/>
    <xf numFmtId="0" fontId="36" fillId="0" borderId="18" xfId="6" applyFont="1" applyBorder="1"/>
    <xf numFmtId="0" fontId="36" fillId="0" borderId="21" xfId="6" applyFont="1" applyBorder="1"/>
    <xf numFmtId="3" fontId="36" fillId="0" borderId="11" xfId="16" applyFont="1" applyFill="1" applyBorder="1" applyAlignment="1">
      <alignment horizontal="right"/>
    </xf>
    <xf numFmtId="3" fontId="36" fillId="0" borderId="0" xfId="16" applyFont="1" applyFill="1" applyBorder="1" applyAlignment="1">
      <alignment horizontal="right"/>
    </xf>
    <xf numFmtId="3" fontId="36" fillId="9" borderId="11" xfId="16" applyFont="1" applyFill="1" applyBorder="1" applyAlignment="1">
      <alignment horizontal="right"/>
    </xf>
    <xf numFmtId="43" fontId="28" fillId="7" borderId="1" xfId="1" applyFont="1" applyFill="1" applyBorder="1" applyAlignment="1">
      <alignment horizontal="center" vertical="center"/>
    </xf>
    <xf numFmtId="188" fontId="38" fillId="7" borderId="17" xfId="1" applyNumberFormat="1" applyFont="1" applyFill="1" applyBorder="1" applyAlignment="1">
      <alignment horizontal="right" vertical="center"/>
    </xf>
    <xf numFmtId="188" fontId="36" fillId="7" borderId="1" xfId="1" applyNumberFormat="1" applyFont="1" applyFill="1" applyBorder="1" applyAlignment="1">
      <alignment horizontal="right" vertical="center"/>
    </xf>
    <xf numFmtId="188" fontId="38" fillId="7" borderId="1" xfId="1" applyNumberFormat="1" applyFont="1" applyFill="1" applyBorder="1" applyAlignment="1">
      <alignment horizontal="right" vertical="center"/>
    </xf>
    <xf numFmtId="0" fontId="13" fillId="0" borderId="0" xfId="2" quotePrefix="1" applyFont="1" applyAlignment="1">
      <alignment horizontal="left"/>
    </xf>
    <xf numFmtId="188" fontId="36" fillId="0" borderId="19" xfId="1" applyNumberFormat="1" applyFont="1" applyFill="1" applyBorder="1" applyAlignment="1">
      <alignment horizontal="right" vertical="center"/>
    </xf>
    <xf numFmtId="187" fontId="22" fillId="5" borderId="3" xfId="11" applyFont="1" applyFill="1" applyBorder="1" applyAlignment="1" applyProtection="1">
      <alignment horizontal="center"/>
      <protection hidden="1"/>
    </xf>
    <xf numFmtId="3" fontId="31" fillId="0" borderId="8" xfId="16" applyFont="1" applyFill="1" applyBorder="1" applyAlignment="1">
      <alignment horizontal="center"/>
    </xf>
    <xf numFmtId="43" fontId="26" fillId="0" borderId="12" xfId="1" applyFont="1" applyFill="1" applyBorder="1" applyAlignment="1">
      <alignment horizontal="right" vertical="center"/>
    </xf>
    <xf numFmtId="187" fontId="14" fillId="2" borderId="8" xfId="11" applyFont="1" applyFill="1" applyBorder="1" applyAlignment="1" applyProtection="1">
      <alignment horizontal="center"/>
      <protection hidden="1"/>
    </xf>
    <xf numFmtId="0" fontId="36" fillId="4" borderId="4" xfId="6" applyFont="1" applyFill="1" applyBorder="1" applyAlignment="1">
      <alignment horizontal="center" vertical="center"/>
    </xf>
    <xf numFmtId="0" fontId="36" fillId="2" borderId="24" xfId="6" applyFont="1" applyFill="1" applyBorder="1" applyAlignment="1">
      <alignment horizontal="center" vertical="center"/>
    </xf>
    <xf numFmtId="0" fontId="36" fillId="2" borderId="20" xfId="6" applyFont="1" applyFill="1" applyBorder="1" applyAlignment="1">
      <alignment horizontal="center" vertical="center"/>
    </xf>
    <xf numFmtId="0" fontId="36" fillId="2" borderId="8" xfId="6" applyFont="1" applyFill="1" applyBorder="1" applyAlignment="1">
      <alignment horizontal="center" vertical="center"/>
    </xf>
    <xf numFmtId="0" fontId="32" fillId="4" borderId="15" xfId="14" applyFont="1" applyFill="1" applyBorder="1" applyAlignment="1">
      <alignment horizontal="center" vertical="center"/>
    </xf>
    <xf numFmtId="0" fontId="32" fillId="7" borderId="15" xfId="14" applyFont="1" applyFill="1" applyBorder="1" applyAlignment="1">
      <alignment horizontal="center" vertical="center"/>
    </xf>
    <xf numFmtId="0" fontId="32" fillId="0" borderId="8" xfId="14" applyFont="1" applyBorder="1" applyAlignment="1">
      <alignment horizontal="center" vertical="center"/>
    </xf>
    <xf numFmtId="0" fontId="28" fillId="2" borderId="25" xfId="6" applyFont="1" applyFill="1" applyBorder="1" applyAlignment="1">
      <alignment horizontal="center" vertical="center"/>
    </xf>
    <xf numFmtId="0" fontId="28" fillId="7" borderId="7" xfId="6" applyFont="1" applyFill="1" applyBorder="1" applyAlignment="1">
      <alignment horizontal="center" vertical="center"/>
    </xf>
    <xf numFmtId="0" fontId="28" fillId="2" borderId="8" xfId="6" applyFont="1" applyFill="1" applyBorder="1" applyAlignment="1">
      <alignment horizontal="center" vertical="center"/>
    </xf>
    <xf numFmtId="2" fontId="36" fillId="4" borderId="9" xfId="6" applyNumberFormat="1" applyFont="1" applyFill="1" applyBorder="1" applyAlignment="1">
      <alignment horizontal="center" vertical="center"/>
    </xf>
    <xf numFmtId="1" fontId="36" fillId="2" borderId="13" xfId="6" applyNumberFormat="1" applyFont="1" applyFill="1" applyBorder="1" applyAlignment="1">
      <alignment horizontal="right" vertical="center"/>
    </xf>
    <xf numFmtId="1" fontId="36" fillId="2" borderId="10" xfId="6" applyNumberFormat="1" applyFont="1" applyFill="1" applyBorder="1" applyAlignment="1">
      <alignment horizontal="right" vertical="center"/>
    </xf>
    <xf numFmtId="187" fontId="11" fillId="2" borderId="11" xfId="11" applyFont="1" applyFill="1" applyBorder="1" applyAlignment="1" applyProtection="1">
      <alignment horizontal="center"/>
      <protection hidden="1"/>
    </xf>
    <xf numFmtId="1" fontId="36" fillId="2" borderId="11" xfId="6" applyNumberFormat="1" applyFont="1" applyFill="1" applyBorder="1" applyAlignment="1">
      <alignment horizontal="center" vertical="center"/>
    </xf>
    <xf numFmtId="3" fontId="32" fillId="4" borderId="1" xfId="15" applyNumberFormat="1" applyFont="1" applyFill="1" applyBorder="1" applyAlignment="1">
      <alignment horizontal="center" vertical="center"/>
    </xf>
    <xf numFmtId="188" fontId="31" fillId="0" borderId="11" xfId="1" applyNumberFormat="1" applyFont="1" applyFill="1" applyBorder="1" applyAlignment="1">
      <alignment horizontal="center"/>
    </xf>
    <xf numFmtId="3" fontId="32" fillId="7" borderId="1" xfId="15" applyNumberFormat="1" applyFont="1" applyFill="1" applyBorder="1" applyAlignment="1">
      <alignment horizontal="center" vertical="center"/>
    </xf>
    <xf numFmtId="3" fontId="32" fillId="0" borderId="11" xfId="15" applyNumberFormat="1" applyFont="1" applyFill="1" applyBorder="1" applyAlignment="1">
      <alignment horizontal="center" vertical="center"/>
    </xf>
    <xf numFmtId="1" fontId="28" fillId="2" borderId="12" xfId="6" applyNumberFormat="1" applyFont="1" applyFill="1" applyBorder="1" applyAlignment="1">
      <alignment horizontal="center" vertical="center"/>
    </xf>
    <xf numFmtId="2" fontId="28" fillId="7" borderId="16" xfId="6" applyNumberFormat="1" applyFont="1" applyFill="1" applyBorder="1" applyAlignment="1">
      <alignment horizontal="center" vertical="center"/>
    </xf>
    <xf numFmtId="2" fontId="28" fillId="2" borderId="11" xfId="6" applyNumberFormat="1" applyFont="1" applyFill="1" applyBorder="1" applyAlignment="1">
      <alignment horizontal="center" vertical="center"/>
    </xf>
    <xf numFmtId="187" fontId="14" fillId="2" borderId="9" xfId="11" applyFont="1" applyFill="1" applyBorder="1" applyAlignment="1" applyProtection="1">
      <alignment vertical="center"/>
      <protection hidden="1"/>
    </xf>
    <xf numFmtId="187" fontId="11" fillId="2" borderId="9" xfId="11" applyFont="1" applyFill="1" applyBorder="1" applyAlignment="1" applyProtection="1">
      <alignment vertical="center"/>
      <protection hidden="1"/>
    </xf>
    <xf numFmtId="187" fontId="32" fillId="0" borderId="11" xfId="6" applyNumberFormat="1" applyFont="1" applyBorder="1"/>
    <xf numFmtId="43" fontId="25" fillId="0" borderId="11" xfId="1" applyFont="1" applyBorder="1"/>
    <xf numFmtId="43" fontId="25" fillId="8" borderId="1" xfId="1" applyFont="1" applyFill="1" applyBorder="1"/>
    <xf numFmtId="14" fontId="41" fillId="0" borderId="0" xfId="9" quotePrefix="1" applyNumberFormat="1" applyFont="1" applyFill="1" applyBorder="1" applyAlignment="1">
      <alignment horizontal="left" vertical="center"/>
    </xf>
    <xf numFmtId="4" fontId="28" fillId="0" borderId="0" xfId="8" applyNumberFormat="1" applyFont="1" applyAlignment="1">
      <alignment horizontal="center" vertical="center"/>
    </xf>
    <xf numFmtId="0" fontId="28" fillId="0" borderId="0" xfId="9" applyNumberFormat="1" applyFont="1" applyFill="1" applyBorder="1" applyAlignment="1">
      <alignment horizontal="center" vertical="center"/>
    </xf>
    <xf numFmtId="4" fontId="28" fillId="0" borderId="0" xfId="6" applyNumberFormat="1" applyFont="1" applyAlignment="1">
      <alignment horizontal="left" vertical="center"/>
    </xf>
    <xf numFmtId="0" fontId="30" fillId="0" borderId="0" xfId="7" applyFont="1" applyAlignment="1">
      <alignment horizontal="left" vertical="center"/>
    </xf>
    <xf numFmtId="4" fontId="30" fillId="0" borderId="0" xfId="8" applyNumberFormat="1" applyFont="1" applyAlignment="1">
      <alignment horizontal="left" vertical="center"/>
    </xf>
    <xf numFmtId="4" fontId="28" fillId="0" borderId="0" xfId="8" applyNumberFormat="1" applyFont="1" applyAlignment="1">
      <alignment horizontal="left" vertical="center"/>
    </xf>
    <xf numFmtId="0" fontId="28" fillId="0" borderId="0" xfId="9" applyNumberFormat="1" applyFont="1" applyFill="1" applyBorder="1" applyAlignment="1">
      <alignment horizontal="left" vertical="center"/>
    </xf>
    <xf numFmtId="4" fontId="28" fillId="0" borderId="0" xfId="8" applyNumberFormat="1" applyFont="1" applyAlignment="1">
      <alignment vertical="center"/>
    </xf>
    <xf numFmtId="0" fontId="0" fillId="0" borderId="9" xfId="0" applyBorder="1"/>
    <xf numFmtId="0" fontId="12" fillId="0" borderId="11" xfId="6" applyFont="1" applyBorder="1"/>
    <xf numFmtId="0" fontId="0" fillId="0" borderId="11" xfId="0" applyBorder="1"/>
    <xf numFmtId="0" fontId="13" fillId="2" borderId="11" xfId="6" applyFont="1" applyFill="1" applyBorder="1"/>
    <xf numFmtId="0" fontId="0" fillId="0" borderId="16" xfId="0" applyBorder="1"/>
    <xf numFmtId="187" fontId="14" fillId="0" borderId="1" xfId="11" applyFont="1" applyFill="1" applyBorder="1" applyAlignment="1" applyProtection="1">
      <alignment horizontal="center" vertical="center"/>
      <protection hidden="1"/>
    </xf>
    <xf numFmtId="187" fontId="14" fillId="0" borderId="1" xfId="6" applyNumberFormat="1" applyFont="1" applyBorder="1" applyAlignment="1">
      <alignment horizontal="center"/>
    </xf>
    <xf numFmtId="187" fontId="14" fillId="8" borderId="1" xfId="6" applyNumberFormat="1" applyFont="1" applyFill="1" applyBorder="1"/>
    <xf numFmtId="187" fontId="14" fillId="0" borderId="11" xfId="6" applyNumberFormat="1" applyFont="1" applyBorder="1"/>
    <xf numFmtId="0" fontId="14" fillId="0" borderId="11" xfId="6" applyFont="1" applyBorder="1"/>
    <xf numFmtId="0" fontId="14" fillId="8" borderId="1" xfId="6" applyFont="1" applyFill="1" applyBorder="1"/>
    <xf numFmtId="0" fontId="9" fillId="0" borderId="1" xfId="6" applyBorder="1"/>
    <xf numFmtId="187" fontId="14" fillId="0" borderId="9" xfId="11" applyFont="1" applyFill="1" applyBorder="1" applyAlignment="1" applyProtection="1">
      <alignment horizontal="center" vertical="center"/>
      <protection hidden="1"/>
    </xf>
    <xf numFmtId="187" fontId="14" fillId="0" borderId="11" xfId="11" applyFont="1" applyFill="1" applyBorder="1" applyAlignment="1" applyProtection="1">
      <alignment horizontal="center" vertical="center"/>
      <protection hidden="1"/>
    </xf>
    <xf numFmtId="0" fontId="13" fillId="0" borderId="16" xfId="6" applyFont="1" applyBorder="1"/>
    <xf numFmtId="188" fontId="36" fillId="0" borderId="10" xfId="12" applyNumberFormat="1" applyFont="1" applyBorder="1" applyAlignment="1">
      <alignment horizontal="center" vertical="center"/>
    </xf>
    <xf numFmtId="0" fontId="43" fillId="0" borderId="0" xfId="0" applyFont="1" applyAlignment="1">
      <alignment horizontal="center" vertical="center"/>
    </xf>
    <xf numFmtId="1" fontId="44" fillId="0" borderId="0" xfId="0" quotePrefix="1" applyNumberFormat="1" applyFont="1" applyAlignment="1">
      <alignment horizontal="left" vertical="center"/>
    </xf>
    <xf numFmtId="0" fontId="44" fillId="0" borderId="0" xfId="0" applyFont="1" applyAlignment="1">
      <alignment vertical="center"/>
    </xf>
    <xf numFmtId="0" fontId="44" fillId="0" borderId="0" xfId="0" quotePrefix="1" applyFont="1" applyAlignment="1">
      <alignment vertical="center"/>
    </xf>
    <xf numFmtId="1" fontId="42" fillId="0" borderId="0" xfId="0" applyNumberFormat="1" applyFont="1" applyAlignment="1">
      <alignment horizontal="left" vertical="center"/>
    </xf>
    <xf numFmtId="0" fontId="10" fillId="0" borderId="0" xfId="6" applyFont="1" applyAlignment="1">
      <alignment horizontal="center" vertical="center"/>
    </xf>
    <xf numFmtId="0" fontId="8" fillId="0" borderId="0" xfId="10" applyFont="1" applyAlignment="1" applyProtection="1">
      <alignment horizontal="center" vertical="center"/>
      <protection hidden="1"/>
    </xf>
    <xf numFmtId="187" fontId="15" fillId="5" borderId="9" xfId="11" applyFont="1" applyFill="1" applyBorder="1" applyAlignment="1" applyProtection="1">
      <alignment horizontal="center" vertical="center"/>
      <protection hidden="1"/>
    </xf>
    <xf numFmtId="187" fontId="15" fillId="5" borderId="16" xfId="11" applyFont="1" applyFill="1" applyBorder="1" applyAlignment="1" applyProtection="1">
      <alignment horizontal="center" vertical="center"/>
      <protection hidden="1"/>
    </xf>
    <xf numFmtId="187" fontId="15" fillId="12" borderId="26" xfId="11" applyFont="1" applyFill="1" applyBorder="1" applyAlignment="1" applyProtection="1">
      <alignment horizontal="center" vertical="center"/>
      <protection hidden="1"/>
    </xf>
    <xf numFmtId="187" fontId="15" fillId="12" borderId="27" xfId="11" applyFont="1" applyFill="1" applyBorder="1" applyAlignment="1" applyProtection="1">
      <alignment horizontal="center" vertical="center"/>
      <protection hidden="1"/>
    </xf>
    <xf numFmtId="0" fontId="23" fillId="6" borderId="2" xfId="6" applyFont="1" applyFill="1" applyBorder="1" applyAlignment="1">
      <alignment horizontal="center" vertical="center"/>
    </xf>
    <xf numFmtId="0" fontId="23" fillId="6" borderId="3" xfId="6" applyFont="1" applyFill="1" applyBorder="1" applyAlignment="1">
      <alignment horizontal="center" vertical="center"/>
    </xf>
    <xf numFmtId="0" fontId="23" fillId="6" borderId="4" xfId="6" applyFont="1" applyFill="1" applyBorder="1" applyAlignment="1">
      <alignment horizontal="center" vertical="center"/>
    </xf>
    <xf numFmtId="0" fontId="23" fillId="6" borderId="5" xfId="6" applyFont="1" applyFill="1" applyBorder="1" applyAlignment="1">
      <alignment horizontal="center" vertical="center"/>
    </xf>
    <xf numFmtId="0" fontId="23" fillId="6" borderId="6" xfId="6" applyFont="1" applyFill="1" applyBorder="1" applyAlignment="1">
      <alignment horizontal="center" vertical="center"/>
    </xf>
    <xf numFmtId="0" fontId="23" fillId="6" borderId="7" xfId="6" applyFont="1" applyFill="1" applyBorder="1" applyAlignment="1">
      <alignment horizontal="center" vertical="center"/>
    </xf>
    <xf numFmtId="0" fontId="21" fillId="5" borderId="9" xfId="10" applyFont="1" applyFill="1" applyBorder="1" applyAlignment="1" applyProtection="1">
      <alignment horizontal="center" vertical="center"/>
      <protection hidden="1"/>
    </xf>
    <xf numFmtId="0" fontId="21" fillId="5" borderId="16" xfId="10" applyFont="1" applyFill="1" applyBorder="1" applyAlignment="1" applyProtection="1">
      <alignment horizontal="center" vertical="center"/>
      <protection hidden="1"/>
    </xf>
    <xf numFmtId="187" fontId="15" fillId="5" borderId="14" xfId="11" applyFont="1" applyFill="1" applyBorder="1" applyAlignment="1" applyProtection="1">
      <alignment horizontal="center" vertical="center"/>
      <protection hidden="1"/>
    </xf>
    <xf numFmtId="187" fontId="15" fillId="5" borderId="15" xfId="11" applyFont="1" applyFill="1" applyBorder="1" applyAlignment="1" applyProtection="1">
      <alignment horizontal="center" vertical="center"/>
      <protection hidden="1"/>
    </xf>
    <xf numFmtId="187" fontId="22" fillId="12" borderId="9" xfId="11" applyFont="1" applyFill="1" applyBorder="1" applyAlignment="1" applyProtection="1">
      <alignment horizontal="center" vertical="center"/>
      <protection hidden="1"/>
    </xf>
    <xf numFmtId="187" fontId="22" fillId="12" borderId="16" xfId="11" applyFont="1" applyFill="1" applyBorder="1" applyAlignment="1" applyProtection="1">
      <alignment horizontal="center" vertical="center"/>
      <protection hidden="1"/>
    </xf>
    <xf numFmtId="14" fontId="28" fillId="0" borderId="6" xfId="9" quotePrefix="1" applyNumberFormat="1" applyFont="1" applyFill="1" applyBorder="1" applyAlignment="1">
      <alignment horizontal="left" vertical="center"/>
    </xf>
    <xf numFmtId="0" fontId="22" fillId="5" borderId="13" xfId="10" applyFont="1" applyFill="1" applyBorder="1" applyAlignment="1" applyProtection="1">
      <alignment horizontal="center" vertical="center"/>
      <protection hidden="1"/>
    </xf>
    <xf numFmtId="0" fontId="22" fillId="5" borderId="12" xfId="10" applyFont="1" applyFill="1" applyBorder="1" applyAlignment="1" applyProtection="1">
      <alignment horizontal="center" vertical="center"/>
      <protection hidden="1"/>
    </xf>
    <xf numFmtId="0" fontId="22" fillId="5" borderId="24" xfId="10" applyFont="1" applyFill="1" applyBorder="1" applyAlignment="1" applyProtection="1">
      <alignment horizontal="center" vertical="center"/>
      <protection hidden="1"/>
    </xf>
    <xf numFmtId="0" fontId="22" fillId="5" borderId="20" xfId="10" applyFont="1" applyFill="1" applyBorder="1" applyAlignment="1" applyProtection="1">
      <alignment horizontal="center" vertical="center"/>
      <protection hidden="1"/>
    </xf>
    <xf numFmtId="0" fontId="34" fillId="11" borderId="2" xfId="6" applyFont="1" applyFill="1" applyBorder="1" applyAlignment="1">
      <alignment horizontal="center" vertical="center"/>
    </xf>
    <xf numFmtId="0" fontId="34" fillId="11" borderId="3" xfId="6" applyFont="1" applyFill="1" applyBorder="1" applyAlignment="1">
      <alignment horizontal="center" vertical="center"/>
    </xf>
    <xf numFmtId="0" fontId="34" fillId="11" borderId="4" xfId="6" applyFont="1" applyFill="1" applyBorder="1" applyAlignment="1">
      <alignment horizontal="center" vertical="center"/>
    </xf>
    <xf numFmtId="0" fontId="34" fillId="11" borderId="5" xfId="6" applyFont="1" applyFill="1" applyBorder="1" applyAlignment="1">
      <alignment horizontal="center" vertical="center"/>
    </xf>
    <xf numFmtId="0" fontId="34" fillId="11" borderId="6" xfId="6" applyFont="1" applyFill="1" applyBorder="1" applyAlignment="1">
      <alignment horizontal="center" vertical="center"/>
    </xf>
    <xf numFmtId="0" fontId="34" fillId="11" borderId="7" xfId="6" applyFont="1" applyFill="1" applyBorder="1" applyAlignment="1">
      <alignment horizontal="center" vertical="center"/>
    </xf>
    <xf numFmtId="187" fontId="22" fillId="5" borderId="3" xfId="11" applyFont="1" applyFill="1" applyBorder="1" applyAlignment="1" applyProtection="1">
      <alignment horizontal="center" vertical="center"/>
      <protection hidden="1"/>
    </xf>
    <xf numFmtId="187" fontId="22" fillId="5" borderId="4" xfId="11" applyFont="1" applyFill="1" applyBorder="1" applyAlignment="1" applyProtection="1">
      <alignment horizontal="center" vertical="center"/>
      <protection hidden="1"/>
    </xf>
    <xf numFmtId="187" fontId="22" fillId="5" borderId="14" xfId="11" applyFont="1" applyFill="1" applyBorder="1" applyAlignment="1" applyProtection="1">
      <alignment horizontal="center"/>
      <protection hidden="1"/>
    </xf>
    <xf numFmtId="187" fontId="22" fillId="5" borderId="15" xfId="11" applyFont="1" applyFill="1" applyBorder="1" applyAlignment="1" applyProtection="1">
      <alignment horizontal="center"/>
      <protection hidden="1"/>
    </xf>
    <xf numFmtId="187" fontId="22" fillId="5" borderId="9" xfId="11" applyFont="1" applyFill="1" applyBorder="1" applyAlignment="1" applyProtection="1">
      <alignment horizontal="center" vertical="center"/>
      <protection hidden="1"/>
    </xf>
    <xf numFmtId="187" fontId="22" fillId="5" borderId="7" xfId="11" applyFont="1" applyFill="1" applyBorder="1" applyAlignment="1" applyProtection="1">
      <alignment horizontal="center" vertical="center"/>
      <protection hidden="1"/>
    </xf>
    <xf numFmtId="0" fontId="46" fillId="0" borderId="0" xfId="0" applyFont="1" applyAlignment="1">
      <alignment vertical="center"/>
    </xf>
    <xf numFmtId="0" fontId="47" fillId="0" borderId="0" xfId="0" applyFont="1" applyAlignment="1">
      <alignment vertical="center"/>
    </xf>
    <xf numFmtId="0" fontId="45" fillId="0" borderId="0" xfId="0" applyFont="1" applyAlignment="1">
      <alignment vertical="center"/>
    </xf>
    <xf numFmtId="0" fontId="45" fillId="0" borderId="0" xfId="0" applyFont="1"/>
    <xf numFmtId="0" fontId="48" fillId="0" borderId="0" xfId="21" applyAlignment="1">
      <alignment vertical="center"/>
    </xf>
  </cellXfs>
  <cellStyles count="22">
    <cellStyle name="Comma 10" xfId="12" xr:uid="{00000000-0005-0000-0000-000001000000}"/>
    <cellStyle name="Comma 2" xfId="5" xr:uid="{00000000-0005-0000-0000-000002000000}"/>
    <cellStyle name="Comma 2 2" xfId="9" xr:uid="{00000000-0005-0000-0000-000003000000}"/>
    <cellStyle name="Comma 3" xfId="13" xr:uid="{00000000-0005-0000-0000-000004000000}"/>
    <cellStyle name="Hyperlink" xfId="21" builtinId="8"/>
    <cellStyle name="Hyperlink 2" xfId="4" xr:uid="{00000000-0005-0000-0000-000005000000}"/>
    <cellStyle name="Normal 2" xfId="2" xr:uid="{00000000-0005-0000-0000-000007000000}"/>
    <cellStyle name="Normal 3" xfId="6" xr:uid="{00000000-0005-0000-0000-000008000000}"/>
    <cellStyle name="Normal_BOQ-Structure" xfId="10" xr:uid="{00000000-0005-0000-0000-00000A000000}"/>
    <cellStyle name="Style 1" xfId="7" xr:uid="{00000000-0005-0000-0000-00000B000000}"/>
    <cellStyle name="เครื่องหมายจุลภาค 3" xfId="15" xr:uid="{00000000-0005-0000-0000-00000C000000}"/>
    <cellStyle name="จุลภาค" xfId="1" builtinId="3"/>
    <cellStyle name="จุลภาค 2" xfId="11" xr:uid="{00000000-0005-0000-0000-00000D000000}"/>
    <cellStyle name="จุลภาค 8" xfId="18" xr:uid="{00000000-0005-0000-0000-00000E000000}"/>
    <cellStyle name="จุลภาค 8 2" xfId="20" xr:uid="{DD0F580D-E97C-490A-95CC-2FA88A3C4B80}"/>
    <cellStyle name="ปกติ" xfId="0" builtinId="0"/>
    <cellStyle name="ปกติ 2 2" xfId="14" xr:uid="{00000000-0005-0000-0000-00000F000000}"/>
    <cellStyle name="ปกติ 3 3 3" xfId="3" xr:uid="{00000000-0005-0000-0000-000010000000}"/>
    <cellStyle name="ปกติ 5" xfId="8" xr:uid="{00000000-0005-0000-0000-000011000000}"/>
    <cellStyle name="ปกติ 7" xfId="17" xr:uid="{00000000-0005-0000-0000-000012000000}"/>
    <cellStyle name="ปกติ 7 2" xfId="19" xr:uid="{BB222E2C-0053-454D-A96E-783264360E8F}"/>
    <cellStyle name="ปกติ_เอกชัย boq-ee" xfId="16" xr:uid="{00000000-0005-0000-0000-000013000000}"/>
  </cellStyles>
  <dxfs count="0"/>
  <tableStyles count="0" defaultTableStyle="TableStyleMedium2" defaultPivotStyle="PivotStyleLight16"/>
  <colors>
    <mruColors>
      <color rgb="FF99FF99"/>
      <color rgb="FFFF7C80"/>
      <color rgb="FF00FF00"/>
      <color rgb="FF1A8A27"/>
      <color rgb="FFFFFF99"/>
      <color rgb="FF007434"/>
      <color rgb="FF00CC66"/>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63" Type="http://schemas.openxmlformats.org/officeDocument/2006/relationships/styles" Target="styles.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sharedStrings" Target="sharedStrings.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1013460</xdr:colOff>
      <xdr:row>0</xdr:row>
      <xdr:rowOff>219197</xdr:rowOff>
    </xdr:from>
    <xdr:to>
      <xdr:col>1</xdr:col>
      <xdr:colOff>4030980</xdr:colOff>
      <xdr:row>3</xdr:row>
      <xdr:rowOff>175260</xdr:rowOff>
    </xdr:to>
    <xdr:sp macro="" textlink="">
      <xdr:nvSpPr>
        <xdr:cNvPr id="4" name="กล่องข้อความ 3">
          <a:extLst>
            <a:ext uri="{FF2B5EF4-FFF2-40B4-BE49-F238E27FC236}">
              <a16:creationId xmlns:a16="http://schemas.microsoft.com/office/drawing/2014/main" id="{27649877-4433-429F-8E0E-ABB40D1E49D2}"/>
            </a:ext>
          </a:extLst>
        </xdr:cNvPr>
        <xdr:cNvSpPr txBox="1"/>
      </xdr:nvSpPr>
      <xdr:spPr>
        <a:xfrm>
          <a:off x="1813560" y="219197"/>
          <a:ext cx="3017520" cy="847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h-TH" sz="1600" b="0" i="0" u="none" strike="noStrike">
              <a:solidFill>
                <a:schemeClr val="dk1"/>
              </a:solidFill>
              <a:effectLst/>
              <a:latin typeface="FreesiaUPC" panose="020B0604020202020204" pitchFamily="34" charset="-34"/>
              <a:ea typeface="+mn-ea"/>
              <a:cs typeface="FreesiaUPC" panose="020B0604020202020204" pitchFamily="34" charset="-34"/>
            </a:rPr>
            <a:t>วิศวกรรมไฟฟ้าและเครื่องจักรต้นกำลัง </a:t>
          </a:r>
          <a:endParaRPr lang="en-US" sz="1600" b="0" i="0" u="none" strike="noStrike">
            <a:solidFill>
              <a:schemeClr val="dk1"/>
            </a:solidFill>
            <a:effectLst/>
            <a:latin typeface="FreesiaUPC" panose="020B0604020202020204" pitchFamily="34" charset="-34"/>
            <a:ea typeface="+mn-ea"/>
            <a:cs typeface="FreesiaUPC" panose="020B0604020202020204" pitchFamily="34" charset="-34"/>
          </a:endParaRPr>
        </a:p>
        <a:p>
          <a:pPr algn="ctr"/>
          <a:r>
            <a:rPr lang="en-US" sz="1600" b="0" i="0" u="none" strike="noStrike">
              <a:solidFill>
                <a:schemeClr val="dk1"/>
              </a:solidFill>
              <a:effectLst/>
              <a:latin typeface="FreesiaUPC" panose="020B0604020202020204" pitchFamily="34" charset="-34"/>
              <a:ea typeface="+mn-ea"/>
              <a:cs typeface="FreesiaUPC" panose="020B0604020202020204" pitchFamily="34" charset="-34"/>
            </a:rPr>
            <a:t>Electrical Engineering and </a:t>
          </a:r>
          <a:endParaRPr lang="th-TH" sz="1600" b="0" i="0" u="none" strike="noStrike">
            <a:solidFill>
              <a:schemeClr val="dk1"/>
            </a:solidFill>
            <a:effectLst/>
            <a:latin typeface="FreesiaUPC" panose="020B0604020202020204" pitchFamily="34" charset="-34"/>
            <a:ea typeface="+mn-ea"/>
            <a:cs typeface="FreesiaUPC" panose="020B0604020202020204" pitchFamily="34" charset="-34"/>
          </a:endParaRPr>
        </a:p>
        <a:p>
          <a:pPr algn="ctr"/>
          <a:r>
            <a:rPr lang="en-US" sz="1600" b="0" i="0" u="none" strike="noStrike">
              <a:solidFill>
                <a:schemeClr val="dk1"/>
              </a:solidFill>
              <a:effectLst/>
              <a:latin typeface="FreesiaUPC" panose="020B0604020202020204" pitchFamily="34" charset="-34"/>
              <a:ea typeface="+mn-ea"/>
              <a:cs typeface="FreesiaUPC" panose="020B0604020202020204" pitchFamily="34" charset="-34"/>
            </a:rPr>
            <a:t>Power Plant Machinery</a:t>
          </a:r>
          <a:r>
            <a:rPr lang="en-US" sz="1600" b="0">
              <a:latin typeface="FreesiaUPC" panose="020B0604020202020204" pitchFamily="34" charset="-34"/>
              <a:cs typeface="FreesiaUPC" panose="020B0604020202020204" pitchFamily="34" charset="-34"/>
            </a:rPr>
            <a:t> </a:t>
          </a:r>
        </a:p>
      </xdr:txBody>
    </xdr:sp>
    <xdr:clientData/>
  </xdr:twoCellAnchor>
  <xdr:twoCellAnchor editAs="oneCell">
    <xdr:from>
      <xdr:col>0</xdr:col>
      <xdr:colOff>137160</xdr:colOff>
      <xdr:row>0</xdr:row>
      <xdr:rowOff>228600</xdr:rowOff>
    </xdr:from>
    <xdr:to>
      <xdr:col>1</xdr:col>
      <xdr:colOff>129540</xdr:colOff>
      <xdr:row>3</xdr:row>
      <xdr:rowOff>15240</xdr:rowOff>
    </xdr:to>
    <xdr:pic>
      <xdr:nvPicPr>
        <xdr:cNvPr id="5" name="รูปภาพ 4" descr="LOGO CPF - มิติหุ้น | ชี้ชัดทุกการลงทุน">
          <a:extLst>
            <a:ext uri="{FF2B5EF4-FFF2-40B4-BE49-F238E27FC236}">
              <a16:creationId xmlns:a16="http://schemas.microsoft.com/office/drawing/2014/main" id="{B910706E-225D-1B76-7FD6-E03EE94AAC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 y="228600"/>
          <a:ext cx="678180" cy="678180"/>
        </a:xfrm>
        <a:prstGeom prst="rect">
          <a:avLst/>
        </a:prstGeom>
        <a:noFill/>
        <a:ln>
          <a:noFill/>
        </a:ln>
      </xdr:spPr>
    </xdr:pic>
    <xdr:clientData/>
  </xdr:twoCellAnchor>
  <xdr:twoCellAnchor editAs="oneCell">
    <xdr:from>
      <xdr:col>1</xdr:col>
      <xdr:colOff>251459</xdr:colOff>
      <xdr:row>0</xdr:row>
      <xdr:rowOff>259080</xdr:rowOff>
    </xdr:from>
    <xdr:to>
      <xdr:col>1</xdr:col>
      <xdr:colOff>1192714</xdr:colOff>
      <xdr:row>3</xdr:row>
      <xdr:rowOff>15239</xdr:rowOff>
    </xdr:to>
    <xdr:pic>
      <xdr:nvPicPr>
        <xdr:cNvPr id="3" name="รูปภาพ 7">
          <a:extLst>
            <a:ext uri="{FF2B5EF4-FFF2-40B4-BE49-F238E27FC236}">
              <a16:creationId xmlns:a16="http://schemas.microsoft.com/office/drawing/2014/main" id="{6F47F868-E3E6-4ED1-832A-596926AD82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2143"/>
        <a:stretch>
          <a:fillRect/>
        </a:stretch>
      </xdr:blipFill>
      <xdr:spPr bwMode="auto">
        <a:xfrm>
          <a:off x="937259" y="259080"/>
          <a:ext cx="941255" cy="647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789213</xdr:colOff>
      <xdr:row>0</xdr:row>
      <xdr:rowOff>322217</xdr:rowOff>
    </xdr:from>
    <xdr:to>
      <xdr:col>1</xdr:col>
      <xdr:colOff>2174603</xdr:colOff>
      <xdr:row>3</xdr:row>
      <xdr:rowOff>41027</xdr:rowOff>
    </xdr:to>
    <xdr:pic>
      <xdr:nvPicPr>
        <xdr:cNvPr id="3" name="รูปภาพ 7">
          <a:extLst>
            <a:ext uri="{FF2B5EF4-FFF2-40B4-BE49-F238E27FC236}">
              <a16:creationId xmlns:a16="http://schemas.microsoft.com/office/drawing/2014/main" id="{46AE0350-B4FE-4A61-97FE-72303423BF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2143"/>
        <a:stretch>
          <a:fillRect/>
        </a:stretch>
      </xdr:blipFill>
      <xdr:spPr bwMode="auto">
        <a:xfrm>
          <a:off x="1594756" y="322217"/>
          <a:ext cx="1387930" cy="922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2902710</xdr:colOff>
      <xdr:row>0</xdr:row>
      <xdr:rowOff>280082</xdr:rowOff>
    </xdr:from>
    <xdr:to>
      <xdr:col>1</xdr:col>
      <xdr:colOff>6215743</xdr:colOff>
      <xdr:row>4</xdr:row>
      <xdr:rowOff>304800</xdr:rowOff>
    </xdr:to>
    <xdr:sp macro="" textlink="">
      <xdr:nvSpPr>
        <xdr:cNvPr id="4" name="กล่องข้อความ 8">
          <a:extLst>
            <a:ext uri="{FF2B5EF4-FFF2-40B4-BE49-F238E27FC236}">
              <a16:creationId xmlns:a16="http://schemas.microsoft.com/office/drawing/2014/main" id="{A682AB87-C692-4A40-B67B-0B2406FB494A}"/>
            </a:ext>
          </a:extLst>
        </xdr:cNvPr>
        <xdr:cNvSpPr txBox="1"/>
      </xdr:nvSpPr>
      <xdr:spPr>
        <a:xfrm>
          <a:off x="3588510" y="280082"/>
          <a:ext cx="3313033" cy="1635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h-TH" sz="2200" b="0" i="0" u="none" strike="noStrike">
              <a:solidFill>
                <a:schemeClr val="dk1"/>
              </a:solidFill>
              <a:effectLst/>
              <a:latin typeface="FreesiaUPC" panose="020B0604020202020204" pitchFamily="34" charset="-34"/>
              <a:ea typeface="+mn-ea"/>
              <a:cs typeface="FreesiaUPC" panose="020B0604020202020204" pitchFamily="34" charset="-34"/>
            </a:rPr>
            <a:t>วิศวกรรมไฟฟ้าและเครื่องจักรต้นกำลัง </a:t>
          </a:r>
          <a:endParaRPr lang="en-US" sz="2200" b="0" i="0" u="none" strike="noStrike">
            <a:solidFill>
              <a:schemeClr val="dk1"/>
            </a:solidFill>
            <a:effectLst/>
            <a:latin typeface="FreesiaUPC" panose="020B0604020202020204" pitchFamily="34" charset="-34"/>
            <a:ea typeface="+mn-ea"/>
            <a:cs typeface="FreesiaUPC" panose="020B0604020202020204" pitchFamily="34" charset="-34"/>
          </a:endParaRPr>
        </a:p>
        <a:p>
          <a:pPr algn="ctr"/>
          <a:r>
            <a:rPr lang="en-US" sz="2200" b="0" i="0" u="none" strike="noStrike">
              <a:solidFill>
                <a:schemeClr val="dk1"/>
              </a:solidFill>
              <a:effectLst/>
              <a:latin typeface="FreesiaUPC" panose="020B0604020202020204" pitchFamily="34" charset="-34"/>
              <a:ea typeface="+mn-ea"/>
              <a:cs typeface="FreesiaUPC" panose="020B0604020202020204" pitchFamily="34" charset="-34"/>
            </a:rPr>
            <a:t>Electrical Engineering and </a:t>
          </a:r>
          <a:endParaRPr lang="th-TH" sz="2200" b="0" i="0" u="none" strike="noStrike">
            <a:solidFill>
              <a:schemeClr val="dk1"/>
            </a:solidFill>
            <a:effectLst/>
            <a:latin typeface="FreesiaUPC" panose="020B0604020202020204" pitchFamily="34" charset="-34"/>
            <a:ea typeface="+mn-ea"/>
            <a:cs typeface="FreesiaUPC" panose="020B0604020202020204" pitchFamily="34" charset="-34"/>
          </a:endParaRPr>
        </a:p>
        <a:p>
          <a:pPr algn="ctr"/>
          <a:r>
            <a:rPr lang="en-US" sz="2200" b="0" i="0" u="none" strike="noStrike">
              <a:solidFill>
                <a:schemeClr val="dk1"/>
              </a:solidFill>
              <a:effectLst/>
              <a:latin typeface="FreesiaUPC" panose="020B0604020202020204" pitchFamily="34" charset="-34"/>
              <a:ea typeface="+mn-ea"/>
              <a:cs typeface="FreesiaUPC" panose="020B0604020202020204" pitchFamily="34" charset="-34"/>
            </a:rPr>
            <a:t>Power Plant Machinery</a:t>
          </a:r>
          <a:r>
            <a:rPr lang="en-US" sz="2200">
              <a:latin typeface="FreesiaUPC" panose="020B0604020202020204" pitchFamily="34" charset="-34"/>
              <a:cs typeface="FreesiaUPC" panose="020B0604020202020204" pitchFamily="34" charset="-34"/>
            </a:rPr>
            <a:t> </a:t>
          </a:r>
        </a:p>
      </xdr:txBody>
    </xdr:sp>
    <xdr:clientData/>
  </xdr:twoCellAnchor>
  <xdr:twoCellAnchor editAs="oneCell">
    <xdr:from>
      <xdr:col>0</xdr:col>
      <xdr:colOff>533398</xdr:colOff>
      <xdr:row>0</xdr:row>
      <xdr:rowOff>261256</xdr:rowOff>
    </xdr:from>
    <xdr:to>
      <xdr:col>1</xdr:col>
      <xdr:colOff>644235</xdr:colOff>
      <xdr:row>2</xdr:row>
      <xdr:rowOff>377734</xdr:rowOff>
    </xdr:to>
    <xdr:pic>
      <xdr:nvPicPr>
        <xdr:cNvPr id="5" name="รูปภาพ 4" descr="LOGO CPF - มิติหุ้น | ชี้ชัดทุกการลงทุน">
          <a:extLst>
            <a:ext uri="{FF2B5EF4-FFF2-40B4-BE49-F238E27FC236}">
              <a16:creationId xmlns:a16="http://schemas.microsoft.com/office/drawing/2014/main" id="{1EB3DCE5-4F64-D4BB-991F-F2572AF73B5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398" y="261256"/>
          <a:ext cx="903515" cy="90351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ung%20Quat\Goi3\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SRC9702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ESIGN2\AMNAJ-U.WK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MNAJ\KRUNGTH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DESIGN2\AMNAJ-U.WK1"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AMNAJ\KRUNGTH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sittichok.tho\Desktop\DESIGN2\AMNAJ-U.WK1"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sittichok.tho\Desktop\AMNAJ\KRUNGTH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alaya2\d_salaya2\WINDOWS\TEMP\Cost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Users\sittichok.tho\Desktop\sittichok%202-10-12\Data%20From%20Boss\&#3605;&#3633;&#3623;&#3629;&#3618;&#3656;&#3634;&#3591;&#3649;&#3610;&#3610;&#3615;&#3629;&#3619;&#3660;&#3617;&#3605;&#3657;&#3609;&#3607;&#3640;&#3609;\DESIGN2\AMNAJ-U.WK1"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sittichok.tho\Desktop\sittichok%202-10-12\Data%20From%20Boss\&#3605;&#3633;&#3623;&#3629;&#3618;&#3656;&#3634;&#3591;&#3649;&#3610;&#3610;&#3615;&#3629;&#3619;&#3660;&#3617;&#3605;&#3657;&#3609;&#3607;&#3640;&#3609;\AMNAJ\KRUNGTH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im\PROJECT2004\TU-2003-98\TU-2003\TU-2003\DELTA-5\Del-21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Operation\Bidding%202008\PKS-Park%20Hyatt%20Koh%20Samui\R0%2029-08-51\Summar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WINDOWS\TEMP\&#3648;&#3626;&#3609;&#3629;&#3619;&#3634;&#3588;&#3634;-%20(&#3626;&#3641;&#3605;&#3619;)-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KPCMS\My%20Documents\My%20Documents\LA-OO.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65CA1971\Doc"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kb4\pgf\My%20Documents\&#26376;&#25253;\cb2k2\2002cb\&#25253;&#349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roject1\new%20extruder\Decha\Decha2\projec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W:\Accounting\Finance%20Analysis\analysis\&#26376;&#32467;&#25253;&#34920;\2003\Aug\&#26446;&#26195;&#32418;\&#21697;&#31181;&#27611;&#21033;&#34920;\JUN-%202003%20GROSS%20PROFIT%20REPOR\GROSS%20MARGIN%200603-01%20S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TSERVER\acct\Documents%20and%20Settings\user\&#26700;&#38754;\Documents%20and%20Settings\xiongy\&#26700;&#38754;\Sep_2003\Analysis%20Pack%202003-0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y-konglx\py-konglx\Documents%20and%20Settings\yhgfire\Local%20Settings\Temporary%20Internet%20Files\Content.IE5\Y0PAKQIJ\PY-Financial%20Report040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a\documents\Documents%20and%20Settings\All%20Users.WINDOWS\Documents\Documents%20and%20Settings\All%20Users.WINDOWS\Documents\Documents%20and%20Settings\02\Desktop\PARKPLAZA\Plan-45\A44-02(&#3624;&#3634;&#3621;&#3631;)\Cost-29-4-02\Plan-44\A44-02\EL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ZP\&#20849;&#20139;&#22841;\&#25253;&#3492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DOCUME~1\pkt\LOCALS~1\Temp\Rar$DI00.610\My%20Documents\Projects\Samui%20Village\4.0)%20Variation%20Works\Timber%20painting.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Quotes/Asia/THLLDZ345s-0407.xls" TargetMode="External"/><Relationship Id="rId1" Type="http://schemas.openxmlformats.org/officeDocument/2006/relationships/externalLinkPath" Target="/Quotes/Asia/THLLDZ345s-040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project\project2009\jn%20091886,Child%20Hospital\&#3591;&#3634;&#3609;&#3619;&#3634;&#3594;&#3585;&#3634;&#3619;\&#3619;&#3634;&#3594;&#3585;&#3634;&#3619;\&#3585;&#3619;&#3617;&#3605;&#3656;&#3634;&#3591;&#3654;\&#3626;&#3635;&#3609;&#3633;&#3585;&#3591;&#3634;&#3609;&#3611;&#3621;&#3633;&#3604;&#3631;\&#3627;&#3657;&#3629;&#3591;&#3611;&#3619;&#3632;&#3594;&#3640;&#3617;%20&#3626;&#3606;&#3634;&#3610;&#3633;&#3609;&#3614;&#3619;&#3632;&#3610;&#3619;&#3617;&#3619;&#3634;&#3594;&#3609;&#3585;%2010355.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DOCUME~1\ming1\LOCALS~1\Temp\FMS0408-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omputer1\Libary\Documents%20and%20Settings\sa\My%20Documents\WINDOWS\Temporary%20Internet%20Files\Content.IE5\ELJSD4RM\cove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Gay\BOQ.&#3585;&#3621;&#3634;&#3591;\B.O.Q.&#3607;&#3634;&#3623;&#3609;&#3660;&#3648;&#3630;&#3657;&#3634;&#3626;&#3660;%20N2%202548-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Documents%20and%20Settings\Thanapat\Desktop\&#3614;&#3619;&#3637;&#3617;&#3636;&#3585;&#3595;&#3660;\Decha\Decha2\projec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WINNT\Profiles\a-twarya\Personal\INVOICEprototype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Operation\Bidding%202008\PTT-Power%20Prospect%20&#3629;&#3618;&#3640;&#3608;&#3618;&#3634;\&#3611;&#3605;&#3607;%20%20&#3618;&#3636;&#3657;&#3617;\BOQ-ARCH.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THAIBAO\THU%20VIEN%20TN\d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CCTNT\COMM\c.h\&#26032;&#20250;&#35758;\WINDOWS\Temporary%20Internet%20Files\Content.IE5\6LMR6PMD\&#26376;&#23435;0008.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Matador/&#3651;&#3610;&#3648;&#3626;&#3609;&#3629;&#3619;&#3634;&#3588;&#3634;Matador/2005/2005.XLS" TargetMode="External"/><Relationship Id="rId1" Type="http://schemas.openxmlformats.org/officeDocument/2006/relationships/externalLinkPath" Target="/Matador/&#3651;&#3610;&#3648;&#3626;&#3609;&#3629;&#3619;&#3634;&#3588;&#3634;Matador/2005/200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Quotes\Asia\THLLDZ523s-120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Quotes\Mexico\MXLLED431s-11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AFTERMARKET\PRISLISTE%202005\Spareparts\Prisliste%202005%20Version%201,3%20%2027-08-2005%20..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Quotes/Asia/THLLLB302s-0406.xls" TargetMode="External"/><Relationship Id="rId1" Type="http://schemas.openxmlformats.org/officeDocument/2006/relationships/externalLinkPath" Target="/Quotes/Asia/THLLLB302s-04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WINDOWS\TEMP\IBASE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Pom\c\ESTIMATE\BOQ\BOQ_&#3648;&#3629;&#3585;&#3594;&#3609;\BIG-C\Radamri_rev106\Bill%20No.%2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Documents%20and%20Settings\aaa\Desktop\Decha\Decha2\projec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nts%20and%20Settings\AEA\Local%20Settings\Temporary%20Internet%20Files\OLK1D\PROJECT\IVY%20CHINA%20TOWN\&#3619;&#3634;&#3588;&#3634;&#3585;&#3621;&#3634;&#3591;\PROJECT\SA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Phusi-s\drawings\My%20Documents\LUUA\DATBEO\QT\CS3408\Standard\RP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y-ar\py-ar\My%20Documents\Chengdu%20Tele%20Cable%20Group\Package\GWT%20Report%20Package%20200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W:\My%20Documents\Chengdu%20Tele%20Cable%20Group\Package\GWT%20Report%20Package%20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A94F418\EL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PY-KONGLX\py-konglx\DOCUME~1\ADMINI~1\LOCALS~1\Temp\&#21697;&#31181;&#27611;&#21033;&#34920;\JUN-%202003%20GROSS%20PROFIT%20REPOR\GROSS%20MARGIN%200603-01%20SK.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TSERVER\acct\Documents%20and%20Settings\yeyu\&#26700;&#38754;\Program%20Files\Documents%20and%20Settings\xiongy\&#26700;&#38754;\Sep_2003\Analysis%20Pack%202003-0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Documents%20and%20Settings\All%20Users.WINDOWS\Documents\Documents%20and%20Settings\All%20Users.WINDOWS\Documents\Documents%20and%20Settings\02\Desktop\PARKPLAZA\Plan-45\A44-02(&#3624;&#3634;&#3621;&#3631;)\Cost-29-4-02\Plan-44\A44-02\ELE.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PS\A02-Ivy%20&#3619;&#3634;&#3625;&#3598;&#3619;&#3660;&#3610;&#3641;&#3619;&#3603;&#3632;\&#3629;&#3634;&#3588;&#3634;&#3619;%20A\DevPgm\erp\2006\2006%20&#3611;&#3619;&#3633;&#3610;&#3611;&#3619;&#3640;&#3591;&#3619;&#3632;&#3610;&#3610;&#3585;&#3634;&#3619;%20import%20WBS%20&#3651;&#3609;%20Softpro\upload\20070321\DATA-EXPORT_PK-28-2_2-3-5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Compare%20Boq%20struc.LHR%20rev.4\New%20Folder\Documents%20and%20Settings\02\Desktop\BH.ST.%20L&amp;H\Documents%20and%20Settings\All%20Users.WINDOWS\Documents\Documents%20and%20Settings\All%20Users.WINDOWS\Document"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Project%202000%20.xls\Somchai15.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Compare%20Boq%20struc.LHR%20rev.4\New%20Folder\Documents%20and%20Settings\02\Desktop\BH.ST.%20L&amp;H\Documents%20and%20Settings\All%20Users.WINDOWS\Documents\Documents%20and%20Settings\All%20Users.WINDOWS\Documents\Doc"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EXCEL5\BOOK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TSERVER\acct\&#21335;&#23425;&#27491;&#22823;\&#20998;&#26512;&#26684;&#24335;\&#31243;&#24207;\&#39282;&#26009;&#20998;&#26512;&#27719;&#24635;&#31243;&#24207;\&#19981;&#21547;&#20572;&#20135;&#20844;&#21496;&#25991;&#20214;\&#20849;&#20139;\WINDOWS\TEMP\Rar$DI11.276\&#26032;&#24314;&#25253;&#34920;\&#26032;&#34920;-FED\&#20135;&#21697;&#21697;&#31181;\&#20135;&#21697;&#21697;&#3118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tc_main_fileserver\computer\CAIWU\XLS\&#21016;&#32418;&#20255;\&#25104;&#26412;&#34920;\CB990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HUANGLIU_CHIATAI\SYS\&#38144;&#21806;&#21608;&#25253;\&#38144;&#21806;&#20250;&#35758;\&#21452;&#27969;PQ.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y-ar\py-ar\&#25104;&#26412;&#35745;&#31639;\&#26376;&#21464;&#21160;&#65288;&#26377;&#20851;&#32852;&#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 val="So Do"/>
      <sheetName val="KTTSCD - DLNA"/>
      <sheetName val="Sheet1"/>
      <sheetName val="quÝ1"/>
      <sheetName val="00000000"/>
      <sheetName val="10000000"/>
      <sheetName val="20000000"/>
      <sheetName val="30000000"/>
      <sheetName val="40000000"/>
      <sheetName val="50000000"/>
      <sheetName val="60000000"/>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4"/>
      <sheetName val="T5"/>
      <sheetName val="T6"/>
      <sheetName val="T.7"/>
      <sheetName val="T.8"/>
      <sheetName val="T8 (2)"/>
      <sheetName val="T.9"/>
      <sheetName val="T.10"/>
      <sheetName val="T.11"/>
      <sheetName val="T.12"/>
      <sheetName val="T10"/>
      <sheetName val="T11 "/>
      <sheetName val="Sheet3"/>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fOOD"/>
      <sheetName val="FORM hc"/>
      <sheetName val="FORM pc"/>
      <sheetName val="5 nam (tach)"/>
      <sheetName val="5 nam (tach) (2)"/>
      <sheetName val="KH 2003"/>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TH Ky Anh"/>
      <sheetName val="Sheet2 (2)"/>
      <sheetName val="TH  goi 4-x"/>
      <sheetName val="PNT_QUOT__3"/>
      <sheetName val="COAT_WRAP_QIOT__3"/>
      <sheetName val="tmt4"/>
      <sheetName val="t3-01"/>
      <sheetName val="t4-01"/>
      <sheetName val="t5-01"/>
      <sheetName val="t6-01"/>
      <sheetName val="t7-01"/>
      <sheetName val="t8-01"/>
      <sheetName val="t9-01"/>
      <sheetName val="t10-01"/>
      <sheetName val="t11-01"/>
      <sheetName val="t12-"/>
      <sheetName val="t1"/>
      <sheetName val="t2"/>
      <sheetName val="t3"/>
      <sheetName val="t06"/>
      <sheetName val="t07"/>
      <sheetName val="t08"/>
      <sheetName val="t09"/>
      <sheetName val="t11"/>
      <sheetName val="t12"/>
      <sheetName val="0103"/>
      <sheetName val="0203"/>
      <sheetName val="th-nop"/>
      <sheetName val="th"/>
      <sheetName val="CamPha"/>
      <sheetName val="MongCai"/>
      <sheetName val="70000000"/>
      <sheetName val="xdcb 01-2003"/>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ong ho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phan tich DG"/>
      <sheetName val="gia vat lieu"/>
      <sheetName val="gia xe may"/>
      <sheetName val="gia nhan cong"/>
      <sheetName val="XL4Test5"/>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Bia"/>
      <sheetName val="Tm"/>
      <sheetName val="THKP"/>
      <sheetName val="DGi"/>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kl m m d"/>
      <sheetName val="kl vt tho"/>
      <sheetName val="kl dat"/>
      <sheetName val="Sheet4"/>
      <sheetName val="xin kinh phi"/>
      <sheetName val="lan trai"/>
      <sheetName val="thuoc no"/>
      <sheetName val="so thuc pham"/>
      <sheetName val="SOLIEU"/>
      <sheetName val="TINHTOAN"/>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V den trong to聮g"/>
      <sheetName val="ȴ0000000"/>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PNT-QUOT-D150#3"/>
      <sheetName val="PNT-QUOT-H153#3"/>
      <sheetName val="PNT-QUOT-K152#3"/>
      <sheetName val="PNT-QUOT-H146#3"/>
      <sheetName val="BangTH"/>
      <sheetName val="Xaylap "/>
      <sheetName val="Nhan cong"/>
      <sheetName val="Thietbi"/>
      <sheetName val="Diengiai"/>
      <sheetName val="Vanchuyen"/>
      <sheetName val="Oð mai 279"/>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Km27' - Km278"/>
      <sheetName val="T_x000b_331"/>
      <sheetName val="XLÇ_x0015_oppy"/>
      <sheetName val="Shedt1"/>
      <sheetName val="_x0012_0000000"/>
      <sheetName val="p0000000"/>
      <sheetName val="mau kiem ke"/>
      <sheetName val="quyet toan HD 2000"/>
      <sheetName val="quyet toan hoa don 2001"/>
      <sheetName val="kiem ke hoa don 2001"/>
      <sheetName val="QUY III 02"/>
      <sheetName val="QUY IV 02"/>
      <sheetName val="QUYET TOAN 02"/>
      <sheetName val="Sheet15"/>
      <sheetName val=""/>
      <sheetName val="Km280 ࠭ Km281"/>
      <sheetName val="Thang8-02"/>
      <sheetName val="Thang9-02"/>
      <sheetName val="Thang10-02"/>
      <sheetName val="Thang11-02"/>
      <sheetName val="Thang12-02"/>
      <sheetName val="Thang01-03"/>
      <sheetName val="Thang02-03"/>
      <sheetName val="Sheet8"/>
      <sheetName val="Sheet9"/>
      <sheetName val="Sheet10"/>
      <sheetName val="Sheet11"/>
      <sheetName val="Sheet12"/>
      <sheetName val="Sheet13"/>
      <sheetName val="Sheet14"/>
      <sheetName val="Lap ®at ®hÖn"/>
      <sheetName val="BKLBD"/>
      <sheetName val="PTDG"/>
      <sheetName val="DTCT"/>
      <sheetName val="vlct"/>
      <sheetName val="Sheet6"/>
      <sheetName val="Sheet7"/>
      <sheetName val="Bao cao KQTH quy hoach 135"/>
      <sheetName val="Sheet5"/>
      <sheetName val="Thang06-2002"/>
      <sheetName val="Thang07-2002"/>
      <sheetName val="Thang08-2002"/>
      <sheetName val="Thang09-2002"/>
      <sheetName val="Thang10-2002 "/>
      <sheetName val="Thang11-2002"/>
      <sheetName val="Thang12-2002"/>
      <sheetName val="Sheet1 (3)"/>
      <sheetName val="Cong ban 1,5_x0013__x0000_"/>
      <sheetName val="Kѭ284"/>
      <sheetName val="XXXXX\XX"/>
      <sheetName val="0304"/>
      <sheetName val="0904"/>
      <sheetName val="1204"/>
      <sheetName val="80000000"/>
      <sheetName val="90000000"/>
      <sheetName val="a0000000"/>
      <sheetName val="b0000000"/>
      <sheetName val="c0000000"/>
      <sheetName val="Km283 - Jm284"/>
      <sheetName val="cocB40 5B"/>
      <sheetName val="cocD50 9A"/>
      <sheetName val="cocD75 16"/>
      <sheetName val="coc B80 TD25"/>
      <sheetName val="P27 B80"/>
      <sheetName val="Coc23 B80"/>
      <sheetName val="cong B80 C4"/>
      <sheetName val="ADKT"/>
      <sheetName val="Km&quot;80"/>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Macro1"/>
      <sheetName val="Macro2"/>
      <sheetName val="Macro3"/>
      <sheetName val="K43"/>
      <sheetName val="THKL"/>
      <sheetName val="PL43"/>
      <sheetName val="K43+0.00 - 338 Trai"/>
      <sheetName val="[PNT-P3.xlsUTong hop (2)"/>
      <sheetName val="Km276 - Ke277"/>
      <sheetName val="[PNT-P3.xlsUKm279 - Km280"/>
      <sheetName val="Song ban 0,7x0,7"/>
      <sheetName val="Cong ban 0,8x ,8"/>
      <sheetName val="TAU"/>
      <sheetName val="KHACH"/>
      <sheetName val="BC1"/>
      <sheetName val="BC2"/>
      <sheetName val="BAO CAO AN"/>
      <sheetName val="BANGKEKHACH"/>
      <sheetName val="XNxlva sxthanKCIÉ"/>
      <sheetName val="TNghiªm T_x0002_ "/>
      <sheetName val="tt-_x0014_BA"/>
      <sheetName val="TD_x0014_"/>
      <sheetName val="_x0014_.12"/>
      <sheetName val="QD c5a HDQT (2)"/>
      <sheetName val="_x0003_hart1"/>
      <sheetName val="gìIÏÝ_x001c_Ã_x0008_ç¾{è"/>
      <sheetName val="TL33-13.14"/>
      <sheetName val="tlđm190337,8"/>
      <sheetName val="GC190337,8"/>
      <sheetName val="033,7,8"/>
      <sheetName val="TL033 ,2,4"/>
      <sheetName val="TL 0331,2"/>
      <sheetName val="033-1,4"/>
      <sheetName val="TL033,19,5"/>
      <sheetName val="Tong (op"/>
      <sheetName val="Coc 4ieu"/>
      <sheetName val="Áo"/>
      <sheetName val="ESTI."/>
      <sheetName val="DI-ESTI"/>
      <sheetName val="7000 000"/>
      <sheetName val="Baocao"/>
      <sheetName val="UT"/>
      <sheetName val="TongHopHD"/>
      <sheetName val="Khac DP"/>
      <sheetName val="Khoi than "/>
      <sheetName val="B3_208_than"/>
      <sheetName val="B3_208_TU"/>
      <sheetName val="B3_208_TW"/>
      <sheetName val="B3_208_DP"/>
      <sheetName val="B3_208_khac"/>
      <sheetName val="_x000b_luong phu"/>
      <sheetName val="Mix-Tarpaulin"/>
      <sheetName val="Tarpaulin"/>
      <sheetName val="Pric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Monthly"/>
      <sheetName val="For Summary"/>
      <sheetName val="For Summary(KG)"/>
      <sheetName val="PP Cloth"/>
      <sheetName val="Mix-PP Cloth"/>
      <sheetName val="Material Price-PP"/>
      <sheetName val="GS02-thu0TM"/>
      <sheetName val="Dong$bac"/>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30100000"/>
      <sheetName val="Ton 31.1"/>
      <sheetName val="NhapT.2"/>
      <sheetName val="Xuat T.2"/>
      <sheetName val="Ton 28.2"/>
      <sheetName val="H.Tra"/>
      <sheetName val="Hang CTY TRA LAI"/>
      <sheetName val="Hang NV Tra Lai"/>
      <sheetName val="ၔong hop QL48 - 2"/>
      <sheetName val="ct luong "/>
      <sheetName val="Nhap 6T"/>
      <sheetName val="baocaochinh(qui1.05) (DC)"/>
      <sheetName val="Ctuluongq.1.05"/>
      <sheetName val="BANG PHAN BO qui1.05(DC)"/>
      <sheetName val="BANG PHAN BO quiII.05"/>
      <sheetName val="bao cac cinh Qui II-2005"/>
      <sheetName val="Sÿÿÿÿ"/>
      <sheetName val="quÿÿ"/>
      <sheetName val="Package1"/>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Mp mai 275"/>
      <sheetName val="Don gia"/>
      <sheetName val="BCDSPS"/>
      <sheetName val="BCDKT"/>
      <sheetName val="tt chu don"/>
      <sheetName val="Cong ban 1,5_x0013_"/>
      <sheetName val="Du tnan chi tiet coc nuoc"/>
      <sheetName val="gVL"/>
      <sheetName val="mua vao"/>
      <sheetName val="chi phi "/>
      <sheetName val="ban ra 10%"/>
      <sheetName val="Nhap du lieu"/>
      <sheetName val="ADKTKT02"/>
      <sheetName val="Giao nhie- vu"/>
      <sheetName val="TDT-TBࡁ"/>
      <sheetName val="Op mai 2_x000c__x0000_"/>
      <sheetName val="_x0000_bÑi_x0003__x0000__x0000__x0000__x0000_²r_x0013__x0000_"/>
      <sheetName val="k, vt tho"/>
      <sheetName val="Km_x0012_77 "/>
      <sheetName val="K-280 - Km281"/>
      <sheetName val="_x0000__x000f__x0000__x0000__x0000_½"/>
      <sheetName val="_x0000__x0000_²r"/>
      <sheetName val="_x0000__x0000__x0000__x0000__x0000_M pc_x0006__x0000__x0000_CamPh_x0000__x0000_"/>
      <sheetName val="_x0000__x000d__x0000__x0000__x0000_âO"/>
      <sheetName val="Cong ban 1,5„—_x0013__x0000_"/>
      <sheetName val="Xa9lap "/>
      <sheetName val="_x000c__x0000__x0000__x0000__x0000__x0000__x0000__x0000__x000d__x0000__x0000__x0000_"/>
      <sheetName val="QD cua HDQ²_x0000__x0000_)"/>
      <sheetName val="_x0000__x000f__x0000__x0000__x0000_‚ž½"/>
      <sheetName val="_x0000__x000d__x0000__x0000__x0000_âOŽ"/>
      <sheetName val="P210-TP20"/>
      <sheetName val="CB32"/>
      <sheetName val="Kluo-_x0008_ phu"/>
      <sheetName val="CTT NuiC_x000f_eo"/>
      <sheetName val="VÃt liÖu"/>
      <sheetName val="?0000000"/>
      <sheetName val="CV den trong to?g"/>
      <sheetName val="TDT-TB?"/>
      <sheetName val="Km280 ? Km281"/>
      <sheetName val="K?284"/>
      <sheetName val="QD cua HDQ²_x0000__x0000_€)"/>
      <sheetName val="120"/>
      <sheetName val="IFAD"/>
      <sheetName val="CVHN"/>
      <sheetName val="TCVM"/>
      <sheetName val="RIDP"/>
      <sheetName val="LDNN"/>
      <sheetName val="bc"/>
      <sheetName val="K.O"/>
      <sheetName val="xang _clc"/>
      <sheetName val="X¡NG_td"/>
      <sheetName val="MaZUT"/>
      <sheetName val="DIESEL"/>
      <sheetName val="Km27%"/>
      <sheetName val="O0 mai 279"/>
      <sheetName val="Op_x0000_mai 280"/>
      <sheetName val="Op mai 28_x0011_"/>
      <sheetName val="5 nam (tac`) (2)"/>
      <sheetName val="D%o nai"/>
      <sheetName val="CTT cao so."/>
      <sheetName val="XNxlva sxdhanKCII"/>
      <sheetName val="CTxay lap mo C_x0010_"/>
      <sheetName val="thaß26"/>
      <sheetName val="Dimu"/>
      <sheetName val="Klct"/>
      <sheetName val="Covi"/>
      <sheetName val="Nlvt"/>
      <sheetName val="Innl"/>
      <sheetName val="Invt"/>
      <sheetName val="Chon"/>
      <sheetName val="Qtnv"/>
      <sheetName val="Bqtn"/>
      <sheetName val="Bqtv"/>
      <sheetName val="Giao"/>
      <sheetName val="Dcap"/>
      <sheetName val="Nlie"/>
      <sheetName val="Mnli"/>
      <sheetName val="chie԰_x0000__x0000__x0000_Ȁ_x0000_"/>
      <sheetName val="??-BLDG"/>
      <sheetName val="DG "/>
      <sheetName val="Ho la "/>
      <sheetName val="gìIÏÝ_x001c_齘_x0013_龜_x0013_ꗃ〒"/>
      <sheetName val="Cac cang UT mua thal Dong bac"/>
      <sheetName val="tuong"/>
      <sheetName val="Km266"/>
      <sheetName val="Shaet13"/>
      <sheetName val="CVden nw8ai TCT (1)"/>
      <sheetName val="Thang 07"/>
      <sheetName val="T10-05"/>
      <sheetName val="T9-05"/>
      <sheetName val="t805"/>
      <sheetName val="11T"/>
      <sheetName val="9T"/>
      <sheetName val="Diem mon hoc"/>
      <sheetName val="Tong hop diem"/>
      <sheetName val="HoTen-khong duoc xoa"/>
      <sheetName val="gia x_x0000_ may"/>
      <sheetName val="nam2004"/>
      <sheetName val="TNghiÖ- VL"/>
      <sheetName val="CDPS3"/>
      <sheetName val="Thue NK"/>
      <sheetName val="Hang NK"/>
      <sheetName val="Jet1- CP 32"/>
      <sheetName val="Jet2- Binh Minh 01"/>
      <sheetName val="Jet3"/>
      <sheetName val="Jet4"/>
      <sheetName val="Jet5"/>
      <sheetName val="Jet6"/>
      <sheetName val="Jet7"/>
      <sheetName val="Jet8"/>
      <sheetName val="Jet9"/>
      <sheetName val="Jet10"/>
      <sheetName val="Jet11"/>
      <sheetName val="Diesel1"/>
      <sheetName val="Diesel2"/>
      <sheetName val="Diezel3"/>
      <sheetName val="Mogas1"/>
      <sheetName val="Mogas2"/>
      <sheetName val="Mogas3"/>
      <sheetName val="QD cua "/>
      <sheetName val="Bang VL"/>
      <sheetName val="_x0000__x0000_"/>
      <sheetName val="bÑi_x0003__x0000_²r_x0013__x0000_"/>
      <sheetName val="_x000f__x0000_½"/>
      <sheetName val="M pc_x0006__x0000_CamPh_x0000_"/>
      <sheetName val="_x000d_âO"/>
      <sheetName val="Op mai 2_x000c_"/>
      <sheetName val="_x000c__x0000__x000d_"/>
      <sheetName val="_x000f__x0000_‚ž½"/>
      <sheetName val="_x000d_âOŽ"/>
      <sheetName val="Cong ban 1,5„—_x0013_"/>
      <sheetName val="_x000c_"/>
      <sheetName val="QD cua HDQ²"/>
      <sheetName val="Op"/>
      <sheetName val="chie԰"/>
      <sheetName val="gia x"/>
      <sheetName val="bÑi_x0003_"/>
      <sheetName val="_x000f_"/>
      <sheetName val="M pc_x0006_"/>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refreshError="1"/>
      <sheetData sheetId="345"/>
      <sheetData sheetId="346"/>
      <sheetData sheetId="347"/>
      <sheetData sheetId="348"/>
      <sheetData sheetId="349"/>
      <sheetData sheetId="350"/>
      <sheetData sheetId="351"/>
      <sheetData sheetId="352"/>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sheetData sheetId="371"/>
      <sheetData sheetId="372"/>
      <sheetData sheetId="373"/>
      <sheetData sheetId="374"/>
      <sheetData sheetId="375"/>
      <sheetData sheetId="376" refreshError="1"/>
      <sheetData sheetId="377" refreshError="1"/>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refreshError="1"/>
      <sheetData sheetId="431" refreshError="1"/>
      <sheetData sheetId="432"/>
      <sheetData sheetId="433"/>
      <sheetData sheetId="434"/>
      <sheetData sheetId="435"/>
      <sheetData sheetId="436"/>
      <sheetData sheetId="437"/>
      <sheetData sheetId="438"/>
      <sheetData sheetId="439"/>
      <sheetData sheetId="440" refreshError="1"/>
      <sheetData sheetId="441"/>
      <sheetData sheetId="442"/>
      <sheetData sheetId="443"/>
      <sheetData sheetId="444"/>
      <sheetData sheetId="445"/>
      <sheetData sheetId="446" refreshError="1"/>
      <sheetData sheetId="447" refreshError="1"/>
      <sheetData sheetId="448"/>
      <sheetData sheetId="449"/>
      <sheetData sheetId="450"/>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sheetData sheetId="587"/>
      <sheetData sheetId="588"/>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refreshError="1"/>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sheetData sheetId="719" refreshError="1"/>
      <sheetData sheetId="720" refreshError="1"/>
      <sheetData sheetId="7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heetName val="YD"/>
      <sheetName val="DOL"/>
      <sheetName val="Telemecanique"/>
      <sheetName val="Motor &amp; Electric Equipment List"/>
      <sheetName val="Motor_&amp;_Electric_Equipment_List"/>
      <sheetName val="8-原料耗用价格比较"/>
      <sheetName val="Sheet10"/>
      <sheetName val="Sheet19"/>
      <sheetName val="Totals"/>
      <sheetName val="LM-COST"/>
      <sheetName val="Sheet2"/>
      <sheetName val="Sheet16"/>
      <sheetName val="Sheet6"/>
      <sheetName val="Sheet5"/>
      <sheetName val="Masterpricelist"/>
      <sheetName val="Sheet11"/>
      <sheetName val="FInput"/>
      <sheetName val="Sheet12"/>
      <sheetName val="1"/>
      <sheetName val="2"/>
      <sheetName val="3"/>
      <sheetName val="4"/>
      <sheetName val="5"/>
      <sheetName val="6"/>
      <sheetName val="7"/>
      <sheetName val="8"/>
      <sheetName val="9"/>
      <sheetName val="10"/>
      <sheetName val="11"/>
      <sheetName val="12"/>
      <sheetName val="TOTAL"/>
      <sheetName val="宣1"/>
      <sheetName val="Sheet1"/>
      <sheetName val="extruder"/>
      <sheetName val="machine list"/>
      <sheetName val="Supporting CAPEX form"/>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one way"/>
      <sheetName val="two way"/>
      <sheetName val="stair"/>
      <sheetName val="beam"/>
      <sheetName val="wall"/>
      <sheetName val="column"/>
      <sheetName val="footing"/>
      <sheetName val="one_way"/>
      <sheetName val="two_way"/>
      <sheetName val="one_way1"/>
      <sheetName val="two_way1"/>
      <sheetName val="one_way2"/>
      <sheetName val="two_way2"/>
      <sheetName val="one_way4"/>
      <sheetName val="two_way4"/>
      <sheetName val="one_way3"/>
      <sheetName val="two_way3"/>
    </sheetNames>
    <sheetDataSet>
      <sheetData sheetId="0" refreshError="1"/>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Architecture"/>
      <sheetName val="STRUCTURE"/>
      <sheetName val="laroux"/>
      <sheetName val="stair"/>
    </sheetNames>
    <sheetDataSet>
      <sheetData sheetId="0"/>
      <sheetData sheetId="1"/>
      <sheetData sheetId="2"/>
      <sheetData sheetId="3"/>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one way"/>
      <sheetName val="two way"/>
      <sheetName val="stair"/>
      <sheetName val="beam"/>
      <sheetName val="wall"/>
      <sheetName val="column"/>
      <sheetName val="footing"/>
      <sheetName val="one_way"/>
      <sheetName val="two_way"/>
      <sheetName val="one_way1"/>
      <sheetName val="two_way1"/>
      <sheetName val="one_way2"/>
      <sheetName val="two_way2"/>
      <sheetName val="one_way4"/>
      <sheetName val="two_way4"/>
      <sheetName val="one_way3"/>
      <sheetName val="two_way3"/>
      <sheetName val="STRUCTUR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Architecture"/>
      <sheetName val="STRUCTURE"/>
      <sheetName val="laroux"/>
      <sheetName val="stair"/>
      <sheetName val="ปก"/>
      <sheetName val="per"/>
      <sheetName val="pre scope"/>
      <sheetName val="summary"/>
      <sheetName val="&quot;I&quot; งานเตรียมการ"/>
      <sheetName val="&quot;J&quot; Sum-EE"/>
      <sheetName val="EE-1"/>
      <sheetName val="EE-2"/>
      <sheetName val="EE-3"/>
      <sheetName val="EE-4"/>
      <sheetName val="EE-5"/>
      <sheetName val="&quot;K&quot; Sum-SN"/>
      <sheetName val="SN-1"/>
      <sheetName val="SN-2"/>
      <sheetName val="SN-3"/>
      <sheetName val="SN-4"/>
      <sheetName val="SN-5"/>
      <sheetName val="&quot;L&quot; Sum-FP"/>
      <sheetName val="FP-1"/>
      <sheetName val="FP-2"/>
      <sheetName val="FP-3"/>
      <sheetName val="FP-4"/>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one way"/>
      <sheetName val="two way"/>
      <sheetName val="stair"/>
      <sheetName val="beam"/>
      <sheetName val="wall"/>
      <sheetName val="column"/>
      <sheetName val="footing"/>
    </sheetNames>
    <sheetDataSet>
      <sheetData sheetId="0" refreshError="1"/>
      <sheetData sheetId="1"/>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Architecture"/>
      <sheetName val="STRUCTURE"/>
      <sheetName val="laroux"/>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สรุป"/>
      <sheetName val="ศูนย์การแพทย์"/>
      <sheetName val="หอพักผู้ป่วย"/>
      <sheetName val="อาคารบริการ"/>
      <sheetName val="Cost2"/>
      <sheetName val="สรศป"/>
      <sheetName val="FR"/>
      <sheetName val="Sheet1"/>
      <sheetName val="산근"/>
      <sheetName val="วัดใต้"/>
      <sheetName val="#REF"/>
      <sheetName val="封面 "/>
      <sheetName val="粉刷"/>
      <sheetName val="裝修"/>
      <sheetName val="風管工程"/>
      <sheetName val="合約價"/>
      <sheetName val="ราคาต่อหน่วย2-9"/>
      <sheetName val="????"/>
      <sheetName val="รวมราคาทั้งสิ้น"/>
      <sheetName val="SUMMERY (BOQ)"/>
      <sheetName val="FIRST FLOOR"/>
      <sheetName val="SECOND FLOOR"/>
      <sheetName val="3RD FLOOR"/>
      <sheetName val="4 TH FLOOR"/>
      <sheetName val="1ST-4TH DOOR WORK"/>
      <sheetName val="1ST-4TH MAIL&amp;FEMALE TOILET"/>
      <sheetName val="5THFLOOR LIFT LOBBY&amp;CORRIDOR"/>
      <sheetName val="Back Up"/>
      <sheetName val="Matt_Guest"/>
      <sheetName val="_x0000__x0000__x0000__x0000__x0000_@_x001c__x0014__x0000__x0000__x0000__x0000__x0000__x0002__x0011__x0014__x0000__x0000__x0000__x0000__x0000_ñCe?_x0001__x0000__x0000__x0000_0_x0000_"/>
      <sheetName val=""/>
      <sheetName val="SUM-AIR-Submit"/>
      <sheetName val="FAB별"/>
      <sheetName val="?????@_x001c__x0014_?????_x0002__x0011__x0014_?????ñCe?_x0001_???0?"/>
      <sheetName val="Concrete Beam"/>
      <sheetName val="AR(AUF)"/>
      <sheetName val="D&amp;W(AUF)"/>
      <sheetName val="EE"/>
      <sheetName val="RO(AUF)"/>
      <sheetName val="SAN(AUF)"/>
      <sheetName val="SUM_ALL"/>
      <sheetName val="Road&amp;Fence(AUF)"/>
      <sheetName val="ถนน+รั้ว"/>
      <sheetName val="JUNE"/>
      <sheetName val="ADM_A"/>
      <sheetName val="JUNE1"/>
      <sheetName val="Admin"/>
      <sheetName val="CDC"/>
      <sheetName val="Estate"/>
      <sheetName val="Fire"/>
      <sheetName val="Guest"/>
      <sheetName val="Medical"/>
      <sheetName val="PR"/>
      <sheetName val="PRE"/>
      <sheetName val="Secutiry"/>
      <sheetName val="Waste"/>
      <sheetName val="Boq(1)"/>
      <sheetName val="boq"/>
      <sheetName val="____"/>
      <sheetName val="_____@_x001c__x0014_______x0002__x0011__x0014______ñCe__x0001____0_"/>
      <sheetName val="封面_"/>
      <sheetName val="@ñCe?0"/>
      <sheetName val="S3 Architectural"/>
      <sheetName val="PL"/>
      <sheetName val="封面_1"/>
      <sheetName val="封面_2"/>
      <sheetName val="封面_3"/>
      <sheetName val="SCIB_Proforma"/>
      <sheetName val="SCIB_Data"/>
      <sheetName val="ส่งมอบงาน "/>
      <sheetName val="ปก"/>
      <sheetName val="ใบแจ้งหนี้"/>
      <sheetName val="Grand Summary (2)"/>
      <sheetName val="Grand Summary "/>
      <sheetName val=" BOQ WELCOME "/>
      <sheetName val="Grand_Sum"/>
      <sheetName val="Sum_TC"/>
      <sheetName val="002"/>
      <sheetName val="003"/>
      <sheetName val="004"/>
      <sheetName val="Grand_Sum VO"/>
      <sheetName val="Sum_VIP VO"/>
      <sheetName val="SAN REDUCED 1"/>
      <sheetName val="_x005f_x0000__x005f_x0000__x005f_x0000__x005f_x0000__x0"/>
      <sheetName val="_____@_x005f_x001c__x005f_x0014_______x0002"/>
      <sheetName val="@ñCe_0"/>
      <sheetName val="Invoice"/>
      <sheetName val="SUMMERY_(BOQ)"/>
      <sheetName val="FIRST_FLOOR"/>
      <sheetName val="SECOND_FLOOR"/>
      <sheetName val="3RD_FLOOR"/>
      <sheetName val="4_TH_FLOOR"/>
      <sheetName val="1ST-4TH_DOOR_WORK"/>
      <sheetName val="1ST-4TH_MAIL&amp;FEMALE_TOILET"/>
      <sheetName val="5THFLOOR_LIFT_LOBBY&amp;CORRIDOR"/>
      <sheetName val="Back_Up"/>
      <sheetName val="Struc"/>
      <sheetName val="Ratio"/>
      <sheetName val="Ratio Quantities"/>
      <sheetName val="Foundation_VE"/>
      <sheetName val="Column_VE (Coppper)"/>
      <sheetName val="CORE WALL (GL 38-39 I-R)VE"/>
      <sheetName val="CORE WALL (GL 14-19 I-R)VE"/>
      <sheetName val="CORE WALL (GL 27-28 C-F)VE"/>
      <sheetName val="CORE WALL (GL 53-54 J)VE"/>
      <sheetName val="CORE WALL (GL 56-57 J-P)VE"/>
      <sheetName val="CORE WALL (GL 33 C-L)VE"/>
      <sheetName val="Staircase"/>
      <sheetName val="RC Wall"/>
      <sheetName val="Struc. Steel"/>
      <sheetName val="Std.RC Wall"/>
      <sheetName val="Std. Column "/>
      <sheetName val="Foundation"/>
      <sheetName val="Column_VE"/>
      <sheetName val="GFAไม้แบบท้องพื้น"/>
      <sheetName val="Struc Check Table อาคาร 1"/>
      <sheetName val="STR"/>
      <sheetName val="Sheet2"/>
      <sheetName val="?????@??????????ñCe????0?"/>
      <sheetName val="Concrete_Beam"/>
      <sheetName val="SUMMERY_(BOQ)1"/>
      <sheetName val="FIRST_FLOOR1"/>
      <sheetName val="SECOND_FLOOR1"/>
      <sheetName val="3RD_FLOOR1"/>
      <sheetName val="4_TH_FLOOR1"/>
      <sheetName val="1ST-4TH_DOOR_WORK1"/>
      <sheetName val="1ST-4TH_MAIL&amp;FEMALE_TOILET1"/>
      <sheetName val="5THFLOOR_LIFT_LOBBY&amp;CORRIDOR1"/>
      <sheetName val="Back_Up1"/>
      <sheetName val="Concrete_Beam1"/>
      <sheetName val="SUMMERY_(BOQ)2"/>
      <sheetName val="FIRST_FLOOR2"/>
      <sheetName val="SECOND_FLOOR2"/>
      <sheetName val="3RD_FLOOR2"/>
      <sheetName val="4_TH_FLOOR2"/>
      <sheetName val="1ST-4TH_DOOR_WORK2"/>
      <sheetName val="1ST-4TH_MAIL&amp;FEMALE_TOILET2"/>
      <sheetName val="5THFLOOR_LIFT_LOBBY&amp;CORRIDOR2"/>
      <sheetName val="Back_Up2"/>
      <sheetName val="Concrete_Beam2"/>
      <sheetName val="SUMMERY_(BOQ)3"/>
      <sheetName val="FIRST_FLOOR3"/>
      <sheetName val="SECOND_FLOOR3"/>
      <sheetName val="3RD_FLOOR3"/>
      <sheetName val="4_TH_FLOOR3"/>
      <sheetName val="1ST-4TH_DOOR_WORK3"/>
      <sheetName val="1ST-4TH_MAIL&amp;FEMALE_TOILET3"/>
      <sheetName val="5THFLOOR_LIFT_LOBBY&amp;CORRIDOR3"/>
      <sheetName val="Back_Up3"/>
      <sheetName val="Concrete_Beam3"/>
      <sheetName val="7IFS-5A"/>
      <sheetName val=" FS"/>
      <sheetName val="Sch_1_EE"/>
      <sheetName val="Sch.2 SN"/>
      <sheetName val="Sch.3 FP"/>
      <sheetName val="Sch.4 AC"/>
      <sheetName val="Sch.6 Prelim"/>
      <sheetName val="ข้อมูลประตู T1"/>
      <sheetName val="ข้อมูลหน้าต่าง T1"/>
      <sheetName val="ข้อมูลหน้าต่าง T3"/>
      <sheetName val="ข้อมูลประตู T2"/>
      <sheetName val="stair"/>
      <sheetName val="Data Sheet"/>
      <sheetName val="Interial"/>
      <sheetName val="EST-FOOTING (G)"/>
      <sheetName val="Cost per SQM_M&amp;E"/>
      <sheetName val="封面_4"/>
      <sheetName val="ปี 2562"/>
      <sheetName val="จ่ายเงิน"/>
      <sheetName val="Recovered_Sheet1"/>
      <sheetName val="TOTAL -BUILDING E1"/>
      <sheetName val="SUM - MEP(E1) "/>
      <sheetName val="EE(E1)"/>
      <sheetName val="Com(E1)"/>
      <sheetName val="Air(E1 )"/>
      <sheetName val="San(E1)"/>
      <sheetName val="Fp(E1)   "/>
      <sheetName val="SUMMARY MEP"/>
      <sheetName val="Prelim"/>
      <sheetName val="พื้นที่อาคาร"/>
      <sheetName val="SUM - MEP BUILDING"/>
      <sheetName val="Electrical System "/>
      <sheetName val="Commuication System"/>
      <sheetName val="Air Conditioning  System  "/>
      <sheetName val="Sanitary System "/>
      <sheetName val="Fire Protection System "/>
      <sheetName val="Check"/>
      <sheetName val="Construction"/>
      <sheetName val="schedule_1"/>
      <sheetName val="Sum.ALL"/>
      <sheetName val="รายการ VE"/>
      <sheetName val="PILE"/>
      <sheetName val="sum_ARC"/>
      <sheetName val="Public"/>
      <sheetName val="รวมห้องพัก"/>
      <sheetName val="HS"/>
      <sheetName val="Type A-1"/>
      <sheetName val="Type A-1M"/>
      <sheetName val="Type B-1"/>
      <sheetName val="Type C1"/>
      <sheetName val="Type C-2"/>
      <sheetName val="Type C-3"/>
      <sheetName val="Type C-5"/>
      <sheetName val="Type DP-5"/>
      <sheetName val="Type LOFT-1"/>
      <sheetName val="Type LOFT-2 "/>
      <sheetName val="Type LOFT-2M"/>
      <sheetName val="Type LOFT 3"/>
      <sheetName val="Type LOFT-4"/>
      <sheetName val="Type LOFT-5"/>
      <sheetName val="Type LOFT-6"/>
      <sheetName val="Type LOFT-7"/>
      <sheetName val="Type PH-A"/>
      <sheetName val="Type PH-B"/>
      <sheetName val="Type PH-C"/>
      <sheetName val="Type PH-D"/>
      <sheetName val="Type PH-E"/>
      <sheetName val="Hard"/>
      <sheetName val="Sum LAND"/>
      <sheetName val="Landscape"/>
      <sheetName val="SUM M&amp;E"/>
      <sheetName val="SN"/>
      <sheetName val="AC"/>
      <sheetName val="EX-WORK"/>
      <sheetName val="_x0000__x0000__x0000__x0000__x0"/>
      <sheetName val="_____@_x001c__x0014_______x0002"/>
      <sheetName val="KKC Brkdwn"/>
      <sheetName val="Factor F Data"/>
      <sheetName val="?????@_x005f_x001c__x005f_x0014_?????_x0002"/>
      <sheetName val="_x005f_x005f_x005f_x0000__x005f_x005f_x005f_x0000__x005"/>
      <sheetName val="_____@_x005f_x005f_x005f_x001c__x005f_x005f_x0014"/>
      <sheetName val="ค่าใช้จ่ายและแผนการเบิก"/>
      <sheetName val="Grand Summary ( Variation)"/>
      <sheetName val="ค่าใช้จ่ายและแผนการเบิกolan"/>
      <sheetName val="ST work con.M"/>
      <sheetName val="ST work con.carpark"/>
      <sheetName val="ST work M"/>
      <sheetName val="ST work Facad(M) "/>
      <sheetName val="ST work carpark"/>
      <sheetName val="back up arc.Car Park"/>
      <sheetName val="backup str.carpark"/>
      <sheetName val="back up arc. M"/>
      <sheetName val="แยกงาน ผนัง พื้น ฝ้า สี"/>
      <sheetName val="Grand SUMMARY MEP "/>
      <sheetName val="แยกงาน"/>
      <sheetName val="แยกงาน (2)"/>
      <sheetName val="一発シート"/>
      <sheetName val="BOX Cryostat Details"/>
      <sheetName val="Driver Linac Layout"/>
      <sheetName val="Inputs"/>
      <sheetName val="Magnet Details"/>
      <sheetName val="index"/>
      <sheetName val="合成単価作成・-BLDG"/>
      <sheetName val="A"/>
      <sheetName val="ปร5"/>
      <sheetName val="ราคาวัสดุ"/>
      <sheetName val="Fee Rate Summary"/>
      <sheetName val="OR21 Final Forecast Rev.2"/>
      <sheetName val="Summary Forecast Budget 1&amp;2"/>
      <sheetName val="Summary Forecast Budget Rev 2"/>
      <sheetName val="Backup OR21 "/>
      <sheetName val="BOQ  VI 03.09.19 "/>
      <sheetName val="Backup BR.BMA"/>
      <sheetName val="Budget for ENT"/>
      <sheetName val="ADJ. D-Wall&amp;BR Ent. Rev.2.1"/>
      <sheetName val="Rebar+Conพื้น Waste10%"/>
      <sheetName val="Backup D-Wall Ent. 13.07.19"/>
      <sheetName val="Backup BR.ENT. 13.07.19"/>
      <sheetName val="IMP OR21 2019.07.11"/>
      <sheetName val="Discounted Cash Flow"/>
      <sheetName val="cov-estimate"/>
      <sheetName val="แผนงาน อบต ท่าลาน(ส่งเทศบาล)"/>
      <sheetName val="Cctmst"/>
      <sheetName val="l-fixer"/>
      <sheetName val="Bill No. 2 - Carpark"/>
      <sheetName val="10 ข้อมูลวัสดุ-ค่าดำเนิน"/>
      <sheetName val="REF ONLY2"/>
      <sheetName val="Garph Work-Cost"/>
      <sheetName val="mat"/>
      <sheetName val="QuantitySegment"/>
      <sheetName val="_x005f_x0000__x005f_x0000__x005"/>
      <sheetName val="_____@_x005f_x001c__x0014"/>
      <sheetName val="_____@_x005f_x005f_x005f_x001c__x0014"/>
      <sheetName val="_x005f_x005f_x005f_x005f_x005f_x005f_x005f_x0000__x005f"/>
      <sheetName val="_____@_x005f_x005f_x005f_x005f_x005f_x005f_x005f_x001c_"/>
      <sheetName val="Sheet5"/>
      <sheetName val="_____@_x005f_x001c__x005f_x005f_x0014"/>
      <sheetName val="_x005f_x005f_x005f_x0000__x005f"/>
      <sheetName val="_____@_x005f_x005f_x005f_x001c_"/>
      <sheetName val="King 1"/>
      <sheetName val="_____@__________ñCe____0_"/>
      <sheetName val="A1.2"/>
      <sheetName val="Construction cost assumption"/>
      <sheetName val="JLL Assumption"/>
      <sheetName val="Retail Program&amp;Rev Assumption"/>
      <sheetName val="Car."/>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FitOutConfCentre"/>
      <sheetName val="detail "/>
      <sheetName val="?????@_x005f_x005f_x005f_x001c__x005f_x005f_x0014"/>
      <sheetName val="_x005f_x005f_x005F"/>
      <sheetName val="5-2"/>
      <sheetName val="ค่าขนส่ง-1"/>
      <sheetName val="wa"/>
      <sheetName val="Quotation-B1"/>
      <sheetName val="Summary"/>
      <sheetName val="Site OH-Main Construction"/>
      <sheetName val="Site OH-HMA"/>
      <sheetName val="DB-Material"/>
      <sheetName val="DB-Equipment_Man"/>
      <sheetName val="DB-Manpower"/>
      <sheetName val="Para Slurry Seal"/>
      <sheetName val="Agg. for Para Type III"/>
      <sheetName val="Agg. for Para TypeIII Haulage"/>
      <sheetName val="Mobilization-Equip"/>
      <sheetName val="Tack Coat-16+400A,B"/>
      <sheetName val="Earth Excavation"/>
      <sheetName val="B1_Embankment"/>
      <sheetName val="B1_Selected Mat"/>
      <sheetName val="B1_Subbase"/>
      <sheetName val="B1_CTB_In-Place"/>
      <sheetName val="B1_CTB In-Plant"/>
      <sheetName val="B1_CTB-Haulage"/>
      <sheetName val="HMA-Production-16+400A,B"/>
      <sheetName val="HMA-Paving-16+400A,B"/>
      <sheetName val="HMA-Haulage-16+400AB"/>
      <sheetName val="Tack Coat-17+100B"/>
      <sheetName val="HMA-Production-17+100B"/>
      <sheetName val="HMA-Paving-17+100B"/>
      <sheetName val="HMA-Haulage-17+100B"/>
      <sheetName val="Milling 5cm-ทางลงเชียงราก"/>
      <sheetName val="Tack Coat-ทางลงเชียงราก"/>
      <sheetName val="HMA-Production-ทางลงเชียงราก"/>
      <sheetName val="HMA-Paving-ทางลงเชียงราก"/>
      <sheetName val="HMA-Haulage-ทางลงเชียงราก"/>
      <sheetName val="Toll Fee"/>
      <sheetName val="Traffic Management"/>
      <sheetName val="กำพงกันตก"/>
      <sheetName val="รางระบายน้ำ"/>
      <sheetName val="Factor F งาน DB."/>
      <sheetName val="ตกแต่ง-อาคาร A"/>
      <sheetName val="ตกแต่ง-อาคาร B"/>
      <sheetName val="ตกแต่ง-อาคาร C"/>
      <sheetName val="ตกแต่ง-อาคาร E"/>
      <sheetName val="Concrete_Beam4"/>
      <sheetName val="SUMMERY_(BOQ)4"/>
      <sheetName val="FIRST_FLOOR4"/>
      <sheetName val="SECOND_FLOOR4"/>
      <sheetName val="3RD_FLOOR4"/>
      <sheetName val="4_TH_FLOOR4"/>
      <sheetName val="1ST-4TH_DOOR_WORK4"/>
      <sheetName val="1ST-4TH_MAIL&amp;FEMALE_TOILET4"/>
      <sheetName val="5THFLOOR_LIFT_LOBBY&amp;CORRIDOR4"/>
      <sheetName val="Back_Up4"/>
      <sheetName val="basic rate"/>
      <sheetName val="field"/>
      <sheetName val="36.rc. pipe(2หน้า)"/>
      <sheetName val="Mat_Source"/>
      <sheetName val="11 ข้อมูลงานCon"/>
      <sheetName val="12 ข้อมูลงานไม้แบบ"/>
      <sheetName val="Q190802"/>
      <sheetName val="Total"/>
      <sheetName val="back up FL.4"/>
      <sheetName val="Sap_Actual"/>
      <sheetName val="______________________Ce______2"/>
      <sheetName val="ส่งมอบงาน_"/>
      <sheetName val="Grand_Summary_(2)"/>
      <sheetName val="Grand_Summary_"/>
      <sheetName val="_BOQ_WELCOME_"/>
      <sheetName val="Grand_Sum_VO"/>
      <sheetName val="Sum_VIP_VO"/>
      <sheetName val="Attach1(สรุปรวม) "/>
      <sheetName val="Attach2(BOQ Detail) "/>
      <sheetName val="Attach3(Measurement)Footing"/>
      <sheetName val="Attach3(Measurement) (Topping)"/>
      <sheetName val="Attach3(Measurement) (FL FINISH"/>
      <sheetName val="Attach3(Check Sheet)"/>
      <sheetName val="Sheet3"/>
      <sheetName val=" (FL Finis)"/>
      <sheetName val="bp bill-mark"/>
      <sheetName val="vo"/>
      <sheetName val="封面_5"/>
      <sheetName val="SAN_REDUCED_1"/>
      <sheetName val="S3_Architectural"/>
      <sheetName val="Ratio_Quantities"/>
      <sheetName val="Column_VE_(Coppper)"/>
      <sheetName val="CORE_WALL_(GL_38-39_I-R)VE"/>
      <sheetName val="CORE_WALL_(GL_14-19_I-R)VE"/>
      <sheetName val="CORE_WALL_(GL_27-28_C-F)VE"/>
      <sheetName val="CORE_WALL_(GL_53-54_J)VE"/>
      <sheetName val="CORE_WALL_(GL_56-57_J-P)VE"/>
      <sheetName val="CORE_WALL_(GL_33_C-L)VE"/>
      <sheetName val="RC_Wall"/>
      <sheetName val="Struc__Steel"/>
      <sheetName val="Std_RC_Wall"/>
      <sheetName val="Std__Column_"/>
      <sheetName val="Struc_Check_Table_อาคาร_1"/>
      <sheetName val="Data_Sheet"/>
      <sheetName val="ข้อมูลประตู_T1"/>
      <sheetName val="ข้อมูลหน้าต่าง_T1"/>
      <sheetName val="TOTAL_-BUILDING_E1"/>
      <sheetName val="SUM_-_MEP(E1)_"/>
      <sheetName val="Air(E1_)"/>
      <sheetName val="Fp(E1)___"/>
      <sheetName val="ข้อมูลหน้าต่าง_T3"/>
      <sheetName val="ข้อมูลประตู_T2"/>
      <sheetName val="EST-FOOTING_(G)"/>
      <sheetName val="SUMMARY_MEP"/>
      <sheetName val="SUM_-_MEP_BUILDING"/>
      <sheetName val="Electrical_System_"/>
      <sheetName val="Commuication_System"/>
      <sheetName val="Air_Conditioning__System__"/>
      <sheetName val="Sanitary_System_"/>
      <sheetName val="Fire_Protection_System_"/>
      <sheetName val="Cost_per_SQM_M&amp;E"/>
      <sheetName val="_x0"/>
      <sheetName val="_____@______x0002"/>
      <sheetName val="ปี_2562"/>
      <sheetName val="_FS"/>
      <sheetName val="Sch_2_SN"/>
      <sheetName val="Sch_3_FP"/>
      <sheetName val="Sch_4_AC"/>
      <sheetName val="Sch_6_Prelim"/>
      <sheetName val="KKC_Brkdwn"/>
      <sheetName val="Factor_F_Data"/>
      <sheetName val="รายการ_VE"/>
      <sheetName val="Type_A-1"/>
      <sheetName val="Type_A-1M"/>
      <sheetName val="Type_B-1"/>
      <sheetName val="Type_C1"/>
      <sheetName val="Type_C-2"/>
      <sheetName val="?????@_x005f_x001c__x005f_x005f_x0014"/>
      <sheetName val="_x005f_x0000__x005f"/>
      <sheetName val="_____@_x005f_x001c_"/>
      <sheetName val="STMspry"/>
      <sheetName val="PsychroData"/>
      <sheetName val="Unit_Div6"/>
      <sheetName val="ทำนบดิน 4"/>
      <sheetName val="Purchase Order"/>
      <sheetName val="Customize Your Purchase Order"/>
      <sheetName val="structure"/>
      <sheetName val="footing"/>
      <sheetName val="Material"/>
      <sheetName val="MS Box"/>
      <sheetName val="MOLP C"/>
      <sheetName val="????_x0"/>
      <sheetName val="Sch 2"/>
      <sheetName val="Type_C-3"/>
      <sheetName val="Type_C-5"/>
      <sheetName val="Type_DP-5"/>
      <sheetName val="Type_LOFT-1"/>
      <sheetName val="Type_LOFT-2_"/>
      <sheetName val="Type_LOFT-2M"/>
      <sheetName val="Type_LOFT_3"/>
      <sheetName val="Type_LOFT-4"/>
      <sheetName val="Type_LOFT-5"/>
      <sheetName val="Type_LOFT-6"/>
      <sheetName val="Type_LOFT-7"/>
      <sheetName val="Type_PH-A"/>
      <sheetName val="Type_PH-B"/>
      <sheetName val="Type_PH-C"/>
      <sheetName val="Type_PH-D"/>
      <sheetName val="Type_PH-E"/>
      <sheetName val="Sum_LAND"/>
      <sheetName val="SUM_M&amp;E"/>
      <sheetName val="Grand_Summary_(_Variation)"/>
      <sheetName val="ST_work_con_M"/>
      <sheetName val="ST_work_con_carpark"/>
      <sheetName val="ST_work_M"/>
      <sheetName val="ST_work_Facad(M)_"/>
      <sheetName val="ST_work_carpark"/>
      <sheetName val="back_up_arc_Car_Park"/>
      <sheetName val="backup_str_carpark"/>
      <sheetName val="back_up_arc__M"/>
      <sheetName val="แยกงาน_ผนัง_พื้น_ฝ้า_สี"/>
      <sheetName val="Grand_SUMMARY_MEP_"/>
      <sheetName val="แยกงาน_(2)"/>
      <sheetName val="King_1"/>
      <sheetName val="Discounted_Cash_Flow"/>
      <sheetName val="Garph_Work-Cost"/>
      <sheetName val="10_ข้อมูลวัสดุ-ค่าดำเนิน"/>
      <sheetName val="REF_ONLY2"/>
      <sheetName val="Fee_Rate_Summary"/>
      <sheetName val="A1_2"/>
      <sheetName val="Bill_No__2_-_Carpark"/>
      <sheetName val="แผนงาน_อบต_ท่าลาน(ส่งเทศบาล)"/>
      <sheetName val="OR21_Final_Forecast_Rev_2"/>
      <sheetName val="Summary_Forecast_Budget_1&amp;2"/>
      <sheetName val="Summary_Forecast_Budget_Rev_2"/>
      <sheetName val="Backup_OR21_"/>
      <sheetName val="BOQ__VI_03_09_19_"/>
      <sheetName val="Backup_BR_BMA"/>
      <sheetName val="Budget_for_ENT"/>
      <sheetName val="ADJ__D-Wall&amp;BR_Ent__Rev_2_1"/>
      <sheetName val="Rebar+Conพื้น_Waste10%"/>
      <sheetName val="Backup_D-Wall_Ent__13_07_19"/>
      <sheetName val="Backup_BR_ENT__13_07_19"/>
      <sheetName val="IMP_OR21_2019_07_11"/>
      <sheetName val="detail_"/>
      <sheetName val="Construction_cost_assumption"/>
      <sheetName val="JLL_Assumption"/>
      <sheetName val="ส่งมอบงาน_1"/>
      <sheetName val="Grand_Summary_(2)1"/>
      <sheetName val="Grand_Summary_1"/>
      <sheetName val="_BOQ_WELCOME_1"/>
      <sheetName val="Grand_Sum_VO1"/>
      <sheetName val="Sum_VIP_VO1"/>
      <sheetName val="SAN_REDUCED_11"/>
      <sheetName val="S3_Architectural1"/>
      <sheetName val="Car_"/>
      <sheetName val="TDC_COA_Sumry"/>
      <sheetName val="COA_Sumry_by_Area"/>
      <sheetName val="COA_Sumry_by_Contr"/>
      <sheetName val="COA_Sumry_by_RG"/>
      <sheetName val="TDC_COA_Grp_Sumry"/>
      <sheetName val="TDC_Item_Dets-Full"/>
      <sheetName val="TDC_Item_Dets-IPM-Full"/>
      <sheetName val="TDC_Item_Dets"/>
      <sheetName val="TDC_Item_Sumry"/>
      <sheetName val="TDC_Key_Qty_Sumry"/>
      <sheetName val="List_-_Components"/>
      <sheetName val="List_-_Equipment"/>
      <sheetName val="Project_Metrics"/>
      <sheetName val="COA_Sumry_-_Std_Imp"/>
      <sheetName val="Contr_TDC_-_Std_Imp"/>
      <sheetName val="Item_Sumry_-_Std_Imp"/>
      <sheetName val="Proj_TIC_-_Std_Imp"/>
      <sheetName val="Unit_Costs_-_Std_Imp"/>
      <sheetName val="Unit_MH_-_Std_Imp"/>
      <sheetName val="BOX_Cryostat_Details"/>
      <sheetName val="Driver_Linac_Layout"/>
      <sheetName val="Magnet_Details"/>
      <sheetName val="Retail_Program&amp;Rev_Assumption"/>
      <sheetName val="封面_6"/>
      <sheetName val="SUMMERY_(BOQ)5"/>
      <sheetName val="FIRST_FLOOR5"/>
      <sheetName val="SECOND_FLOOR5"/>
      <sheetName val="3RD_FLOOR5"/>
      <sheetName val="4_TH_FLOOR5"/>
      <sheetName val="1ST-4TH_DOOR_WORK5"/>
      <sheetName val="1ST-4TH_MAIL&amp;FEMALE_TOILET5"/>
      <sheetName val="5THFLOOR_LIFT_LOBBY&amp;CORRIDOR5"/>
      <sheetName val="Back_Up5"/>
      <sheetName val="Concrete_Beam5"/>
      <sheetName val="Ratio_Quantities1"/>
      <sheetName val="Column_VE_(Coppper)1"/>
      <sheetName val="CORE_WALL_(GL_38-39_I-R)VE1"/>
      <sheetName val="CORE_WALL_(GL_14-19_I-R)VE1"/>
      <sheetName val="CORE_WALL_(GL_27-28_C-F)VE1"/>
      <sheetName val="CORE_WALL_(GL_53-54_J)VE1"/>
      <sheetName val="CORE_WALL_(GL_56-57_J-P)VE1"/>
      <sheetName val="CORE_WALL_(GL_33_C-L)VE1"/>
      <sheetName val="RC_Wall1"/>
      <sheetName val="Struc__Steel1"/>
      <sheetName val="Std_RC_Wall1"/>
      <sheetName val="Std__Column_1"/>
      <sheetName val="Struc_Check_Table_อาคาร_11"/>
      <sheetName val="ข้อมูลประตู_T11"/>
      <sheetName val="ข้อมูลหน้าต่าง_T11"/>
      <sheetName val="ข้อมูลหน้าต่าง_T31"/>
      <sheetName val="ข้อมูลประตู_T21"/>
      <sheetName val="_FS1"/>
      <sheetName val="Sch_2_SN1"/>
      <sheetName val="Sch_3_FP1"/>
      <sheetName val="Sch_4_AC1"/>
      <sheetName val="Sch_6_Prelim1"/>
      <sheetName val="ปี_25621"/>
      <sheetName val="TOTAL_-BUILDING_E11"/>
      <sheetName val="SUM_-_MEP(E1)_1"/>
      <sheetName val="Air(E1_)1"/>
      <sheetName val="Fp(E1)___1"/>
      <sheetName val="Data_Sheet1"/>
      <sheetName val="SUMMARY_MEP1"/>
      <sheetName val="SUM_-_MEP_BUILDING1"/>
      <sheetName val="Electrical_System_1"/>
      <sheetName val="Commuication_System1"/>
      <sheetName val="Air_Conditioning__System__1"/>
      <sheetName val="Sanitary_System_1"/>
      <sheetName val="Fire_Protection_System_1"/>
      <sheetName val="EST-FOOTING_(G)1"/>
      <sheetName val="Cost_per_SQM_M&amp;E1"/>
      <sheetName val="รายการ_VE1"/>
      <sheetName val="Type_A-11"/>
      <sheetName val="Type_A-1M1"/>
      <sheetName val="Type_B-11"/>
      <sheetName val="Type_C11"/>
      <sheetName val="Type_C-21"/>
      <sheetName val="Type_C-31"/>
      <sheetName val="Type_C-51"/>
      <sheetName val="Type_DP-51"/>
      <sheetName val="Type_LOFT-11"/>
      <sheetName val="Type_LOFT-2_1"/>
      <sheetName val="Type_LOFT-2M1"/>
      <sheetName val="Type_LOFT_31"/>
      <sheetName val="Type_LOFT-41"/>
      <sheetName val="Type_LOFT-51"/>
      <sheetName val="Type_LOFT-61"/>
      <sheetName val="Type_LOFT-71"/>
      <sheetName val="Type_PH-A1"/>
      <sheetName val="Type_PH-B1"/>
      <sheetName val="Type_PH-C1"/>
      <sheetName val="Type_PH-D1"/>
      <sheetName val="Type_PH-E1"/>
      <sheetName val="Sum_LAND1"/>
      <sheetName val="SUM_M&amp;E1"/>
      <sheetName val="Grand_Summary_(_Variation)1"/>
      <sheetName val="ST_work_con_M1"/>
      <sheetName val="ST_work_con_carpark1"/>
      <sheetName val="ST_work_M1"/>
      <sheetName val="ST_work_Facad(M)_1"/>
      <sheetName val="ST_work_carpark1"/>
      <sheetName val="back_up_arc_Car_Park1"/>
      <sheetName val="backup_str_carpark1"/>
      <sheetName val="back_up_arc__M1"/>
      <sheetName val="แยกงาน_ผนัง_พื้น_ฝ้า_สี1"/>
      <sheetName val="Grand_SUMMARY_MEP_1"/>
      <sheetName val="แยกงาน_(2)1"/>
      <sheetName val="KKC_Brkdwn1"/>
      <sheetName val="Factor_F_Data1"/>
      <sheetName val="Garph_Work-Cost1"/>
      <sheetName val="Discounted_Cash_Flow1"/>
      <sheetName val="Bill_No__2_-_Carpark1"/>
      <sheetName val="King_11"/>
      <sheetName val="Fee_Rate_Summary1"/>
      <sheetName val="10_ข้อมูลวัสดุ-ค่าดำเนิน1"/>
      <sheetName val="REF_ONLY21"/>
      <sheetName val="A1_21"/>
      <sheetName val="OR21_Final_Forecast_Rev_21"/>
      <sheetName val="Summary_Forecast_Budget_1&amp;21"/>
      <sheetName val="Summary_Forecast_Budget_Rev_21"/>
      <sheetName val="Backup_OR21_1"/>
      <sheetName val="BOQ__VI_03_09_19_1"/>
      <sheetName val="Backup_BR_BMA1"/>
      <sheetName val="Budget_for_ENT1"/>
      <sheetName val="ADJ__D-Wall&amp;BR_Ent__Rev_2_11"/>
      <sheetName val="Rebar+Conพื้น_Waste10%1"/>
      <sheetName val="Backup_D-Wall_Ent__13_07_191"/>
      <sheetName val="Backup_BR_ENT__13_07_191"/>
      <sheetName val="IMP_OR21_2019_07_111"/>
      <sheetName val="Car_1"/>
      <sheetName val="TDC_COA_Sumry1"/>
      <sheetName val="COA_Sumry_by_Area1"/>
      <sheetName val="COA_Sumry_by_Contr1"/>
      <sheetName val="COA_Sumry_by_RG1"/>
      <sheetName val="TDC_COA_Grp_Sumry1"/>
      <sheetName val="TDC_Item_Dets-Full1"/>
      <sheetName val="TDC_Item_Dets-IPM-Full1"/>
      <sheetName val="TDC_Item_Dets1"/>
      <sheetName val="TDC_Item_Sumry1"/>
      <sheetName val="TDC_Key_Qty_Sumry1"/>
      <sheetName val="List_-_Components1"/>
      <sheetName val="List_-_Equipment1"/>
      <sheetName val="Project_Metrics1"/>
      <sheetName val="COA_Sumry_-_Std_Imp1"/>
      <sheetName val="Contr_TDC_-_Std_Imp1"/>
      <sheetName val="Item_Sumry_-_Std_Imp1"/>
      <sheetName val="Proj_TIC_-_Std_Imp1"/>
      <sheetName val="Unit_Costs_-_Std_Imp1"/>
      <sheetName val="Unit_MH_-_Std_Imp1"/>
      <sheetName val="แผนงาน_อบต_ท่าลาน(ส่งเทศบาล)1"/>
      <sheetName val="Construction_cost_assumption1"/>
      <sheetName val="JLL_Assumption1"/>
      <sheetName val="Retail_Program&amp;Rev_Assumption1"/>
      <sheetName val="bk unit rate"/>
      <sheetName val="Equipment"/>
      <sheetName val="PRICE LIST"/>
      <sheetName val="3-145 input plan"/>
      <sheetName val="splinkler"/>
      <sheetName val="FS"/>
      <sheetName val="สรุปราคา (EMC)"/>
      <sheetName val="Form"/>
      <sheetName val="master01"/>
      <sheetName val="Status Budget"/>
      <sheetName val="back_up_FL_4"/>
      <sheetName val="ทำนบดิน_4"/>
      <sheetName val="Purchase_Order"/>
      <sheetName val="Customize_Your_Purchase_Order"/>
      <sheetName val="detail_1"/>
      <sheetName val="back_up_FL_41"/>
      <sheetName val="BOX_Cryostat_Details1"/>
      <sheetName val="Driver_Linac_Layout1"/>
      <sheetName val="Magnet_Details1"/>
      <sheetName val="ทำนบดิน_41"/>
      <sheetName val="Purchase_Order1"/>
      <sheetName val="Customize_Your_Purchase_Order1"/>
      <sheetName val="封面_7"/>
      <sheetName val="SUMMERY_(BOQ)6"/>
      <sheetName val="FIRST_FLOOR6"/>
      <sheetName val="SECOND_FLOOR6"/>
      <sheetName val="3RD_FLOOR6"/>
      <sheetName val="4_TH_FLOOR6"/>
      <sheetName val="1ST-4TH_DOOR_WORK6"/>
      <sheetName val="1ST-4TH_MAIL&amp;FEMALE_TOILET6"/>
      <sheetName val="5THFLOOR_LIFT_LOBBY&amp;CORRIDOR6"/>
      <sheetName val="Back_Up6"/>
      <sheetName val="Concrete_Beam6"/>
      <sheetName val="ส่งมอบงาน_2"/>
      <sheetName val="Grand_Summary_(2)2"/>
      <sheetName val="Grand_Summary_2"/>
      <sheetName val="_BOQ_WELCOME_2"/>
      <sheetName val="Grand_Sum_VO2"/>
      <sheetName val="Sum_VIP_VO2"/>
      <sheetName val="SAN_REDUCED_12"/>
      <sheetName val="S3_Architectural2"/>
      <sheetName val="Ratio_Quantities2"/>
      <sheetName val="Column_VE_(Coppper)2"/>
      <sheetName val="CORE_WALL_(GL_38-39_I-R)VE2"/>
      <sheetName val="CORE_WALL_(GL_14-19_I-R)VE2"/>
      <sheetName val="CORE_WALL_(GL_27-28_C-F)VE2"/>
      <sheetName val="CORE_WALL_(GL_53-54_J)VE2"/>
      <sheetName val="CORE_WALL_(GL_56-57_J-P)VE2"/>
      <sheetName val="CORE_WALL_(GL_33_C-L)VE2"/>
      <sheetName val="RC_Wall2"/>
      <sheetName val="Struc__Steel2"/>
      <sheetName val="Std_RC_Wall2"/>
      <sheetName val="Std__Column_2"/>
      <sheetName val="Struc_Check_Table_อาคาร_12"/>
      <sheetName val="ข้อมูลประตู_T12"/>
      <sheetName val="ข้อมูลหน้าต่าง_T12"/>
      <sheetName val="ข้อมูลหน้าต่าง_T32"/>
      <sheetName val="ข้อมูลประตู_T22"/>
      <sheetName val="_FS2"/>
      <sheetName val="Sch_2_SN2"/>
      <sheetName val="Sch_3_FP2"/>
      <sheetName val="Sch_4_AC2"/>
      <sheetName val="Sch_6_Prelim2"/>
      <sheetName val="รายการ_VE2"/>
      <sheetName val="Type_A-12"/>
      <sheetName val="Type_A-1M2"/>
      <sheetName val="Type_B-12"/>
      <sheetName val="Type_C12"/>
      <sheetName val="Type_C-22"/>
      <sheetName val="Type_C-32"/>
      <sheetName val="Type_C-52"/>
      <sheetName val="Type_DP-52"/>
      <sheetName val="Type_LOFT-12"/>
      <sheetName val="Type_LOFT-2_2"/>
      <sheetName val="Type_LOFT-2M2"/>
      <sheetName val="Type_LOFT_32"/>
      <sheetName val="Type_LOFT-42"/>
      <sheetName val="Type_LOFT-52"/>
      <sheetName val="Type_LOFT-62"/>
      <sheetName val="Type_LOFT-72"/>
      <sheetName val="Type_PH-A2"/>
      <sheetName val="Type_PH-B2"/>
      <sheetName val="Type_PH-C2"/>
      <sheetName val="Type_PH-D2"/>
      <sheetName val="Type_PH-E2"/>
      <sheetName val="Sum_LAND2"/>
      <sheetName val="SUM_M&amp;E2"/>
      <sheetName val="TOTAL_-BUILDING_E12"/>
      <sheetName val="SUM_-_MEP(E1)_2"/>
      <sheetName val="Air(E1_)2"/>
      <sheetName val="Fp(E1)___2"/>
      <sheetName val="SUMMARY_MEP2"/>
      <sheetName val="SUM_-_MEP_BUILDING2"/>
      <sheetName val="Electrical_System_2"/>
      <sheetName val="Commuication_System2"/>
      <sheetName val="Air_Conditioning__System__2"/>
      <sheetName val="Sanitary_System_2"/>
      <sheetName val="Fire_Protection_System_2"/>
      <sheetName val="ปี_25622"/>
      <sheetName val="Data_Sheet2"/>
      <sheetName val="EST-FOOTING_(G)2"/>
      <sheetName val="Cost_per_SQM_M&amp;E2"/>
      <sheetName val="KKC_Brkdwn2"/>
      <sheetName val="Factor_F_Data2"/>
      <sheetName val="Grand_Summary_(_Variation)2"/>
      <sheetName val="ST_work_con_M2"/>
      <sheetName val="ST_work_con_carpark2"/>
      <sheetName val="ST_work_M2"/>
      <sheetName val="ST_work_Facad(M)_2"/>
      <sheetName val="ST_work_carpark2"/>
      <sheetName val="back_up_arc_Car_Park2"/>
      <sheetName val="backup_str_carpark2"/>
      <sheetName val="back_up_arc__M2"/>
      <sheetName val="แยกงาน_ผนัง_พื้น_ฝ้า_สี2"/>
      <sheetName val="Grand_SUMMARY_MEP_2"/>
      <sheetName val="แยกงาน_(2)2"/>
      <sheetName val="King_12"/>
      <sheetName val="Discounted_Cash_Flow2"/>
      <sheetName val="Garph_Work-Cost2"/>
      <sheetName val="10_ข้อมูลวัสดุ-ค่าดำเนิน2"/>
      <sheetName val="REF_ONLY22"/>
      <sheetName val="Fee_Rate_Summary2"/>
      <sheetName val="A1_22"/>
      <sheetName val="Bill_No__2_-_Carpark2"/>
      <sheetName val="แผนงาน_อบต_ท่าลาน(ส่งเทศบาล)2"/>
      <sheetName val="OR21_Final_Forecast_Rev_22"/>
      <sheetName val="Summary_Forecast_Budget_1&amp;22"/>
      <sheetName val="Summary_Forecast_Budget_Rev_22"/>
      <sheetName val="Backup_OR21_2"/>
      <sheetName val="BOQ__VI_03_09_19_2"/>
      <sheetName val="Backup_BR_BMA2"/>
      <sheetName val="Budget_for_ENT2"/>
      <sheetName val="ADJ__D-Wall&amp;BR_Ent__Rev_2_12"/>
      <sheetName val="Rebar+Conพื้น_Waste10%2"/>
      <sheetName val="Backup_D-Wall_Ent__13_07_192"/>
      <sheetName val="Backup_BR_ENT__13_07_192"/>
      <sheetName val="IMP_OR21_2019_07_112"/>
      <sheetName val="detail_2"/>
      <sheetName val="Construction_cost_assumption2"/>
      <sheetName val="JLL_Assumption2"/>
      <sheetName val="Retail_Program&amp;Rev_Assumption2"/>
      <sheetName val="Car_2"/>
      <sheetName val="TDC_COA_Sumry2"/>
      <sheetName val="COA_Sumry_by_Area2"/>
      <sheetName val="COA_Sumry_by_Contr2"/>
      <sheetName val="COA_Sumry_by_RG2"/>
      <sheetName val="TDC_COA_Grp_Sumry2"/>
      <sheetName val="TDC_Item_Dets-Full2"/>
      <sheetName val="TDC_Item_Dets-IPM-Full2"/>
      <sheetName val="TDC_Item_Dets2"/>
      <sheetName val="TDC_Item_Sumry2"/>
      <sheetName val="TDC_Key_Qty_Sumry2"/>
      <sheetName val="List_-_Components2"/>
      <sheetName val="List_-_Equipment2"/>
      <sheetName val="Project_Metrics2"/>
      <sheetName val="COA_Sumry_-_Std_Imp2"/>
      <sheetName val="Contr_TDC_-_Std_Imp2"/>
      <sheetName val="Item_Sumry_-_Std_Imp2"/>
      <sheetName val="Proj_TIC_-_Std_Imp2"/>
      <sheetName val="Unit_Costs_-_Std_Imp2"/>
      <sheetName val="Unit_MH_-_Std_Imp2"/>
      <sheetName val="back_up_FL_42"/>
      <sheetName val="BOX_Cryostat_Details2"/>
      <sheetName val="Driver_Linac_Layout2"/>
      <sheetName val="Magnet_Details2"/>
      <sheetName val="ทำนบดิน_42"/>
      <sheetName val="Purchase_Order2"/>
      <sheetName val="Customize_Your_Purchase_Order2"/>
      <sheetName val="code"/>
      <sheetName val="A.O.R."/>
      <sheetName val="SH-G"/>
      <sheetName val="Spread"/>
      <sheetName val="summary sn fp"/>
      <sheetName val="封面_8"/>
      <sheetName val="SUMMERY_(BOQ)7"/>
      <sheetName val="FIRST_FLOOR7"/>
      <sheetName val="SECOND_FLOOR7"/>
      <sheetName val="3RD_FLOOR7"/>
      <sheetName val="4_TH_FLOOR7"/>
      <sheetName val="1ST-4TH_DOOR_WORK7"/>
      <sheetName val="1ST-4TH_MAIL&amp;FEMALE_TOILET7"/>
      <sheetName val="5THFLOOR_LIFT_LOBBY&amp;CORRIDOR7"/>
      <sheetName val="Back_Up7"/>
      <sheetName val="Concrete_Beam7"/>
      <sheetName val="ส่งมอบงาน_3"/>
      <sheetName val="Grand_Summary_(2)3"/>
      <sheetName val="Grand_Summary_3"/>
      <sheetName val="_BOQ_WELCOME_3"/>
      <sheetName val="Grand_Sum_VO3"/>
      <sheetName val="Sum_VIP_VO3"/>
      <sheetName val="Ratio_Quantities3"/>
      <sheetName val="Column_VE_(Coppper)3"/>
      <sheetName val="CORE_WALL_(GL_38-39_I-R)VE3"/>
      <sheetName val="CORE_WALL_(GL_14-19_I-R)VE3"/>
      <sheetName val="CORE_WALL_(GL_27-28_C-F)VE3"/>
      <sheetName val="CORE_WALL_(GL_53-54_J)VE3"/>
      <sheetName val="CORE_WALL_(GL_56-57_J-P)VE3"/>
      <sheetName val="CORE_WALL_(GL_33_C-L)VE3"/>
      <sheetName val="RC_Wall3"/>
      <sheetName val="Struc__Steel3"/>
      <sheetName val="Std_RC_Wall3"/>
      <sheetName val="Std__Column_3"/>
      <sheetName val="Struc_Check_Table_อาคาร_13"/>
      <sheetName val="SAN_REDUCED_13"/>
      <sheetName val="S3_Architectural3"/>
      <sheetName val="TOTAL_-BUILDING_E13"/>
      <sheetName val="SUM_-_MEP(E1)_3"/>
      <sheetName val="Air(E1_)3"/>
      <sheetName val="Fp(E1)___3"/>
      <sheetName val="SUMMARY_MEP3"/>
      <sheetName val="SUM_-_MEP_BUILDING3"/>
      <sheetName val="Electrical_System_3"/>
      <sheetName val="Commuication_System3"/>
      <sheetName val="Air_Conditioning__System__3"/>
      <sheetName val="Sanitary_System_3"/>
      <sheetName val="Fire_Protection_System_3"/>
      <sheetName val="ข้อมูลประตู_T13"/>
      <sheetName val="ข้อมูลหน้าต่าง_T13"/>
      <sheetName val="_FS3"/>
      <sheetName val="Sch_2_SN3"/>
      <sheetName val="Sch_3_FP3"/>
      <sheetName val="Sch_4_AC3"/>
      <sheetName val="Sch_6_Prelim3"/>
      <sheetName val="EST-FOOTING_(G)3"/>
      <sheetName val="Data_Sheet3"/>
      <sheetName val="ข้อมูลหน้าต่าง_T33"/>
      <sheetName val="ข้อมูลประตู_T23"/>
      <sheetName val="Cost_per_SQM_M&amp;E3"/>
      <sheetName val="ปี_25623"/>
      <sheetName val="Garph_Work-Cost3"/>
      <sheetName val="SCHEDULE_6"/>
      <sheetName val="SCHEDULE_4"/>
      <sheetName val="หน้าปกล่าสุด"/>
      <sheetName val="ราคารวม"/>
      <sheetName val="รื้อถอน"/>
      <sheetName val="หน้าปกล่าสุด (2)"/>
      <sheetName val="Cover (2)"/>
      <sheetName val="งานตกแต่งภายใน (ตัดSCOPE)"/>
      <sheetName val="หมวดงานสถาปัตยกรรม (พาส)ต้นฉบับ"/>
      <sheetName val="หมวดงานตกแต่งภายใน(พาส)ต้นฉบับ"/>
      <sheetName val="หมวดงานสถาปัตยกรรม(ต้นฉบับ)"/>
      <sheetName val="หมวดงานตกแต่งภายใน(ต้นฉบับ)"/>
      <sheetName val="EE "/>
      <sheetName val="AC (2)"/>
      <sheetName val="Fill-up"/>
      <sheetName val="_____x0"/>
      <sheetName val="price per model"/>
      <sheetName val="SH-A"/>
      <sheetName val="SH-B"/>
      <sheetName val="SH-D"/>
      <sheetName val="SH-E"/>
      <sheetName val="SH-F"/>
      <sheetName val="SH-C"/>
      <sheetName val="Cost Data"/>
      <sheetName val="exf"/>
      <sheetName val="List"/>
      <sheetName val="book 1 summary"/>
      <sheetName val="construction cost summary"/>
      <sheetName val="sum 1-4"/>
      <sheetName val="A_DW"/>
      <sheetName val="rate"/>
      <sheetName val="bill 2"/>
      <sheetName val="입찰내역 발주처 양식"/>
      <sheetName val="D"/>
      <sheetName val="bk_unit_rate"/>
      <sheetName val="Factor_F_งาน_DB_"/>
      <sheetName val="Site_OH-Main_Construction"/>
      <sheetName val="Site_OH-HMA"/>
      <sheetName val="Para_Slurry_Seal"/>
      <sheetName val="Agg__for_Para_Type_III"/>
      <sheetName val="Agg__for_Para_TypeIII_Haulage"/>
      <sheetName val="Tack_Coat-16+400A,B"/>
      <sheetName val="Earth_Excavation"/>
      <sheetName val="B1_Selected_Mat"/>
      <sheetName val="B1_CTB_In-Plant"/>
      <sheetName val="Tack_Coat-17+100B"/>
      <sheetName val="Milling_5cm-ทางลงเชียงราก"/>
      <sheetName val="Tack_Coat-ทางลงเชียงราก"/>
      <sheetName val="Toll_Fee"/>
      <sheetName val="Traffic_Management"/>
      <sheetName val="ตกแต่ง-อาคาร_A"/>
      <sheetName val="ตกแต่ง-อาคาร_B"/>
      <sheetName val="ตกแต่ง-อาคาร_C"/>
      <sheetName val="ตกแต่ง-อาคาร_E"/>
      <sheetName val="สรุปราคา_(EMC)"/>
      <sheetName val="Status_Budget"/>
      <sheetName val="11_ข้อมูลงานCon"/>
      <sheetName val="12_ข้อมูลงานไม้แบบ"/>
      <sheetName val="MS_Box"/>
      <sheetName val="MOLP_C"/>
      <sheetName val="Sch_2"/>
      <sheetName val="Attach1(สรุปรวม)_"/>
      <sheetName val="Attach2(BOQ_Detail)_"/>
      <sheetName val="Attach3(Measurement)_(Topping)"/>
      <sheetName val="Attach3(Measurement)_(FL_FINISH"/>
      <sheetName val="Attach3(Check_Sheet)"/>
      <sheetName val="_(FL_Finis)"/>
      <sheetName val="basic_rate"/>
      <sheetName val="bp_bill-mark"/>
      <sheetName val="2_Building"/>
      <sheetName val="Backup Rev"/>
      <sheetName val="Discount"/>
      <sheetName val="ทดห้องพัก"/>
      <sheetName val="封面_9"/>
      <sheetName val="SUMMERY_(BOQ)8"/>
      <sheetName val="FIRST_FLOOR8"/>
      <sheetName val="SECOND_FLOOR8"/>
      <sheetName val="3RD_FLOOR8"/>
      <sheetName val="4_TH_FLOOR8"/>
      <sheetName val="1ST-4TH_DOOR_WORK8"/>
      <sheetName val="1ST-4TH_MAIL&amp;FEMALE_TOILET8"/>
      <sheetName val="5THFLOOR_LIFT_LOBBY&amp;CORRIDOR8"/>
      <sheetName val="Back_Up8"/>
      <sheetName val="Concrete_Beam8"/>
      <sheetName val="S3_Architectural4"/>
      <sheetName val="ส่งมอบงาน_4"/>
      <sheetName val="Grand_Summary_(2)4"/>
      <sheetName val="Grand_Summary_4"/>
      <sheetName val="_BOQ_WELCOME_4"/>
      <sheetName val="Grand_Sum_VO4"/>
      <sheetName val="Sum_VIP_VO4"/>
      <sheetName val="SAN_REDUCED_14"/>
      <sheetName val="Ratio_Quantities4"/>
      <sheetName val="Column_VE_(Coppper)4"/>
      <sheetName val="CORE_WALL_(GL_38-39_I-R)VE4"/>
      <sheetName val="CORE_WALL_(GL_14-19_I-R)VE4"/>
      <sheetName val="CORE_WALL_(GL_27-28_C-F)VE4"/>
      <sheetName val="CORE_WALL_(GL_53-54_J)VE4"/>
      <sheetName val="CORE_WALL_(GL_56-57_J-P)VE4"/>
      <sheetName val="CORE_WALL_(GL_33_C-L)VE4"/>
      <sheetName val="RC_Wall4"/>
      <sheetName val="Struc__Steel4"/>
      <sheetName val="Std_RC_Wall4"/>
      <sheetName val="Std__Column_4"/>
      <sheetName val="Struc_Check_Table_อาคาร_14"/>
      <sheetName val="_FS4"/>
      <sheetName val="Sch_2_SN4"/>
      <sheetName val="Sch_3_FP4"/>
      <sheetName val="Sch_4_AC4"/>
      <sheetName val="Sch_6_Prelim4"/>
      <sheetName val="ข้อมูลประตู_T14"/>
      <sheetName val="ข้อมูลหน้าต่าง_T14"/>
      <sheetName val="ข้อมูลหน้าต่าง_T34"/>
      <sheetName val="ข้อมูลประตู_T24"/>
      <sheetName val="Data_Sheet4"/>
      <sheetName val="EST-FOOTING_(G)4"/>
      <sheetName val="封面_10"/>
      <sheetName val="SUMMERY_(BOQ)9"/>
      <sheetName val="FIRST_FLOOR9"/>
      <sheetName val="SECOND_FLOOR9"/>
      <sheetName val="3RD_FLOOR9"/>
      <sheetName val="4_TH_FLOOR9"/>
      <sheetName val="1ST-4TH_DOOR_WORK9"/>
      <sheetName val="1ST-4TH_MAIL&amp;FEMALE_TOILET9"/>
      <sheetName val="5THFLOOR_LIFT_LOBBY&amp;CORRIDOR9"/>
      <sheetName val="Back_Up9"/>
      <sheetName val="Concrete_Beam9"/>
      <sheetName val="S3_Architectural5"/>
      <sheetName val="ส่งมอบงาน_5"/>
      <sheetName val="Grand_Summary_(2)5"/>
      <sheetName val="Grand_Summary_5"/>
      <sheetName val="_BOQ_WELCOME_5"/>
      <sheetName val="Grand_Sum_VO5"/>
      <sheetName val="Sum_VIP_VO5"/>
      <sheetName val="SAN_REDUCED_15"/>
      <sheetName val="Ratio_Quantities5"/>
      <sheetName val="Column_VE_(Coppper)5"/>
      <sheetName val="CORE_WALL_(GL_38-39_I-R)VE5"/>
      <sheetName val="CORE_WALL_(GL_14-19_I-R)VE5"/>
      <sheetName val="CORE_WALL_(GL_27-28_C-F)VE5"/>
      <sheetName val="CORE_WALL_(GL_53-54_J)VE5"/>
      <sheetName val="CORE_WALL_(GL_56-57_J-P)VE5"/>
      <sheetName val="CORE_WALL_(GL_33_C-L)VE5"/>
      <sheetName val="RC_Wall5"/>
      <sheetName val="Struc__Steel5"/>
      <sheetName val="Std_RC_Wall5"/>
      <sheetName val="Std__Column_5"/>
      <sheetName val="Struc_Check_Table_อาคาร_15"/>
      <sheetName val="_FS5"/>
      <sheetName val="Sch_2_SN5"/>
      <sheetName val="Sch_3_FP5"/>
      <sheetName val="Sch_4_AC5"/>
      <sheetName val="Sch_6_Prelim5"/>
      <sheetName val="ข้อมูลประตู_T15"/>
      <sheetName val="ข้อมูลหน้าต่าง_T15"/>
      <sheetName val="ข้อมูลหน้าต่าง_T35"/>
      <sheetName val="ข้อมูลประตู_T25"/>
      <sheetName val="Data_Sheet5"/>
      <sheetName val="EST-FOOTING_(G)5"/>
      <sheetName val="封面_11"/>
      <sheetName val="SUMMERY_(BOQ)10"/>
      <sheetName val="CashFlow"/>
      <sheetName val="Assumptions"/>
      <sheetName val="CELL_A"/>
      <sheetName val="ENV_A"/>
      <sheetName val="PG_A"/>
      <sheetName val="MD_A"/>
      <sheetName val="QA&amp;R_A"/>
      <sheetName val="RMP_A"/>
      <sheetName val="RMZ_A"/>
      <sheetName val="ENV_R"/>
      <sheetName val="PG_R"/>
      <sheetName val="CELL_R"/>
      <sheetName val="QA&amp;R_R"/>
      <sheetName val="RMP_R"/>
      <sheetName val="RMZ_R"/>
      <sheetName val="Jan"/>
      <sheetName val="Feb"/>
      <sheetName val="Mar"/>
      <sheetName val="Apr"/>
      <sheetName val="May"/>
      <sheetName val="MD_R"/>
      <sheetName val="DMD Office"/>
      <sheetName val="ADMIN OFFICE (2)"/>
      <sheetName val="exec summary"/>
      <sheetName val="sensitivities"/>
      <sheetName val="Ratchada"/>
      <sheetName val="Ratios"/>
      <sheetName val="2a-Consol-RVOs"/>
      <sheetName val="3-CAPARS Log"/>
      <sheetName val="liste"/>
      <sheetName val="Totals"/>
      <sheetName val="FInput"/>
      <sheetName val="area converter"/>
      <sheetName val="Actual-Main"/>
      <sheetName val="Category List"/>
      <sheetName val="5a. Code_E"/>
      <sheetName val="analysis"/>
      <sheetName val="2_Ar"/>
      <sheetName val="Executive Summary_Buil"/>
      <sheetName val="CA"/>
      <sheetName val="Land Dev't. Ph-1"/>
      <sheetName val="8-31-98"/>
      <sheetName val="worksheet inchican"/>
      <sheetName val="combined 9-30"/>
      <sheetName val="UC"/>
      <sheetName val="COMPARATIVE SUMMARY"/>
      <sheetName val="BOQ (typ-accent)"/>
      <sheetName val="?????@_x001c__x0014_?????_x0002"/>
      <sheetName val="LpC"/>
      <sheetName val="DETAIL"/>
      <sheetName val="   合同台账  "/>
      <sheetName val="INPUT"/>
      <sheetName val="cover"/>
      <sheetName val="@ñCe?0`"/>
      <sheetName val="ประมาณการประตูหน้าต่าง "/>
      <sheetName val="summary1-2"/>
      <sheetName val="summary1-3"/>
      <sheetName val="nHDD"/>
      <sheetName val="Index10-12"/>
      <sheetName val="Link ห้ามลบ"/>
      <sheetName val="Drop Down"/>
      <sheetName val="GR55-2395"/>
      <sheetName val="profit_budget"/>
      <sheetName val="JPN-Salary"/>
      <sheetName val="ExcRate"/>
      <sheetName val="GR55-2377"/>
      <sheetName val="YearlyCalendar"/>
      <sheetName val="F4-F7"/>
      <sheetName val="Option1"/>
      <sheetName val="Follow Dwg."/>
      <sheetName val="data3"/>
      <sheetName val="Lookups"/>
      <sheetName val="@_x001c__x0014__x0002__x0011__x0014_ñCe?_x0001_0"/>
      <sheetName val="Percent"/>
      <sheetName val="SALA"/>
      <sheetName val="data"/>
      <sheetName val="______________________Ce______3"/>
      <sheetName val="Summary cal"/>
      <sheetName val="costs"/>
      <sheetName val="opstat"/>
      <sheetName val="calc_menu_déroulant"/>
      <sheetName val="Wall"/>
      <sheetName val="FlatBottomClarifier (Not used)"/>
      <sheetName val="FF-3"/>
      <sheetName val="Lookup data"/>
      <sheetName val="MASTER"/>
      <sheetName val="ปี_25625"/>
      <sheetName val="Cost_per_SQM_M&amp;E5"/>
      <sheetName val="TOTAL_-BUILDING_E15"/>
      <sheetName val="SUM_-_MEP(E1)_5"/>
      <sheetName val="Air(E1_)5"/>
      <sheetName val="Fp(E1)___5"/>
      <sheetName val="SUMMARY_MEP5"/>
      <sheetName val="SUM_-_MEP_BUILDING5"/>
      <sheetName val="Electrical_System_5"/>
      <sheetName val="Commuication_System5"/>
      <sheetName val="Air_Conditioning__System__5"/>
      <sheetName val="Sanitary_System_5"/>
      <sheetName val="Fire_Protection_System_5"/>
      <sheetName val="KKC_Brkdwn5"/>
      <sheetName val="Factor_F_Data5"/>
      <sheetName val="Grand_Summary_(_Variation)5"/>
      <sheetName val="ST_work_con_M5"/>
      <sheetName val="ST_work_con_carpark5"/>
      <sheetName val="ST_work_M5"/>
      <sheetName val="ST_work_Facad(M)_5"/>
      <sheetName val="ST_work_carpark5"/>
      <sheetName val="back_up_arc_Car_Park5"/>
      <sheetName val="backup_str_carpark5"/>
      <sheetName val="back_up_arc__M5"/>
      <sheetName val="แยกงาน_ผนัง_พื้น_ฝ้า_สี5"/>
      <sheetName val="Grand_SUMMARY_MEP_5"/>
      <sheetName val="แยกงาน_(2)5"/>
      <sheetName val="รายการ_VE5"/>
      <sheetName val="Type_A-15"/>
      <sheetName val="Type_A-1M5"/>
      <sheetName val="Type_B-15"/>
      <sheetName val="Type_C15"/>
      <sheetName val="Type_C-25"/>
      <sheetName val="Type_C-35"/>
      <sheetName val="Type_C-55"/>
      <sheetName val="Type_DP-55"/>
      <sheetName val="Type_LOFT-15"/>
      <sheetName val="Type_LOFT-2_5"/>
      <sheetName val="Type_LOFT-2M5"/>
      <sheetName val="Type_LOFT_35"/>
      <sheetName val="Type_LOFT-45"/>
      <sheetName val="Type_LOFT-55"/>
      <sheetName val="Type_LOFT-65"/>
      <sheetName val="Type_LOFT-75"/>
      <sheetName val="Type_PH-A5"/>
      <sheetName val="Type_PH-B5"/>
      <sheetName val="Type_PH-C5"/>
      <sheetName val="Type_PH-D5"/>
      <sheetName val="Type_PH-E5"/>
      <sheetName val="Sum_LAND5"/>
      <sheetName val="SUM_M&amp;E5"/>
      <sheetName val="Garph_Work-Cost5"/>
      <sheetName val="Discounted_Cash_Flow5"/>
      <sheetName val="King_15"/>
      <sheetName val="Fee_Rate_Summary5"/>
      <sheetName val="10_ข้อมูลวัสดุ-ค่าดำเนิน5"/>
      <sheetName val="REF_ONLY25"/>
      <sheetName val="A1_25"/>
      <sheetName val="Bill_No__2_-_Carpark5"/>
      <sheetName val="แผนงาน_อบต_ท่าลาน(ส่งเทศบาล)5"/>
      <sheetName val="detail_5"/>
      <sheetName val="OR21_Final_Forecast_Rev_25"/>
      <sheetName val="Summary_Forecast_Budget_1&amp;25"/>
      <sheetName val="Summary_Forecast_Budget_Rev_25"/>
      <sheetName val="Backup_OR21_5"/>
      <sheetName val="BOQ__VI_03_09_19_5"/>
      <sheetName val="Backup_BR_BMA5"/>
      <sheetName val="Budget_for_ENT5"/>
      <sheetName val="ADJ__D-Wall&amp;BR_Ent__Rev_2_15"/>
      <sheetName val="Rebar+Conพื้น_Waste10%5"/>
      <sheetName val="Backup_D-Wall_Ent__13_07_195"/>
      <sheetName val="Backup_BR_ENT__13_07_195"/>
      <sheetName val="IMP_OR21_2019_07_115"/>
      <sheetName val="back_up_FL_45"/>
      <sheetName val="Car_5"/>
      <sheetName val="TDC_COA_Sumry5"/>
      <sheetName val="COA_Sumry_by_Area5"/>
      <sheetName val="COA_Sumry_by_Contr5"/>
      <sheetName val="COA_Sumry_by_RG5"/>
      <sheetName val="TDC_COA_Grp_Sumry5"/>
      <sheetName val="TDC_Item_Dets-Full5"/>
      <sheetName val="TDC_Item_Dets-IPM-Full5"/>
      <sheetName val="TDC_Item_Dets5"/>
      <sheetName val="TDC_Item_Sumry5"/>
      <sheetName val="TDC_Key_Qty_Sumry5"/>
      <sheetName val="List_-_Components5"/>
      <sheetName val="List_-_Equipment5"/>
      <sheetName val="Project_Metrics5"/>
      <sheetName val="COA_Sumry_-_Std_Imp5"/>
      <sheetName val="Contr_TDC_-_Std_Imp5"/>
      <sheetName val="Item_Sumry_-_Std_Imp5"/>
      <sheetName val="Proj_TIC_-_Std_Imp5"/>
      <sheetName val="Unit_Costs_-_Std_Imp5"/>
      <sheetName val="Unit_MH_-_Std_Imp5"/>
      <sheetName val="Construction_cost_assumption5"/>
      <sheetName val="JLL_Assumption5"/>
      <sheetName val="Retail_Program&amp;Rev_Assumption5"/>
      <sheetName val="BOX_Cryostat_Details5"/>
      <sheetName val="Driver_Linac_Layout5"/>
      <sheetName val="Magnet_Details5"/>
      <sheetName val="Factor_F_งาน_DB_2"/>
      <sheetName val="Site_OH-Main_Construction2"/>
      <sheetName val="Site_OH-HMA2"/>
      <sheetName val="Para_Slurry_Seal2"/>
      <sheetName val="Agg__for_Para_Type_III2"/>
      <sheetName val="Agg__for_Para_TypeIII_Haulage2"/>
      <sheetName val="Tack_Coat-16+400A,B2"/>
      <sheetName val="Earth_Excavation2"/>
      <sheetName val="B1_Selected_Mat2"/>
      <sheetName val="B1_CTB_In-Plant2"/>
      <sheetName val="Tack_Coat-17+100B2"/>
      <sheetName val="Milling_5cm-ทางลงเชียงราก2"/>
      <sheetName val="Tack_Coat-ทางลงเชียงราก2"/>
      <sheetName val="Toll_Fee2"/>
      <sheetName val="Traffic_Management2"/>
      <sheetName val="ทำนบดิน_45"/>
      <sheetName val="Purchase_Order5"/>
      <sheetName val="Customize_Your_Purchase_Order5"/>
      <sheetName val="Attach1(สรุปรวม)_2"/>
      <sheetName val="Attach2(BOQ_Detail)_2"/>
      <sheetName val="Attach3(Measurement)_(Topping)2"/>
      <sheetName val="Attach3(Measurement)_(FL_FINIS2"/>
      <sheetName val="Attach3(Check_Sheet)2"/>
      <sheetName val="_(FL_Finis)2"/>
      <sheetName val="11_ข้อมูลงานCon2"/>
      <sheetName val="12_ข้อมูลงานไม้แบบ2"/>
      <sheetName val="bp_bill-mark2"/>
      <sheetName val="ตกแต่ง-อาคาร_A2"/>
      <sheetName val="ตกแต่ง-อาคาร_B2"/>
      <sheetName val="ตกแต่ง-อาคาร_C2"/>
      <sheetName val="ตกแต่ง-อาคาร_E2"/>
      <sheetName val="basic_rate2"/>
      <sheetName val="bk_unit_rate2"/>
      <sheetName val="3-145_input_plan2"/>
      <sheetName val="Sch_22"/>
      <sheetName val="PRICE_LIST2"/>
      <sheetName val="MS_Box2"/>
      <sheetName val="MOLP_C2"/>
      <sheetName val="36_rc__pipe(2หน้า)2"/>
      <sheetName val="KKC_Brkdwn3"/>
      <sheetName val="Factor_F_Data3"/>
      <sheetName val="Grand_Summary_(_Variation)3"/>
      <sheetName val="ST_work_con_M3"/>
      <sheetName val="ST_work_con_carpark3"/>
      <sheetName val="ST_work_M3"/>
      <sheetName val="ST_work_Facad(M)_3"/>
      <sheetName val="ST_work_carpark3"/>
      <sheetName val="back_up_arc_Car_Park3"/>
      <sheetName val="backup_str_carpark3"/>
      <sheetName val="back_up_arc__M3"/>
      <sheetName val="แยกงาน_ผนัง_พื้น_ฝ้า_สี3"/>
      <sheetName val="Grand_SUMMARY_MEP_3"/>
      <sheetName val="แยกงาน_(2)3"/>
      <sheetName val="รายการ_VE3"/>
      <sheetName val="Type_A-13"/>
      <sheetName val="Type_A-1M3"/>
      <sheetName val="Type_B-13"/>
      <sheetName val="Type_C13"/>
      <sheetName val="Type_C-23"/>
      <sheetName val="Type_C-33"/>
      <sheetName val="Type_C-53"/>
      <sheetName val="Type_DP-53"/>
      <sheetName val="Type_LOFT-13"/>
      <sheetName val="Type_LOFT-2_3"/>
      <sheetName val="Type_LOFT-2M3"/>
      <sheetName val="Type_LOFT_33"/>
      <sheetName val="Type_LOFT-43"/>
      <sheetName val="Type_LOFT-53"/>
      <sheetName val="Type_LOFT-63"/>
      <sheetName val="Type_LOFT-73"/>
      <sheetName val="Type_PH-A3"/>
      <sheetName val="Type_PH-B3"/>
      <sheetName val="Type_PH-C3"/>
      <sheetName val="Type_PH-D3"/>
      <sheetName val="Type_PH-E3"/>
      <sheetName val="Sum_LAND3"/>
      <sheetName val="SUM_M&amp;E3"/>
      <sheetName val="Discounted_Cash_Flow3"/>
      <sheetName val="King_13"/>
      <sheetName val="Fee_Rate_Summary3"/>
      <sheetName val="10_ข้อมูลวัสดุ-ค่าดำเนิน3"/>
      <sheetName val="REF_ONLY23"/>
      <sheetName val="A1_23"/>
      <sheetName val="Bill_No__2_-_Carpark3"/>
      <sheetName val="แผนงาน_อบต_ท่าลาน(ส่งเทศบาล)3"/>
      <sheetName val="detail_3"/>
      <sheetName val="OR21_Final_Forecast_Rev_23"/>
      <sheetName val="Summary_Forecast_Budget_1&amp;23"/>
      <sheetName val="Summary_Forecast_Budget_Rev_23"/>
      <sheetName val="Backup_OR21_3"/>
      <sheetName val="BOQ__VI_03_09_19_3"/>
      <sheetName val="Backup_BR_BMA3"/>
      <sheetName val="Budget_for_ENT3"/>
      <sheetName val="ADJ__D-Wall&amp;BR_Ent__Rev_2_13"/>
      <sheetName val="Rebar+Conพื้น_Waste10%3"/>
      <sheetName val="Backup_D-Wall_Ent__13_07_193"/>
      <sheetName val="Backup_BR_ENT__13_07_193"/>
      <sheetName val="IMP_OR21_2019_07_113"/>
      <sheetName val="back_up_FL_43"/>
      <sheetName val="Car_3"/>
      <sheetName val="TDC_COA_Sumry3"/>
      <sheetName val="COA_Sumry_by_Area3"/>
      <sheetName val="COA_Sumry_by_Contr3"/>
      <sheetName val="COA_Sumry_by_RG3"/>
      <sheetName val="TDC_COA_Grp_Sumry3"/>
      <sheetName val="TDC_Item_Dets-Full3"/>
      <sheetName val="TDC_Item_Dets-IPM-Full3"/>
      <sheetName val="TDC_Item_Dets3"/>
      <sheetName val="TDC_Item_Sumry3"/>
      <sheetName val="TDC_Key_Qty_Sumry3"/>
      <sheetName val="List_-_Components3"/>
      <sheetName val="List_-_Equipment3"/>
      <sheetName val="Project_Metrics3"/>
      <sheetName val="COA_Sumry_-_Std_Imp3"/>
      <sheetName val="Contr_TDC_-_Std_Imp3"/>
      <sheetName val="Item_Sumry_-_Std_Imp3"/>
      <sheetName val="Proj_TIC_-_Std_Imp3"/>
      <sheetName val="Unit_Costs_-_Std_Imp3"/>
      <sheetName val="Unit_MH_-_Std_Imp3"/>
      <sheetName val="Construction_cost_assumption3"/>
      <sheetName val="JLL_Assumption3"/>
      <sheetName val="Retail_Program&amp;Rev_Assumption3"/>
      <sheetName val="BOX_Cryostat_Details3"/>
      <sheetName val="Driver_Linac_Layout3"/>
      <sheetName val="Magnet_Details3"/>
      <sheetName val="ทำนบดิน_43"/>
      <sheetName val="Purchase_Order3"/>
      <sheetName val="Customize_Your_Purchase_Order3"/>
      <sheetName val="3-145_input_plan"/>
      <sheetName val="PRICE_LIST"/>
      <sheetName val="36_rc__pipe(2หน้า)"/>
      <sheetName val="ปี_25624"/>
      <sheetName val="Cost_per_SQM_M&amp;E4"/>
      <sheetName val="TOTAL_-BUILDING_E14"/>
      <sheetName val="SUM_-_MEP(E1)_4"/>
      <sheetName val="Air(E1_)4"/>
      <sheetName val="Fp(E1)___4"/>
      <sheetName val="SUMMARY_MEP4"/>
      <sheetName val="SUM_-_MEP_BUILDING4"/>
      <sheetName val="Electrical_System_4"/>
      <sheetName val="Commuication_System4"/>
      <sheetName val="Air_Conditioning__System__4"/>
      <sheetName val="Sanitary_System_4"/>
      <sheetName val="Fire_Protection_System_4"/>
      <sheetName val="KKC_Brkdwn4"/>
      <sheetName val="Factor_F_Data4"/>
      <sheetName val="Grand_Summary_(_Variation)4"/>
      <sheetName val="ST_work_con_M4"/>
      <sheetName val="ST_work_con_carpark4"/>
      <sheetName val="ST_work_M4"/>
      <sheetName val="ST_work_Facad(M)_4"/>
      <sheetName val="ST_work_carpark4"/>
      <sheetName val="back_up_arc_Car_Park4"/>
      <sheetName val="backup_str_carpark4"/>
      <sheetName val="back_up_arc__M4"/>
      <sheetName val="แยกงาน_ผนัง_พื้น_ฝ้า_สี4"/>
      <sheetName val="Grand_SUMMARY_MEP_4"/>
      <sheetName val="แยกงาน_(2)4"/>
      <sheetName val="รายการ_VE4"/>
      <sheetName val="Type_A-14"/>
      <sheetName val="Type_A-1M4"/>
      <sheetName val="Type_B-14"/>
      <sheetName val="Type_C14"/>
      <sheetName val="Type_C-24"/>
      <sheetName val="Type_C-34"/>
      <sheetName val="Type_C-54"/>
      <sheetName val="Type_DP-54"/>
      <sheetName val="Type_LOFT-14"/>
      <sheetName val="Type_LOFT-2_4"/>
      <sheetName val="Type_LOFT-2M4"/>
      <sheetName val="Type_LOFT_34"/>
      <sheetName val="Type_LOFT-44"/>
      <sheetName val="Type_LOFT-54"/>
      <sheetName val="Type_LOFT-64"/>
      <sheetName val="Type_LOFT-74"/>
      <sheetName val="Type_PH-A4"/>
      <sheetName val="Type_PH-B4"/>
      <sheetName val="Type_PH-C4"/>
      <sheetName val="Type_PH-D4"/>
      <sheetName val="Type_PH-E4"/>
      <sheetName val="Sum_LAND4"/>
      <sheetName val="SUM_M&amp;E4"/>
      <sheetName val="Garph_Work-Cost4"/>
      <sheetName val="Discounted_Cash_Flow4"/>
      <sheetName val="King_14"/>
      <sheetName val="Fee_Rate_Summary4"/>
      <sheetName val="10_ข้อมูลวัสดุ-ค่าดำเนิน4"/>
      <sheetName val="REF_ONLY24"/>
      <sheetName val="A1_24"/>
      <sheetName val="Bill_No__2_-_Carpark4"/>
      <sheetName val="แผนงาน_อบต_ท่าลาน(ส่งเทศบาล)4"/>
      <sheetName val="detail_4"/>
      <sheetName val="OR21_Final_Forecast_Rev_24"/>
      <sheetName val="Summary_Forecast_Budget_1&amp;24"/>
      <sheetName val="Summary_Forecast_Budget_Rev_24"/>
      <sheetName val="Backup_OR21_4"/>
      <sheetName val="BOQ__VI_03_09_19_4"/>
      <sheetName val="Backup_BR_BMA4"/>
      <sheetName val="Budget_for_ENT4"/>
      <sheetName val="ADJ__D-Wall&amp;BR_Ent__Rev_2_14"/>
      <sheetName val="Rebar+Conพื้น_Waste10%4"/>
      <sheetName val="Backup_D-Wall_Ent__13_07_194"/>
      <sheetName val="Backup_BR_ENT__13_07_194"/>
      <sheetName val="IMP_OR21_2019_07_114"/>
      <sheetName val="back_up_FL_44"/>
      <sheetName val="Car_4"/>
      <sheetName val="TDC_COA_Sumry4"/>
      <sheetName val="COA_Sumry_by_Area4"/>
      <sheetName val="COA_Sumry_by_Contr4"/>
      <sheetName val="COA_Sumry_by_RG4"/>
      <sheetName val="TDC_COA_Grp_Sumry4"/>
      <sheetName val="TDC_Item_Dets-Full4"/>
      <sheetName val="TDC_Item_Dets-IPM-Full4"/>
      <sheetName val="TDC_Item_Dets4"/>
      <sheetName val="TDC_Item_Sumry4"/>
      <sheetName val="TDC_Key_Qty_Sumry4"/>
      <sheetName val="List_-_Components4"/>
      <sheetName val="List_-_Equipment4"/>
      <sheetName val="Project_Metrics4"/>
      <sheetName val="COA_Sumry_-_Std_Imp4"/>
      <sheetName val="Contr_TDC_-_Std_Imp4"/>
      <sheetName val="Item_Sumry_-_Std_Imp4"/>
      <sheetName val="Proj_TIC_-_Std_Imp4"/>
      <sheetName val="Unit_Costs_-_Std_Imp4"/>
      <sheetName val="Unit_MH_-_Std_Imp4"/>
      <sheetName val="Construction_cost_assumption4"/>
      <sheetName val="JLL_Assumption4"/>
      <sheetName val="Retail_Program&amp;Rev_Assumption4"/>
      <sheetName val="BOX_Cryostat_Details4"/>
      <sheetName val="Driver_Linac_Layout4"/>
      <sheetName val="Magnet_Details4"/>
      <sheetName val="Factor_F_งาน_DB_1"/>
      <sheetName val="Site_OH-Main_Construction1"/>
      <sheetName val="Site_OH-HMA1"/>
      <sheetName val="Para_Slurry_Seal1"/>
      <sheetName val="Agg__for_Para_Type_III1"/>
      <sheetName val="Agg__for_Para_TypeIII_Haulage1"/>
      <sheetName val="Tack_Coat-16+400A,B1"/>
      <sheetName val="Earth_Excavation1"/>
      <sheetName val="B1_Selected_Mat1"/>
      <sheetName val="B1_CTB_In-Plant1"/>
      <sheetName val="Tack_Coat-17+100B1"/>
      <sheetName val="Milling_5cm-ทางลงเชียงราก1"/>
      <sheetName val="Tack_Coat-ทางลงเชียงราก1"/>
      <sheetName val="Toll_Fee1"/>
      <sheetName val="Traffic_Management1"/>
      <sheetName val="ทำนบดิน_44"/>
      <sheetName val="Purchase_Order4"/>
      <sheetName val="Customize_Your_Purchase_Order4"/>
      <sheetName val="Attach1(สรุปรวม)_1"/>
      <sheetName val="Attach2(BOQ_Detail)_1"/>
      <sheetName val="Attach3(Measurement)_(Topping)1"/>
      <sheetName val="Attach3(Measurement)_(FL_FINIS1"/>
      <sheetName val="Attach3(Check_Sheet)1"/>
      <sheetName val="_(FL_Finis)1"/>
      <sheetName val="11_ข้อมูลงานCon1"/>
      <sheetName val="12_ข้อมูลงานไม้แบบ1"/>
      <sheetName val="bp_bill-mark1"/>
      <sheetName val="ตกแต่ง-อาคาร_A1"/>
      <sheetName val="ตกแต่ง-อาคาร_B1"/>
      <sheetName val="ตกแต่ง-อาคาร_C1"/>
      <sheetName val="ตกแต่ง-อาคาร_E1"/>
      <sheetName val="basic_rate1"/>
      <sheetName val="bk_unit_rate1"/>
      <sheetName val="3-145_input_plan1"/>
      <sheetName val="Sch_21"/>
      <sheetName val="PRICE_LIST1"/>
      <sheetName val="MS_Box1"/>
      <sheetName val="MOLP_C1"/>
      <sheetName val="36_rc__pipe(2หน้า)1"/>
      <sheetName val="FIRST_FLOOR10"/>
      <sheetName val="SECOND_FLOOR10"/>
      <sheetName val="3RD_FLOOR10"/>
      <sheetName val="4_TH_FLOOR10"/>
      <sheetName val="1ST-4TH_DOOR_WORK10"/>
      <sheetName val="1ST-4TH_MAIL&amp;FEMALE_TOILET10"/>
      <sheetName val="5THFLOOR_LIFT_LOBBY&amp;CORRIDOR10"/>
      <sheetName val="Back_Up10"/>
      <sheetName val="Concrete_Beam10"/>
      <sheetName val="ส่งมอบงาน_6"/>
      <sheetName val="Grand_Summary_(2)6"/>
      <sheetName val="Grand_Summary_6"/>
      <sheetName val="_BOQ_WELCOME_6"/>
      <sheetName val="Grand_Sum_VO6"/>
      <sheetName val="Sum_VIP_VO6"/>
      <sheetName val="SAN_REDUCED_16"/>
      <sheetName val="S3_Architectural6"/>
      <sheetName val="Ratio_Quantities6"/>
      <sheetName val="Column_VE_(Coppper)6"/>
      <sheetName val="CORE_WALL_(GL_38-39_I-R)VE6"/>
      <sheetName val="CORE_WALL_(GL_14-19_I-R)VE6"/>
      <sheetName val="CORE_WALL_(GL_27-28_C-F)VE6"/>
      <sheetName val="CORE_WALL_(GL_53-54_J)VE6"/>
      <sheetName val="CORE_WALL_(GL_56-57_J-P)VE6"/>
      <sheetName val="CORE_WALL_(GL_33_C-L)VE6"/>
      <sheetName val="RC_Wall6"/>
      <sheetName val="Struc__Steel6"/>
      <sheetName val="Std_RC_Wall6"/>
      <sheetName val="Std__Column_6"/>
      <sheetName val="Struc_Check_Table_อาคาร_16"/>
      <sheetName val="ข้อมูลประตู_T16"/>
      <sheetName val="ข้อมูลหน้าต่าง_T16"/>
      <sheetName val="ข้อมูลหน้าต่าง_T36"/>
      <sheetName val="ข้อมูลประตู_T26"/>
      <sheetName val="ปี_25626"/>
      <sheetName val="Data_Sheet6"/>
      <sheetName val="EST-FOOTING_(G)6"/>
      <sheetName val="Cost_per_SQM_M&amp;E6"/>
      <sheetName val="_FS6"/>
      <sheetName val="Sch_2_SN6"/>
      <sheetName val="Sch_3_FP6"/>
      <sheetName val="Sch_4_AC6"/>
      <sheetName val="Sch_6_Prelim6"/>
      <sheetName val="TOTAL_-BUILDING_E16"/>
      <sheetName val="SUM_-_MEP(E1)_6"/>
      <sheetName val="Air(E1_)6"/>
      <sheetName val="Fp(E1)___6"/>
      <sheetName val="SUMMARY_MEP6"/>
      <sheetName val="SUM_-_MEP_BUILDING6"/>
      <sheetName val="Electrical_System_6"/>
      <sheetName val="Commuication_System6"/>
      <sheetName val="Air_Conditioning__System__6"/>
      <sheetName val="Sanitary_System_6"/>
      <sheetName val="Fire_Protection_System_6"/>
      <sheetName val="รายการ_VE6"/>
      <sheetName val="Type_A-16"/>
      <sheetName val="Type_A-1M6"/>
      <sheetName val="Type_B-16"/>
      <sheetName val="Type_C16"/>
      <sheetName val="Type_C-26"/>
      <sheetName val="Type_C-36"/>
      <sheetName val="Type_C-56"/>
      <sheetName val="Type_DP-56"/>
      <sheetName val="Type_LOFT-16"/>
      <sheetName val="Type_LOFT-2_6"/>
      <sheetName val="Type_LOFT-2M6"/>
      <sheetName val="Type_LOFT_36"/>
      <sheetName val="Type_LOFT-46"/>
      <sheetName val="Type_LOFT-56"/>
      <sheetName val="Type_LOFT-66"/>
      <sheetName val="Type_LOFT-76"/>
      <sheetName val="Type_PH-A6"/>
      <sheetName val="Type_PH-B6"/>
      <sheetName val="Type_PH-C6"/>
      <sheetName val="Type_PH-D6"/>
      <sheetName val="Type_PH-E6"/>
      <sheetName val="Sum_LAND6"/>
      <sheetName val="SUM_M&amp;E6"/>
      <sheetName val="KKC_Brkdwn6"/>
      <sheetName val="Factor_F_Data6"/>
      <sheetName val="Grand_Summary_(_Variation)6"/>
      <sheetName val="ST_work_con_M6"/>
      <sheetName val="ST_work_con_carpark6"/>
      <sheetName val="ST_work_M6"/>
      <sheetName val="ST_work_Facad(M)_6"/>
      <sheetName val="ST_work_carpark6"/>
      <sheetName val="back_up_arc_Car_Park6"/>
      <sheetName val="backup_str_carpark6"/>
      <sheetName val="back_up_arc__M6"/>
      <sheetName val="แยกงาน_ผนัง_พื้น_ฝ้า_สี6"/>
      <sheetName val="Grand_SUMMARY_MEP_6"/>
      <sheetName val="แยกงาน_(2)6"/>
      <sheetName val="Discounted_Cash_Flow6"/>
      <sheetName val="แผนงาน_อบต_ท่าลาน(ส่งเทศบาล)6"/>
      <sheetName val="Bill_No__2_-_Carpark6"/>
      <sheetName val="Garph_Work-Cost6"/>
      <sheetName val="Fee_Rate_Summary6"/>
      <sheetName val="OR21_Final_Forecast_Rev_26"/>
      <sheetName val="Summary_Forecast_Budget_1&amp;26"/>
      <sheetName val="Summary_Forecast_Budget_Rev_26"/>
      <sheetName val="Backup_OR21_6"/>
      <sheetName val="BOQ__VI_03_09_19_6"/>
      <sheetName val="Backup_BR_BMA6"/>
      <sheetName val="Budget_for_ENT6"/>
      <sheetName val="ADJ__D-Wall&amp;BR_Ent__Rev_2_16"/>
      <sheetName val="Rebar+Conพื้น_Waste10%6"/>
      <sheetName val="Backup_D-Wall_Ent__13_07_196"/>
      <sheetName val="Backup_BR_ENT__13_07_196"/>
      <sheetName val="IMP_OR21_2019_07_116"/>
      <sheetName val="10_ข้อมูลวัสดุ-ค่าดำเนิน6"/>
      <sheetName val="REF_ONLY26"/>
      <sheetName val="King_16"/>
      <sheetName val="A1_26"/>
      <sheetName val="detail_6"/>
      <sheetName val="Car_6"/>
      <sheetName val="TDC_COA_Sumry6"/>
      <sheetName val="COA_Sumry_by_Area6"/>
      <sheetName val="COA_Sumry_by_Contr6"/>
      <sheetName val="COA_Sumry_by_RG6"/>
      <sheetName val="TDC_COA_Grp_Sumry6"/>
      <sheetName val="TDC_Item_Dets-Full6"/>
      <sheetName val="TDC_Item_Dets-IPM-Full6"/>
      <sheetName val="TDC_Item_Dets6"/>
      <sheetName val="TDC_Item_Sumry6"/>
      <sheetName val="TDC_Key_Qty_Sumry6"/>
      <sheetName val="List_-_Components6"/>
      <sheetName val="List_-_Equipment6"/>
      <sheetName val="Project_Metrics6"/>
      <sheetName val="COA_Sumry_-_Std_Imp6"/>
      <sheetName val="Contr_TDC_-_Std_Imp6"/>
      <sheetName val="Item_Sumry_-_Std_Imp6"/>
      <sheetName val="Proj_TIC_-_Std_Imp6"/>
      <sheetName val="Unit_Costs_-_Std_Imp6"/>
      <sheetName val="Unit_MH_-_Std_Imp6"/>
      <sheetName val="Construction_cost_assumption6"/>
      <sheetName val="JLL_Assumption6"/>
      <sheetName val="Retail_Program&amp;Rev_Assumption6"/>
      <sheetName val="back_up_FL_46"/>
      <sheetName val="BOX_Cryostat_Details6"/>
      <sheetName val="Driver_Linac_Layout6"/>
      <sheetName val="Magnet_Details6"/>
      <sheetName val="Factor_F_งาน_DB_3"/>
      <sheetName val="Site_OH-Main_Construction3"/>
      <sheetName val="Site_OH-HMA3"/>
      <sheetName val="Para_Slurry_Seal3"/>
      <sheetName val="Agg__for_Para_Type_III3"/>
      <sheetName val="Agg__for_Para_TypeIII_Haulage3"/>
      <sheetName val="Tack_Coat-16+400A,B3"/>
      <sheetName val="Earth_Excavation3"/>
      <sheetName val="B1_Selected_Mat3"/>
      <sheetName val="B1_CTB_In-Plant3"/>
      <sheetName val="Tack_Coat-17+100B3"/>
      <sheetName val="Milling_5cm-ทางลงเชียงราก3"/>
      <sheetName val="Tack_Coat-ทางลงเชียงราก3"/>
      <sheetName val="Toll_Fee3"/>
      <sheetName val="Traffic_Management3"/>
      <sheetName val="Attach1(สรุปรวม)_3"/>
      <sheetName val="Attach2(BOQ_Detail)_3"/>
      <sheetName val="Attach3(Measurement)_(Topping)3"/>
      <sheetName val="Attach3(Measurement)_(FL_FINIS3"/>
      <sheetName val="Attach3(Check_Sheet)3"/>
      <sheetName val="_(FL_Finis)3"/>
      <sheetName val="11_ข้อมูลงานCon3"/>
      <sheetName val="12_ข้อมูลงานไม้แบบ3"/>
      <sheetName val="ทำนบดิน_46"/>
      <sheetName val="Purchase_Order6"/>
      <sheetName val="Customize_Your_Purchase_Order6"/>
      <sheetName val="bp_bill-mark3"/>
      <sheetName val="ตกแต่ง-อาคาร_A3"/>
      <sheetName val="ตกแต่ง-อาคาร_B3"/>
      <sheetName val="ตกแต่ง-อาคาร_C3"/>
      <sheetName val="ตกแต่ง-อาคาร_E3"/>
      <sheetName val="basic_rate3"/>
      <sheetName val="bk_unit_rate3"/>
      <sheetName val="3-145_input_plan3"/>
      <sheetName val="Sch_23"/>
      <sheetName val="PRICE_LIST3"/>
      <sheetName val="MS_Box3"/>
      <sheetName val="MOLP_C3"/>
      <sheetName val="36_rc__pipe(2หน้า)3"/>
      <sheetName val="d.makan"/>
      <sheetName val="Bill 4-Guard House"/>
      <sheetName val="Bill 2-Condo(138 units)"/>
      <sheetName val="Bill 3-Carpark,Services"/>
      <sheetName val="Bill 5- External Work"/>
      <sheetName val="Bill 6-Landscape"/>
      <sheetName val="BUR3-DrnRC"/>
      <sheetName val="BUR4-Rd"/>
      <sheetName val="prod-1"/>
      <sheetName val="SCHEDULE_2"/>
      <sheetName val="SCHEDULE_3"/>
      <sheetName val="Unit rate Architecture"/>
      <sheetName val="sh_vpm_fr"/>
      <sheetName val="รถพ่วงขนส่ง"/>
    </sheetNames>
    <sheetDataSet>
      <sheetData sheetId="0"/>
      <sheetData sheetId="1"/>
      <sheetData sheetId="2"/>
      <sheetData sheetId="3">
        <row r="307">
          <cell r="C307">
            <v>0</v>
          </cell>
        </row>
      </sheetData>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sheetData sheetId="20"/>
      <sheetData sheetId="21"/>
      <sheetData sheetId="22">
        <row r="307">
          <cell r="C307">
            <v>0</v>
          </cell>
        </row>
      </sheetData>
      <sheetData sheetId="23">
        <row r="307">
          <cell r="C307">
            <v>0</v>
          </cell>
        </row>
      </sheetData>
      <sheetData sheetId="24">
        <row r="307">
          <cell r="C307">
            <v>0</v>
          </cell>
        </row>
      </sheetData>
      <sheetData sheetId="25">
        <row r="307">
          <cell r="C307">
            <v>0</v>
          </cell>
        </row>
      </sheetData>
      <sheetData sheetId="26">
        <row r="307">
          <cell r="C307">
            <v>0</v>
          </cell>
        </row>
      </sheetData>
      <sheetData sheetId="27">
        <row r="307">
          <cell r="C307">
            <v>0</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ow r="307">
          <cell r="C307">
            <v>0</v>
          </cell>
        </row>
      </sheetData>
      <sheetData sheetId="88">
        <row r="307">
          <cell r="C307">
            <v>0</v>
          </cell>
        </row>
      </sheetData>
      <sheetData sheetId="89">
        <row r="307">
          <cell r="C307">
            <v>0</v>
          </cell>
        </row>
      </sheetData>
      <sheetData sheetId="90">
        <row r="307">
          <cell r="C307">
            <v>0</v>
          </cell>
        </row>
      </sheetData>
      <sheetData sheetId="91">
        <row r="307">
          <cell r="C307">
            <v>0</v>
          </cell>
        </row>
      </sheetData>
      <sheetData sheetId="92">
        <row r="307">
          <cell r="C307">
            <v>0</v>
          </cell>
        </row>
      </sheetData>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ow r="307">
          <cell r="C307">
            <v>0</v>
          </cell>
        </row>
      </sheetData>
      <sheetData sheetId="119">
        <row r="307">
          <cell r="C307">
            <v>0</v>
          </cell>
        </row>
      </sheetData>
      <sheetData sheetId="120">
        <row r="307">
          <cell r="C307">
            <v>0</v>
          </cell>
        </row>
      </sheetData>
      <sheetData sheetId="121">
        <row r="307">
          <cell r="C307">
            <v>0</v>
          </cell>
        </row>
      </sheetData>
      <sheetData sheetId="122">
        <row r="307">
          <cell r="C307">
            <v>0</v>
          </cell>
        </row>
      </sheetData>
      <sheetData sheetId="123">
        <row r="307">
          <cell r="C307">
            <v>0</v>
          </cell>
        </row>
      </sheetData>
      <sheetData sheetId="124">
        <row r="307">
          <cell r="C307">
            <v>0</v>
          </cell>
        </row>
      </sheetData>
      <sheetData sheetId="125">
        <row r="307">
          <cell r="C307">
            <v>0</v>
          </cell>
        </row>
      </sheetData>
      <sheetData sheetId="126">
        <row r="307">
          <cell r="C307">
            <v>0</v>
          </cell>
        </row>
      </sheetData>
      <sheetData sheetId="127">
        <row r="307">
          <cell r="C307">
            <v>0</v>
          </cell>
        </row>
      </sheetData>
      <sheetData sheetId="128" refreshError="1"/>
      <sheetData sheetId="129" refreshError="1"/>
      <sheetData sheetId="130">
        <row r="307">
          <cell r="C307">
            <v>0</v>
          </cell>
        </row>
      </sheetData>
      <sheetData sheetId="131">
        <row r="307">
          <cell r="C307">
            <v>0</v>
          </cell>
        </row>
      </sheetData>
      <sheetData sheetId="132">
        <row r="307">
          <cell r="C307">
            <v>0</v>
          </cell>
        </row>
      </sheetData>
      <sheetData sheetId="133">
        <row r="307">
          <cell r="C307" t="str">
            <v>Lean Concrete  ( 0.10 cm.)</v>
          </cell>
        </row>
      </sheetData>
      <sheetData sheetId="134">
        <row r="307">
          <cell r="C307">
            <v>0</v>
          </cell>
        </row>
      </sheetData>
      <sheetData sheetId="135" refreshError="1"/>
      <sheetData sheetId="136" refreshError="1"/>
      <sheetData sheetId="137"/>
      <sheetData sheetId="138">
        <row r="307">
          <cell r="C307">
            <v>0</v>
          </cell>
        </row>
      </sheetData>
      <sheetData sheetId="139">
        <row r="307">
          <cell r="C307">
            <v>0</v>
          </cell>
        </row>
      </sheetData>
      <sheetData sheetId="140">
        <row r="307">
          <cell r="C307">
            <v>0</v>
          </cell>
        </row>
      </sheetData>
      <sheetData sheetId="141">
        <row r="307">
          <cell r="C307">
            <v>0</v>
          </cell>
        </row>
      </sheetData>
      <sheetData sheetId="142">
        <row r="307">
          <cell r="C307">
            <v>0</v>
          </cell>
        </row>
      </sheetData>
      <sheetData sheetId="143">
        <row r="307">
          <cell r="C307">
            <v>0</v>
          </cell>
        </row>
      </sheetData>
      <sheetData sheetId="144">
        <row r="307">
          <cell r="C307">
            <v>0</v>
          </cell>
        </row>
      </sheetData>
      <sheetData sheetId="145">
        <row r="307">
          <cell r="C307">
            <v>0</v>
          </cell>
        </row>
      </sheetData>
      <sheetData sheetId="146">
        <row r="307">
          <cell r="C307">
            <v>0</v>
          </cell>
        </row>
      </sheetData>
      <sheetData sheetId="147" refreshError="1"/>
      <sheetData sheetId="148" refreshError="1"/>
      <sheetData sheetId="149" refreshError="1"/>
      <sheetData sheetId="150" refreshError="1"/>
      <sheetData sheetId="151" refreshError="1"/>
      <sheetData sheetId="152">
        <row r="307">
          <cell r="C307">
            <v>0</v>
          </cell>
        </row>
      </sheetData>
      <sheetData sheetId="153">
        <row r="307">
          <cell r="C307">
            <v>0</v>
          </cell>
        </row>
      </sheetData>
      <sheetData sheetId="154">
        <row r="307">
          <cell r="C307">
            <v>0</v>
          </cell>
        </row>
      </sheetData>
      <sheetData sheetId="155">
        <row r="307">
          <cell r="C307">
            <v>0</v>
          </cell>
        </row>
      </sheetData>
      <sheetData sheetId="156">
        <row r="307">
          <cell r="C307">
            <v>0</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ow r="307">
          <cell r="C307">
            <v>0</v>
          </cell>
        </row>
      </sheetData>
      <sheetData sheetId="169">
        <row r="307">
          <cell r="C307">
            <v>0</v>
          </cell>
        </row>
      </sheetData>
      <sheetData sheetId="170">
        <row r="307">
          <cell r="C307">
            <v>0</v>
          </cell>
        </row>
      </sheetData>
      <sheetData sheetId="171">
        <row r="307">
          <cell r="C307">
            <v>0</v>
          </cell>
        </row>
      </sheetData>
      <sheetData sheetId="172">
        <row r="307">
          <cell r="C307">
            <v>0</v>
          </cell>
        </row>
      </sheetData>
      <sheetData sheetId="173">
        <row r="307">
          <cell r="C307">
            <v>0</v>
          </cell>
        </row>
      </sheetData>
      <sheetData sheetId="174">
        <row r="307">
          <cell r="C307">
            <v>0</v>
          </cell>
        </row>
      </sheetData>
      <sheetData sheetId="175">
        <row r="307">
          <cell r="C307">
            <v>0</v>
          </cell>
        </row>
      </sheetData>
      <sheetData sheetId="176">
        <row r="307">
          <cell r="C307">
            <v>0</v>
          </cell>
        </row>
      </sheetData>
      <sheetData sheetId="177">
        <row r="307">
          <cell r="C307">
            <v>0</v>
          </cell>
        </row>
      </sheetData>
      <sheetData sheetId="178">
        <row r="307">
          <cell r="C307">
            <v>0</v>
          </cell>
        </row>
      </sheetData>
      <sheetData sheetId="179">
        <row r="307">
          <cell r="C307">
            <v>0</v>
          </cell>
        </row>
      </sheetData>
      <sheetData sheetId="180" refreshError="1"/>
      <sheetData sheetId="181" refreshError="1"/>
      <sheetData sheetId="182" refreshError="1"/>
      <sheetData sheetId="183" refreshError="1"/>
      <sheetData sheetId="184" refreshError="1"/>
      <sheetData sheetId="185" refreshError="1"/>
      <sheetData sheetId="186">
        <row r="307">
          <cell r="C307">
            <v>0</v>
          </cell>
        </row>
      </sheetData>
      <sheetData sheetId="187">
        <row r="307">
          <cell r="C307">
            <v>0</v>
          </cell>
        </row>
      </sheetData>
      <sheetData sheetId="188">
        <row r="307">
          <cell r="C307">
            <v>0</v>
          </cell>
        </row>
      </sheetData>
      <sheetData sheetId="189">
        <row r="307">
          <cell r="C307">
            <v>0</v>
          </cell>
        </row>
      </sheetData>
      <sheetData sheetId="190">
        <row r="307">
          <cell r="C307">
            <v>0</v>
          </cell>
        </row>
      </sheetData>
      <sheetData sheetId="191">
        <row r="307">
          <cell r="C307">
            <v>0</v>
          </cell>
        </row>
      </sheetData>
      <sheetData sheetId="192">
        <row r="307">
          <cell r="C307">
            <v>0</v>
          </cell>
        </row>
      </sheetData>
      <sheetData sheetId="193">
        <row r="307">
          <cell r="C307">
            <v>0</v>
          </cell>
        </row>
      </sheetData>
      <sheetData sheetId="194">
        <row r="307">
          <cell r="C307">
            <v>0</v>
          </cell>
        </row>
      </sheetData>
      <sheetData sheetId="195">
        <row r="307">
          <cell r="C307">
            <v>0</v>
          </cell>
        </row>
      </sheetData>
      <sheetData sheetId="196">
        <row r="307">
          <cell r="C307">
            <v>0</v>
          </cell>
        </row>
      </sheetData>
      <sheetData sheetId="197">
        <row r="307">
          <cell r="C307">
            <v>0</v>
          </cell>
        </row>
      </sheetData>
      <sheetData sheetId="198">
        <row r="307">
          <cell r="C307">
            <v>0</v>
          </cell>
        </row>
      </sheetData>
      <sheetData sheetId="199">
        <row r="307">
          <cell r="C307">
            <v>0</v>
          </cell>
        </row>
      </sheetData>
      <sheetData sheetId="200">
        <row r="307">
          <cell r="C307">
            <v>0</v>
          </cell>
        </row>
      </sheetData>
      <sheetData sheetId="201">
        <row r="307">
          <cell r="C307">
            <v>0</v>
          </cell>
        </row>
      </sheetData>
      <sheetData sheetId="202">
        <row r="307">
          <cell r="C307">
            <v>0</v>
          </cell>
        </row>
      </sheetData>
      <sheetData sheetId="203">
        <row r="307">
          <cell r="C307">
            <v>0</v>
          </cell>
        </row>
      </sheetData>
      <sheetData sheetId="204">
        <row r="307">
          <cell r="C307">
            <v>0</v>
          </cell>
        </row>
      </sheetData>
      <sheetData sheetId="205">
        <row r="307">
          <cell r="C307">
            <v>0</v>
          </cell>
        </row>
      </sheetData>
      <sheetData sheetId="206">
        <row r="307">
          <cell r="C307">
            <v>0</v>
          </cell>
        </row>
      </sheetData>
      <sheetData sheetId="207">
        <row r="307">
          <cell r="C307">
            <v>0</v>
          </cell>
        </row>
      </sheetData>
      <sheetData sheetId="208">
        <row r="307">
          <cell r="C307">
            <v>0</v>
          </cell>
        </row>
      </sheetData>
      <sheetData sheetId="209">
        <row r="307">
          <cell r="C307">
            <v>0</v>
          </cell>
        </row>
      </sheetData>
      <sheetData sheetId="210">
        <row r="307">
          <cell r="C307">
            <v>0</v>
          </cell>
        </row>
      </sheetData>
      <sheetData sheetId="211">
        <row r="307">
          <cell r="C307">
            <v>0</v>
          </cell>
        </row>
      </sheetData>
      <sheetData sheetId="212">
        <row r="307">
          <cell r="C307">
            <v>0</v>
          </cell>
        </row>
      </sheetData>
      <sheetData sheetId="213">
        <row r="307">
          <cell r="C307">
            <v>0</v>
          </cell>
        </row>
      </sheetData>
      <sheetData sheetId="214">
        <row r="307">
          <cell r="C307">
            <v>0</v>
          </cell>
        </row>
      </sheetData>
      <sheetData sheetId="215">
        <row r="307">
          <cell r="C307">
            <v>0</v>
          </cell>
        </row>
      </sheetData>
      <sheetData sheetId="216">
        <row r="307">
          <cell r="C307">
            <v>0</v>
          </cell>
        </row>
      </sheetData>
      <sheetData sheetId="217">
        <row r="307">
          <cell r="C307">
            <v>0</v>
          </cell>
        </row>
      </sheetData>
      <sheetData sheetId="218">
        <row r="307">
          <cell r="C307" t="str">
            <v>Lean Concrete  ( 0.10 cm.)</v>
          </cell>
        </row>
      </sheetData>
      <sheetData sheetId="219" refreshError="1"/>
      <sheetData sheetId="220" refreshError="1"/>
      <sheetData sheetId="221" refreshError="1"/>
      <sheetData sheetId="222" refreshError="1"/>
      <sheetData sheetId="223" refreshError="1"/>
      <sheetData sheetId="224">
        <row r="307">
          <cell r="C307" t="str">
            <v>Lean Concrete  ( 0.10 cm.)</v>
          </cell>
        </row>
      </sheetData>
      <sheetData sheetId="225" refreshError="1"/>
      <sheetData sheetId="226">
        <row r="307">
          <cell r="C307">
            <v>0</v>
          </cell>
        </row>
      </sheetData>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ow r="307">
          <cell r="C307" t="str">
            <v>Lean Concrete  ( 0.10 cm.)</v>
          </cell>
        </row>
      </sheetData>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ow r="307">
          <cell r="C307" t="str">
            <v>Lean Concrete  ( 0.10 cm.)</v>
          </cell>
        </row>
      </sheetData>
      <sheetData sheetId="281">
        <row r="307">
          <cell r="C307" t="str">
            <v>Lean Concrete  ( 0.10 cm.)</v>
          </cell>
        </row>
      </sheetData>
      <sheetData sheetId="282">
        <row r="307">
          <cell r="C307" t="str">
            <v>Lean Concrete  ( 0.10 cm.)</v>
          </cell>
        </row>
      </sheetData>
      <sheetData sheetId="283">
        <row r="307">
          <cell r="C307" t="str">
            <v>Lean Concrete  ( 0.10 cm.)</v>
          </cell>
        </row>
      </sheetData>
      <sheetData sheetId="284" refreshError="1"/>
      <sheetData sheetId="285" refreshError="1"/>
      <sheetData sheetId="286">
        <row r="307">
          <cell r="C307" t="str">
            <v>Lean Concrete  ( 0.10 cm.)</v>
          </cell>
        </row>
      </sheetData>
      <sheetData sheetId="287">
        <row r="307">
          <cell r="C307">
            <v>0</v>
          </cell>
        </row>
      </sheetData>
      <sheetData sheetId="288">
        <row r="307">
          <cell r="C307">
            <v>0</v>
          </cell>
        </row>
      </sheetData>
      <sheetData sheetId="289" refreshError="1"/>
      <sheetData sheetId="290">
        <row r="307">
          <cell r="C307" t="str">
            <v>Lean Concrete  ( 0.10 cm.)</v>
          </cell>
        </row>
      </sheetData>
      <sheetData sheetId="291">
        <row r="307">
          <cell r="C307">
            <v>0</v>
          </cell>
        </row>
      </sheetData>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ow r="307">
          <cell r="C307">
            <v>0</v>
          </cell>
        </row>
      </sheetData>
      <sheetData sheetId="319" refreshError="1"/>
      <sheetData sheetId="320" refreshError="1"/>
      <sheetData sheetId="321" refreshError="1"/>
      <sheetData sheetId="322">
        <row r="307">
          <cell r="C307" t="str">
            <v>Lean Concrete  ( 0.10 cm.)</v>
          </cell>
        </row>
      </sheetData>
      <sheetData sheetId="323">
        <row r="307">
          <cell r="C307">
            <v>0</v>
          </cell>
        </row>
      </sheetData>
      <sheetData sheetId="324">
        <row r="307">
          <cell r="C307">
            <v>0</v>
          </cell>
        </row>
      </sheetData>
      <sheetData sheetId="325">
        <row r="307">
          <cell r="C307">
            <v>0</v>
          </cell>
        </row>
      </sheetData>
      <sheetData sheetId="326">
        <row r="307">
          <cell r="C307" t="str">
            <v>Lean Concrete  ( 0.10 cm.)</v>
          </cell>
        </row>
      </sheetData>
      <sheetData sheetId="327">
        <row r="307">
          <cell r="C307">
            <v>0</v>
          </cell>
        </row>
      </sheetData>
      <sheetData sheetId="328">
        <row r="307">
          <cell r="C307">
            <v>0</v>
          </cell>
        </row>
      </sheetData>
      <sheetData sheetId="329">
        <row r="307">
          <cell r="C307">
            <v>0</v>
          </cell>
        </row>
      </sheetData>
      <sheetData sheetId="330">
        <row r="307">
          <cell r="C307">
            <v>0</v>
          </cell>
        </row>
      </sheetData>
      <sheetData sheetId="331">
        <row r="307">
          <cell r="C307" t="str">
            <v>Lean Concrete  ( 0.10 cm.)</v>
          </cell>
        </row>
      </sheetData>
      <sheetData sheetId="332">
        <row r="307">
          <cell r="C307" t="str">
            <v>Lean Concrete  ( 0.10 cm.)</v>
          </cell>
        </row>
      </sheetData>
      <sheetData sheetId="333">
        <row r="307">
          <cell r="C307">
            <v>0</v>
          </cell>
        </row>
      </sheetData>
      <sheetData sheetId="334">
        <row r="307">
          <cell r="C307">
            <v>0</v>
          </cell>
        </row>
      </sheetData>
      <sheetData sheetId="335">
        <row r="307">
          <cell r="C307">
            <v>0</v>
          </cell>
        </row>
      </sheetData>
      <sheetData sheetId="336">
        <row r="307">
          <cell r="C307">
            <v>0</v>
          </cell>
        </row>
      </sheetData>
      <sheetData sheetId="337">
        <row r="307">
          <cell r="C307">
            <v>0</v>
          </cell>
        </row>
      </sheetData>
      <sheetData sheetId="338">
        <row r="307">
          <cell r="C307">
            <v>0</v>
          </cell>
        </row>
      </sheetData>
      <sheetData sheetId="339">
        <row r="307">
          <cell r="C307">
            <v>0</v>
          </cell>
        </row>
      </sheetData>
      <sheetData sheetId="340">
        <row r="307">
          <cell r="C307">
            <v>0</v>
          </cell>
        </row>
      </sheetData>
      <sheetData sheetId="341">
        <row r="307">
          <cell r="C307" t="str">
            <v>Lean Concrete  ( 0.10 cm.)</v>
          </cell>
        </row>
      </sheetData>
      <sheetData sheetId="342">
        <row r="307">
          <cell r="C307">
            <v>0</v>
          </cell>
        </row>
      </sheetData>
      <sheetData sheetId="343">
        <row r="307">
          <cell r="C307" t="str">
            <v>Lean Concrete  ( 0.10 cm.)</v>
          </cell>
        </row>
      </sheetData>
      <sheetData sheetId="344">
        <row r="307">
          <cell r="C307" t="str">
            <v>Lean Concrete  ( 0.10 cm.)</v>
          </cell>
        </row>
      </sheetData>
      <sheetData sheetId="345">
        <row r="307">
          <cell r="C307" t="str">
            <v>Lean Concrete  ( 0.10 cm.)</v>
          </cell>
        </row>
      </sheetData>
      <sheetData sheetId="346">
        <row r="307">
          <cell r="C307" t="str">
            <v>Lean Concrete  ( 0.10 cm.)</v>
          </cell>
        </row>
      </sheetData>
      <sheetData sheetId="347">
        <row r="307">
          <cell r="C307" t="str">
            <v>Lean Concrete  ( 0.10 cm.)</v>
          </cell>
        </row>
      </sheetData>
      <sheetData sheetId="348">
        <row r="307">
          <cell r="C307" t="str">
            <v>Lean Concrete  ( 0.10 cm.)</v>
          </cell>
        </row>
      </sheetData>
      <sheetData sheetId="349">
        <row r="307">
          <cell r="C307" t="str">
            <v>Lean Concrete  ( 0.10 cm.)</v>
          </cell>
        </row>
      </sheetData>
      <sheetData sheetId="350">
        <row r="307">
          <cell r="C307" t="str">
            <v>Lean Concrete  ( 0.10 cm.)</v>
          </cell>
        </row>
      </sheetData>
      <sheetData sheetId="351">
        <row r="307">
          <cell r="C307">
            <v>0</v>
          </cell>
        </row>
      </sheetData>
      <sheetData sheetId="352">
        <row r="307">
          <cell r="C307">
            <v>0</v>
          </cell>
        </row>
      </sheetData>
      <sheetData sheetId="353">
        <row r="307">
          <cell r="C307" t="str">
            <v>Lean Concrete  ( 0.10 cm.)</v>
          </cell>
        </row>
      </sheetData>
      <sheetData sheetId="354">
        <row r="307">
          <cell r="C307">
            <v>0</v>
          </cell>
        </row>
      </sheetData>
      <sheetData sheetId="355">
        <row r="307">
          <cell r="C307">
            <v>0</v>
          </cell>
        </row>
      </sheetData>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307">
          <cell r="C307">
            <v>0</v>
          </cell>
        </row>
      </sheetData>
      <sheetData sheetId="488">
        <row r="307">
          <cell r="C307">
            <v>0</v>
          </cell>
        </row>
      </sheetData>
      <sheetData sheetId="489">
        <row r="307">
          <cell r="C307">
            <v>0</v>
          </cell>
        </row>
      </sheetData>
      <sheetData sheetId="490">
        <row r="307">
          <cell r="C307">
            <v>0</v>
          </cell>
        </row>
      </sheetData>
      <sheetData sheetId="491">
        <row r="307">
          <cell r="C307">
            <v>0</v>
          </cell>
        </row>
      </sheetData>
      <sheetData sheetId="492">
        <row r="307">
          <cell r="C307">
            <v>0</v>
          </cell>
        </row>
      </sheetData>
      <sheetData sheetId="493">
        <row r="307">
          <cell r="C307">
            <v>0</v>
          </cell>
        </row>
      </sheetData>
      <sheetData sheetId="494">
        <row r="307">
          <cell r="C307">
            <v>0</v>
          </cell>
        </row>
      </sheetData>
      <sheetData sheetId="495">
        <row r="307">
          <cell r="C307">
            <v>0</v>
          </cell>
        </row>
      </sheetData>
      <sheetData sheetId="496">
        <row r="307">
          <cell r="C307">
            <v>0</v>
          </cell>
        </row>
      </sheetData>
      <sheetData sheetId="497">
        <row r="307">
          <cell r="C307">
            <v>0</v>
          </cell>
        </row>
      </sheetData>
      <sheetData sheetId="498">
        <row r="307">
          <cell r="C307">
            <v>0</v>
          </cell>
        </row>
      </sheetData>
      <sheetData sheetId="499">
        <row r="307">
          <cell r="C307" t="str">
            <v>Lean Concrete  ( 0.10 cm.)</v>
          </cell>
        </row>
      </sheetData>
      <sheetData sheetId="500">
        <row r="307">
          <cell r="C307">
            <v>0</v>
          </cell>
        </row>
      </sheetData>
      <sheetData sheetId="501">
        <row r="307">
          <cell r="C307">
            <v>0</v>
          </cell>
        </row>
      </sheetData>
      <sheetData sheetId="502">
        <row r="307">
          <cell r="C307">
            <v>0</v>
          </cell>
        </row>
      </sheetData>
      <sheetData sheetId="503">
        <row r="307">
          <cell r="C307">
            <v>0</v>
          </cell>
        </row>
      </sheetData>
      <sheetData sheetId="504">
        <row r="307">
          <cell r="C307" t="str">
            <v>Lean Concrete  ( 0.10 cm.)</v>
          </cell>
        </row>
      </sheetData>
      <sheetData sheetId="505">
        <row r="307">
          <cell r="C307" t="str">
            <v>Lean Concrete  ( 0.10 cm.)</v>
          </cell>
        </row>
      </sheetData>
      <sheetData sheetId="506">
        <row r="307">
          <cell r="C307" t="str">
            <v>Lean Concrete  ( 0.10 cm.)</v>
          </cell>
        </row>
      </sheetData>
      <sheetData sheetId="507">
        <row r="307">
          <cell r="C307" t="str">
            <v>Lean Concrete  ( 0.10 cm.)</v>
          </cell>
        </row>
      </sheetData>
      <sheetData sheetId="508">
        <row r="307">
          <cell r="C307" t="str">
            <v>Lean Concrete  ( 0.10 cm.)</v>
          </cell>
        </row>
      </sheetData>
      <sheetData sheetId="509">
        <row r="307">
          <cell r="C307" t="str">
            <v>Lean Concrete  ( 0.10 cm.)</v>
          </cell>
        </row>
      </sheetData>
      <sheetData sheetId="510">
        <row r="307">
          <cell r="C307" t="str">
            <v>Lean Concrete  ( 0.10 cm.)</v>
          </cell>
        </row>
      </sheetData>
      <sheetData sheetId="511">
        <row r="307">
          <cell r="C307" t="str">
            <v>Lean Concrete  ( 0.10 cm.)</v>
          </cell>
        </row>
      </sheetData>
      <sheetData sheetId="512">
        <row r="307">
          <cell r="C307" t="str">
            <v>Lean Concrete  ( 0.10 cm.)</v>
          </cell>
        </row>
      </sheetData>
      <sheetData sheetId="513">
        <row r="307">
          <cell r="C307">
            <v>0</v>
          </cell>
        </row>
      </sheetData>
      <sheetData sheetId="514">
        <row r="307">
          <cell r="C307">
            <v>0</v>
          </cell>
        </row>
      </sheetData>
      <sheetData sheetId="515">
        <row r="307">
          <cell r="C307">
            <v>0</v>
          </cell>
        </row>
      </sheetData>
      <sheetData sheetId="516">
        <row r="307">
          <cell r="C307">
            <v>0</v>
          </cell>
        </row>
      </sheetData>
      <sheetData sheetId="517">
        <row r="307">
          <cell r="C307">
            <v>0</v>
          </cell>
        </row>
      </sheetData>
      <sheetData sheetId="518">
        <row r="307">
          <cell r="C307">
            <v>0</v>
          </cell>
        </row>
      </sheetData>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ow r="307">
          <cell r="C307">
            <v>0</v>
          </cell>
        </row>
      </sheetData>
      <sheetData sheetId="528">
        <row r="307">
          <cell r="C307">
            <v>0</v>
          </cell>
        </row>
      </sheetData>
      <sheetData sheetId="529">
        <row r="307">
          <cell r="C307">
            <v>0</v>
          </cell>
        </row>
      </sheetData>
      <sheetData sheetId="530">
        <row r="307">
          <cell r="C307">
            <v>0</v>
          </cell>
        </row>
      </sheetData>
      <sheetData sheetId="531">
        <row r="307">
          <cell r="C307">
            <v>0</v>
          </cell>
        </row>
      </sheetData>
      <sheetData sheetId="532">
        <row r="307">
          <cell r="C307">
            <v>0</v>
          </cell>
        </row>
      </sheetData>
      <sheetData sheetId="533">
        <row r="307">
          <cell r="C307">
            <v>0</v>
          </cell>
        </row>
      </sheetData>
      <sheetData sheetId="534">
        <row r="307">
          <cell r="C307">
            <v>0</v>
          </cell>
        </row>
      </sheetData>
      <sheetData sheetId="535">
        <row r="307">
          <cell r="C307">
            <v>0</v>
          </cell>
        </row>
      </sheetData>
      <sheetData sheetId="536">
        <row r="307">
          <cell r="C307">
            <v>0</v>
          </cell>
        </row>
      </sheetData>
      <sheetData sheetId="537">
        <row r="307">
          <cell r="C307">
            <v>0</v>
          </cell>
        </row>
      </sheetData>
      <sheetData sheetId="538">
        <row r="307">
          <cell r="C307" t="str">
            <v>Lean Concrete  ( 0.10 cm.)</v>
          </cell>
        </row>
      </sheetData>
      <sheetData sheetId="539">
        <row r="307">
          <cell r="C307" t="str">
            <v>Lean Concrete  ( 0.10 cm.)</v>
          </cell>
        </row>
      </sheetData>
      <sheetData sheetId="540">
        <row r="307">
          <cell r="C307">
            <v>0</v>
          </cell>
        </row>
      </sheetData>
      <sheetData sheetId="541">
        <row r="307">
          <cell r="C307">
            <v>0</v>
          </cell>
        </row>
      </sheetData>
      <sheetData sheetId="542">
        <row r="307">
          <cell r="C307" t="str">
            <v>Lean Concrete  ( 0.10 cm.)</v>
          </cell>
        </row>
      </sheetData>
      <sheetData sheetId="543">
        <row r="307">
          <cell r="C307" t="str">
            <v>Lean Concrete  ( 0.10 cm.)</v>
          </cell>
        </row>
      </sheetData>
      <sheetData sheetId="544">
        <row r="307">
          <cell r="C307">
            <v>0</v>
          </cell>
        </row>
      </sheetData>
      <sheetData sheetId="545">
        <row r="307">
          <cell r="C307">
            <v>0</v>
          </cell>
        </row>
      </sheetData>
      <sheetData sheetId="546">
        <row r="307">
          <cell r="C307">
            <v>0</v>
          </cell>
        </row>
      </sheetData>
      <sheetData sheetId="547">
        <row r="307">
          <cell r="C307">
            <v>0</v>
          </cell>
        </row>
      </sheetData>
      <sheetData sheetId="548">
        <row r="307">
          <cell r="C307">
            <v>0</v>
          </cell>
        </row>
      </sheetData>
      <sheetData sheetId="549">
        <row r="307">
          <cell r="C307">
            <v>0</v>
          </cell>
        </row>
      </sheetData>
      <sheetData sheetId="550">
        <row r="307">
          <cell r="C307">
            <v>0</v>
          </cell>
        </row>
      </sheetData>
      <sheetData sheetId="551">
        <row r="307">
          <cell r="C307">
            <v>0</v>
          </cell>
        </row>
      </sheetData>
      <sheetData sheetId="552">
        <row r="307">
          <cell r="C307">
            <v>0</v>
          </cell>
        </row>
      </sheetData>
      <sheetData sheetId="553">
        <row r="307">
          <cell r="C307">
            <v>0</v>
          </cell>
        </row>
      </sheetData>
      <sheetData sheetId="554">
        <row r="307">
          <cell r="C307">
            <v>0</v>
          </cell>
        </row>
      </sheetData>
      <sheetData sheetId="555">
        <row r="307">
          <cell r="C307">
            <v>0</v>
          </cell>
        </row>
      </sheetData>
      <sheetData sheetId="556">
        <row r="307">
          <cell r="C307">
            <v>0</v>
          </cell>
        </row>
      </sheetData>
      <sheetData sheetId="557">
        <row r="307">
          <cell r="C307">
            <v>0</v>
          </cell>
        </row>
      </sheetData>
      <sheetData sheetId="558">
        <row r="307">
          <cell r="C307">
            <v>0</v>
          </cell>
        </row>
      </sheetData>
      <sheetData sheetId="559">
        <row r="307">
          <cell r="C307">
            <v>0</v>
          </cell>
        </row>
      </sheetData>
      <sheetData sheetId="560">
        <row r="307">
          <cell r="C307">
            <v>0</v>
          </cell>
        </row>
      </sheetData>
      <sheetData sheetId="561">
        <row r="307">
          <cell r="C307">
            <v>0</v>
          </cell>
        </row>
      </sheetData>
      <sheetData sheetId="562">
        <row r="307">
          <cell r="C307">
            <v>0</v>
          </cell>
        </row>
      </sheetData>
      <sheetData sheetId="563">
        <row r="307">
          <cell r="C307">
            <v>0</v>
          </cell>
        </row>
      </sheetData>
      <sheetData sheetId="564">
        <row r="307">
          <cell r="C307" t="str">
            <v>Lean Concrete  ( 0.10 cm.)</v>
          </cell>
        </row>
      </sheetData>
      <sheetData sheetId="565">
        <row r="307">
          <cell r="C307">
            <v>0</v>
          </cell>
        </row>
      </sheetData>
      <sheetData sheetId="566">
        <row r="307">
          <cell r="C307">
            <v>0</v>
          </cell>
        </row>
      </sheetData>
      <sheetData sheetId="567">
        <row r="307">
          <cell r="C307" t="str">
            <v>Lean Concrete  ( 0.10 cm.)</v>
          </cell>
        </row>
      </sheetData>
      <sheetData sheetId="568">
        <row r="307">
          <cell r="C307" t="str">
            <v>Lean Concrete  ( 0.10 cm.)</v>
          </cell>
        </row>
      </sheetData>
      <sheetData sheetId="569">
        <row r="307">
          <cell r="C307" t="str">
            <v>Lean Concrete  ( 0.10 cm.)</v>
          </cell>
        </row>
      </sheetData>
      <sheetData sheetId="570">
        <row r="307">
          <cell r="C307">
            <v>0</v>
          </cell>
        </row>
      </sheetData>
      <sheetData sheetId="571">
        <row r="307">
          <cell r="C307" t="str">
            <v>Lean Concrete  ( 0.10 cm.)</v>
          </cell>
        </row>
      </sheetData>
      <sheetData sheetId="572">
        <row r="307">
          <cell r="C307">
            <v>0</v>
          </cell>
        </row>
      </sheetData>
      <sheetData sheetId="573">
        <row r="307">
          <cell r="C307" t="str">
            <v>Lean Concrete  ( 0.10 cm.)</v>
          </cell>
        </row>
      </sheetData>
      <sheetData sheetId="574">
        <row r="307">
          <cell r="C307" t="str">
            <v>Lean Concrete  ( 0.10 cm.)</v>
          </cell>
        </row>
      </sheetData>
      <sheetData sheetId="575">
        <row r="307">
          <cell r="C307" t="str">
            <v>Lean Concrete  ( 0.10 cm.)</v>
          </cell>
        </row>
      </sheetData>
      <sheetData sheetId="576">
        <row r="307">
          <cell r="C307">
            <v>0</v>
          </cell>
        </row>
      </sheetData>
      <sheetData sheetId="577">
        <row r="307">
          <cell r="C307" t="str">
            <v>Lean Concrete  ( 0.10 cm.)</v>
          </cell>
        </row>
      </sheetData>
      <sheetData sheetId="578">
        <row r="307">
          <cell r="C307" t="str">
            <v>Lean Concrete  ( 0.10 cm.)</v>
          </cell>
        </row>
      </sheetData>
      <sheetData sheetId="579">
        <row r="307">
          <cell r="C307" t="str">
            <v>Lean Concrete  ( 0.10 cm.)</v>
          </cell>
        </row>
      </sheetData>
      <sheetData sheetId="580">
        <row r="307">
          <cell r="C307">
            <v>0</v>
          </cell>
        </row>
      </sheetData>
      <sheetData sheetId="581">
        <row r="307">
          <cell r="C307">
            <v>0</v>
          </cell>
        </row>
      </sheetData>
      <sheetData sheetId="582">
        <row r="307">
          <cell r="C307">
            <v>0</v>
          </cell>
        </row>
      </sheetData>
      <sheetData sheetId="583">
        <row r="307">
          <cell r="C307" t="str">
            <v>Lean Concrete  ( 0.10 cm.)</v>
          </cell>
        </row>
      </sheetData>
      <sheetData sheetId="584">
        <row r="307">
          <cell r="C307" t="str">
            <v>Lean Concrete  ( 0.10 cm.)</v>
          </cell>
        </row>
      </sheetData>
      <sheetData sheetId="585">
        <row r="307">
          <cell r="C307">
            <v>0</v>
          </cell>
        </row>
      </sheetData>
      <sheetData sheetId="586">
        <row r="307">
          <cell r="C307">
            <v>0</v>
          </cell>
        </row>
      </sheetData>
      <sheetData sheetId="587">
        <row r="307">
          <cell r="C307">
            <v>0</v>
          </cell>
        </row>
      </sheetData>
      <sheetData sheetId="588">
        <row r="307">
          <cell r="C307" t="str">
            <v>Lean Concrete  ( 0.10 cm.)</v>
          </cell>
        </row>
      </sheetData>
      <sheetData sheetId="589">
        <row r="307">
          <cell r="C307" t="str">
            <v>Lean Concrete  ( 0.10 cm.)</v>
          </cell>
        </row>
      </sheetData>
      <sheetData sheetId="590">
        <row r="307">
          <cell r="C307">
            <v>0</v>
          </cell>
        </row>
      </sheetData>
      <sheetData sheetId="591">
        <row r="307">
          <cell r="C307">
            <v>0</v>
          </cell>
        </row>
      </sheetData>
      <sheetData sheetId="592">
        <row r="307">
          <cell r="C307" t="str">
            <v>Lean Concrete  ( 0.10 cm.)</v>
          </cell>
        </row>
      </sheetData>
      <sheetData sheetId="593">
        <row r="307">
          <cell r="C307" t="str">
            <v>Lean Concrete  ( 0.10 cm.)</v>
          </cell>
        </row>
      </sheetData>
      <sheetData sheetId="594">
        <row r="307">
          <cell r="C307" t="str">
            <v>Lean Concrete  ( 0.10 cm.)</v>
          </cell>
        </row>
      </sheetData>
      <sheetData sheetId="595">
        <row r="307">
          <cell r="C307">
            <v>0</v>
          </cell>
        </row>
      </sheetData>
      <sheetData sheetId="596">
        <row r="307">
          <cell r="C307">
            <v>0</v>
          </cell>
        </row>
      </sheetData>
      <sheetData sheetId="597">
        <row r="307">
          <cell r="C307" t="str">
            <v>Lean Concrete  ( 0.10 cm.)</v>
          </cell>
        </row>
      </sheetData>
      <sheetData sheetId="598">
        <row r="307">
          <cell r="C307" t="str">
            <v>Lean Concrete  ( 0.10 cm.)</v>
          </cell>
        </row>
      </sheetData>
      <sheetData sheetId="599">
        <row r="307">
          <cell r="C307" t="str">
            <v>Lean Concrete  ( 0.10 cm.)</v>
          </cell>
        </row>
      </sheetData>
      <sheetData sheetId="600">
        <row r="307">
          <cell r="C307" t="str">
            <v>Lean Concrete  ( 0.10 cm.)</v>
          </cell>
        </row>
      </sheetData>
      <sheetData sheetId="601">
        <row r="307">
          <cell r="C307" t="str">
            <v>Lean Concrete  ( 0.10 cm.)</v>
          </cell>
        </row>
      </sheetData>
      <sheetData sheetId="602">
        <row r="307">
          <cell r="C307" t="str">
            <v>Lean Concrete  ( 0.10 cm.)</v>
          </cell>
        </row>
      </sheetData>
      <sheetData sheetId="603">
        <row r="307">
          <cell r="C307">
            <v>0</v>
          </cell>
        </row>
      </sheetData>
      <sheetData sheetId="604">
        <row r="307">
          <cell r="C307">
            <v>0</v>
          </cell>
        </row>
      </sheetData>
      <sheetData sheetId="605">
        <row r="307">
          <cell r="C307" t="str">
            <v>Lean Concrete  ( 0.10 cm.)</v>
          </cell>
        </row>
      </sheetData>
      <sheetData sheetId="606">
        <row r="307">
          <cell r="C307" t="str">
            <v>Lean Concrete  ( 0.10 cm.)</v>
          </cell>
        </row>
      </sheetData>
      <sheetData sheetId="607">
        <row r="307">
          <cell r="C307" t="str">
            <v>Lean Concrete  ( 0.10 cm.)</v>
          </cell>
        </row>
      </sheetData>
      <sheetData sheetId="608">
        <row r="307">
          <cell r="C307" t="str">
            <v>Lean Concrete  ( 0.10 cm.)</v>
          </cell>
        </row>
      </sheetData>
      <sheetData sheetId="609">
        <row r="307">
          <cell r="C307" t="str">
            <v>Lean Concrete  ( 0.10 cm.)</v>
          </cell>
        </row>
      </sheetData>
      <sheetData sheetId="610">
        <row r="307">
          <cell r="C307" t="str">
            <v>Lean Concrete  ( 0.10 cm.)</v>
          </cell>
        </row>
      </sheetData>
      <sheetData sheetId="611">
        <row r="307">
          <cell r="C307" t="str">
            <v>Lean Concrete  ( 0.10 cm.)</v>
          </cell>
        </row>
      </sheetData>
      <sheetData sheetId="612">
        <row r="307">
          <cell r="C307" t="str">
            <v>Lean Concrete  ( 0.10 cm.)</v>
          </cell>
        </row>
      </sheetData>
      <sheetData sheetId="613">
        <row r="307">
          <cell r="C307">
            <v>0</v>
          </cell>
        </row>
      </sheetData>
      <sheetData sheetId="614">
        <row r="307">
          <cell r="C307" t="str">
            <v>Lean Concrete  ( 0.10 cm.)</v>
          </cell>
        </row>
      </sheetData>
      <sheetData sheetId="615">
        <row r="307">
          <cell r="C307" t="str">
            <v>Lean Concrete  ( 0.10 cm.)</v>
          </cell>
        </row>
      </sheetData>
      <sheetData sheetId="616">
        <row r="307">
          <cell r="C307" t="str">
            <v>Lean Concrete  ( 0.10 cm.)</v>
          </cell>
        </row>
      </sheetData>
      <sheetData sheetId="617">
        <row r="307">
          <cell r="C307" t="str">
            <v>Lean Concrete  ( 0.10 cm.)</v>
          </cell>
        </row>
      </sheetData>
      <sheetData sheetId="618">
        <row r="307">
          <cell r="C307" t="str">
            <v>Lean Concrete  ( 0.10 cm.)</v>
          </cell>
        </row>
      </sheetData>
      <sheetData sheetId="619">
        <row r="307">
          <cell r="C307" t="str">
            <v>Lean Concrete  ( 0.10 cm.)</v>
          </cell>
        </row>
      </sheetData>
      <sheetData sheetId="620">
        <row r="307">
          <cell r="C307" t="str">
            <v>Lean Concrete  ( 0.10 cm.)</v>
          </cell>
        </row>
      </sheetData>
      <sheetData sheetId="621">
        <row r="307">
          <cell r="C307" t="str">
            <v>Lean Concrete  ( 0.10 cm.)</v>
          </cell>
        </row>
      </sheetData>
      <sheetData sheetId="622">
        <row r="307">
          <cell r="C307" t="str">
            <v>Lean Concrete  ( 0.10 cm.)</v>
          </cell>
        </row>
      </sheetData>
      <sheetData sheetId="623">
        <row r="307">
          <cell r="C307" t="str">
            <v>Lean Concrete  ( 0.10 cm.)</v>
          </cell>
        </row>
      </sheetData>
      <sheetData sheetId="624">
        <row r="307">
          <cell r="C307" t="str">
            <v>Lean Concrete  ( 0.10 cm.)</v>
          </cell>
        </row>
      </sheetData>
      <sheetData sheetId="625">
        <row r="307">
          <cell r="C307">
            <v>0</v>
          </cell>
        </row>
      </sheetData>
      <sheetData sheetId="626">
        <row r="307">
          <cell r="C307" t="str">
            <v>Lean Concrete  ( 0.10 cm.)</v>
          </cell>
        </row>
      </sheetData>
      <sheetData sheetId="627">
        <row r="307">
          <cell r="C307" t="str">
            <v>Lean Concrete  ( 0.10 cm.)</v>
          </cell>
        </row>
      </sheetData>
      <sheetData sheetId="628">
        <row r="307">
          <cell r="C307" t="str">
            <v>Lean Concrete  ( 0.10 cm.)</v>
          </cell>
        </row>
      </sheetData>
      <sheetData sheetId="629">
        <row r="307">
          <cell r="C307">
            <v>0</v>
          </cell>
        </row>
      </sheetData>
      <sheetData sheetId="630">
        <row r="307">
          <cell r="C307" t="str">
            <v>Lean Concrete  ( 0.10 cm.)</v>
          </cell>
        </row>
      </sheetData>
      <sheetData sheetId="631">
        <row r="307">
          <cell r="C307" t="str">
            <v>Lean Concrete  ( 0.10 cm.)</v>
          </cell>
        </row>
      </sheetData>
      <sheetData sheetId="632">
        <row r="307">
          <cell r="C307" t="str">
            <v>Lean Concrete  ( 0.10 cm.)</v>
          </cell>
        </row>
      </sheetData>
      <sheetData sheetId="633">
        <row r="307">
          <cell r="C307" t="str">
            <v>Lean Concrete  ( 0.10 cm.)</v>
          </cell>
        </row>
      </sheetData>
      <sheetData sheetId="634">
        <row r="307">
          <cell r="C307" t="str">
            <v>Lean Concrete  ( 0.10 cm.)</v>
          </cell>
        </row>
      </sheetData>
      <sheetData sheetId="635">
        <row r="307">
          <cell r="C307" t="str">
            <v>Lean Concrete  ( 0.10 cm.)</v>
          </cell>
        </row>
      </sheetData>
      <sheetData sheetId="636">
        <row r="307">
          <cell r="C307" t="str">
            <v>Lean Concrete  ( 0.10 cm.)</v>
          </cell>
        </row>
      </sheetData>
      <sheetData sheetId="637">
        <row r="307">
          <cell r="C307" t="str">
            <v>Lean Concrete  ( 0.10 cm.)</v>
          </cell>
        </row>
      </sheetData>
      <sheetData sheetId="638">
        <row r="307">
          <cell r="C307">
            <v>0</v>
          </cell>
        </row>
      </sheetData>
      <sheetData sheetId="639">
        <row r="307">
          <cell r="C307">
            <v>0</v>
          </cell>
        </row>
      </sheetData>
      <sheetData sheetId="640">
        <row r="307">
          <cell r="C307">
            <v>0</v>
          </cell>
        </row>
      </sheetData>
      <sheetData sheetId="641">
        <row r="307">
          <cell r="C307" t="str">
            <v>Lean Concrete  ( 0.10 cm.)</v>
          </cell>
        </row>
      </sheetData>
      <sheetData sheetId="642">
        <row r="307">
          <cell r="C307" t="str">
            <v>Lean Concrete  ( 0.10 cm.)</v>
          </cell>
        </row>
      </sheetData>
      <sheetData sheetId="643">
        <row r="307">
          <cell r="C307">
            <v>0</v>
          </cell>
        </row>
      </sheetData>
      <sheetData sheetId="644">
        <row r="307">
          <cell r="C307" t="str">
            <v>Lean Concrete  ( 0.10 cm.)</v>
          </cell>
        </row>
      </sheetData>
      <sheetData sheetId="645">
        <row r="307">
          <cell r="C307" t="str">
            <v>Lean Concrete  ( 0.10 cm.)</v>
          </cell>
        </row>
      </sheetData>
      <sheetData sheetId="646">
        <row r="307">
          <cell r="C307" t="str">
            <v>Lean Concrete  ( 0.10 cm.)</v>
          </cell>
        </row>
      </sheetData>
      <sheetData sheetId="647">
        <row r="307">
          <cell r="C307" t="str">
            <v>Lean Concrete  ( 0.10 cm.)</v>
          </cell>
        </row>
      </sheetData>
      <sheetData sheetId="648">
        <row r="307">
          <cell r="C307" t="str">
            <v>Lean Concrete  ( 0.10 cm.)</v>
          </cell>
        </row>
      </sheetData>
      <sheetData sheetId="649">
        <row r="307">
          <cell r="C307" t="str">
            <v>Lean Concrete  ( 0.10 cm.)</v>
          </cell>
        </row>
      </sheetData>
      <sheetData sheetId="650">
        <row r="307">
          <cell r="C307" t="str">
            <v>Lean Concrete  ( 0.10 cm.)</v>
          </cell>
        </row>
      </sheetData>
      <sheetData sheetId="651">
        <row r="307">
          <cell r="C307" t="str">
            <v>Lean Concrete  ( 0.10 cm.)</v>
          </cell>
        </row>
      </sheetData>
      <sheetData sheetId="652">
        <row r="307">
          <cell r="C307">
            <v>0</v>
          </cell>
        </row>
      </sheetData>
      <sheetData sheetId="653">
        <row r="307">
          <cell r="C307" t="str">
            <v>Lean Concrete  ( 0.10 cm.)</v>
          </cell>
        </row>
      </sheetData>
      <sheetData sheetId="654">
        <row r="307">
          <cell r="C307" t="str">
            <v>Lean Concrete  ( 0.10 cm.)</v>
          </cell>
        </row>
      </sheetData>
      <sheetData sheetId="655">
        <row r="307">
          <cell r="C307" t="str">
            <v>Lean Concrete  ( 0.10 cm.)</v>
          </cell>
        </row>
      </sheetData>
      <sheetData sheetId="656">
        <row r="307">
          <cell r="C307" t="str">
            <v>Lean Concrete  ( 0.10 cm.)</v>
          </cell>
        </row>
      </sheetData>
      <sheetData sheetId="657">
        <row r="307">
          <cell r="C307" t="str">
            <v>Lean Concrete  ( 0.10 cm.)</v>
          </cell>
        </row>
      </sheetData>
      <sheetData sheetId="658">
        <row r="307">
          <cell r="C307" t="str">
            <v>Lean Concrete  ( 0.10 cm.)</v>
          </cell>
        </row>
      </sheetData>
      <sheetData sheetId="659">
        <row r="307">
          <cell r="C307">
            <v>0</v>
          </cell>
        </row>
      </sheetData>
      <sheetData sheetId="660">
        <row r="307">
          <cell r="C307" t="str">
            <v>Lean Concrete  ( 0.10 cm.)</v>
          </cell>
        </row>
      </sheetData>
      <sheetData sheetId="661">
        <row r="307">
          <cell r="C307" t="str">
            <v>Lean Concrete  ( 0.10 cm.)</v>
          </cell>
        </row>
      </sheetData>
      <sheetData sheetId="662">
        <row r="307">
          <cell r="C307" t="str">
            <v>Lean Concrete  ( 0.10 cm.)</v>
          </cell>
        </row>
      </sheetData>
      <sheetData sheetId="663">
        <row r="307">
          <cell r="C307" t="str">
            <v>Lean Concrete  ( 0.10 cm.)</v>
          </cell>
        </row>
      </sheetData>
      <sheetData sheetId="664">
        <row r="307">
          <cell r="C307" t="str">
            <v>Lean Concrete  ( 0.10 cm.)</v>
          </cell>
        </row>
      </sheetData>
      <sheetData sheetId="665">
        <row r="307">
          <cell r="C307" t="str">
            <v>Lean Concrete  ( 0.10 cm.)</v>
          </cell>
        </row>
      </sheetData>
      <sheetData sheetId="666">
        <row r="307">
          <cell r="C307">
            <v>0</v>
          </cell>
        </row>
      </sheetData>
      <sheetData sheetId="667">
        <row r="307">
          <cell r="C307" t="str">
            <v>Lean Concrete  ( 0.10 cm.)</v>
          </cell>
        </row>
      </sheetData>
      <sheetData sheetId="668">
        <row r="307">
          <cell r="C307">
            <v>0</v>
          </cell>
        </row>
      </sheetData>
      <sheetData sheetId="669">
        <row r="307">
          <cell r="C307">
            <v>0</v>
          </cell>
        </row>
      </sheetData>
      <sheetData sheetId="670">
        <row r="307">
          <cell r="C307" t="str">
            <v>Lean Concrete  ( 0.10 cm.)</v>
          </cell>
        </row>
      </sheetData>
      <sheetData sheetId="671">
        <row r="307">
          <cell r="C307">
            <v>0</v>
          </cell>
        </row>
      </sheetData>
      <sheetData sheetId="672">
        <row r="307">
          <cell r="C307">
            <v>0</v>
          </cell>
        </row>
      </sheetData>
      <sheetData sheetId="673">
        <row r="307">
          <cell r="C307">
            <v>0</v>
          </cell>
        </row>
      </sheetData>
      <sheetData sheetId="674">
        <row r="307">
          <cell r="C307">
            <v>0</v>
          </cell>
        </row>
      </sheetData>
      <sheetData sheetId="675">
        <row r="307">
          <cell r="C307" t="str">
            <v>Lean Concrete  ( 0.10 cm.)</v>
          </cell>
        </row>
      </sheetData>
      <sheetData sheetId="676">
        <row r="307">
          <cell r="C307" t="str">
            <v>Lean Concrete  ( 0.10 cm.)</v>
          </cell>
        </row>
      </sheetData>
      <sheetData sheetId="677">
        <row r="307">
          <cell r="C307">
            <v>0</v>
          </cell>
        </row>
      </sheetData>
      <sheetData sheetId="678">
        <row r="307">
          <cell r="C307">
            <v>0</v>
          </cell>
        </row>
      </sheetData>
      <sheetData sheetId="679">
        <row r="307">
          <cell r="C307">
            <v>0</v>
          </cell>
        </row>
      </sheetData>
      <sheetData sheetId="680">
        <row r="307">
          <cell r="C307">
            <v>0</v>
          </cell>
        </row>
      </sheetData>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ow r="307">
          <cell r="C307">
            <v>0</v>
          </cell>
        </row>
      </sheetData>
      <sheetData sheetId="692">
        <row r="307">
          <cell r="C307">
            <v>0</v>
          </cell>
        </row>
      </sheetData>
      <sheetData sheetId="693">
        <row r="307">
          <cell r="C307">
            <v>0</v>
          </cell>
        </row>
      </sheetData>
      <sheetData sheetId="694">
        <row r="307">
          <cell r="C307">
            <v>0</v>
          </cell>
        </row>
      </sheetData>
      <sheetData sheetId="695">
        <row r="307">
          <cell r="C307">
            <v>0</v>
          </cell>
        </row>
      </sheetData>
      <sheetData sheetId="696">
        <row r="307">
          <cell r="C307">
            <v>0</v>
          </cell>
        </row>
      </sheetData>
      <sheetData sheetId="697">
        <row r="307">
          <cell r="C307">
            <v>0</v>
          </cell>
        </row>
      </sheetData>
      <sheetData sheetId="698">
        <row r="307">
          <cell r="C307">
            <v>0</v>
          </cell>
        </row>
      </sheetData>
      <sheetData sheetId="699">
        <row r="307">
          <cell r="C307">
            <v>0</v>
          </cell>
        </row>
      </sheetData>
      <sheetData sheetId="700">
        <row r="307">
          <cell r="C307">
            <v>0</v>
          </cell>
        </row>
      </sheetData>
      <sheetData sheetId="701">
        <row r="307">
          <cell r="C307">
            <v>0</v>
          </cell>
        </row>
      </sheetData>
      <sheetData sheetId="702">
        <row r="307">
          <cell r="C307">
            <v>0</v>
          </cell>
        </row>
      </sheetData>
      <sheetData sheetId="703">
        <row r="307">
          <cell r="C307">
            <v>0</v>
          </cell>
        </row>
      </sheetData>
      <sheetData sheetId="704">
        <row r="307">
          <cell r="C307">
            <v>0</v>
          </cell>
        </row>
      </sheetData>
      <sheetData sheetId="705">
        <row r="307">
          <cell r="C307">
            <v>0</v>
          </cell>
        </row>
      </sheetData>
      <sheetData sheetId="706">
        <row r="307">
          <cell r="C307">
            <v>0</v>
          </cell>
        </row>
      </sheetData>
      <sheetData sheetId="707">
        <row r="307">
          <cell r="C307">
            <v>0</v>
          </cell>
        </row>
      </sheetData>
      <sheetData sheetId="708">
        <row r="307">
          <cell r="C307">
            <v>0</v>
          </cell>
        </row>
      </sheetData>
      <sheetData sheetId="709">
        <row r="307">
          <cell r="C307">
            <v>0</v>
          </cell>
        </row>
      </sheetData>
      <sheetData sheetId="710">
        <row r="307">
          <cell r="C307">
            <v>0</v>
          </cell>
        </row>
      </sheetData>
      <sheetData sheetId="711">
        <row r="307">
          <cell r="C307">
            <v>0</v>
          </cell>
        </row>
      </sheetData>
      <sheetData sheetId="712">
        <row r="307">
          <cell r="C307">
            <v>0</v>
          </cell>
        </row>
      </sheetData>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ow r="307">
          <cell r="C307">
            <v>0</v>
          </cell>
        </row>
      </sheetData>
      <sheetData sheetId="854" refreshError="1"/>
      <sheetData sheetId="855" refreshError="1"/>
      <sheetData sheetId="856" refreshError="1"/>
      <sheetData sheetId="857" refreshError="1"/>
      <sheetData sheetId="858" refreshError="1"/>
      <sheetData sheetId="859">
        <row r="307">
          <cell r="C307">
            <v>0</v>
          </cell>
        </row>
      </sheetData>
      <sheetData sheetId="860">
        <row r="307">
          <cell r="C307">
            <v>0</v>
          </cell>
        </row>
      </sheetData>
      <sheetData sheetId="861">
        <row r="307">
          <cell r="C307">
            <v>0</v>
          </cell>
        </row>
      </sheetData>
      <sheetData sheetId="862">
        <row r="307">
          <cell r="C307">
            <v>0</v>
          </cell>
        </row>
      </sheetData>
      <sheetData sheetId="863">
        <row r="307">
          <cell r="C307">
            <v>0</v>
          </cell>
        </row>
      </sheetData>
      <sheetData sheetId="864">
        <row r="307">
          <cell r="C307">
            <v>0</v>
          </cell>
        </row>
      </sheetData>
      <sheetData sheetId="865">
        <row r="307">
          <cell r="C307">
            <v>0</v>
          </cell>
        </row>
      </sheetData>
      <sheetData sheetId="866">
        <row r="307">
          <cell r="C307">
            <v>0</v>
          </cell>
        </row>
      </sheetData>
      <sheetData sheetId="867">
        <row r="307">
          <cell r="C307">
            <v>0</v>
          </cell>
        </row>
      </sheetData>
      <sheetData sheetId="868">
        <row r="307">
          <cell r="C307">
            <v>0</v>
          </cell>
        </row>
      </sheetData>
      <sheetData sheetId="869">
        <row r="307">
          <cell r="C307">
            <v>0</v>
          </cell>
        </row>
      </sheetData>
      <sheetData sheetId="870">
        <row r="307">
          <cell r="C307">
            <v>0</v>
          </cell>
        </row>
      </sheetData>
      <sheetData sheetId="871">
        <row r="307">
          <cell r="C307">
            <v>0</v>
          </cell>
        </row>
      </sheetData>
      <sheetData sheetId="872">
        <row r="307">
          <cell r="C307">
            <v>0</v>
          </cell>
        </row>
      </sheetData>
      <sheetData sheetId="873">
        <row r="307">
          <cell r="C307">
            <v>0</v>
          </cell>
        </row>
      </sheetData>
      <sheetData sheetId="874">
        <row r="307">
          <cell r="C307">
            <v>0</v>
          </cell>
        </row>
      </sheetData>
      <sheetData sheetId="875">
        <row r="307">
          <cell r="C307">
            <v>0</v>
          </cell>
        </row>
      </sheetData>
      <sheetData sheetId="876">
        <row r="307">
          <cell r="C307">
            <v>0</v>
          </cell>
        </row>
      </sheetData>
      <sheetData sheetId="877">
        <row r="307">
          <cell r="C307">
            <v>0</v>
          </cell>
        </row>
      </sheetData>
      <sheetData sheetId="878">
        <row r="307">
          <cell r="C307">
            <v>0</v>
          </cell>
        </row>
      </sheetData>
      <sheetData sheetId="879">
        <row r="307">
          <cell r="C307">
            <v>0</v>
          </cell>
        </row>
      </sheetData>
      <sheetData sheetId="880">
        <row r="307">
          <cell r="C307">
            <v>0</v>
          </cell>
        </row>
      </sheetData>
      <sheetData sheetId="881">
        <row r="307">
          <cell r="C307">
            <v>0</v>
          </cell>
        </row>
      </sheetData>
      <sheetData sheetId="882">
        <row r="307">
          <cell r="C307">
            <v>0</v>
          </cell>
        </row>
      </sheetData>
      <sheetData sheetId="883">
        <row r="307">
          <cell r="C307">
            <v>0</v>
          </cell>
        </row>
      </sheetData>
      <sheetData sheetId="884">
        <row r="307">
          <cell r="C307">
            <v>0</v>
          </cell>
        </row>
      </sheetData>
      <sheetData sheetId="885">
        <row r="307">
          <cell r="C307">
            <v>0</v>
          </cell>
        </row>
      </sheetData>
      <sheetData sheetId="886">
        <row r="307">
          <cell r="C307">
            <v>0</v>
          </cell>
        </row>
      </sheetData>
      <sheetData sheetId="887">
        <row r="307">
          <cell r="C307">
            <v>0</v>
          </cell>
        </row>
      </sheetData>
      <sheetData sheetId="888">
        <row r="307">
          <cell r="C307">
            <v>0</v>
          </cell>
        </row>
      </sheetData>
      <sheetData sheetId="889">
        <row r="307">
          <cell r="C307">
            <v>0</v>
          </cell>
        </row>
      </sheetData>
      <sheetData sheetId="890">
        <row r="307">
          <cell r="C307">
            <v>0</v>
          </cell>
        </row>
      </sheetData>
      <sheetData sheetId="891">
        <row r="307">
          <cell r="C307">
            <v>0</v>
          </cell>
        </row>
      </sheetData>
      <sheetData sheetId="892">
        <row r="307">
          <cell r="C307">
            <v>0</v>
          </cell>
        </row>
      </sheetData>
      <sheetData sheetId="893">
        <row r="307">
          <cell r="C307">
            <v>0</v>
          </cell>
        </row>
      </sheetData>
      <sheetData sheetId="894">
        <row r="307">
          <cell r="C307">
            <v>0</v>
          </cell>
        </row>
      </sheetData>
      <sheetData sheetId="895">
        <row r="307">
          <cell r="C307">
            <v>0</v>
          </cell>
        </row>
      </sheetData>
      <sheetData sheetId="896">
        <row r="307">
          <cell r="C307">
            <v>0</v>
          </cell>
        </row>
      </sheetData>
      <sheetData sheetId="897">
        <row r="307">
          <cell r="C307">
            <v>0</v>
          </cell>
        </row>
      </sheetData>
      <sheetData sheetId="898">
        <row r="307">
          <cell r="C307">
            <v>0</v>
          </cell>
        </row>
      </sheetData>
      <sheetData sheetId="899">
        <row r="307">
          <cell r="C307">
            <v>0</v>
          </cell>
        </row>
      </sheetData>
      <sheetData sheetId="900">
        <row r="307">
          <cell r="C307">
            <v>0</v>
          </cell>
        </row>
      </sheetData>
      <sheetData sheetId="901">
        <row r="307">
          <cell r="C307">
            <v>0</v>
          </cell>
        </row>
      </sheetData>
      <sheetData sheetId="902">
        <row r="307">
          <cell r="C307">
            <v>0</v>
          </cell>
        </row>
      </sheetData>
      <sheetData sheetId="903">
        <row r="307">
          <cell r="C307">
            <v>0</v>
          </cell>
        </row>
      </sheetData>
      <sheetData sheetId="904">
        <row r="307">
          <cell r="C307">
            <v>0</v>
          </cell>
        </row>
      </sheetData>
      <sheetData sheetId="905">
        <row r="307">
          <cell r="C307">
            <v>0</v>
          </cell>
        </row>
      </sheetData>
      <sheetData sheetId="906">
        <row r="307">
          <cell r="C307">
            <v>0</v>
          </cell>
        </row>
      </sheetData>
      <sheetData sheetId="907">
        <row r="307">
          <cell r="C307">
            <v>0</v>
          </cell>
        </row>
      </sheetData>
      <sheetData sheetId="908">
        <row r="307">
          <cell r="C307">
            <v>0</v>
          </cell>
        </row>
      </sheetData>
      <sheetData sheetId="909">
        <row r="307">
          <cell r="C307">
            <v>0</v>
          </cell>
        </row>
      </sheetData>
      <sheetData sheetId="910">
        <row r="307">
          <cell r="C307">
            <v>0</v>
          </cell>
        </row>
      </sheetData>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ow r="307">
          <cell r="C307">
            <v>0</v>
          </cell>
        </row>
      </sheetData>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ow r="307">
          <cell r="C307">
            <v>0</v>
          </cell>
        </row>
      </sheetData>
      <sheetData sheetId="946"/>
      <sheetData sheetId="947"/>
      <sheetData sheetId="948">
        <row r="307">
          <cell r="C307">
            <v>0</v>
          </cell>
        </row>
      </sheetData>
      <sheetData sheetId="949">
        <row r="307">
          <cell r="C307">
            <v>0</v>
          </cell>
        </row>
      </sheetData>
      <sheetData sheetId="950">
        <row r="307">
          <cell r="C307">
            <v>0</v>
          </cell>
        </row>
      </sheetData>
      <sheetData sheetId="951">
        <row r="307">
          <cell r="C307">
            <v>0</v>
          </cell>
        </row>
      </sheetData>
      <sheetData sheetId="952">
        <row r="307">
          <cell r="C307">
            <v>0</v>
          </cell>
        </row>
      </sheetData>
      <sheetData sheetId="953">
        <row r="307">
          <cell r="C307">
            <v>0</v>
          </cell>
        </row>
      </sheetData>
      <sheetData sheetId="954">
        <row r="307">
          <cell r="C307">
            <v>0</v>
          </cell>
        </row>
      </sheetData>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row r="307">
          <cell r="C307">
            <v>0</v>
          </cell>
        </row>
      </sheetData>
      <sheetData sheetId="969"/>
      <sheetData sheetId="970">
        <row r="307">
          <cell r="C307">
            <v>0</v>
          </cell>
        </row>
      </sheetData>
      <sheetData sheetId="971"/>
      <sheetData sheetId="972"/>
      <sheetData sheetId="973"/>
      <sheetData sheetId="974"/>
      <sheetData sheetId="975"/>
      <sheetData sheetId="976"/>
      <sheetData sheetId="977"/>
      <sheetData sheetId="978"/>
      <sheetData sheetId="979"/>
      <sheetData sheetId="980"/>
      <sheetData sheetId="981" refreshError="1"/>
      <sheetData sheetId="982" refreshError="1"/>
      <sheetData sheetId="983" refreshError="1"/>
      <sheetData sheetId="984">
        <row r="307">
          <cell r="C307">
            <v>0</v>
          </cell>
        </row>
      </sheetData>
      <sheetData sheetId="985">
        <row r="307">
          <cell r="C307">
            <v>0</v>
          </cell>
        </row>
      </sheetData>
      <sheetData sheetId="986">
        <row r="307">
          <cell r="C307">
            <v>0</v>
          </cell>
        </row>
      </sheetData>
      <sheetData sheetId="987">
        <row r="307">
          <cell r="C307">
            <v>0</v>
          </cell>
        </row>
      </sheetData>
      <sheetData sheetId="988">
        <row r="307">
          <cell r="C307">
            <v>0</v>
          </cell>
        </row>
      </sheetData>
      <sheetData sheetId="989">
        <row r="307">
          <cell r="C307">
            <v>0</v>
          </cell>
        </row>
      </sheetData>
      <sheetData sheetId="990">
        <row r="307">
          <cell r="C307">
            <v>0</v>
          </cell>
        </row>
      </sheetData>
      <sheetData sheetId="991">
        <row r="307">
          <cell r="C307">
            <v>0</v>
          </cell>
        </row>
      </sheetData>
      <sheetData sheetId="992">
        <row r="307">
          <cell r="C307">
            <v>0</v>
          </cell>
        </row>
      </sheetData>
      <sheetData sheetId="993">
        <row r="307">
          <cell r="C307">
            <v>0</v>
          </cell>
        </row>
      </sheetData>
      <sheetData sheetId="994">
        <row r="307">
          <cell r="C307">
            <v>0</v>
          </cell>
        </row>
      </sheetData>
      <sheetData sheetId="995">
        <row r="307">
          <cell r="C307">
            <v>0</v>
          </cell>
        </row>
      </sheetData>
      <sheetData sheetId="996">
        <row r="307">
          <cell r="C307">
            <v>0</v>
          </cell>
        </row>
      </sheetData>
      <sheetData sheetId="997">
        <row r="307">
          <cell r="C307">
            <v>0</v>
          </cell>
        </row>
      </sheetData>
      <sheetData sheetId="998">
        <row r="307">
          <cell r="C307">
            <v>0</v>
          </cell>
        </row>
      </sheetData>
      <sheetData sheetId="999">
        <row r="307">
          <cell r="C307">
            <v>0</v>
          </cell>
        </row>
      </sheetData>
      <sheetData sheetId="1000">
        <row r="307">
          <cell r="C307">
            <v>0</v>
          </cell>
        </row>
      </sheetData>
      <sheetData sheetId="1001">
        <row r="307">
          <cell r="C307">
            <v>0</v>
          </cell>
        </row>
      </sheetData>
      <sheetData sheetId="1002">
        <row r="307">
          <cell r="C307">
            <v>0</v>
          </cell>
        </row>
      </sheetData>
      <sheetData sheetId="1003">
        <row r="307">
          <cell r="C307">
            <v>0</v>
          </cell>
        </row>
      </sheetData>
      <sheetData sheetId="1004">
        <row r="307">
          <cell r="C307">
            <v>0</v>
          </cell>
        </row>
      </sheetData>
      <sheetData sheetId="1005">
        <row r="307">
          <cell r="C307">
            <v>0</v>
          </cell>
        </row>
      </sheetData>
      <sheetData sheetId="1006">
        <row r="307">
          <cell r="C307">
            <v>0</v>
          </cell>
        </row>
      </sheetData>
      <sheetData sheetId="1007">
        <row r="307">
          <cell r="C307">
            <v>0</v>
          </cell>
        </row>
      </sheetData>
      <sheetData sheetId="1008">
        <row r="307">
          <cell r="C307">
            <v>0</v>
          </cell>
        </row>
      </sheetData>
      <sheetData sheetId="1009">
        <row r="307">
          <cell r="C307">
            <v>0</v>
          </cell>
        </row>
      </sheetData>
      <sheetData sheetId="1010">
        <row r="307">
          <cell r="C307">
            <v>0</v>
          </cell>
        </row>
      </sheetData>
      <sheetData sheetId="1011">
        <row r="307">
          <cell r="C307">
            <v>0</v>
          </cell>
        </row>
      </sheetData>
      <sheetData sheetId="1012">
        <row r="307">
          <cell r="C307">
            <v>0</v>
          </cell>
        </row>
      </sheetData>
      <sheetData sheetId="1013">
        <row r="307">
          <cell r="C307">
            <v>0</v>
          </cell>
        </row>
      </sheetData>
      <sheetData sheetId="1014">
        <row r="307">
          <cell r="C307">
            <v>0</v>
          </cell>
        </row>
      </sheetData>
      <sheetData sheetId="1015">
        <row r="307">
          <cell r="C307">
            <v>0</v>
          </cell>
        </row>
      </sheetData>
      <sheetData sheetId="1016">
        <row r="307">
          <cell r="C307">
            <v>0</v>
          </cell>
        </row>
      </sheetData>
      <sheetData sheetId="1017">
        <row r="307">
          <cell r="C307">
            <v>0</v>
          </cell>
        </row>
      </sheetData>
      <sheetData sheetId="1018">
        <row r="307">
          <cell r="C307">
            <v>0</v>
          </cell>
        </row>
      </sheetData>
      <sheetData sheetId="1019">
        <row r="307">
          <cell r="C307">
            <v>0</v>
          </cell>
        </row>
      </sheetData>
      <sheetData sheetId="1020">
        <row r="307">
          <cell r="C307">
            <v>0</v>
          </cell>
        </row>
      </sheetData>
      <sheetData sheetId="1021">
        <row r="307">
          <cell r="C307">
            <v>0</v>
          </cell>
        </row>
      </sheetData>
      <sheetData sheetId="1022">
        <row r="307">
          <cell r="C307">
            <v>0</v>
          </cell>
        </row>
      </sheetData>
      <sheetData sheetId="1023">
        <row r="307">
          <cell r="C307">
            <v>0</v>
          </cell>
        </row>
      </sheetData>
      <sheetData sheetId="1024">
        <row r="307">
          <cell r="C307">
            <v>0</v>
          </cell>
        </row>
      </sheetData>
      <sheetData sheetId="1025">
        <row r="307">
          <cell r="C307">
            <v>0</v>
          </cell>
        </row>
      </sheetData>
      <sheetData sheetId="1026">
        <row r="307">
          <cell r="C307">
            <v>0</v>
          </cell>
        </row>
      </sheetData>
      <sheetData sheetId="1027">
        <row r="307">
          <cell r="C307">
            <v>0</v>
          </cell>
        </row>
      </sheetData>
      <sheetData sheetId="1028">
        <row r="307">
          <cell r="C307">
            <v>0</v>
          </cell>
        </row>
      </sheetData>
      <sheetData sheetId="1029">
        <row r="307">
          <cell r="C307">
            <v>0</v>
          </cell>
        </row>
      </sheetData>
      <sheetData sheetId="1030">
        <row r="307">
          <cell r="C307">
            <v>0</v>
          </cell>
        </row>
      </sheetData>
      <sheetData sheetId="1031">
        <row r="307">
          <cell r="C307">
            <v>0</v>
          </cell>
        </row>
      </sheetData>
      <sheetData sheetId="1032">
        <row r="307">
          <cell r="C307">
            <v>0</v>
          </cell>
        </row>
      </sheetData>
      <sheetData sheetId="1033">
        <row r="307">
          <cell r="C307">
            <v>0</v>
          </cell>
        </row>
      </sheetData>
      <sheetData sheetId="1034">
        <row r="307">
          <cell r="C307">
            <v>0</v>
          </cell>
        </row>
      </sheetData>
      <sheetData sheetId="1035">
        <row r="307">
          <cell r="C307">
            <v>0</v>
          </cell>
        </row>
      </sheetData>
      <sheetData sheetId="1036">
        <row r="307">
          <cell r="C307">
            <v>0</v>
          </cell>
        </row>
      </sheetData>
      <sheetData sheetId="1037">
        <row r="307">
          <cell r="C307">
            <v>0</v>
          </cell>
        </row>
      </sheetData>
      <sheetData sheetId="1038">
        <row r="307">
          <cell r="C307">
            <v>0</v>
          </cell>
        </row>
      </sheetData>
      <sheetData sheetId="1039">
        <row r="307">
          <cell r="C307">
            <v>0</v>
          </cell>
        </row>
      </sheetData>
      <sheetData sheetId="1040">
        <row r="307">
          <cell r="C307">
            <v>0</v>
          </cell>
        </row>
      </sheetData>
      <sheetData sheetId="1041">
        <row r="307">
          <cell r="C307">
            <v>0</v>
          </cell>
        </row>
      </sheetData>
      <sheetData sheetId="1042">
        <row r="307">
          <cell r="C307">
            <v>0</v>
          </cell>
        </row>
      </sheetData>
      <sheetData sheetId="1043">
        <row r="307">
          <cell r="C307">
            <v>0</v>
          </cell>
        </row>
      </sheetData>
      <sheetData sheetId="1044">
        <row r="307">
          <cell r="C307">
            <v>0</v>
          </cell>
        </row>
      </sheetData>
      <sheetData sheetId="1045">
        <row r="307">
          <cell r="C307">
            <v>0</v>
          </cell>
        </row>
      </sheetData>
      <sheetData sheetId="1046">
        <row r="307">
          <cell r="C307">
            <v>0</v>
          </cell>
        </row>
      </sheetData>
      <sheetData sheetId="1047">
        <row r="307">
          <cell r="C307">
            <v>0</v>
          </cell>
        </row>
      </sheetData>
      <sheetData sheetId="1048">
        <row r="307">
          <cell r="C307">
            <v>0</v>
          </cell>
        </row>
      </sheetData>
      <sheetData sheetId="1049">
        <row r="307">
          <cell r="C307">
            <v>0</v>
          </cell>
        </row>
      </sheetData>
      <sheetData sheetId="1050">
        <row r="307">
          <cell r="C307">
            <v>0</v>
          </cell>
        </row>
      </sheetData>
      <sheetData sheetId="1051">
        <row r="307">
          <cell r="C307">
            <v>0</v>
          </cell>
        </row>
      </sheetData>
      <sheetData sheetId="1052">
        <row r="307">
          <cell r="C307">
            <v>0</v>
          </cell>
        </row>
      </sheetData>
      <sheetData sheetId="1053">
        <row r="307">
          <cell r="C307">
            <v>0</v>
          </cell>
        </row>
      </sheetData>
      <sheetData sheetId="1054">
        <row r="307">
          <cell r="C307">
            <v>0</v>
          </cell>
        </row>
      </sheetData>
      <sheetData sheetId="1055">
        <row r="307">
          <cell r="C307">
            <v>0</v>
          </cell>
        </row>
      </sheetData>
      <sheetData sheetId="1056">
        <row r="307">
          <cell r="C307">
            <v>0</v>
          </cell>
        </row>
      </sheetData>
      <sheetData sheetId="1057">
        <row r="307">
          <cell r="C307">
            <v>0</v>
          </cell>
        </row>
      </sheetData>
      <sheetData sheetId="1058">
        <row r="307">
          <cell r="C307">
            <v>0</v>
          </cell>
        </row>
      </sheetData>
      <sheetData sheetId="1059">
        <row r="307">
          <cell r="C307">
            <v>0</v>
          </cell>
        </row>
      </sheetData>
      <sheetData sheetId="1060">
        <row r="307">
          <cell r="C307">
            <v>0</v>
          </cell>
        </row>
      </sheetData>
      <sheetData sheetId="1061">
        <row r="307">
          <cell r="C307">
            <v>0</v>
          </cell>
        </row>
      </sheetData>
      <sheetData sheetId="1062">
        <row r="307">
          <cell r="C307">
            <v>0</v>
          </cell>
        </row>
      </sheetData>
      <sheetData sheetId="1063">
        <row r="307">
          <cell r="C307">
            <v>0</v>
          </cell>
        </row>
      </sheetData>
      <sheetData sheetId="1064">
        <row r="307">
          <cell r="C307">
            <v>0</v>
          </cell>
        </row>
      </sheetData>
      <sheetData sheetId="1065">
        <row r="307">
          <cell r="C307">
            <v>0</v>
          </cell>
        </row>
      </sheetData>
      <sheetData sheetId="1066">
        <row r="307">
          <cell r="C307">
            <v>0</v>
          </cell>
        </row>
      </sheetData>
      <sheetData sheetId="1067">
        <row r="307">
          <cell r="C307">
            <v>0</v>
          </cell>
        </row>
      </sheetData>
      <sheetData sheetId="1068">
        <row r="307">
          <cell r="C307">
            <v>0</v>
          </cell>
        </row>
      </sheetData>
      <sheetData sheetId="1069">
        <row r="307">
          <cell r="C307">
            <v>0</v>
          </cell>
        </row>
      </sheetData>
      <sheetData sheetId="1070">
        <row r="307">
          <cell r="C307">
            <v>0</v>
          </cell>
        </row>
      </sheetData>
      <sheetData sheetId="1071">
        <row r="307">
          <cell r="C307">
            <v>0</v>
          </cell>
        </row>
      </sheetData>
      <sheetData sheetId="1072" refreshError="1"/>
      <sheetData sheetId="1073">
        <row r="307">
          <cell r="C307">
            <v>0</v>
          </cell>
        </row>
      </sheetData>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ow r="307">
          <cell r="C307">
            <v>0</v>
          </cell>
        </row>
      </sheetData>
      <sheetData sheetId="1121" refreshError="1"/>
      <sheetData sheetId="1122" refreshError="1"/>
      <sheetData sheetId="1123" refreshError="1"/>
      <sheetData sheetId="1124"/>
      <sheetData sheetId="1125" refreshError="1"/>
      <sheetData sheetId="1126" refreshError="1"/>
      <sheetData sheetId="1127" refreshError="1"/>
      <sheetData sheetId="1128"/>
      <sheetData sheetId="1129" refreshError="1"/>
      <sheetData sheetId="1130" refreshError="1"/>
      <sheetData sheetId="1131" refreshError="1"/>
      <sheetData sheetId="1132" refreshError="1"/>
      <sheetData sheetId="1133" refreshError="1"/>
      <sheetData sheetId="1134">
        <row r="307">
          <cell r="C307">
            <v>0</v>
          </cell>
        </row>
      </sheetData>
      <sheetData sheetId="1135" refreshError="1"/>
      <sheetData sheetId="1136" refreshError="1"/>
      <sheetData sheetId="1137" refreshError="1"/>
      <sheetData sheetId="1138" refreshError="1"/>
      <sheetData sheetId="1139">
        <row r="307">
          <cell r="C307">
            <v>0</v>
          </cell>
        </row>
      </sheetData>
      <sheetData sheetId="1140" refreshError="1"/>
      <sheetData sheetId="1141" refreshError="1"/>
      <sheetData sheetId="1142">
        <row r="307">
          <cell r="C307">
            <v>0</v>
          </cell>
        </row>
      </sheetData>
      <sheetData sheetId="1143" refreshError="1"/>
      <sheetData sheetId="1144" refreshError="1"/>
      <sheetData sheetId="1145" refreshError="1"/>
      <sheetData sheetId="1146" refreshError="1"/>
      <sheetData sheetId="1147" refreshError="1"/>
      <sheetData sheetId="1148" refreshError="1"/>
      <sheetData sheetId="1149" refreshError="1"/>
      <sheetData sheetId="1150">
        <row r="307">
          <cell r="C307">
            <v>0</v>
          </cell>
        </row>
      </sheetData>
      <sheetData sheetId="1151">
        <row r="307">
          <cell r="C307">
            <v>0</v>
          </cell>
        </row>
      </sheetData>
      <sheetData sheetId="1152" refreshError="1"/>
      <sheetData sheetId="1153"/>
      <sheetData sheetId="1154" refreshError="1"/>
      <sheetData sheetId="1155" refreshError="1"/>
      <sheetData sheetId="1156" refreshError="1"/>
      <sheetData sheetId="1157" refreshError="1"/>
      <sheetData sheetId="1158"/>
      <sheetData sheetId="1159"/>
      <sheetData sheetId="1160"/>
      <sheetData sheetId="1161"/>
      <sheetData sheetId="1162"/>
      <sheetData sheetId="1163">
        <row r="307">
          <cell r="C307">
            <v>0</v>
          </cell>
        </row>
      </sheetData>
      <sheetData sheetId="1164">
        <row r="307">
          <cell r="C307">
            <v>0</v>
          </cell>
        </row>
      </sheetData>
      <sheetData sheetId="1165">
        <row r="307">
          <cell r="C307">
            <v>0</v>
          </cell>
        </row>
      </sheetData>
      <sheetData sheetId="1166">
        <row r="307">
          <cell r="C307">
            <v>0</v>
          </cell>
        </row>
      </sheetData>
      <sheetData sheetId="1167">
        <row r="307">
          <cell r="C307">
            <v>0</v>
          </cell>
        </row>
      </sheetData>
      <sheetData sheetId="1168">
        <row r="307">
          <cell r="C307">
            <v>0</v>
          </cell>
        </row>
      </sheetData>
      <sheetData sheetId="1169">
        <row r="307">
          <cell r="C307">
            <v>0</v>
          </cell>
        </row>
      </sheetData>
      <sheetData sheetId="1170">
        <row r="307">
          <cell r="C307">
            <v>0</v>
          </cell>
        </row>
      </sheetData>
      <sheetData sheetId="1171">
        <row r="307">
          <cell r="C307">
            <v>0</v>
          </cell>
        </row>
      </sheetData>
      <sheetData sheetId="1172">
        <row r="307">
          <cell r="C307">
            <v>0</v>
          </cell>
        </row>
      </sheetData>
      <sheetData sheetId="1173">
        <row r="307">
          <cell r="C307">
            <v>0</v>
          </cell>
        </row>
      </sheetData>
      <sheetData sheetId="1174">
        <row r="307">
          <cell r="C307">
            <v>0</v>
          </cell>
        </row>
      </sheetData>
      <sheetData sheetId="1175">
        <row r="307">
          <cell r="C307">
            <v>0</v>
          </cell>
        </row>
      </sheetData>
      <sheetData sheetId="1176">
        <row r="307">
          <cell r="C307">
            <v>0</v>
          </cell>
        </row>
      </sheetData>
      <sheetData sheetId="1177">
        <row r="307">
          <cell r="C307">
            <v>0</v>
          </cell>
        </row>
      </sheetData>
      <sheetData sheetId="1178">
        <row r="307">
          <cell r="C307">
            <v>0</v>
          </cell>
        </row>
      </sheetData>
      <sheetData sheetId="1179">
        <row r="307">
          <cell r="C307">
            <v>0</v>
          </cell>
        </row>
      </sheetData>
      <sheetData sheetId="1180">
        <row r="307">
          <cell r="C307">
            <v>0</v>
          </cell>
        </row>
      </sheetData>
      <sheetData sheetId="1181">
        <row r="307">
          <cell r="C307">
            <v>0</v>
          </cell>
        </row>
      </sheetData>
      <sheetData sheetId="1182">
        <row r="307">
          <cell r="C307">
            <v>0</v>
          </cell>
        </row>
      </sheetData>
      <sheetData sheetId="1183">
        <row r="307">
          <cell r="C307">
            <v>0</v>
          </cell>
        </row>
      </sheetData>
      <sheetData sheetId="1184">
        <row r="307">
          <cell r="C307">
            <v>0</v>
          </cell>
        </row>
      </sheetData>
      <sheetData sheetId="1185">
        <row r="307">
          <cell r="C307">
            <v>0</v>
          </cell>
        </row>
      </sheetData>
      <sheetData sheetId="1186">
        <row r="307">
          <cell r="C307">
            <v>0</v>
          </cell>
        </row>
      </sheetData>
      <sheetData sheetId="1187">
        <row r="307">
          <cell r="C307">
            <v>0</v>
          </cell>
        </row>
      </sheetData>
      <sheetData sheetId="1188">
        <row r="307">
          <cell r="C307">
            <v>0</v>
          </cell>
        </row>
      </sheetData>
      <sheetData sheetId="1189">
        <row r="307">
          <cell r="C307">
            <v>0</v>
          </cell>
        </row>
      </sheetData>
      <sheetData sheetId="1190">
        <row r="307">
          <cell r="C307">
            <v>0</v>
          </cell>
        </row>
      </sheetData>
      <sheetData sheetId="1191">
        <row r="307">
          <cell r="C307">
            <v>0</v>
          </cell>
        </row>
      </sheetData>
      <sheetData sheetId="1192">
        <row r="307">
          <cell r="C307">
            <v>0</v>
          </cell>
        </row>
      </sheetData>
      <sheetData sheetId="1193">
        <row r="307">
          <cell r="C307">
            <v>0</v>
          </cell>
        </row>
      </sheetData>
      <sheetData sheetId="1194">
        <row r="307">
          <cell r="C307">
            <v>0</v>
          </cell>
        </row>
      </sheetData>
      <sheetData sheetId="1195">
        <row r="307">
          <cell r="C307">
            <v>0</v>
          </cell>
        </row>
      </sheetData>
      <sheetData sheetId="1196">
        <row r="307">
          <cell r="C307">
            <v>0</v>
          </cell>
        </row>
      </sheetData>
      <sheetData sheetId="1197">
        <row r="307">
          <cell r="C307">
            <v>0</v>
          </cell>
        </row>
      </sheetData>
      <sheetData sheetId="1198">
        <row r="307">
          <cell r="C307">
            <v>0</v>
          </cell>
        </row>
      </sheetData>
      <sheetData sheetId="1199">
        <row r="307">
          <cell r="C307">
            <v>0</v>
          </cell>
        </row>
      </sheetData>
      <sheetData sheetId="1200">
        <row r="307">
          <cell r="C307">
            <v>0</v>
          </cell>
        </row>
      </sheetData>
      <sheetData sheetId="1201">
        <row r="307">
          <cell r="C307">
            <v>0</v>
          </cell>
        </row>
      </sheetData>
      <sheetData sheetId="1202">
        <row r="307">
          <cell r="C307">
            <v>0</v>
          </cell>
        </row>
      </sheetData>
      <sheetData sheetId="1203">
        <row r="307">
          <cell r="C307">
            <v>0</v>
          </cell>
        </row>
      </sheetData>
      <sheetData sheetId="1204">
        <row r="307">
          <cell r="C307">
            <v>0</v>
          </cell>
        </row>
      </sheetData>
      <sheetData sheetId="1205">
        <row r="307">
          <cell r="C307">
            <v>0</v>
          </cell>
        </row>
      </sheetData>
      <sheetData sheetId="1206">
        <row r="307">
          <cell r="C307">
            <v>0</v>
          </cell>
        </row>
      </sheetData>
      <sheetData sheetId="1207">
        <row r="307">
          <cell r="C307">
            <v>0</v>
          </cell>
        </row>
      </sheetData>
      <sheetData sheetId="1208">
        <row r="307">
          <cell r="C307">
            <v>0</v>
          </cell>
        </row>
      </sheetData>
      <sheetData sheetId="1209">
        <row r="307">
          <cell r="C307">
            <v>0</v>
          </cell>
        </row>
      </sheetData>
      <sheetData sheetId="1210">
        <row r="307">
          <cell r="C307">
            <v>0</v>
          </cell>
        </row>
      </sheetData>
      <sheetData sheetId="1211">
        <row r="307">
          <cell r="C307">
            <v>0</v>
          </cell>
        </row>
      </sheetData>
      <sheetData sheetId="1212">
        <row r="307">
          <cell r="C307">
            <v>0</v>
          </cell>
        </row>
      </sheetData>
      <sheetData sheetId="1213">
        <row r="307">
          <cell r="C307">
            <v>0</v>
          </cell>
        </row>
      </sheetData>
      <sheetData sheetId="1214">
        <row r="307">
          <cell r="C307">
            <v>0</v>
          </cell>
        </row>
      </sheetData>
      <sheetData sheetId="1215">
        <row r="307">
          <cell r="C307">
            <v>0</v>
          </cell>
        </row>
      </sheetData>
      <sheetData sheetId="1216">
        <row r="307">
          <cell r="C307">
            <v>0</v>
          </cell>
        </row>
      </sheetData>
      <sheetData sheetId="1217">
        <row r="307">
          <cell r="C307">
            <v>0</v>
          </cell>
        </row>
      </sheetData>
      <sheetData sheetId="1218">
        <row r="307">
          <cell r="C307">
            <v>0</v>
          </cell>
        </row>
      </sheetData>
      <sheetData sheetId="1219">
        <row r="307">
          <cell r="C307">
            <v>0</v>
          </cell>
        </row>
      </sheetData>
      <sheetData sheetId="1220">
        <row r="307">
          <cell r="C307">
            <v>0</v>
          </cell>
        </row>
      </sheetData>
      <sheetData sheetId="1221">
        <row r="307">
          <cell r="C307">
            <v>0</v>
          </cell>
        </row>
      </sheetData>
      <sheetData sheetId="1222">
        <row r="307">
          <cell r="C307">
            <v>0</v>
          </cell>
        </row>
      </sheetData>
      <sheetData sheetId="1223">
        <row r="307">
          <cell r="C307">
            <v>0</v>
          </cell>
        </row>
      </sheetData>
      <sheetData sheetId="1224">
        <row r="307">
          <cell r="C307">
            <v>0</v>
          </cell>
        </row>
      </sheetData>
      <sheetData sheetId="1225">
        <row r="307">
          <cell r="C307">
            <v>0</v>
          </cell>
        </row>
      </sheetData>
      <sheetData sheetId="1226">
        <row r="307">
          <cell r="C307">
            <v>0</v>
          </cell>
        </row>
      </sheetData>
      <sheetData sheetId="1227">
        <row r="307">
          <cell r="C307">
            <v>0</v>
          </cell>
        </row>
      </sheetData>
      <sheetData sheetId="1228">
        <row r="307">
          <cell r="C307">
            <v>0</v>
          </cell>
        </row>
      </sheetData>
      <sheetData sheetId="1229">
        <row r="307">
          <cell r="C307">
            <v>0</v>
          </cell>
        </row>
      </sheetData>
      <sheetData sheetId="1230">
        <row r="307">
          <cell r="C307">
            <v>0</v>
          </cell>
        </row>
      </sheetData>
      <sheetData sheetId="1231">
        <row r="307">
          <cell r="C307">
            <v>0</v>
          </cell>
        </row>
      </sheetData>
      <sheetData sheetId="1232">
        <row r="307">
          <cell r="C307">
            <v>0</v>
          </cell>
        </row>
      </sheetData>
      <sheetData sheetId="1233">
        <row r="307">
          <cell r="C307">
            <v>0</v>
          </cell>
        </row>
      </sheetData>
      <sheetData sheetId="1234">
        <row r="307">
          <cell r="C307">
            <v>0</v>
          </cell>
        </row>
      </sheetData>
      <sheetData sheetId="1235">
        <row r="307">
          <cell r="C307">
            <v>0</v>
          </cell>
        </row>
      </sheetData>
      <sheetData sheetId="1236">
        <row r="307">
          <cell r="C307">
            <v>0</v>
          </cell>
        </row>
      </sheetData>
      <sheetData sheetId="1237">
        <row r="307">
          <cell r="C307">
            <v>0</v>
          </cell>
        </row>
      </sheetData>
      <sheetData sheetId="1238">
        <row r="307">
          <cell r="C307">
            <v>0</v>
          </cell>
        </row>
      </sheetData>
      <sheetData sheetId="1239">
        <row r="307">
          <cell r="C307">
            <v>0</v>
          </cell>
        </row>
      </sheetData>
      <sheetData sheetId="1240">
        <row r="307">
          <cell r="C307">
            <v>0</v>
          </cell>
        </row>
      </sheetData>
      <sheetData sheetId="1241">
        <row r="307">
          <cell r="C307">
            <v>0</v>
          </cell>
        </row>
      </sheetData>
      <sheetData sheetId="1242">
        <row r="307">
          <cell r="C307">
            <v>0</v>
          </cell>
        </row>
      </sheetData>
      <sheetData sheetId="1243">
        <row r="307">
          <cell r="C307">
            <v>0</v>
          </cell>
        </row>
      </sheetData>
      <sheetData sheetId="1244">
        <row r="307">
          <cell r="C307">
            <v>0</v>
          </cell>
        </row>
      </sheetData>
      <sheetData sheetId="1245">
        <row r="307">
          <cell r="C307">
            <v>0</v>
          </cell>
        </row>
      </sheetData>
      <sheetData sheetId="1246">
        <row r="307">
          <cell r="C307">
            <v>0</v>
          </cell>
        </row>
      </sheetData>
      <sheetData sheetId="1247">
        <row r="307">
          <cell r="C307">
            <v>0</v>
          </cell>
        </row>
      </sheetData>
      <sheetData sheetId="1248">
        <row r="307">
          <cell r="C307">
            <v>0</v>
          </cell>
        </row>
      </sheetData>
      <sheetData sheetId="1249">
        <row r="307">
          <cell r="C307">
            <v>0</v>
          </cell>
        </row>
      </sheetData>
      <sheetData sheetId="1250">
        <row r="307">
          <cell r="C307">
            <v>0</v>
          </cell>
        </row>
      </sheetData>
      <sheetData sheetId="1251"/>
      <sheetData sheetId="1252"/>
      <sheetData sheetId="1253">
        <row r="307">
          <cell r="C307">
            <v>0</v>
          </cell>
        </row>
      </sheetData>
      <sheetData sheetId="1254"/>
      <sheetData sheetId="1255"/>
      <sheetData sheetId="1256"/>
      <sheetData sheetId="1257">
        <row r="307">
          <cell r="C307">
            <v>0</v>
          </cell>
        </row>
      </sheetData>
      <sheetData sheetId="1258"/>
      <sheetData sheetId="1259"/>
      <sheetData sheetId="1260"/>
      <sheetData sheetId="1261"/>
      <sheetData sheetId="1262"/>
      <sheetData sheetId="1263"/>
      <sheetData sheetId="1264"/>
      <sheetData sheetId="1265"/>
      <sheetData sheetId="1266">
        <row r="307">
          <cell r="C307">
            <v>0</v>
          </cell>
        </row>
      </sheetData>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row r="307">
          <cell r="C307">
            <v>0</v>
          </cell>
        </row>
      </sheetData>
      <sheetData sheetId="1298">
        <row r="307">
          <cell r="C307">
            <v>0</v>
          </cell>
        </row>
      </sheetData>
      <sheetData sheetId="1299">
        <row r="307">
          <cell r="C307">
            <v>0</v>
          </cell>
        </row>
      </sheetData>
      <sheetData sheetId="1300">
        <row r="307">
          <cell r="C307">
            <v>0</v>
          </cell>
        </row>
      </sheetData>
      <sheetData sheetId="1301">
        <row r="307">
          <cell r="C307">
            <v>0</v>
          </cell>
        </row>
      </sheetData>
      <sheetData sheetId="1302">
        <row r="307">
          <cell r="C307">
            <v>0</v>
          </cell>
        </row>
      </sheetData>
      <sheetData sheetId="1303">
        <row r="307">
          <cell r="C307">
            <v>0</v>
          </cell>
        </row>
      </sheetData>
      <sheetData sheetId="1304">
        <row r="307">
          <cell r="C307">
            <v>0</v>
          </cell>
        </row>
      </sheetData>
      <sheetData sheetId="1305">
        <row r="307">
          <cell r="C307">
            <v>0</v>
          </cell>
        </row>
      </sheetData>
      <sheetData sheetId="1306">
        <row r="307">
          <cell r="C307">
            <v>0</v>
          </cell>
        </row>
      </sheetData>
      <sheetData sheetId="1307">
        <row r="307">
          <cell r="C307">
            <v>0</v>
          </cell>
        </row>
      </sheetData>
      <sheetData sheetId="1308">
        <row r="307">
          <cell r="C307">
            <v>0</v>
          </cell>
        </row>
      </sheetData>
      <sheetData sheetId="1309">
        <row r="307">
          <cell r="C307">
            <v>0</v>
          </cell>
        </row>
      </sheetData>
      <sheetData sheetId="1310">
        <row r="307">
          <cell r="C307">
            <v>0</v>
          </cell>
        </row>
      </sheetData>
      <sheetData sheetId="1311">
        <row r="307">
          <cell r="C307">
            <v>0</v>
          </cell>
        </row>
      </sheetData>
      <sheetData sheetId="1312">
        <row r="307">
          <cell r="C307">
            <v>0</v>
          </cell>
        </row>
      </sheetData>
      <sheetData sheetId="1313">
        <row r="307">
          <cell r="C307">
            <v>0</v>
          </cell>
        </row>
      </sheetData>
      <sheetData sheetId="1314">
        <row r="307">
          <cell r="C307">
            <v>0</v>
          </cell>
        </row>
      </sheetData>
      <sheetData sheetId="1315">
        <row r="307">
          <cell r="C307">
            <v>0</v>
          </cell>
        </row>
      </sheetData>
      <sheetData sheetId="1316">
        <row r="307">
          <cell r="C307">
            <v>0</v>
          </cell>
        </row>
      </sheetData>
      <sheetData sheetId="1317">
        <row r="307">
          <cell r="C307">
            <v>0</v>
          </cell>
        </row>
      </sheetData>
      <sheetData sheetId="1318">
        <row r="307">
          <cell r="C307">
            <v>0</v>
          </cell>
        </row>
      </sheetData>
      <sheetData sheetId="1319">
        <row r="307">
          <cell r="C307">
            <v>0</v>
          </cell>
        </row>
      </sheetData>
      <sheetData sheetId="1320">
        <row r="307">
          <cell r="C307">
            <v>0</v>
          </cell>
        </row>
      </sheetData>
      <sheetData sheetId="1321">
        <row r="307">
          <cell r="C307">
            <v>0</v>
          </cell>
        </row>
      </sheetData>
      <sheetData sheetId="1322">
        <row r="307">
          <cell r="C307">
            <v>0</v>
          </cell>
        </row>
      </sheetData>
      <sheetData sheetId="1323">
        <row r="307">
          <cell r="C307">
            <v>0</v>
          </cell>
        </row>
      </sheetData>
      <sheetData sheetId="1324">
        <row r="307">
          <cell r="C307">
            <v>0</v>
          </cell>
        </row>
      </sheetData>
      <sheetData sheetId="1325">
        <row r="307">
          <cell r="C307">
            <v>0</v>
          </cell>
        </row>
      </sheetData>
      <sheetData sheetId="1326">
        <row r="307">
          <cell r="C307">
            <v>0</v>
          </cell>
        </row>
      </sheetData>
      <sheetData sheetId="1327">
        <row r="307">
          <cell r="C307">
            <v>0</v>
          </cell>
        </row>
      </sheetData>
      <sheetData sheetId="1328">
        <row r="307">
          <cell r="C307">
            <v>0</v>
          </cell>
        </row>
      </sheetData>
      <sheetData sheetId="1329">
        <row r="307">
          <cell r="C307">
            <v>0</v>
          </cell>
        </row>
      </sheetData>
      <sheetData sheetId="1330">
        <row r="307">
          <cell r="C307">
            <v>0</v>
          </cell>
        </row>
      </sheetData>
      <sheetData sheetId="1331">
        <row r="307">
          <cell r="C307">
            <v>0</v>
          </cell>
        </row>
      </sheetData>
      <sheetData sheetId="1332">
        <row r="307">
          <cell r="C307">
            <v>0</v>
          </cell>
        </row>
      </sheetData>
      <sheetData sheetId="1333">
        <row r="307">
          <cell r="C307">
            <v>0</v>
          </cell>
        </row>
      </sheetData>
      <sheetData sheetId="1334">
        <row r="307">
          <cell r="C307" t="str">
            <v>Lean Concrete  ( 0.10 cm.)</v>
          </cell>
        </row>
      </sheetData>
      <sheetData sheetId="1335">
        <row r="307">
          <cell r="C307">
            <v>0</v>
          </cell>
        </row>
      </sheetData>
      <sheetData sheetId="1336">
        <row r="307">
          <cell r="C307">
            <v>0</v>
          </cell>
        </row>
      </sheetData>
      <sheetData sheetId="1337">
        <row r="307">
          <cell r="C307">
            <v>0</v>
          </cell>
        </row>
      </sheetData>
      <sheetData sheetId="1338">
        <row r="307">
          <cell r="C307">
            <v>0</v>
          </cell>
        </row>
      </sheetData>
      <sheetData sheetId="1339">
        <row r="307">
          <cell r="C307">
            <v>0</v>
          </cell>
        </row>
      </sheetData>
      <sheetData sheetId="1340">
        <row r="307">
          <cell r="C307" t="str">
            <v>Lean Concrete  ( 0.10 cm.)</v>
          </cell>
        </row>
      </sheetData>
      <sheetData sheetId="1341">
        <row r="307">
          <cell r="C307">
            <v>0</v>
          </cell>
        </row>
      </sheetData>
      <sheetData sheetId="1342">
        <row r="307">
          <cell r="C307">
            <v>0</v>
          </cell>
        </row>
      </sheetData>
      <sheetData sheetId="1343">
        <row r="307">
          <cell r="C307" t="str">
            <v>Lean Concrete  ( 0.10 cm.)</v>
          </cell>
        </row>
      </sheetData>
      <sheetData sheetId="1344">
        <row r="307">
          <cell r="C307">
            <v>0</v>
          </cell>
        </row>
      </sheetData>
      <sheetData sheetId="1345">
        <row r="307">
          <cell r="C307" t="str">
            <v>Lean Concrete  ( 0.10 cm.)</v>
          </cell>
        </row>
      </sheetData>
      <sheetData sheetId="1346">
        <row r="307">
          <cell r="C307">
            <v>0</v>
          </cell>
        </row>
      </sheetData>
      <sheetData sheetId="1347">
        <row r="307">
          <cell r="C307" t="str">
            <v>Lean Concrete  ( 0.10 cm.)</v>
          </cell>
        </row>
      </sheetData>
      <sheetData sheetId="1348">
        <row r="307">
          <cell r="C307">
            <v>0</v>
          </cell>
        </row>
      </sheetData>
      <sheetData sheetId="1349">
        <row r="307">
          <cell r="C307">
            <v>0</v>
          </cell>
        </row>
      </sheetData>
      <sheetData sheetId="1350">
        <row r="307">
          <cell r="C307">
            <v>0</v>
          </cell>
        </row>
      </sheetData>
      <sheetData sheetId="1351">
        <row r="307">
          <cell r="C307" t="str">
            <v>Lean Concrete  ( 0.10 cm.)</v>
          </cell>
        </row>
      </sheetData>
      <sheetData sheetId="1352">
        <row r="307">
          <cell r="C307">
            <v>0</v>
          </cell>
        </row>
      </sheetData>
      <sheetData sheetId="1353">
        <row r="307">
          <cell r="C307">
            <v>0</v>
          </cell>
        </row>
      </sheetData>
      <sheetData sheetId="1354">
        <row r="307">
          <cell r="C307" t="str">
            <v>Lean Concrete  ( 0.10 cm.)</v>
          </cell>
        </row>
      </sheetData>
      <sheetData sheetId="1355">
        <row r="307">
          <cell r="C307" t="str">
            <v>Lean Concrete  ( 0.10 cm.)</v>
          </cell>
        </row>
      </sheetData>
      <sheetData sheetId="1356">
        <row r="307">
          <cell r="C307" t="str">
            <v>Lean Concrete  ( 0.10 cm.)</v>
          </cell>
        </row>
      </sheetData>
      <sheetData sheetId="1357">
        <row r="307">
          <cell r="C307">
            <v>0</v>
          </cell>
        </row>
      </sheetData>
      <sheetData sheetId="1358">
        <row r="307">
          <cell r="C307">
            <v>0</v>
          </cell>
        </row>
      </sheetData>
      <sheetData sheetId="1359">
        <row r="307">
          <cell r="C307">
            <v>0</v>
          </cell>
        </row>
      </sheetData>
      <sheetData sheetId="1360">
        <row r="307">
          <cell r="C307">
            <v>0</v>
          </cell>
        </row>
      </sheetData>
      <sheetData sheetId="1361">
        <row r="307">
          <cell r="C307">
            <v>0</v>
          </cell>
        </row>
      </sheetData>
      <sheetData sheetId="1362">
        <row r="307">
          <cell r="C307">
            <v>0</v>
          </cell>
        </row>
      </sheetData>
      <sheetData sheetId="1363">
        <row r="307">
          <cell r="C307">
            <v>0</v>
          </cell>
        </row>
      </sheetData>
      <sheetData sheetId="1364">
        <row r="307">
          <cell r="C307">
            <v>0</v>
          </cell>
        </row>
      </sheetData>
      <sheetData sheetId="1365">
        <row r="307">
          <cell r="C307">
            <v>0</v>
          </cell>
        </row>
      </sheetData>
      <sheetData sheetId="1366">
        <row r="307">
          <cell r="C307">
            <v>0</v>
          </cell>
        </row>
      </sheetData>
      <sheetData sheetId="1367">
        <row r="307">
          <cell r="C307">
            <v>0</v>
          </cell>
        </row>
      </sheetData>
      <sheetData sheetId="1368">
        <row r="307">
          <cell r="C307">
            <v>0</v>
          </cell>
        </row>
      </sheetData>
      <sheetData sheetId="1369">
        <row r="307">
          <cell r="C307">
            <v>0</v>
          </cell>
        </row>
      </sheetData>
      <sheetData sheetId="1370">
        <row r="307">
          <cell r="C307">
            <v>0</v>
          </cell>
        </row>
      </sheetData>
      <sheetData sheetId="1371">
        <row r="307">
          <cell r="C307">
            <v>0</v>
          </cell>
        </row>
      </sheetData>
      <sheetData sheetId="1372">
        <row r="307">
          <cell r="C307">
            <v>0</v>
          </cell>
        </row>
      </sheetData>
      <sheetData sheetId="1373">
        <row r="307">
          <cell r="C307">
            <v>0</v>
          </cell>
        </row>
      </sheetData>
      <sheetData sheetId="1374">
        <row r="307">
          <cell r="C307">
            <v>0</v>
          </cell>
        </row>
      </sheetData>
      <sheetData sheetId="1375">
        <row r="307">
          <cell r="C307">
            <v>0</v>
          </cell>
        </row>
      </sheetData>
      <sheetData sheetId="1376">
        <row r="307">
          <cell r="C307" t="str">
            <v>Lean Concrete  ( 0.10 cm.)</v>
          </cell>
        </row>
      </sheetData>
      <sheetData sheetId="1377">
        <row r="307">
          <cell r="C307" t="str">
            <v>Lean Concrete  ( 0.10 cm.)</v>
          </cell>
        </row>
      </sheetData>
      <sheetData sheetId="1378">
        <row r="307">
          <cell r="C307">
            <v>0</v>
          </cell>
        </row>
      </sheetData>
      <sheetData sheetId="1379">
        <row r="307">
          <cell r="C307">
            <v>0</v>
          </cell>
        </row>
      </sheetData>
      <sheetData sheetId="1380">
        <row r="307">
          <cell r="C307">
            <v>0</v>
          </cell>
        </row>
      </sheetData>
      <sheetData sheetId="1381">
        <row r="307">
          <cell r="C307">
            <v>0</v>
          </cell>
        </row>
      </sheetData>
      <sheetData sheetId="1382">
        <row r="307">
          <cell r="C307">
            <v>0</v>
          </cell>
        </row>
      </sheetData>
      <sheetData sheetId="1383">
        <row r="307">
          <cell r="C307" t="str">
            <v>Lean Concrete  ( 0.10 cm.)</v>
          </cell>
        </row>
      </sheetData>
      <sheetData sheetId="1384">
        <row r="307">
          <cell r="C307">
            <v>0</v>
          </cell>
        </row>
      </sheetData>
      <sheetData sheetId="1385">
        <row r="307">
          <cell r="C307">
            <v>0</v>
          </cell>
        </row>
      </sheetData>
      <sheetData sheetId="1386">
        <row r="307">
          <cell r="C307" t="str">
            <v>Lean Concrete  ( 0.10 cm.)</v>
          </cell>
        </row>
      </sheetData>
      <sheetData sheetId="1387">
        <row r="307">
          <cell r="C307">
            <v>0</v>
          </cell>
        </row>
      </sheetData>
      <sheetData sheetId="1388">
        <row r="307">
          <cell r="C307" t="str">
            <v>Lean Concrete  ( 0.10 cm.)</v>
          </cell>
        </row>
      </sheetData>
      <sheetData sheetId="1389">
        <row r="307">
          <cell r="C307">
            <v>0</v>
          </cell>
        </row>
      </sheetData>
      <sheetData sheetId="1390">
        <row r="307">
          <cell r="C307">
            <v>0</v>
          </cell>
        </row>
      </sheetData>
      <sheetData sheetId="1391">
        <row r="307">
          <cell r="C307">
            <v>0</v>
          </cell>
        </row>
      </sheetData>
      <sheetData sheetId="1392">
        <row r="307">
          <cell r="C307">
            <v>0</v>
          </cell>
        </row>
      </sheetData>
      <sheetData sheetId="1393">
        <row r="307">
          <cell r="C307">
            <v>0</v>
          </cell>
        </row>
      </sheetData>
      <sheetData sheetId="1394">
        <row r="307">
          <cell r="C307">
            <v>0</v>
          </cell>
        </row>
      </sheetData>
      <sheetData sheetId="1395">
        <row r="307">
          <cell r="C307">
            <v>0</v>
          </cell>
        </row>
      </sheetData>
      <sheetData sheetId="1396">
        <row r="307">
          <cell r="C307">
            <v>0</v>
          </cell>
        </row>
      </sheetData>
      <sheetData sheetId="1397">
        <row r="307">
          <cell r="C307">
            <v>0</v>
          </cell>
        </row>
      </sheetData>
      <sheetData sheetId="1398">
        <row r="307">
          <cell r="C307">
            <v>0</v>
          </cell>
        </row>
      </sheetData>
      <sheetData sheetId="1399">
        <row r="307">
          <cell r="C307">
            <v>0</v>
          </cell>
        </row>
      </sheetData>
      <sheetData sheetId="1400">
        <row r="307">
          <cell r="C307">
            <v>0</v>
          </cell>
        </row>
      </sheetData>
      <sheetData sheetId="1401">
        <row r="307">
          <cell r="C307">
            <v>0</v>
          </cell>
        </row>
      </sheetData>
      <sheetData sheetId="1402">
        <row r="307">
          <cell r="C307">
            <v>0</v>
          </cell>
        </row>
      </sheetData>
      <sheetData sheetId="1403">
        <row r="307">
          <cell r="C307">
            <v>0</v>
          </cell>
        </row>
      </sheetData>
      <sheetData sheetId="1404">
        <row r="307">
          <cell r="C307">
            <v>0</v>
          </cell>
        </row>
      </sheetData>
      <sheetData sheetId="1405">
        <row r="307">
          <cell r="C307">
            <v>0</v>
          </cell>
        </row>
      </sheetData>
      <sheetData sheetId="1406">
        <row r="307">
          <cell r="C307">
            <v>0</v>
          </cell>
        </row>
      </sheetData>
      <sheetData sheetId="1407">
        <row r="307">
          <cell r="C307">
            <v>0</v>
          </cell>
        </row>
      </sheetData>
      <sheetData sheetId="1408">
        <row r="307">
          <cell r="C307">
            <v>0</v>
          </cell>
        </row>
      </sheetData>
      <sheetData sheetId="1409">
        <row r="307">
          <cell r="C307">
            <v>0</v>
          </cell>
        </row>
      </sheetData>
      <sheetData sheetId="1410">
        <row r="307">
          <cell r="C307">
            <v>0</v>
          </cell>
        </row>
      </sheetData>
      <sheetData sheetId="1411">
        <row r="307">
          <cell r="C307">
            <v>0</v>
          </cell>
        </row>
      </sheetData>
      <sheetData sheetId="1412">
        <row r="307">
          <cell r="C307">
            <v>0</v>
          </cell>
        </row>
      </sheetData>
      <sheetData sheetId="1413">
        <row r="307">
          <cell r="C307">
            <v>0</v>
          </cell>
        </row>
      </sheetData>
      <sheetData sheetId="1414">
        <row r="307">
          <cell r="C307">
            <v>0</v>
          </cell>
        </row>
      </sheetData>
      <sheetData sheetId="1415">
        <row r="307">
          <cell r="C307">
            <v>0</v>
          </cell>
        </row>
      </sheetData>
      <sheetData sheetId="1416">
        <row r="307">
          <cell r="C307">
            <v>0</v>
          </cell>
        </row>
      </sheetData>
      <sheetData sheetId="1417">
        <row r="307">
          <cell r="C307">
            <v>0</v>
          </cell>
        </row>
      </sheetData>
      <sheetData sheetId="1418">
        <row r="307">
          <cell r="C307">
            <v>0</v>
          </cell>
        </row>
      </sheetData>
      <sheetData sheetId="1419">
        <row r="307">
          <cell r="C307">
            <v>0</v>
          </cell>
        </row>
      </sheetData>
      <sheetData sheetId="1420">
        <row r="307">
          <cell r="C307">
            <v>0</v>
          </cell>
        </row>
      </sheetData>
      <sheetData sheetId="1421">
        <row r="307">
          <cell r="C307">
            <v>0</v>
          </cell>
        </row>
      </sheetData>
      <sheetData sheetId="1422">
        <row r="307">
          <cell r="C307">
            <v>0</v>
          </cell>
        </row>
      </sheetData>
      <sheetData sheetId="1423">
        <row r="307">
          <cell r="C307">
            <v>0</v>
          </cell>
        </row>
      </sheetData>
      <sheetData sheetId="1424">
        <row r="307">
          <cell r="C307">
            <v>0</v>
          </cell>
        </row>
      </sheetData>
      <sheetData sheetId="1425">
        <row r="307">
          <cell r="C307">
            <v>0</v>
          </cell>
        </row>
      </sheetData>
      <sheetData sheetId="1426">
        <row r="307">
          <cell r="C307">
            <v>0</v>
          </cell>
        </row>
      </sheetData>
      <sheetData sheetId="1427">
        <row r="307">
          <cell r="C307">
            <v>0</v>
          </cell>
        </row>
      </sheetData>
      <sheetData sheetId="1428">
        <row r="307">
          <cell r="C307">
            <v>0</v>
          </cell>
        </row>
      </sheetData>
      <sheetData sheetId="1429">
        <row r="307">
          <cell r="C307">
            <v>0</v>
          </cell>
        </row>
      </sheetData>
      <sheetData sheetId="1430">
        <row r="307">
          <cell r="C307">
            <v>0</v>
          </cell>
        </row>
      </sheetData>
      <sheetData sheetId="1431">
        <row r="307">
          <cell r="C307">
            <v>0</v>
          </cell>
        </row>
      </sheetData>
      <sheetData sheetId="1432">
        <row r="307">
          <cell r="C307">
            <v>0</v>
          </cell>
        </row>
      </sheetData>
      <sheetData sheetId="1433">
        <row r="307">
          <cell r="C307">
            <v>0</v>
          </cell>
        </row>
      </sheetData>
      <sheetData sheetId="1434">
        <row r="307">
          <cell r="C307">
            <v>0</v>
          </cell>
        </row>
      </sheetData>
      <sheetData sheetId="1435">
        <row r="307">
          <cell r="C307">
            <v>0</v>
          </cell>
        </row>
      </sheetData>
      <sheetData sheetId="1436">
        <row r="307">
          <cell r="C307">
            <v>0</v>
          </cell>
        </row>
      </sheetData>
      <sheetData sheetId="1437">
        <row r="307">
          <cell r="C307">
            <v>0</v>
          </cell>
        </row>
      </sheetData>
      <sheetData sheetId="1438">
        <row r="307">
          <cell r="C307">
            <v>0</v>
          </cell>
        </row>
      </sheetData>
      <sheetData sheetId="1439">
        <row r="307">
          <cell r="C307" t="str">
            <v>Lean Concrete  ( 0.10 cm.)</v>
          </cell>
        </row>
      </sheetData>
      <sheetData sheetId="1440">
        <row r="307">
          <cell r="C307">
            <v>0</v>
          </cell>
        </row>
      </sheetData>
      <sheetData sheetId="1441">
        <row r="307">
          <cell r="C307">
            <v>0</v>
          </cell>
        </row>
      </sheetData>
      <sheetData sheetId="1442">
        <row r="307">
          <cell r="C307">
            <v>0</v>
          </cell>
        </row>
      </sheetData>
      <sheetData sheetId="1443">
        <row r="307">
          <cell r="C307">
            <v>0</v>
          </cell>
        </row>
      </sheetData>
      <sheetData sheetId="1444">
        <row r="307">
          <cell r="C307">
            <v>0</v>
          </cell>
        </row>
      </sheetData>
      <sheetData sheetId="1445">
        <row r="307">
          <cell r="C307">
            <v>0</v>
          </cell>
        </row>
      </sheetData>
      <sheetData sheetId="1446">
        <row r="307">
          <cell r="C307" t="str">
            <v>Lean Concrete  ( 0.10 cm.)</v>
          </cell>
        </row>
      </sheetData>
      <sheetData sheetId="1447">
        <row r="307">
          <cell r="C307">
            <v>0</v>
          </cell>
        </row>
      </sheetData>
      <sheetData sheetId="1448">
        <row r="307">
          <cell r="C307">
            <v>0</v>
          </cell>
        </row>
      </sheetData>
      <sheetData sheetId="1449">
        <row r="307">
          <cell r="C307" t="str">
            <v>Lean Concrete  ( 0.10 cm.)</v>
          </cell>
        </row>
      </sheetData>
      <sheetData sheetId="1450">
        <row r="307">
          <cell r="C307" t="str">
            <v>Lean Concrete  ( 0.10 cm.)</v>
          </cell>
        </row>
      </sheetData>
      <sheetData sheetId="1451">
        <row r="307">
          <cell r="C307" t="str">
            <v>Lean Concrete  ( 0.10 cm.)</v>
          </cell>
        </row>
      </sheetData>
      <sheetData sheetId="1452">
        <row r="307">
          <cell r="C307">
            <v>0</v>
          </cell>
        </row>
      </sheetData>
      <sheetData sheetId="1453">
        <row r="307">
          <cell r="C307">
            <v>0</v>
          </cell>
        </row>
      </sheetData>
      <sheetData sheetId="1454">
        <row r="307">
          <cell r="C307" t="str">
            <v>Lean Concrete  ( 0.10 cm.)</v>
          </cell>
        </row>
      </sheetData>
      <sheetData sheetId="1455">
        <row r="307">
          <cell r="C307">
            <v>0</v>
          </cell>
        </row>
      </sheetData>
      <sheetData sheetId="1456">
        <row r="307">
          <cell r="C307">
            <v>0</v>
          </cell>
        </row>
      </sheetData>
      <sheetData sheetId="1457">
        <row r="307">
          <cell r="C307" t="str">
            <v>Lean Concrete  ( 0.10 cm.)</v>
          </cell>
        </row>
      </sheetData>
      <sheetData sheetId="1458">
        <row r="307">
          <cell r="C307">
            <v>0</v>
          </cell>
        </row>
      </sheetData>
      <sheetData sheetId="1459">
        <row r="307">
          <cell r="C307" t="str">
            <v>Lean Concrete  ( 0.10 cm.)</v>
          </cell>
        </row>
      </sheetData>
      <sheetData sheetId="1460">
        <row r="307">
          <cell r="C307" t="str">
            <v>Lean Concrete  ( 0.10 cm.)</v>
          </cell>
        </row>
      </sheetData>
      <sheetData sheetId="1461">
        <row r="307">
          <cell r="C307">
            <v>0</v>
          </cell>
        </row>
      </sheetData>
      <sheetData sheetId="1462">
        <row r="307">
          <cell r="C307" t="str">
            <v>Lean Concrete  ( 0.10 cm.)</v>
          </cell>
        </row>
      </sheetData>
      <sheetData sheetId="1463">
        <row r="307">
          <cell r="C307">
            <v>0</v>
          </cell>
        </row>
      </sheetData>
      <sheetData sheetId="1464">
        <row r="307">
          <cell r="C307">
            <v>0</v>
          </cell>
        </row>
      </sheetData>
      <sheetData sheetId="1465">
        <row r="307">
          <cell r="C307">
            <v>0</v>
          </cell>
        </row>
      </sheetData>
      <sheetData sheetId="1466">
        <row r="307">
          <cell r="C307">
            <v>0</v>
          </cell>
        </row>
      </sheetData>
      <sheetData sheetId="1467">
        <row r="307">
          <cell r="C307">
            <v>0</v>
          </cell>
        </row>
      </sheetData>
      <sheetData sheetId="1468">
        <row r="307">
          <cell r="C307" t="str">
            <v>Lean Concrete  ( 0.10 cm.)</v>
          </cell>
        </row>
      </sheetData>
      <sheetData sheetId="1469">
        <row r="307">
          <cell r="C307">
            <v>0</v>
          </cell>
        </row>
      </sheetData>
      <sheetData sheetId="1470">
        <row r="307">
          <cell r="C307">
            <v>0</v>
          </cell>
        </row>
      </sheetData>
      <sheetData sheetId="1471">
        <row r="307">
          <cell r="C307">
            <v>0</v>
          </cell>
        </row>
      </sheetData>
      <sheetData sheetId="1472">
        <row r="307">
          <cell r="C307">
            <v>0</v>
          </cell>
        </row>
      </sheetData>
      <sheetData sheetId="1473">
        <row r="307">
          <cell r="C307">
            <v>0</v>
          </cell>
        </row>
      </sheetData>
      <sheetData sheetId="1474">
        <row r="307">
          <cell r="C307">
            <v>0</v>
          </cell>
        </row>
      </sheetData>
      <sheetData sheetId="1475">
        <row r="307">
          <cell r="C307">
            <v>0</v>
          </cell>
        </row>
      </sheetData>
      <sheetData sheetId="1476">
        <row r="307">
          <cell r="C307">
            <v>0</v>
          </cell>
        </row>
      </sheetData>
      <sheetData sheetId="1477">
        <row r="307">
          <cell r="C307">
            <v>0</v>
          </cell>
        </row>
      </sheetData>
      <sheetData sheetId="1478">
        <row r="307">
          <cell r="C307">
            <v>0</v>
          </cell>
        </row>
      </sheetData>
      <sheetData sheetId="1479">
        <row r="307">
          <cell r="C307" t="str">
            <v>Lean Concrete  ( 0.10 cm.)</v>
          </cell>
        </row>
      </sheetData>
      <sheetData sheetId="1480">
        <row r="307">
          <cell r="C307">
            <v>0</v>
          </cell>
        </row>
      </sheetData>
      <sheetData sheetId="1481">
        <row r="307">
          <cell r="C307" t="str">
            <v>Lean Concrete  ( 0.10 cm.)</v>
          </cell>
        </row>
      </sheetData>
      <sheetData sheetId="1482">
        <row r="307">
          <cell r="C307">
            <v>0</v>
          </cell>
        </row>
      </sheetData>
      <sheetData sheetId="1483">
        <row r="307">
          <cell r="C307">
            <v>0</v>
          </cell>
        </row>
      </sheetData>
      <sheetData sheetId="1484">
        <row r="307">
          <cell r="C307">
            <v>0</v>
          </cell>
        </row>
      </sheetData>
      <sheetData sheetId="1485">
        <row r="307">
          <cell r="C307">
            <v>0</v>
          </cell>
        </row>
      </sheetData>
      <sheetData sheetId="1486">
        <row r="307">
          <cell r="C307">
            <v>0</v>
          </cell>
        </row>
      </sheetData>
      <sheetData sheetId="1487">
        <row r="307">
          <cell r="C307">
            <v>0</v>
          </cell>
        </row>
      </sheetData>
      <sheetData sheetId="1488">
        <row r="307">
          <cell r="C307">
            <v>0</v>
          </cell>
        </row>
      </sheetData>
      <sheetData sheetId="1489">
        <row r="307">
          <cell r="C307">
            <v>0</v>
          </cell>
        </row>
      </sheetData>
      <sheetData sheetId="1490">
        <row r="307">
          <cell r="C307" t="str">
            <v>Lean Concrete  ( 0.10 cm.)</v>
          </cell>
        </row>
      </sheetData>
      <sheetData sheetId="1491">
        <row r="307">
          <cell r="C307">
            <v>0</v>
          </cell>
        </row>
      </sheetData>
      <sheetData sheetId="1492">
        <row r="307">
          <cell r="C307" t="str">
            <v>Lean Concrete  ( 0.10 cm.)</v>
          </cell>
        </row>
      </sheetData>
      <sheetData sheetId="1493">
        <row r="307">
          <cell r="C307">
            <v>0</v>
          </cell>
        </row>
      </sheetData>
      <sheetData sheetId="1494">
        <row r="307">
          <cell r="C307">
            <v>0</v>
          </cell>
        </row>
      </sheetData>
      <sheetData sheetId="1495">
        <row r="307">
          <cell r="C307">
            <v>0</v>
          </cell>
        </row>
      </sheetData>
      <sheetData sheetId="1496">
        <row r="307">
          <cell r="C307">
            <v>0</v>
          </cell>
        </row>
      </sheetData>
      <sheetData sheetId="1497">
        <row r="307">
          <cell r="C307">
            <v>0</v>
          </cell>
        </row>
      </sheetData>
      <sheetData sheetId="1498">
        <row r="307">
          <cell r="C307" t="str">
            <v>Lean Concrete  ( 0.10 cm.)</v>
          </cell>
        </row>
      </sheetData>
      <sheetData sheetId="1499">
        <row r="307">
          <cell r="C307" t="str">
            <v>Lean Concrete  ( 0.10 cm.)</v>
          </cell>
        </row>
      </sheetData>
      <sheetData sheetId="1500">
        <row r="307">
          <cell r="C307" t="str">
            <v>Lean Concrete  ( 0.10 cm.)</v>
          </cell>
        </row>
      </sheetData>
      <sheetData sheetId="1501">
        <row r="307">
          <cell r="C307" t="str">
            <v>Lean Concrete  ( 0.10 cm.)</v>
          </cell>
        </row>
      </sheetData>
      <sheetData sheetId="1502">
        <row r="307">
          <cell r="C307" t="str">
            <v>Lean Concrete  ( 0.10 cm.)</v>
          </cell>
        </row>
      </sheetData>
      <sheetData sheetId="1503">
        <row r="307">
          <cell r="C307" t="str">
            <v>Lean Concrete  ( 0.10 cm.)</v>
          </cell>
        </row>
      </sheetData>
      <sheetData sheetId="1504">
        <row r="307">
          <cell r="C307">
            <v>0</v>
          </cell>
        </row>
      </sheetData>
      <sheetData sheetId="1505">
        <row r="307">
          <cell r="C307">
            <v>0</v>
          </cell>
        </row>
      </sheetData>
      <sheetData sheetId="1506">
        <row r="307">
          <cell r="C307">
            <v>0</v>
          </cell>
        </row>
      </sheetData>
      <sheetData sheetId="1507">
        <row r="307">
          <cell r="C307">
            <v>0</v>
          </cell>
        </row>
      </sheetData>
      <sheetData sheetId="1508">
        <row r="307">
          <cell r="C307">
            <v>0</v>
          </cell>
        </row>
      </sheetData>
      <sheetData sheetId="1509">
        <row r="307">
          <cell r="C307" t="str">
            <v>Lean Concrete  ( 0.10 cm.)</v>
          </cell>
        </row>
      </sheetData>
      <sheetData sheetId="1510">
        <row r="307">
          <cell r="C307" t="str">
            <v>Lean Concrete  ( 0.10 cm.)</v>
          </cell>
        </row>
      </sheetData>
      <sheetData sheetId="1511">
        <row r="307">
          <cell r="C307" t="str">
            <v>Lean Concrete  ( 0.10 cm.)</v>
          </cell>
        </row>
      </sheetData>
      <sheetData sheetId="1512">
        <row r="307">
          <cell r="C307" t="str">
            <v>Lean Concrete  ( 0.10 cm.)</v>
          </cell>
        </row>
      </sheetData>
      <sheetData sheetId="1513">
        <row r="307">
          <cell r="C307" t="str">
            <v>Lean Concrete  ( 0.10 cm.)</v>
          </cell>
        </row>
      </sheetData>
      <sheetData sheetId="1514">
        <row r="307">
          <cell r="C307">
            <v>0</v>
          </cell>
        </row>
      </sheetData>
      <sheetData sheetId="1515">
        <row r="307">
          <cell r="C307">
            <v>0</v>
          </cell>
        </row>
      </sheetData>
      <sheetData sheetId="1516">
        <row r="307">
          <cell r="C307">
            <v>0</v>
          </cell>
        </row>
      </sheetData>
      <sheetData sheetId="1517">
        <row r="307">
          <cell r="C307">
            <v>0</v>
          </cell>
        </row>
      </sheetData>
      <sheetData sheetId="1518">
        <row r="307">
          <cell r="C307">
            <v>0</v>
          </cell>
        </row>
      </sheetData>
      <sheetData sheetId="1519">
        <row r="307">
          <cell r="C307">
            <v>0</v>
          </cell>
        </row>
      </sheetData>
      <sheetData sheetId="1520">
        <row r="307">
          <cell r="C307">
            <v>0</v>
          </cell>
        </row>
      </sheetData>
      <sheetData sheetId="1521">
        <row r="307">
          <cell r="C307">
            <v>0</v>
          </cell>
        </row>
      </sheetData>
      <sheetData sheetId="1522">
        <row r="307">
          <cell r="C307">
            <v>0</v>
          </cell>
        </row>
      </sheetData>
      <sheetData sheetId="1523">
        <row r="307">
          <cell r="C307">
            <v>0</v>
          </cell>
        </row>
      </sheetData>
      <sheetData sheetId="1524">
        <row r="307">
          <cell r="C307">
            <v>0</v>
          </cell>
        </row>
      </sheetData>
      <sheetData sheetId="1525">
        <row r="307">
          <cell r="C307">
            <v>0</v>
          </cell>
        </row>
      </sheetData>
      <sheetData sheetId="1526">
        <row r="307">
          <cell r="C307">
            <v>0</v>
          </cell>
        </row>
      </sheetData>
      <sheetData sheetId="1527">
        <row r="307">
          <cell r="C307">
            <v>0</v>
          </cell>
        </row>
      </sheetData>
      <sheetData sheetId="1528">
        <row r="307">
          <cell r="C307">
            <v>0</v>
          </cell>
        </row>
      </sheetData>
      <sheetData sheetId="1529">
        <row r="307">
          <cell r="C307">
            <v>0</v>
          </cell>
        </row>
      </sheetData>
      <sheetData sheetId="1530">
        <row r="307">
          <cell r="C307">
            <v>0</v>
          </cell>
        </row>
      </sheetData>
      <sheetData sheetId="1531">
        <row r="307">
          <cell r="C307">
            <v>0</v>
          </cell>
        </row>
      </sheetData>
      <sheetData sheetId="1532">
        <row r="307">
          <cell r="C307">
            <v>0</v>
          </cell>
        </row>
      </sheetData>
      <sheetData sheetId="1533">
        <row r="307">
          <cell r="C307">
            <v>0</v>
          </cell>
        </row>
      </sheetData>
      <sheetData sheetId="1534">
        <row r="307">
          <cell r="C307">
            <v>0</v>
          </cell>
        </row>
      </sheetData>
      <sheetData sheetId="1535">
        <row r="307">
          <cell r="C307">
            <v>0</v>
          </cell>
        </row>
      </sheetData>
      <sheetData sheetId="1536">
        <row r="307">
          <cell r="C307">
            <v>0</v>
          </cell>
        </row>
      </sheetData>
      <sheetData sheetId="1537">
        <row r="307">
          <cell r="C307">
            <v>0</v>
          </cell>
        </row>
      </sheetData>
      <sheetData sheetId="1538">
        <row r="307">
          <cell r="C307">
            <v>0</v>
          </cell>
        </row>
      </sheetData>
      <sheetData sheetId="1539">
        <row r="307">
          <cell r="C307">
            <v>0</v>
          </cell>
        </row>
      </sheetData>
      <sheetData sheetId="1540">
        <row r="307">
          <cell r="C307">
            <v>0</v>
          </cell>
        </row>
      </sheetData>
      <sheetData sheetId="1541">
        <row r="307">
          <cell r="C307">
            <v>0</v>
          </cell>
        </row>
      </sheetData>
      <sheetData sheetId="1542">
        <row r="307">
          <cell r="C307">
            <v>0</v>
          </cell>
        </row>
      </sheetData>
      <sheetData sheetId="1543">
        <row r="307">
          <cell r="C307">
            <v>0</v>
          </cell>
        </row>
      </sheetData>
      <sheetData sheetId="1544">
        <row r="307">
          <cell r="C307" t="str">
            <v>Lean Concrete  ( 0.10 cm.)</v>
          </cell>
        </row>
      </sheetData>
      <sheetData sheetId="1545">
        <row r="307">
          <cell r="C307">
            <v>0</v>
          </cell>
        </row>
      </sheetData>
      <sheetData sheetId="1546">
        <row r="307">
          <cell r="C307">
            <v>0</v>
          </cell>
        </row>
      </sheetData>
      <sheetData sheetId="1547">
        <row r="307">
          <cell r="C307">
            <v>0</v>
          </cell>
        </row>
      </sheetData>
      <sheetData sheetId="1548">
        <row r="307">
          <cell r="C307">
            <v>0</v>
          </cell>
        </row>
      </sheetData>
      <sheetData sheetId="1549">
        <row r="307">
          <cell r="C307">
            <v>0</v>
          </cell>
        </row>
      </sheetData>
      <sheetData sheetId="1550">
        <row r="307">
          <cell r="C307">
            <v>0</v>
          </cell>
        </row>
      </sheetData>
      <sheetData sheetId="1551">
        <row r="307">
          <cell r="C307">
            <v>0</v>
          </cell>
        </row>
      </sheetData>
      <sheetData sheetId="1552">
        <row r="307">
          <cell r="C307">
            <v>0</v>
          </cell>
        </row>
      </sheetData>
      <sheetData sheetId="1553">
        <row r="307">
          <cell r="C307">
            <v>0</v>
          </cell>
        </row>
      </sheetData>
      <sheetData sheetId="1554">
        <row r="307">
          <cell r="C307">
            <v>0</v>
          </cell>
        </row>
      </sheetData>
      <sheetData sheetId="1555">
        <row r="307">
          <cell r="C307">
            <v>0</v>
          </cell>
        </row>
      </sheetData>
      <sheetData sheetId="1556">
        <row r="307">
          <cell r="C307">
            <v>0</v>
          </cell>
        </row>
      </sheetData>
      <sheetData sheetId="1557">
        <row r="307">
          <cell r="C307">
            <v>0</v>
          </cell>
        </row>
      </sheetData>
      <sheetData sheetId="1558">
        <row r="307">
          <cell r="C307">
            <v>0</v>
          </cell>
        </row>
      </sheetData>
      <sheetData sheetId="1559">
        <row r="307">
          <cell r="C307">
            <v>0</v>
          </cell>
        </row>
      </sheetData>
      <sheetData sheetId="1560">
        <row r="307">
          <cell r="C307">
            <v>0</v>
          </cell>
        </row>
      </sheetData>
      <sheetData sheetId="1561">
        <row r="307">
          <cell r="C307">
            <v>0</v>
          </cell>
        </row>
      </sheetData>
      <sheetData sheetId="1562">
        <row r="307">
          <cell r="C307">
            <v>0</v>
          </cell>
        </row>
      </sheetData>
      <sheetData sheetId="1563">
        <row r="307">
          <cell r="C307">
            <v>0</v>
          </cell>
        </row>
      </sheetData>
      <sheetData sheetId="1564">
        <row r="307">
          <cell r="C307">
            <v>0</v>
          </cell>
        </row>
      </sheetData>
      <sheetData sheetId="1565">
        <row r="307">
          <cell r="C307">
            <v>0</v>
          </cell>
        </row>
      </sheetData>
      <sheetData sheetId="1566">
        <row r="307">
          <cell r="C307">
            <v>0</v>
          </cell>
        </row>
      </sheetData>
      <sheetData sheetId="1567">
        <row r="307">
          <cell r="C307">
            <v>0</v>
          </cell>
        </row>
      </sheetData>
      <sheetData sheetId="1568">
        <row r="307">
          <cell r="C307">
            <v>0</v>
          </cell>
        </row>
      </sheetData>
      <sheetData sheetId="1569">
        <row r="307">
          <cell r="C307">
            <v>0</v>
          </cell>
        </row>
      </sheetData>
      <sheetData sheetId="1570">
        <row r="307">
          <cell r="C307">
            <v>0</v>
          </cell>
        </row>
      </sheetData>
      <sheetData sheetId="1571">
        <row r="307">
          <cell r="C307">
            <v>0</v>
          </cell>
        </row>
      </sheetData>
      <sheetData sheetId="1572">
        <row r="307">
          <cell r="C307">
            <v>0</v>
          </cell>
        </row>
      </sheetData>
      <sheetData sheetId="1573">
        <row r="307">
          <cell r="C307">
            <v>0</v>
          </cell>
        </row>
      </sheetData>
      <sheetData sheetId="1574">
        <row r="307">
          <cell r="C307">
            <v>0</v>
          </cell>
        </row>
      </sheetData>
      <sheetData sheetId="1575">
        <row r="307">
          <cell r="C307">
            <v>0</v>
          </cell>
        </row>
      </sheetData>
      <sheetData sheetId="1576">
        <row r="307">
          <cell r="C307">
            <v>0</v>
          </cell>
        </row>
      </sheetData>
      <sheetData sheetId="1577">
        <row r="307">
          <cell r="C307">
            <v>0</v>
          </cell>
        </row>
      </sheetData>
      <sheetData sheetId="1578">
        <row r="307">
          <cell r="C307">
            <v>0</v>
          </cell>
        </row>
      </sheetData>
      <sheetData sheetId="1579">
        <row r="307">
          <cell r="C307">
            <v>0</v>
          </cell>
        </row>
      </sheetData>
      <sheetData sheetId="1580">
        <row r="307">
          <cell r="C307">
            <v>0</v>
          </cell>
        </row>
      </sheetData>
      <sheetData sheetId="1581">
        <row r="307">
          <cell r="C307">
            <v>0</v>
          </cell>
        </row>
      </sheetData>
      <sheetData sheetId="1582">
        <row r="307">
          <cell r="C307">
            <v>0</v>
          </cell>
        </row>
      </sheetData>
      <sheetData sheetId="1583">
        <row r="307">
          <cell r="C307">
            <v>0</v>
          </cell>
        </row>
      </sheetData>
      <sheetData sheetId="1584">
        <row r="307">
          <cell r="C307">
            <v>0</v>
          </cell>
        </row>
      </sheetData>
      <sheetData sheetId="1585">
        <row r="307">
          <cell r="C307">
            <v>0</v>
          </cell>
        </row>
      </sheetData>
      <sheetData sheetId="1586">
        <row r="307">
          <cell r="C307">
            <v>0</v>
          </cell>
        </row>
      </sheetData>
      <sheetData sheetId="1587">
        <row r="307">
          <cell r="C307">
            <v>0</v>
          </cell>
        </row>
      </sheetData>
      <sheetData sheetId="1588">
        <row r="307">
          <cell r="C307">
            <v>0</v>
          </cell>
        </row>
      </sheetData>
      <sheetData sheetId="1589">
        <row r="307">
          <cell r="C307">
            <v>0</v>
          </cell>
        </row>
      </sheetData>
      <sheetData sheetId="1590">
        <row r="307">
          <cell r="C307">
            <v>0</v>
          </cell>
        </row>
      </sheetData>
      <sheetData sheetId="1591">
        <row r="307">
          <cell r="C307">
            <v>0</v>
          </cell>
        </row>
      </sheetData>
      <sheetData sheetId="1592">
        <row r="307">
          <cell r="C307">
            <v>0</v>
          </cell>
        </row>
      </sheetData>
      <sheetData sheetId="1593">
        <row r="307">
          <cell r="C307">
            <v>0</v>
          </cell>
        </row>
      </sheetData>
      <sheetData sheetId="1594">
        <row r="307">
          <cell r="C307">
            <v>0</v>
          </cell>
        </row>
      </sheetData>
      <sheetData sheetId="1595">
        <row r="307">
          <cell r="C307">
            <v>0</v>
          </cell>
        </row>
      </sheetData>
      <sheetData sheetId="1596">
        <row r="307">
          <cell r="C307">
            <v>0</v>
          </cell>
        </row>
      </sheetData>
      <sheetData sheetId="1597">
        <row r="307">
          <cell r="C307">
            <v>0</v>
          </cell>
        </row>
      </sheetData>
      <sheetData sheetId="1598">
        <row r="307">
          <cell r="C307">
            <v>0</v>
          </cell>
        </row>
      </sheetData>
      <sheetData sheetId="1599">
        <row r="307">
          <cell r="C307">
            <v>0</v>
          </cell>
        </row>
      </sheetData>
      <sheetData sheetId="1600">
        <row r="307">
          <cell r="C307">
            <v>0</v>
          </cell>
        </row>
      </sheetData>
      <sheetData sheetId="1601">
        <row r="307">
          <cell r="C307">
            <v>0</v>
          </cell>
        </row>
      </sheetData>
      <sheetData sheetId="1602">
        <row r="307">
          <cell r="C307">
            <v>0</v>
          </cell>
        </row>
      </sheetData>
      <sheetData sheetId="1603">
        <row r="307">
          <cell r="C307">
            <v>0</v>
          </cell>
        </row>
      </sheetData>
      <sheetData sheetId="1604">
        <row r="307">
          <cell r="C307">
            <v>0</v>
          </cell>
        </row>
      </sheetData>
      <sheetData sheetId="1605">
        <row r="307">
          <cell r="C307" t="str">
            <v>Lean Concrete  ( 0.10 cm.)</v>
          </cell>
        </row>
      </sheetData>
      <sheetData sheetId="1606">
        <row r="307">
          <cell r="C307">
            <v>0</v>
          </cell>
        </row>
      </sheetData>
      <sheetData sheetId="1607">
        <row r="307">
          <cell r="C307">
            <v>0</v>
          </cell>
        </row>
      </sheetData>
      <sheetData sheetId="1608">
        <row r="307">
          <cell r="C307">
            <v>0</v>
          </cell>
        </row>
      </sheetData>
      <sheetData sheetId="1609">
        <row r="307">
          <cell r="C307">
            <v>0</v>
          </cell>
        </row>
      </sheetData>
      <sheetData sheetId="1610">
        <row r="307">
          <cell r="C307">
            <v>0</v>
          </cell>
        </row>
      </sheetData>
      <sheetData sheetId="1611">
        <row r="307">
          <cell r="C307">
            <v>0</v>
          </cell>
        </row>
      </sheetData>
      <sheetData sheetId="1612">
        <row r="307">
          <cell r="C307">
            <v>0</v>
          </cell>
        </row>
      </sheetData>
      <sheetData sheetId="1613">
        <row r="307">
          <cell r="C307">
            <v>0</v>
          </cell>
        </row>
      </sheetData>
      <sheetData sheetId="1614">
        <row r="307">
          <cell r="C307">
            <v>0</v>
          </cell>
        </row>
      </sheetData>
      <sheetData sheetId="1615">
        <row r="307">
          <cell r="C307">
            <v>0</v>
          </cell>
        </row>
      </sheetData>
      <sheetData sheetId="1616">
        <row r="307">
          <cell r="C307" t="str">
            <v>Lean Concrete  ( 0.10 cm.)</v>
          </cell>
        </row>
      </sheetData>
      <sheetData sheetId="1617">
        <row r="307">
          <cell r="C307" t="str">
            <v>Lean Concrete  ( 0.10 cm.)</v>
          </cell>
        </row>
      </sheetData>
      <sheetData sheetId="1618">
        <row r="307">
          <cell r="C307" t="str">
            <v>Lean Concrete  ( 0.10 cm.)</v>
          </cell>
        </row>
      </sheetData>
      <sheetData sheetId="1619">
        <row r="307">
          <cell r="C307">
            <v>0</v>
          </cell>
        </row>
      </sheetData>
      <sheetData sheetId="1620">
        <row r="307">
          <cell r="C307">
            <v>0</v>
          </cell>
        </row>
      </sheetData>
      <sheetData sheetId="1621">
        <row r="307">
          <cell r="C307">
            <v>0</v>
          </cell>
        </row>
      </sheetData>
      <sheetData sheetId="1622">
        <row r="307">
          <cell r="C307">
            <v>0</v>
          </cell>
        </row>
      </sheetData>
      <sheetData sheetId="1623">
        <row r="307">
          <cell r="C307">
            <v>0</v>
          </cell>
        </row>
      </sheetData>
      <sheetData sheetId="1624">
        <row r="307">
          <cell r="C307">
            <v>0</v>
          </cell>
        </row>
      </sheetData>
      <sheetData sheetId="1625">
        <row r="307">
          <cell r="C307" t="str">
            <v>Lean Concrete  ( 0.10 cm.)</v>
          </cell>
        </row>
      </sheetData>
      <sheetData sheetId="1626">
        <row r="307">
          <cell r="C307" t="str">
            <v>Lean Concrete  ( 0.10 cm.)</v>
          </cell>
        </row>
      </sheetData>
      <sheetData sheetId="1627">
        <row r="307">
          <cell r="C307">
            <v>0</v>
          </cell>
        </row>
      </sheetData>
      <sheetData sheetId="1628">
        <row r="307">
          <cell r="C307" t="str">
            <v>Lean Concrete  ( 0.10 cm.)</v>
          </cell>
        </row>
      </sheetData>
      <sheetData sheetId="1629">
        <row r="307">
          <cell r="C307" t="str">
            <v>Lean Concrete  ( 0.10 cm.)</v>
          </cell>
        </row>
      </sheetData>
      <sheetData sheetId="1630">
        <row r="307">
          <cell r="C307" t="str">
            <v>Lean Concrete  ( 0.10 cm.)</v>
          </cell>
        </row>
      </sheetData>
      <sheetData sheetId="1631">
        <row r="307">
          <cell r="C307">
            <v>0</v>
          </cell>
        </row>
      </sheetData>
      <sheetData sheetId="1632">
        <row r="307">
          <cell r="C307">
            <v>0</v>
          </cell>
        </row>
      </sheetData>
      <sheetData sheetId="1633">
        <row r="307">
          <cell r="C307">
            <v>0</v>
          </cell>
        </row>
      </sheetData>
      <sheetData sheetId="1634">
        <row r="307">
          <cell r="C307">
            <v>0</v>
          </cell>
        </row>
      </sheetData>
      <sheetData sheetId="1635">
        <row r="307">
          <cell r="C307">
            <v>0</v>
          </cell>
        </row>
      </sheetData>
      <sheetData sheetId="1636">
        <row r="307">
          <cell r="C307">
            <v>0</v>
          </cell>
        </row>
      </sheetData>
      <sheetData sheetId="1637">
        <row r="307">
          <cell r="C307" t="str">
            <v>Lean Concrete  ( 0.10 cm.)</v>
          </cell>
        </row>
      </sheetData>
      <sheetData sheetId="1638">
        <row r="307">
          <cell r="C307">
            <v>0</v>
          </cell>
        </row>
      </sheetData>
      <sheetData sheetId="1639">
        <row r="307">
          <cell r="C307">
            <v>0</v>
          </cell>
        </row>
      </sheetData>
      <sheetData sheetId="1640">
        <row r="307">
          <cell r="C307" t="str">
            <v>Lean Concrete  ( 0.10 cm.)</v>
          </cell>
        </row>
      </sheetData>
      <sheetData sheetId="1641">
        <row r="307">
          <cell r="C307" t="str">
            <v>Lean Concrete  ( 0.10 cm.)</v>
          </cell>
        </row>
      </sheetData>
      <sheetData sheetId="1642">
        <row r="307">
          <cell r="C307">
            <v>0</v>
          </cell>
        </row>
      </sheetData>
      <sheetData sheetId="1643">
        <row r="307">
          <cell r="C307">
            <v>0</v>
          </cell>
        </row>
      </sheetData>
      <sheetData sheetId="1644">
        <row r="307">
          <cell r="C307">
            <v>0</v>
          </cell>
        </row>
      </sheetData>
      <sheetData sheetId="1645">
        <row r="307">
          <cell r="C307">
            <v>0</v>
          </cell>
        </row>
      </sheetData>
      <sheetData sheetId="1646">
        <row r="307">
          <cell r="C307">
            <v>0</v>
          </cell>
        </row>
      </sheetData>
      <sheetData sheetId="1647">
        <row r="307">
          <cell r="C307">
            <v>0</v>
          </cell>
        </row>
      </sheetData>
      <sheetData sheetId="1648">
        <row r="307">
          <cell r="C307">
            <v>0</v>
          </cell>
        </row>
      </sheetData>
      <sheetData sheetId="1649">
        <row r="307">
          <cell r="C307">
            <v>0</v>
          </cell>
        </row>
      </sheetData>
      <sheetData sheetId="1650">
        <row r="307">
          <cell r="C307">
            <v>0</v>
          </cell>
        </row>
      </sheetData>
      <sheetData sheetId="1651">
        <row r="307">
          <cell r="C307" t="str">
            <v>Lean Concrete  ( 0.10 cm.)</v>
          </cell>
        </row>
      </sheetData>
      <sheetData sheetId="1652">
        <row r="307">
          <cell r="C307" t="str">
            <v>Lean Concrete  ( 0.10 cm.)</v>
          </cell>
        </row>
      </sheetData>
      <sheetData sheetId="1653">
        <row r="307">
          <cell r="C307">
            <v>0</v>
          </cell>
        </row>
      </sheetData>
      <sheetData sheetId="1654">
        <row r="307">
          <cell r="C307" t="str">
            <v>Lean Concrete  ( 0.10 cm.)</v>
          </cell>
        </row>
      </sheetData>
      <sheetData sheetId="1655">
        <row r="307">
          <cell r="C307">
            <v>0</v>
          </cell>
        </row>
      </sheetData>
      <sheetData sheetId="1656">
        <row r="307">
          <cell r="C307" t="str">
            <v>Lean Concrete  ( 0.10 cm.)</v>
          </cell>
        </row>
      </sheetData>
      <sheetData sheetId="1657">
        <row r="307">
          <cell r="C307">
            <v>0</v>
          </cell>
        </row>
      </sheetData>
      <sheetData sheetId="1658">
        <row r="307">
          <cell r="C307" t="str">
            <v>Lean Concrete  ( 0.10 cm.)</v>
          </cell>
        </row>
      </sheetData>
      <sheetData sheetId="1659">
        <row r="307">
          <cell r="C307" t="str">
            <v>Lean Concrete  ( 0.10 cm.)</v>
          </cell>
        </row>
      </sheetData>
      <sheetData sheetId="1660">
        <row r="307">
          <cell r="C307">
            <v>0</v>
          </cell>
        </row>
      </sheetData>
      <sheetData sheetId="1661">
        <row r="307">
          <cell r="C307" t="str">
            <v>Lean Concrete  ( 0.10 cm.)</v>
          </cell>
        </row>
      </sheetData>
      <sheetData sheetId="1662">
        <row r="307">
          <cell r="C307">
            <v>0</v>
          </cell>
        </row>
      </sheetData>
      <sheetData sheetId="1663">
        <row r="307">
          <cell r="C307">
            <v>0</v>
          </cell>
        </row>
      </sheetData>
      <sheetData sheetId="1664">
        <row r="307">
          <cell r="C307">
            <v>0</v>
          </cell>
        </row>
      </sheetData>
      <sheetData sheetId="1665">
        <row r="307">
          <cell r="C307" t="str">
            <v>Lean Concrete  ( 0.10 cm.)</v>
          </cell>
        </row>
      </sheetData>
      <sheetData sheetId="1666">
        <row r="307">
          <cell r="C307" t="str">
            <v>Lean Concrete  ( 0.10 cm.)</v>
          </cell>
        </row>
      </sheetData>
      <sheetData sheetId="1667">
        <row r="307">
          <cell r="C307" t="str">
            <v>Lean Concrete  ( 0.10 cm.)</v>
          </cell>
        </row>
      </sheetData>
      <sheetData sheetId="1668">
        <row r="307">
          <cell r="C307" t="str">
            <v>Lean Concrete  ( 0.10 cm.)</v>
          </cell>
        </row>
      </sheetData>
      <sheetData sheetId="1669">
        <row r="307">
          <cell r="C307" t="str">
            <v>Lean Concrete  ( 0.10 cm.)</v>
          </cell>
        </row>
      </sheetData>
      <sheetData sheetId="1670">
        <row r="307">
          <cell r="C307" t="str">
            <v>Lean Concrete  ( 0.10 cm.)</v>
          </cell>
        </row>
      </sheetData>
      <sheetData sheetId="1671">
        <row r="307">
          <cell r="C307" t="str">
            <v>Lean Concrete  ( 0.10 cm.)</v>
          </cell>
        </row>
      </sheetData>
      <sheetData sheetId="1672">
        <row r="307">
          <cell r="C307" t="str">
            <v>Lean Concrete  ( 0.10 cm.)</v>
          </cell>
        </row>
      </sheetData>
      <sheetData sheetId="1673">
        <row r="307">
          <cell r="C307">
            <v>0</v>
          </cell>
        </row>
      </sheetData>
      <sheetData sheetId="1674">
        <row r="307">
          <cell r="C307">
            <v>0</v>
          </cell>
        </row>
      </sheetData>
      <sheetData sheetId="1675">
        <row r="307">
          <cell r="C307">
            <v>0</v>
          </cell>
        </row>
      </sheetData>
      <sheetData sheetId="1676">
        <row r="307">
          <cell r="C307" t="str">
            <v>Lean Concrete  ( 0.10 cm.)</v>
          </cell>
        </row>
      </sheetData>
      <sheetData sheetId="1677">
        <row r="307">
          <cell r="C307" t="str">
            <v>Lean Concrete  ( 0.10 cm.)</v>
          </cell>
        </row>
      </sheetData>
      <sheetData sheetId="1678">
        <row r="307">
          <cell r="C307" t="str">
            <v>Lean Concrete  ( 0.10 cm.)</v>
          </cell>
        </row>
      </sheetData>
      <sheetData sheetId="1679">
        <row r="307">
          <cell r="C307" t="str">
            <v>Lean Concrete  ( 0.10 cm.)</v>
          </cell>
        </row>
      </sheetData>
      <sheetData sheetId="1680">
        <row r="307">
          <cell r="C307" t="str">
            <v>Lean Concrete  ( 0.10 cm.)</v>
          </cell>
        </row>
      </sheetData>
      <sheetData sheetId="1681">
        <row r="307">
          <cell r="C307" t="str">
            <v>Lean Concrete  ( 0.10 cm.)</v>
          </cell>
        </row>
      </sheetData>
      <sheetData sheetId="1682">
        <row r="307">
          <cell r="C307" t="str">
            <v>Lean Concrete  ( 0.10 cm.)</v>
          </cell>
        </row>
      </sheetData>
      <sheetData sheetId="1683">
        <row r="307">
          <cell r="C307" t="str">
            <v>Lean Concrete  ( 0.10 cm.)</v>
          </cell>
        </row>
      </sheetData>
      <sheetData sheetId="1684">
        <row r="307">
          <cell r="C307">
            <v>0</v>
          </cell>
        </row>
      </sheetData>
      <sheetData sheetId="1685">
        <row r="307">
          <cell r="C307">
            <v>0</v>
          </cell>
        </row>
      </sheetData>
      <sheetData sheetId="1686">
        <row r="307">
          <cell r="C307">
            <v>0</v>
          </cell>
        </row>
      </sheetData>
      <sheetData sheetId="1687">
        <row r="307">
          <cell r="C307" t="str">
            <v>Lean Concrete  ( 0.10 cm.)</v>
          </cell>
        </row>
      </sheetData>
      <sheetData sheetId="1688">
        <row r="307">
          <cell r="C307" t="str">
            <v>Lean Concrete  ( 0.10 cm.)</v>
          </cell>
        </row>
      </sheetData>
      <sheetData sheetId="1689">
        <row r="307">
          <cell r="C307" t="str">
            <v>Lean Concrete  ( 0.10 cm.)</v>
          </cell>
        </row>
      </sheetData>
      <sheetData sheetId="1690">
        <row r="307">
          <cell r="C307" t="str">
            <v>Lean Concrete  ( 0.10 cm.)</v>
          </cell>
        </row>
      </sheetData>
      <sheetData sheetId="1691">
        <row r="307">
          <cell r="C307" t="str">
            <v>Lean Concrete  ( 0.10 cm.)</v>
          </cell>
        </row>
      </sheetData>
      <sheetData sheetId="1692">
        <row r="307">
          <cell r="C307" t="str">
            <v>Lean Concrete  ( 0.10 cm.)</v>
          </cell>
        </row>
      </sheetData>
      <sheetData sheetId="1693">
        <row r="307">
          <cell r="C307" t="str">
            <v>Lean Concrete  ( 0.10 cm.)</v>
          </cell>
        </row>
      </sheetData>
      <sheetData sheetId="1694">
        <row r="307">
          <cell r="C307">
            <v>0</v>
          </cell>
        </row>
      </sheetData>
      <sheetData sheetId="1695">
        <row r="307">
          <cell r="C307">
            <v>0</v>
          </cell>
        </row>
      </sheetData>
      <sheetData sheetId="1696">
        <row r="307">
          <cell r="C307">
            <v>0</v>
          </cell>
        </row>
      </sheetData>
      <sheetData sheetId="1697">
        <row r="307">
          <cell r="C307">
            <v>0</v>
          </cell>
        </row>
      </sheetData>
      <sheetData sheetId="1698">
        <row r="307">
          <cell r="C307">
            <v>0</v>
          </cell>
        </row>
      </sheetData>
      <sheetData sheetId="1699">
        <row r="307">
          <cell r="C307">
            <v>0</v>
          </cell>
        </row>
      </sheetData>
      <sheetData sheetId="1700">
        <row r="307">
          <cell r="C307">
            <v>0</v>
          </cell>
        </row>
      </sheetData>
      <sheetData sheetId="1701">
        <row r="307">
          <cell r="C307">
            <v>0</v>
          </cell>
        </row>
      </sheetData>
      <sheetData sheetId="1702">
        <row r="307">
          <cell r="C307" t="str">
            <v>Lean Concrete  ( 0.10 cm.)</v>
          </cell>
        </row>
      </sheetData>
      <sheetData sheetId="1703">
        <row r="307">
          <cell r="C307">
            <v>0</v>
          </cell>
        </row>
      </sheetData>
      <sheetData sheetId="1704">
        <row r="307">
          <cell r="C307">
            <v>0</v>
          </cell>
        </row>
      </sheetData>
      <sheetData sheetId="1705">
        <row r="307">
          <cell r="C307">
            <v>0</v>
          </cell>
        </row>
      </sheetData>
      <sheetData sheetId="1706">
        <row r="307">
          <cell r="C307" t="str">
            <v>Lean Concrete  ( 0.10 cm.)</v>
          </cell>
        </row>
      </sheetData>
      <sheetData sheetId="1707">
        <row r="307">
          <cell r="C307">
            <v>0</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one way"/>
      <sheetName val="two way"/>
      <sheetName val="stair"/>
      <sheetName val="beam"/>
      <sheetName val="wall"/>
      <sheetName val="column"/>
      <sheetName val="footing"/>
    </sheetNames>
    <sheetDataSet>
      <sheetData sheetId="0" refreshError="1"/>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Architecture"/>
      <sheetName val="STRUCTURE"/>
      <sheetName val="laroux"/>
    </sheetNames>
    <sheetDataSet>
      <sheetData sheetId="0"/>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
      <sheetName val="Del-217"/>
      <sheetName val="ภาพประกอบการทำงาน"/>
      <sheetName val="SAN REDUCED 1"/>
      <sheetName val="SUM-AIR-Submit"/>
      <sheetName val="summary1-2"/>
      <sheetName val="summary1-3"/>
      <sheetName val="XXXXXX"/>
      <sheetName val="XXXXX0"/>
      <sheetName val="XXXXX1"/>
      <sheetName val="Sheet1"/>
      <sheetName val="Sum-Prelim"/>
      <sheetName val="Staff"/>
      <sheetName val="Prelim"/>
      <sheetName val="กำไร-ต้นทุน"/>
      <sheetName val="ราคารวม"/>
      <sheetName val="FACTOR (%)"/>
      <sheetName val="H-FRAME"/>
      <sheetName val="TOTAL BOQ-SN&amp;FP"/>
      <sheetName val="BOQ-SN&amp;FP"/>
      <sheetName val="TOTAL BOQ-AC"/>
      <sheetName val="BOQ-AC"/>
      <sheetName val="TOTAL BOQ-EE"/>
      <sheetName val="BOQ-EE"/>
      <sheetName val="Duct Bank"/>
      <sheetName val="ราคา LC - CU"/>
      <sheetName val="MDB&amp;DB"/>
      <sheetName val="HV -LV"/>
      <sheetName val="BUSDUCT"/>
      <sheetName val="DP to LC"/>
      <sheetName val="TELEPHONE"/>
      <sheetName val="MATV"/>
      <sheetName val="FIRE ALARM"/>
      <sheetName val="ACCESS"/>
      <sheetName val="CCTV"/>
      <sheetName val="LIGHTNING PROTECTION"/>
      <sheetName val="#REF"/>
      <sheetName val="Struc. "/>
      <sheetName val="Progress-All"/>
      <sheetName val="BK Unit Rate"/>
      <sheetName val="Equipment"/>
      <sheetName val="SH-D"/>
      <sheetName val="SH-G"/>
      <sheetName val="Main Sum (Hotel &amp; Residences)"/>
      <sheetName val="SAN_REDUCED_1"/>
      <sheetName val="FACTOR_(%)"/>
      <sheetName val="TOTAL_BOQ-SN&amp;FP"/>
      <sheetName val="TOTAL_BOQ-AC"/>
      <sheetName val="TOTAL_BOQ-EE"/>
      <sheetName val="Duct_Bank"/>
      <sheetName val="ราคา_LC_-_CU"/>
      <sheetName val="HV_-LV"/>
      <sheetName val="DP_to_LC"/>
      <sheetName val="FIRE_ALARM"/>
      <sheetName val="LIGHTNING_PROTECTION"/>
      <sheetName val="Struc__"/>
      <sheetName val="BK_Unit_Rate"/>
      <sheetName val="สรุป"/>
      <sheetName val="Factor F Data"/>
      <sheetName val="stair"/>
      <sheetName val="tifico"/>
      <sheetName val="Cost"/>
      <sheetName val="ประมาณการประตูหน้าต่าง "/>
      <sheetName val="A"/>
      <sheetName val="General Data"/>
      <sheetName val="???????-BLDG"/>
      <sheetName val="合成単価作成表-BLDG"/>
      <sheetName val="S3 Architectural"/>
      <sheetName val="_______-BLDG"/>
      <sheetName val="STRUCTURE"/>
      <sheetName val="escon"/>
      <sheetName val="11"/>
      <sheetName val="12"/>
      <sheetName val="14"/>
      <sheetName val="15"/>
      <sheetName val="16"/>
      <sheetName val="18"/>
      <sheetName val="19"/>
      <sheetName val="21"/>
      <sheetName val="26"/>
      <sheetName val="28"/>
      <sheetName val="13"/>
      <sheetName val="17"/>
      <sheetName val="22"/>
      <sheetName val="23"/>
      <sheetName val="24"/>
      <sheetName val="25"/>
      <sheetName val="29"/>
      <sheetName val="8"/>
      <sheetName val="5"/>
      <sheetName val="4"/>
      <sheetName val="9"/>
      <sheetName val="1"/>
      <sheetName val="7"/>
      <sheetName val="6"/>
      <sheetName val="10"/>
      <sheetName val="3"/>
      <sheetName val="2"/>
      <sheetName val="20"/>
      <sheetName val="EXP. SPI&amp;ICT"/>
      <sheetName val="summary_ee"/>
      <sheetName val="ee_unit type"/>
      <sheetName val="ee_build "/>
      <sheetName val="00Summary"/>
      <sheetName val="Condition"/>
      <sheetName val="B-Prelim"/>
      <sheetName val="EE-HOTEL"/>
      <sheetName val="SN&amp;FP-HOTEL"/>
      <sheetName val="MVAC-HOTEL"/>
      <sheetName val="EE-BOH"/>
      <sheetName val="SN&amp;FP-BOH"/>
      <sheetName val="MVAC-BOH"/>
      <sheetName val="Sch.3"/>
      <sheetName val="ปกนำส่ง"/>
      <sheetName val="letter"/>
      <sheetName val="งานฐานราก+เสาเข็ม"/>
      <sheetName val="Form"/>
      <sheetName val="Bullet"/>
      <sheetName val="SAN_REDUCED_11"/>
      <sheetName val="FACTOR_(%)1"/>
      <sheetName val="TOTAL_BOQ-SN&amp;FP1"/>
      <sheetName val="TOTAL_BOQ-AC1"/>
      <sheetName val="TOTAL_BOQ-EE1"/>
      <sheetName val="Duct_Bank1"/>
      <sheetName val="ราคา_LC_-_CU1"/>
      <sheetName val="HV_-LV1"/>
      <sheetName val="DP_to_LC1"/>
      <sheetName val="FIRE_ALARM1"/>
      <sheetName val="LIGHTNING_PROTECTION1"/>
      <sheetName val="Struc__1"/>
      <sheetName val="BK_Unit_Rate1"/>
      <sheetName val="Main_Sum_(Hotel_&amp;_Residences)"/>
      <sheetName val="Factor_F_Data"/>
      <sheetName val="ใบปะหน้า"/>
      <sheetName val="เซ็นสัญญา"/>
      <sheetName val="เบิกงวดที่.1"/>
      <sheetName val="เบิกงวดที่.1 (แก้ไข)"/>
      <sheetName val="ถอดแบบ (2)"/>
      <sheetName val="upa"/>
      <sheetName val="Unit rate Architecture"/>
      <sheetName val="SH-B"/>
      <sheetName val="SH-E"/>
      <sheetName val="SH-C"/>
      <sheetName val="S0"/>
      <sheetName val="SAN_REDUCED_12"/>
      <sheetName val="ประมาณการประตูหน้าต่าง_"/>
      <sheetName val="General_Data"/>
      <sheetName val="S3_Architectural"/>
      <sheetName val="10 ข้อมูลวัสดุ-ค่าดำเนิน"/>
      <sheetName val="FS"/>
      <sheetName val="GEN SA"/>
      <sheetName val="Sch_1"/>
      <sheetName val="Sch_2"/>
      <sheetName val="Sch_3"/>
      <sheetName val="Sch_4"/>
      <sheetName val="Detail"/>
      <sheetName val="Bill No. 2 - Carpark"/>
      <sheetName val="SH-A"/>
      <sheetName val="Book 1 Summary"/>
      <sheetName val="SAN_REDUCED_13"/>
      <sheetName val="FACTOR_(%)2"/>
      <sheetName val="TOTAL_BOQ-SN&amp;FP2"/>
      <sheetName val="TOTAL_BOQ-AC2"/>
      <sheetName val="TOTAL_BOQ-EE2"/>
      <sheetName val="Duct_Bank2"/>
      <sheetName val="ราคา_LC_-_CU2"/>
      <sheetName val="HV_-LV2"/>
      <sheetName val="DP_to_LC2"/>
      <sheetName val="FIRE_ALARM2"/>
      <sheetName val="LIGHTNING_PROTECTION2"/>
      <sheetName val="Struc__2"/>
      <sheetName val="BK_Unit_Rate2"/>
      <sheetName val="Main_Sum_(Hotel_&amp;_Residences)1"/>
      <sheetName val="Factor_F_Data1"/>
      <sheetName val="ประมาณการประตูหน้าต่าง_1"/>
      <sheetName val="General_Data1"/>
      <sheetName val="S3_Architectural1"/>
      <sheetName val="D"/>
      <sheetName val="u_rates"/>
      <sheetName val="Master01"/>
      <sheetName val="COLUMN"/>
      <sheetName val="FlatBottomClarifier (Not used)"/>
      <sheetName val="CA"/>
      <sheetName val="Cert1"/>
      <sheetName val="공통가설"/>
      <sheetName val="ชร.181-2562"/>
      <sheetName val="REP-L"/>
      <sheetName val="TYPE SD150"/>
      <sheetName val="List"/>
      <sheetName val="DO"/>
      <sheetName val="SUMMARY"/>
      <sheetName val="SAN_REDUCED_14"/>
      <sheetName val="FACTOR_(%)3"/>
      <sheetName val="TOTAL_BOQ-SN&amp;FP3"/>
      <sheetName val="TOTAL_BOQ-AC3"/>
      <sheetName val="TOTAL_BOQ-EE3"/>
      <sheetName val="Duct_Bank3"/>
      <sheetName val="ราคา_LC_-_CU3"/>
      <sheetName val="HV_-LV3"/>
      <sheetName val="DP_to_LC3"/>
      <sheetName val="FIRE_ALARM3"/>
      <sheetName val="LIGHTNING_PROTECTION3"/>
      <sheetName val="Struc__3"/>
      <sheetName val="BK_Unit_Rate3"/>
      <sheetName val="Main_Sum_(Hotel_&amp;_Residences)2"/>
      <sheetName val="Factor_F_Data2"/>
      <sheetName val="ประมาณการประตูหน้าต่าง_2"/>
      <sheetName val="General_Data2"/>
      <sheetName val="S3_Architectural2"/>
      <sheetName val="EXP__SPI&amp;ICT"/>
      <sheetName val="ee_unit_type"/>
      <sheetName val="ee_build_"/>
      <sheetName val="BM"/>
      <sheetName val="PCR-Building A"/>
      <sheetName val="PCR-Building B"/>
      <sheetName val="PCR-Building C"/>
      <sheetName val="PCR-Building D"/>
      <sheetName val="CODN9"/>
      <sheetName val="รวมราคาทั้งสิ้น"/>
      <sheetName val="footing"/>
      <sheetName val="opstat"/>
      <sheetName val="costs"/>
      <sheetName val="Eq. Mobilization"/>
      <sheetName val="P2m"/>
      <sheetName val="CER"/>
      <sheetName val="Gen"/>
      <sheetName val="L36"/>
      <sheetName val="L37"/>
      <sheetName val="PC RATE"/>
    </sheetNames>
    <sheetDataSet>
      <sheetData sheetId="0">
        <row r="6">
          <cell r="K6">
            <v>3</v>
          </cell>
        </row>
      </sheetData>
      <sheetData sheetId="1" refreshError="1"/>
      <sheetData sheetId="2" refreshError="1"/>
      <sheetData sheetId="3" refreshError="1"/>
      <sheetData sheetId="4" refreshError="1"/>
      <sheetData sheetId="5" refreshError="1"/>
      <sheetData sheetId="6" refreshError="1"/>
      <sheetData sheetId="7">
        <row r="6">
          <cell r="K6">
            <v>3</v>
          </cell>
        </row>
      </sheetData>
      <sheetData sheetId="8">
        <row r="6">
          <cell r="K6">
            <v>3</v>
          </cell>
        </row>
      </sheetData>
      <sheetData sheetId="9">
        <row r="6">
          <cell r="K6">
            <v>3</v>
          </cell>
        </row>
      </sheetData>
      <sheetData sheetId="10">
        <row r="6">
          <cell r="K6">
            <v>3</v>
          </cell>
        </row>
      </sheetData>
      <sheetData sheetId="11">
        <row r="6">
          <cell r="K6">
            <v>3</v>
          </cell>
        </row>
      </sheetData>
      <sheetData sheetId="12">
        <row r="6">
          <cell r="K6">
            <v>3</v>
          </cell>
        </row>
      </sheetData>
      <sheetData sheetId="13">
        <row r="6">
          <cell r="K6">
            <v>3</v>
          </cell>
        </row>
      </sheetData>
      <sheetData sheetId="14">
        <row r="6">
          <cell r="K6">
            <v>3</v>
          </cell>
        </row>
      </sheetData>
      <sheetData sheetId="15">
        <row r="6">
          <cell r="K6">
            <v>3</v>
          </cell>
        </row>
      </sheetData>
      <sheetData sheetId="16">
        <row r="6">
          <cell r="K6">
            <v>3</v>
          </cell>
        </row>
      </sheetData>
      <sheetData sheetId="17">
        <row r="6">
          <cell r="K6">
            <v>3</v>
          </cell>
        </row>
      </sheetData>
      <sheetData sheetId="18">
        <row r="6">
          <cell r="K6">
            <v>3</v>
          </cell>
        </row>
      </sheetData>
      <sheetData sheetId="19">
        <row r="6">
          <cell r="K6">
            <v>3</v>
          </cell>
        </row>
      </sheetData>
      <sheetData sheetId="20">
        <row r="6">
          <cell r="K6">
            <v>3</v>
          </cell>
        </row>
      </sheetData>
      <sheetData sheetId="21">
        <row r="6">
          <cell r="K6">
            <v>3</v>
          </cell>
        </row>
      </sheetData>
      <sheetData sheetId="22">
        <row r="6">
          <cell r="K6">
            <v>3</v>
          </cell>
        </row>
      </sheetData>
      <sheetData sheetId="23">
        <row r="6">
          <cell r="K6">
            <v>3</v>
          </cell>
        </row>
      </sheetData>
      <sheetData sheetId="24">
        <row r="6">
          <cell r="K6">
            <v>3</v>
          </cell>
        </row>
      </sheetData>
      <sheetData sheetId="25">
        <row r="6">
          <cell r="K6">
            <v>3</v>
          </cell>
        </row>
      </sheetData>
      <sheetData sheetId="26">
        <row r="6">
          <cell r="K6">
            <v>3</v>
          </cell>
        </row>
      </sheetData>
      <sheetData sheetId="27">
        <row r="6">
          <cell r="K6">
            <v>3</v>
          </cell>
        </row>
      </sheetData>
      <sheetData sheetId="28">
        <row r="6">
          <cell r="K6">
            <v>3</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ow r="6">
          <cell r="K6">
            <v>3</v>
          </cell>
        </row>
      </sheetData>
      <sheetData sheetId="45">
        <row r="6">
          <cell r="K6">
            <v>3</v>
          </cell>
        </row>
      </sheetData>
      <sheetData sheetId="46">
        <row r="6">
          <cell r="K6">
            <v>3</v>
          </cell>
        </row>
      </sheetData>
      <sheetData sheetId="47">
        <row r="6">
          <cell r="K6">
            <v>3</v>
          </cell>
        </row>
      </sheetData>
      <sheetData sheetId="48">
        <row r="6">
          <cell r="K6">
            <v>3</v>
          </cell>
        </row>
      </sheetData>
      <sheetData sheetId="49">
        <row r="6">
          <cell r="K6">
            <v>3</v>
          </cell>
        </row>
      </sheetData>
      <sheetData sheetId="50">
        <row r="6">
          <cell r="K6">
            <v>3</v>
          </cell>
        </row>
      </sheetData>
      <sheetData sheetId="51">
        <row r="6">
          <cell r="K6">
            <v>3</v>
          </cell>
        </row>
      </sheetData>
      <sheetData sheetId="52">
        <row r="6">
          <cell r="K6">
            <v>3</v>
          </cell>
        </row>
      </sheetData>
      <sheetData sheetId="53">
        <row r="6">
          <cell r="K6">
            <v>3</v>
          </cell>
        </row>
      </sheetData>
      <sheetData sheetId="54">
        <row r="6">
          <cell r="K6">
            <v>3</v>
          </cell>
        </row>
      </sheetData>
      <sheetData sheetId="55">
        <row r="6">
          <cell r="K6">
            <v>3</v>
          </cell>
        </row>
      </sheetData>
      <sheetData sheetId="56">
        <row r="6">
          <cell r="K6">
            <v>3</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6">
          <cell r="K6">
            <v>3</v>
          </cell>
        </row>
      </sheetData>
      <sheetData sheetId="101">
        <row r="6">
          <cell r="K6">
            <v>3</v>
          </cell>
        </row>
      </sheetData>
      <sheetData sheetId="102" refreshError="1"/>
      <sheetData sheetId="103">
        <row r="6">
          <cell r="K6">
            <v>3</v>
          </cell>
        </row>
      </sheetData>
      <sheetData sheetId="104">
        <row r="6">
          <cell r="K6">
            <v>3</v>
          </cell>
        </row>
      </sheetData>
      <sheetData sheetId="105">
        <row r="6">
          <cell r="K6">
            <v>3</v>
          </cell>
        </row>
      </sheetData>
      <sheetData sheetId="106">
        <row r="6">
          <cell r="K6">
            <v>3</v>
          </cell>
        </row>
      </sheetData>
      <sheetData sheetId="107">
        <row r="6">
          <cell r="K6">
            <v>3</v>
          </cell>
        </row>
      </sheetData>
      <sheetData sheetId="108">
        <row r="6">
          <cell r="K6">
            <v>3</v>
          </cell>
        </row>
      </sheetData>
      <sheetData sheetId="109">
        <row r="6">
          <cell r="K6">
            <v>3</v>
          </cell>
        </row>
      </sheetData>
      <sheetData sheetId="110">
        <row r="6">
          <cell r="K6">
            <v>3</v>
          </cell>
        </row>
      </sheetData>
      <sheetData sheetId="111">
        <row r="6">
          <cell r="K6">
            <v>3</v>
          </cell>
        </row>
      </sheetData>
      <sheetData sheetId="112" refreshError="1"/>
      <sheetData sheetId="113" refreshError="1"/>
      <sheetData sheetId="114">
        <row r="6">
          <cell r="K6">
            <v>3</v>
          </cell>
        </row>
      </sheetData>
      <sheetData sheetId="115">
        <row r="6">
          <cell r="K6">
            <v>3</v>
          </cell>
        </row>
      </sheetData>
      <sheetData sheetId="116">
        <row r="6">
          <cell r="K6">
            <v>3</v>
          </cell>
        </row>
      </sheetData>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refreshError="1"/>
      <sheetData sheetId="188" refreshError="1"/>
      <sheetData sheetId="189" refreshError="1"/>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
      <sheetName val="S0"/>
      <sheetName val="S1"/>
    </sheetNames>
    <sheetDataSet>
      <sheetData sheetId="0"/>
      <sheetData sheetId="1">
        <row r="2">
          <cell r="A2" t="str">
            <v>DLS(Thailand)Ltd.</v>
          </cell>
        </row>
        <row r="4">
          <cell r="A4" t="str">
            <v>PARK HYATT AT KOH SAMUI, THAILAND</v>
          </cell>
        </row>
        <row r="6">
          <cell r="A6" t="str">
            <v xml:space="preserve"> MOCK UP HOTEL VILLA</v>
          </cell>
        </row>
        <row r="8">
          <cell r="A8" t="str">
            <v>SCHEDULE   No.   0    :    NOTES  TO  TENDERERS</v>
          </cell>
        </row>
        <row r="10">
          <cell r="G10" t="str">
            <v>UNIT    RATE</v>
          </cell>
          <cell r="K10" t="str">
            <v/>
          </cell>
        </row>
        <row r="11">
          <cell r="A11" t="str">
            <v>Item</v>
          </cell>
          <cell r="C11" t="str">
            <v>Description  of   Work</v>
          </cell>
          <cell r="E11" t="str">
            <v>Unit</v>
          </cell>
          <cell r="F11" t="str">
            <v>QTY.</v>
          </cell>
          <cell r="K11" t="str">
            <v>AMOUNT</v>
          </cell>
        </row>
        <row r="12">
          <cell r="G12" t="str">
            <v>Labour</v>
          </cell>
          <cell r="H12" t="str">
            <v>Material</v>
          </cell>
          <cell r="I12" t="str">
            <v>Total</v>
          </cell>
          <cell r="K12" t="str">
            <v>(THBaht)</v>
          </cell>
        </row>
        <row r="14">
          <cell r="C14" t="str">
            <v>Notes:</v>
          </cell>
        </row>
        <row r="16">
          <cell r="A16" t="str">
            <v>1.</v>
          </cell>
          <cell r="C16" t="str">
            <v>The  tenderer  is  to  note  that  although the schedule of works  in  these  tender  documents are provided with quantities, the quantities are meant for  guidance only  and  do  not  form  part  of  the  Contract.</v>
          </cell>
        </row>
        <row r="19">
          <cell r="A19" t="str">
            <v>2.</v>
          </cell>
          <cell r="C19" t="str">
            <v>The  tenderer  is  strongly  advised  to  satisfy  himself  that  the  measured  quantities  in  the  Schedule  of  Works  are  consistent  with  the  works  to  be  carried  out  under  the  Contract.</v>
          </cell>
        </row>
        <row r="21">
          <cell r="C21" t="str">
            <v>Should the tenderer disagrees  with any of the items stated there in,  he is  at liberty to make the necessary  adjustment to the measured quantities. ( not the text )</v>
          </cell>
        </row>
        <row r="23">
          <cell r="A23" t="str">
            <v>3.</v>
          </cell>
          <cell r="C23" t="str">
            <v>The tenderer  shall  be  deemed  to  have  included  in  the  tender  sum  for  all  the  works  described  and  shown  in  the  specification  and  drawings  respectively.</v>
          </cell>
        </row>
        <row r="25">
          <cell r="C25" t="str">
            <v>The  Schedules  of  Works  also  provide   blank  spaces  for  the tenderer  to  insert  additional  works  items  which  the  tenderer  may  deem  necessary  to  complete  the  works.</v>
          </cell>
        </row>
        <row r="27">
          <cell r="C27" t="str">
            <v>The  Employer  shall  not  entertain  any  claim  in  respect  of  any  work  described  in  the  specifications  and  or  shown  in  the  drawings  but  not  included  in  the  Schedules  of  Works.</v>
          </cell>
        </row>
        <row r="29">
          <cell r="C29" t="str">
            <v>All the Provisional Quantity stated in the Schedule of Works will adjust  to actual site measurement and  The  Employer  have  the  right  to  omit  any  item  which  he  deem  not  required  on  site.</v>
          </cell>
        </row>
        <row r="32">
          <cell r="A32" t="str">
            <v>4.</v>
          </cell>
          <cell r="C32" t="str">
            <v>The tenderer  is strongly advise to arrange with  Project Manager  at Tel______________for site visit, view the material sample board and gauge the specification and scope of works involved  and satisfy  himself  with  the existing site conditions</v>
          </cell>
        </row>
        <row r="35">
          <cell r="A35" t="str">
            <v>5.</v>
          </cell>
          <cell r="C35" t="str">
            <v>The  Contractor  shall first submit material sample for all works  for the approval of and acceptance by the Project  Manager before proceeding to execute the works..</v>
          </cell>
        </row>
        <row r="38">
          <cell r="A38" t="str">
            <v>6.</v>
          </cell>
          <cell r="C38" t="str">
            <v>The  Employer  have  the  right  to  omit  any  item  which  he  deem  not  required  on  site.</v>
          </cell>
        </row>
        <row r="41">
          <cell r="A41" t="str">
            <v>7.</v>
          </cell>
          <cell r="C41" t="str">
            <v>The following  items are exclude in this tender package : -</v>
          </cell>
        </row>
        <row r="43">
          <cell r="C43" t="str">
            <v>A ) Supply of lighting fixtures</v>
          </cell>
        </row>
        <row r="45">
          <cell r="C45" t="str">
            <v xml:space="preserve">B) </v>
          </cell>
        </row>
        <row r="47">
          <cell r="C47" t="str">
            <v xml:space="preserve">C)  </v>
          </cell>
        </row>
        <row r="57">
          <cell r="A57">
            <v>8</v>
          </cell>
          <cell r="C57" t="str">
            <v>ADJUSTMENT  OF  PRIME  COST  SUPPLY  RATE  ITEMS</v>
          </cell>
        </row>
        <row r="59">
          <cell r="A59" t="str">
            <v>A.</v>
          </cell>
          <cell r="C59" t="str">
            <v>Where  items  of  materials  are  specified  by  way  of  a  prime  cost  supply  rate   (P.C. Supply  Rate),  these  shall  be  subject  to  price  adjustments  on  completion  in  the  manner  described  hereinafter.</v>
          </cell>
        </row>
        <row r="61">
          <cell r="A61" t="str">
            <v>B</v>
          </cell>
          <cell r="C61" t="str">
            <v>The  P.C. supply  rate  of  materials  (delivered  to  site)  finally  selected  shall be  the  nett  price  (after  deducting  all  trade  discounts)  quoted  by  the  Supplier  to  the  Contractor.</v>
          </cell>
        </row>
        <row r="63">
          <cell r="C63" t="str">
            <v xml:space="preserve">The  Contractor  shall  furnish  to the  Employer  all  invoices  accompanied  with  a  declaration  (or  declarations)  that  the  prices  stated  therein  are  in  the  nett  prices paid  to  the  Supplier(s)  after  deducting  all  trade  discounts.   </v>
          </cell>
        </row>
        <row r="67">
          <cell r="A67" t="str">
            <v>C.</v>
          </cell>
          <cell r="C67" t="str">
            <v xml:space="preserve">The  quantities  for  all  P.C. supply  rate  items  stated  in  the  Contractor's  Proposals  are  deemed  to  be  nett  (i.e.  As  fixed  or  laid  in  place)  and  in  the case  of  ceramic  tiles  and  stonework,  are  measured  over  all  joints  in </v>
          </cell>
        </row>
        <row r="69">
          <cell r="C69" t="str">
            <v>The  Contractor  shall  insert  in  the  spaces  provided  in  the  Schedule  of  Works  a  percentage  for  wastage  on  each  P.C.  Supply  rate  item.   Wastage  shall  include  additional  quantities  necessary  for  cutting,  loss,  method  of  measu</v>
          </cell>
        </row>
        <row r="72">
          <cell r="A72" t="str">
            <v>D.</v>
          </cell>
          <cell r="C72" t="str">
            <v>The  Contractor  shall  also  insert  in  the  spaces  provided  in  the  Schedule  of  Works,  a  percentage  for  profit  on  each  P.C. supply  rate  item.   Attendance  shall  include  financing  costs,  taking  delivery,  handling,  storing,  distrib</v>
          </cell>
        </row>
        <row r="74">
          <cell r="C74" t="str">
            <v>The  Percentage  inserted  (for  wastage  and profit)  and  agreed  to  by  the  Employer  shall  form  the  basis for  price  adjustments  on  completion  of  the  Works.</v>
          </cell>
        </row>
        <row r="88">
          <cell r="A88">
            <v>7</v>
          </cell>
          <cell r="C88" t="str">
            <v>ADJUSTMENT  OF  PRIME  COST  SUPPLY  RATE  ITEMS</v>
          </cell>
        </row>
        <row r="89">
          <cell r="C89" t="str">
            <v>(Cont'd)</v>
          </cell>
        </row>
        <row r="91">
          <cell r="A91" t="str">
            <v>E</v>
          </cell>
          <cell r="C91" t="str">
            <v>P.C. supply  rates  included  in  the  Contractor's  Proposals  shall be  adjusted  by  omitting  the  original  P.C.  Supply  rate  (for  each  item)  and  substituting  the  actual  invoice  supply  rate  plus  the  percentages  for  wastage  and  profi</v>
          </cell>
        </row>
        <row r="93">
          <cell r="C93" t="str">
            <v>Schedule  of  Rate   :</v>
          </cell>
        </row>
        <row r="94">
          <cell r="C94" t="str">
            <v>Supply  and  lay  200  x  200  x  10 mm  ceramic  tiles;  at  P.C. supply  rate  of  THBaht : 300.00 / m2  (butt  jointed);  laying  with  joints  3 mm  wide;  bedded  and  jointed  in  cement  mortar  (1:3)  on  prepared  screed  and  pointing  in  colou</v>
          </cell>
        </row>
        <row r="96">
          <cell r="C96" t="str">
            <v>Schedule  of  Rate   :  THBaht   :  500.00  per  m2</v>
          </cell>
        </row>
        <row r="98">
          <cell r="C98" t="str">
            <v>Wastage    :   8%</v>
          </cell>
        </row>
        <row r="100">
          <cell r="C100" t="str">
            <v>Profit        :   5%</v>
          </cell>
        </row>
        <row r="102">
          <cell r="C102" t="str">
            <v>Analysis  of  Schedule  of  Rate  :</v>
          </cell>
          <cell r="G102" t="str">
            <v>THBaht</v>
          </cell>
        </row>
        <row r="104">
          <cell r="C104" t="str">
            <v>Contract  Rate</v>
          </cell>
          <cell r="G104">
            <v>500</v>
          </cell>
        </row>
        <row r="106">
          <cell r="C106" t="str">
            <v>Less    :     Profit        5%         x   500</v>
          </cell>
          <cell r="G106">
            <v>-23.81</v>
          </cell>
        </row>
        <row r="107">
          <cell r="C107" t="str">
            <v xml:space="preserve">                              100  +  5</v>
          </cell>
        </row>
        <row r="108">
          <cell r="G108">
            <v>476.19</v>
          </cell>
        </row>
        <row r="110">
          <cell r="C110" t="str">
            <v xml:space="preserve">Less    :     P.C. Supply  Rate  </v>
          </cell>
          <cell r="F110">
            <v>-300</v>
          </cell>
        </row>
        <row r="111">
          <cell r="C111" t="str">
            <v xml:space="preserve">           :     Wastage   ( 8% )</v>
          </cell>
          <cell r="F111">
            <v>-24</v>
          </cell>
          <cell r="G111">
            <v>-324</v>
          </cell>
        </row>
        <row r="113">
          <cell r="C113" t="str">
            <v>Cost  of  Labour,  Mortar,  Grout,  etc..</v>
          </cell>
          <cell r="G113">
            <v>152.19</v>
          </cell>
          <cell r="H113" t="str">
            <v xml:space="preserve">  per  m2</v>
          </cell>
        </row>
        <row r="118">
          <cell r="G118" t="str">
            <v>THBaht</v>
          </cell>
        </row>
        <row r="119">
          <cell r="C119" t="str">
            <v>Build-up  of  Adjusted  Rate  :</v>
          </cell>
        </row>
        <row r="121">
          <cell r="C121" t="str">
            <v>Invoice  Supply  Rate  of  200 x 200 x 10 mm  Ceramic  tiles  as  selected.</v>
          </cell>
          <cell r="G121">
            <v>250</v>
          </cell>
          <cell r="H121" t="str">
            <v xml:space="preserve">  per  m2</v>
          </cell>
        </row>
        <row r="123">
          <cell r="C123" t="str">
            <v>Less    :     Wastage   ( 8% )</v>
          </cell>
          <cell r="G123">
            <v>20</v>
          </cell>
        </row>
        <row r="125">
          <cell r="G125">
            <v>270</v>
          </cell>
        </row>
        <row r="127">
          <cell r="C127" t="str">
            <v>Add     :     Cost  of  Labour,  Mortar,  Grout,  etc..</v>
          </cell>
          <cell r="G127">
            <v>152.19</v>
          </cell>
        </row>
        <row r="129">
          <cell r="G129">
            <v>422.19</v>
          </cell>
        </row>
        <row r="131">
          <cell r="C131" t="str">
            <v>Add     :     Profit    ( 5% )</v>
          </cell>
          <cell r="G131">
            <v>21.109500000000001</v>
          </cell>
        </row>
        <row r="133">
          <cell r="E133" t="str">
            <v>Adjusted  Rate</v>
          </cell>
          <cell r="G133">
            <v>443.29950000000002</v>
          </cell>
          <cell r="H133" t="str">
            <v xml:space="preserve">  per  m2</v>
          </cell>
        </row>
      </sheetData>
      <sheetData sheetId="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BankofThailand"/>
      <sheetName val="TAC"/>
      <sheetName val="รามไทย"/>
      <sheetName val="FORM"/>
      <sheetName val="Quote"/>
      <sheetName val="ตามลูกค้าต้องการ"/>
      <sheetName val="ราคาหนังแท้-เทียม"/>
    </sheetNames>
    <sheetDataSet>
      <sheetData sheetId="0"/>
      <sheetData sheetId="1"/>
      <sheetData sheetId="2"/>
      <sheetData sheetId="3"/>
      <sheetData sheetId="4"/>
      <sheetData sheetId="5"/>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เขารัง"/>
      <sheetName val="วัดใต้"/>
    </sheetNames>
    <sheetDataSet>
      <sheetData sheetId="0"/>
      <sheetData sheetId="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
      <sheetName val="SH-B"/>
      <sheetName val="SH-C"/>
      <sheetName val="SH-D"/>
      <sheetName val="SH-E"/>
      <sheetName val="SH-F"/>
      <sheetName val="SH-G"/>
      <sheetName val="SH_A"/>
      <sheetName val="SH_G"/>
      <sheetName val="SH_B"/>
      <sheetName val="SH_C"/>
      <sheetName val="SH_D"/>
      <sheetName val="SH_E"/>
      <sheetName val="SH_F"/>
      <sheetName val="정부노임단가"/>
      <sheetName val="2000전체분"/>
      <sheetName val="2000년1차"/>
      <sheetName val="차액보증"/>
      <sheetName val="Book 1 Summary"/>
      <sheetName val="PL"/>
      <sheetName val="ประมาณการประตูหน้าต่าง "/>
      <sheetName val="Equipment"/>
      <sheetName val="บทสรุปผู้บริหาร"/>
      <sheetName val="Store"/>
      <sheetName val="ประมาณการประตูหน้าต่าง_1"/>
      <sheetName val="ประมาณการประตูหน้าต่าง_"/>
      <sheetName val="รวมราคาทั้งสิ้น"/>
      <sheetName val="Main Sum (Hotel &amp; Residences)"/>
      <sheetName val="ตารางวันหยุด"/>
      <sheetName val="Book_1_Summary"/>
      <sheetName val="detail"/>
      <sheetName val="電気設備表"/>
      <sheetName val="ราคาบ้านแต่ละไตรมาส"/>
      <sheetName val="Summary POL Equip"/>
      <sheetName val="Equipment Rental Price"/>
      <sheetName val="Doc"/>
      <sheetName val="EXF"/>
      <sheetName val="boq"/>
      <sheetName val="Quotation"/>
      <sheetName val="BK Unit Rate"/>
      <sheetName val="ประม_x0000__x0000__x0001__x0000__x0001_ࠀЉ_x0000_쪊疒_xddef__x0000__xdd00__x0000_Ͽ_x0000_ï_x0000_孔I"/>
      <sheetName val="Sheet1"/>
      <sheetName val="BOQ1 (2)"/>
      <sheetName val="e4"/>
      <sheetName val="ค่าวัสดุ"/>
      <sheetName val="Sum_EMC"/>
      <sheetName val="Bill No. 2 - Carpark"/>
      <sheetName val="EST-FOOTING (G)"/>
      <sheetName val="QUANTITY COMPARISON"/>
      <sheetName val="แบบเดิม"/>
      <sheetName val="ประมาณการประตูหน้าต่าง_2"/>
      <sheetName val="งานระบบไฟฟ้าและสื่อสาร"/>
      <sheetName val="code"/>
      <sheetName val="ยานพาหนะ"/>
      <sheetName val="인원계획-미화"/>
      <sheetName val="ราคาต่ำสุด-721"/>
      <sheetName val="S-5"/>
      <sheetName val="AC"/>
      <sheetName val="ราคาอ้างอิง"/>
      <sheetName val="ประม??_x0001_?_x0001_ࠀЉ?쪊疒_xddef_?_xdd00_?Ͽ?ï?孔I"/>
      <sheetName val="Replacement Cost "/>
      <sheetName val="ประมาณการประตูหน้าต่าง_3"/>
      <sheetName val="ประมาณการประตูหน้าต่าง_4"/>
      <sheetName val="ประมาณการประตูหน้าต่าง_5"/>
      <sheetName val="Cavity Inputs"/>
      <sheetName val="Factor F Data"/>
      <sheetName val="Book_1_Summary1"/>
      <sheetName val="Main_Sum_(Hotel_&amp;_Residences)"/>
      <sheetName val="Summary_POL_Equip"/>
      <sheetName val="Equipment_Rental_Price"/>
      <sheetName val="BK_Unit_Rate"/>
      <sheetName val="BOQ1_(2)"/>
      <sheetName val="EST-FOOTING_(G)"/>
      <sheetName val="QUANTITY_COMPARISON"/>
      <sheetName val="Bill_No__2_-_Carpark"/>
      <sheetName val="ประมࠀЉ쪊疒Ͽï孔I"/>
      <sheetName val="DETAIL "/>
      <sheetName val="splinkler"/>
      <sheetName val="建築代価"/>
      <sheetName val="สรุปราคา (EMC)"/>
      <sheetName val="SAN REDUCED 1"/>
      <sheetName val="LpC"/>
      <sheetName val="Book_1_Summary2"/>
      <sheetName val="BOQ1_(2)1"/>
      <sheetName val="EST-FOOTING_(G)1"/>
      <sheetName val="QUANTITY_COMPARISON1"/>
      <sheetName val="Bill_No__2_-_Carpark1"/>
      <sheetName val="Main_Sum_(Hotel_&amp;_Residences)1"/>
      <sheetName val="Summary_POL_Equip1"/>
      <sheetName val="Equipment_Rental_Price1"/>
      <sheetName val="BK_Unit_Rate1"/>
      <sheetName val="FAB별"/>
      <sheetName val="SITE OFFICE"/>
      <sheetName val="Present-ex"/>
      <sheetName val="Cavity_Inputs"/>
      <sheetName val="ประม"/>
      <sheetName val="ประม___x0001___x0001_ࠀЉ_쪊疒_xddef___xdd00__Ͽ_ï_孔I"/>
      <sheetName val="A"/>
      <sheetName val="เอกอุดร"/>
      <sheetName val="Customize Your Purchase Order"/>
      <sheetName val="ประม_x0000__x0000__x0001__x0000__x0001_ࠀЉ_x0000_쪊疒�_x0000_�_x0000_Ͽ_x0000_ï_x0000_孔I"/>
      <sheetName val="ประม??_x0001_?_x0001_ࠀЉ?쪊疒�?�?Ͽ?ï?孔I"/>
      <sheetName val="ประม___x0001___x0001_ࠀЉ_쪊疒�_�_Ͽ_ï_孔I"/>
      <sheetName val="งานโครงสร้าง"/>
      <sheetName val=" Cover 090EPY"/>
      <sheetName val="EPY Jan 60"/>
      <sheetName val="ht"/>
      <sheetName val="schedule "/>
      <sheetName val="A-Sum"/>
      <sheetName val="D-สรุป Plaza"/>
      <sheetName val="E-Share Parking"/>
      <sheetName val="F-Landscape"/>
      <sheetName val="I-Soft Cost"/>
      <sheetName val="I-Detail Soft"/>
      <sheetName val="H-Share M&amp;E"/>
      <sheetName val="21"/>
      <sheetName val="s-curve"/>
      <sheetName val="Cover"/>
      <sheetName val="ตารางส่วนลด EE."/>
      <sheetName val="สรุปราคาค่าก่อสร้าง_EMC"/>
      <sheetName val="SUM-AIR-Submit"/>
      <sheetName val="mapping"/>
      <sheetName val="vendor list"/>
      <sheetName val="SCHEDULE_6"/>
      <sheetName val="SCHEDULE_4"/>
      <sheetName val="covert (2)"/>
      <sheetName val="Cavity_Inputs1"/>
      <sheetName val="ประม_x005f_x0000__x005f_x0000__x005f_x0001__x0000"/>
      <sheetName val="ประม??_x005f_x0001_?_x005f_x0001_ࠀЉ?쪊疒_xdde"/>
      <sheetName val="Schedule"/>
      <sheetName val="Arch"/>
      <sheetName val="ประม___x005f_x0001___x005f_x0001_ࠀЉ_쪊疒_xdde"/>
      <sheetName val="ประม_x0000__x0000__x0001__x0000"/>
      <sheetName val="ประม___x0001___x0001_ࠀЉ_쪊疒_xdde"/>
      <sheetName val="งานบริหารโครงสร้างและดำเนินการ"/>
      <sheetName val="สรุป"/>
      <sheetName val="Replacement_Cost_"/>
      <sheetName val="Book_1_Summary3"/>
      <sheetName val="BOQ1_(2)2"/>
      <sheetName val="EST-FOOTING_(G)2"/>
      <sheetName val="QUANTITY_COMPARISON2"/>
      <sheetName val="Bill_No__2_-_Carpark2"/>
      <sheetName val="Main_Sum_(Hotel_&amp;_Residences)2"/>
      <sheetName val="Summary_POL_Equip2"/>
      <sheetName val="Equipment_Rental_Price2"/>
      <sheetName val="BK_Unit_Rate2"/>
      <sheetName val="สรุป_EMC"/>
      <sheetName val="ประม??_x0001_?_x0001_ࠀЉ?쪊疒????Ͽ?ï?孔I"/>
      <sheetName val="ประม___x0001___x0001_ࠀЉ_쪊疒?_?_Ͽ_ï_孔I"/>
      <sheetName val="Boq(1)"/>
      <sheetName val="Form"/>
      <sheetName val="Structure"/>
      <sheetName val="calc_menu_déroulant"/>
      <sheetName val="Exp"/>
      <sheetName val="ประม___x0001___x0001_ࠀЉ_쪊疒�_�_Ͽ"/>
      <sheetName val="name"/>
      <sheetName val="Final Summary - Base"/>
      <sheetName val="โครงสร้าง"/>
      <sheetName val="เงินกู้ธนชาติ"/>
      <sheetName val="เงินกู้ MGC"/>
      <sheetName val="สุขาภิบาล"/>
      <sheetName val="P7 "/>
      <sheetName val="แบบ A"/>
      <sheetName val="แบบ B"/>
      <sheetName val="แบบ C"/>
      <sheetName val="แบบ D"/>
      <sheetName val="แบบ E"/>
      <sheetName val="แบบ G"/>
      <sheetName val="แบบ H"/>
      <sheetName val="แบบ L"/>
      <sheetName val="แบบ M"/>
      <sheetName val="แบบ N"/>
      <sheetName val="แบบ P"/>
      <sheetName val="แบบ S"/>
      <sheetName val="แบบ T"/>
      <sheetName val="แบบ TP"/>
      <sheetName val="แบบ V"/>
      <sheetName val="แบบ Y"/>
      <sheetName val="beam-reinft"/>
      <sheetName val="stair"/>
      <sheetName val="factors"/>
      <sheetName val="STMspry"/>
      <sheetName val="PsychroData"/>
      <sheetName val="ประม___x005f_x0001___x005f_x0001_ࠀЉ_쪊疒�_�_Ͽ"/>
      <sheetName val="หน้า ปมก"/>
      <sheetName val="ประม???ࠀЉ?쪊疒??Ͽ?ï?孔I"/>
      <sheetName val="Data"/>
      <sheetName val="S3 Architectural"/>
      <sheetName val="factor (%)"/>
      <sheetName val="2.1.1Take pipe"/>
      <sheetName val="2.1.2Take Copper Pipe"/>
      <sheetName val="CashFlow"/>
      <sheetName val="SV-supporting info"/>
      <sheetName val="EXHIBIT_B"/>
      <sheetName val="ROOMS_ST"/>
      <sheetName val="ประม_x0001__x0001_ࠀЉ쪊疒_xddef__xdd00_Ͽï孔I"/>
      <sheetName val="ประม_x0001__x0001_ࠀЉ쪊疒��Ͽï孔I"/>
      <sheetName val="ประม_x0001__x0000"/>
      <sheetName val="Master"/>
      <sheetName val="ประมาณการประตูหน้าต่าง_6"/>
      <sheetName val="SAN_REDUCED_1"/>
      <sheetName val="ประม___ࠀЉ_쪊疒__Ͽ_ï_孔I"/>
      <sheetName val="SITE_OFFICE"/>
      <sheetName val="Factor_F_Data"/>
      <sheetName val="สรุปราคา_(EMC)"/>
      <sheetName val="DETAIL_"/>
      <sheetName val="ประมาณการประตูหน้าต่าง_7"/>
      <sheetName val="BOQ1_(2)3"/>
      <sheetName val="Book_1_Summary4"/>
      <sheetName val="EST-FOOTING_(G)3"/>
      <sheetName val="QUANTITY_COMPARISON3"/>
      <sheetName val="Bill_No__2_-_Carpark3"/>
      <sheetName val="Main_Sum_(Hotel_&amp;_Residences)3"/>
      <sheetName val="Summary_POL_Equip3"/>
      <sheetName val="Equipment_Rental_Price3"/>
      <sheetName val="BK_Unit_Rate3"/>
      <sheetName val="Replacement_Cost_1"/>
      <sheetName val="Cavity_Inputs2"/>
      <sheetName val="SAN_REDUCED_11"/>
      <sheetName val="SITE_OFFICE1"/>
      <sheetName val="Factor_F_Data1"/>
      <sheetName val="สรุปราคา_(EMC)1"/>
      <sheetName val="DETAIL_1"/>
      <sheetName val="RateAnalysis"/>
      <sheetName val="rate"/>
      <sheetName val="purchase order"/>
      <sheetName val="ส่วนลดระบบไฟฟ้า"/>
      <sheetName val="เตรียมการและบริหารโครงการ"/>
      <sheetName val="ประม??_x005f_x0001_?_x005f_x0001_ࠀЉ?쪊疒�?�?Ͽ"/>
      <sheetName val="schedule_1"/>
      <sheetName val="SCHEDULE_3"/>
      <sheetName val="SCHEDULE_2"/>
      <sheetName val="cov-estimate"/>
      <sheetName val="วัดใต้"/>
      <sheetName val="外気負荷"/>
      <sheetName val="ประม___x0001___x0001_ࠀЉ_쪊疒____Ͽ_ï_孔I"/>
      <sheetName val="Customize_Your_Purchase_Order"/>
      <sheetName val="schedule_"/>
      <sheetName val="_Cover_090EPY"/>
      <sheetName val="EPY_Jan_60"/>
      <sheetName val="D-สรุป_Plaza"/>
      <sheetName val="E-Share_Parking"/>
      <sheetName val="I-Soft_Cost"/>
      <sheetName val="I-Detail_Soft"/>
      <sheetName val="H-Share_M&amp;E"/>
      <sheetName val="ประมาณการประตูหน้าต่าง_8"/>
      <sheetName val="Book_1_Summary5"/>
      <sheetName val="BOQ1_(2)4"/>
      <sheetName val="EST-FOOTING_(G)4"/>
      <sheetName val="QUANTITY_COMPARISON4"/>
      <sheetName val="Bill_No__2_-_Carpark4"/>
      <sheetName val="Main_Sum_(Hotel_&amp;_Residences)4"/>
      <sheetName val="Summary_POL_Equip4"/>
      <sheetName val="Equipment_Rental_Price4"/>
      <sheetName val="BK_Unit_Rate4"/>
      <sheetName val="Replacement_Cost_2"/>
      <sheetName val="Cavity_Inputs3"/>
      <sheetName val="SAN_REDUCED_12"/>
      <sheetName val="SITE_OFFICE2"/>
      <sheetName val="Factor_F_Data2"/>
      <sheetName val="สรุปราคา_(EMC)2"/>
      <sheetName val="DETAIL_2"/>
      <sheetName val="Customize_Your_Purchase_Order1"/>
      <sheetName val="_Cover_090EPY1"/>
      <sheetName val="EPY_Jan_601"/>
      <sheetName val="D-สรุป_Plaza1"/>
      <sheetName val="E-Share_Parking1"/>
      <sheetName val="I-Soft_Cost1"/>
      <sheetName val="I-Detail_Soft1"/>
      <sheetName val="H-Share_M&amp;E1"/>
      <sheetName val="FSA"/>
      <sheetName val="QS-Payment"/>
      <sheetName val="Revised-ProformaSoi11"/>
      <sheetName val="Revised_ProformaSoi16"/>
      <sheetName val="Revised-ProformaSoi24"/>
      <sheetName val="Revised_ProformaSoi8"/>
      <sheetName val="Revised-ProformaSoi18"/>
      <sheetName val="DataSoi18"/>
      <sheetName val="dataSoi11"/>
      <sheetName val="dataSoi16"/>
      <sheetName val="dataSoi24"/>
      <sheetName val="dataSoi24P"/>
      <sheetName val="dataSoi8"/>
      <sheetName val="Revised-ProformaSoi24P"/>
      <sheetName val="SumP&amp;L current Sites"/>
      <sheetName val="List"/>
      <sheetName val="ภูมิทัศน์"/>
      <sheetName val="PRICE LIST"/>
      <sheetName val="KKC_Brkdwn"/>
      <sheetName val="project status overview"/>
      <sheetName val="full pot"/>
      <sheetName val="cover page"/>
      <sheetName val="ประม??_x005f_x0001_?_x005f_x0001_ࠀЉ?쪊疒????Ͽ"/>
      <sheetName val="ประม___x005f_x0001___x005f_x0001_ࠀЉ_쪊疒?_?_Ͽ"/>
      <sheetName val="ประม_x005f_x005f_x005f_x0000__x005f_x005f_x005f_x0000__"/>
      <sheetName val="ประม??_x005f_x005f_x005f_x0001_?_x005f_x005f_x000"/>
      <sheetName val="ประม___x005f_x005f_x005f_x0001___x005f_x005f_x000"/>
      <sheetName val="Manpower"/>
      <sheetName val="H1.0"/>
      <sheetName val="mat"/>
      <sheetName val="Unit rate Architecture"/>
      <sheetName val="l-fixer"/>
      <sheetName val="ประม??_x0001__x0000"/>
      <sheetName val="Cert-Rev1"/>
      <sheetName val="Bank Covenants"/>
      <sheetName val="Rates"/>
      <sheetName val="liste"/>
      <sheetName val="footing"/>
      <sheetName val="summary1-3"/>
      <sheetName val="TrialBalance Q3-2002"/>
      <sheetName val="ประม_x005f_x0000__x005f_x0000__"/>
      <sheetName val="ประม??_x005f_x0001_?_x005f_x005f_x000"/>
      <sheetName val="ประม___x005f_x0001___x005f_x005f_x000"/>
      <sheetName val="Reason of Difference"/>
      <sheetName val="Summary(1)"/>
      <sheetName val="Summary(2)"/>
      <sheetName val="Dwg list "/>
      <sheetName val="2.1Piling"/>
      <sheetName val="3.1 ST(basement)"/>
      <sheetName val="3.2Sky Villa"/>
      <sheetName val="3.2IL Condo1"/>
      <sheetName val="3.2IL Condo2"/>
      <sheetName val="3.2IL Condo3"/>
      <sheetName val="3.2HiCare"/>
      <sheetName val="3.2Clubhouse"/>
      <sheetName val="Footings- Working"/>
      <sheetName val="3.3basement(AR)"/>
      <sheetName val="3.3basement(ID)"/>
      <sheetName val="3.3SkyVilla(SUM AR,ID)"/>
      <sheetName val="3.3SkyVilla(AR)"/>
      <sheetName val="3.3SkyVilla(SUM ID)"/>
      <sheetName val="3.3SkyVilla (ID)"/>
      <sheetName val="3.3ILCondo (SUM AR,ID)"/>
      <sheetName val="3.3ILCondo(AR)"/>
      <sheetName val="3.3ILCondo ( SUM ID)"/>
      <sheetName val="3.3IL (ID Public)"/>
      <sheetName val="3.3ILCondo (ID Guest Room)"/>
      <sheetName val="3.3HiCare (AR)"/>
      <sheetName val="3.3HiCare (ID)"/>
      <sheetName val="3.3Clubhouse(AR)"/>
      <sheetName val="3.3Clubhouse(ID)"/>
      <sheetName val="3.4SkyVilla(Facade)"/>
      <sheetName val="3.4ILCondo(Facade)"/>
      <sheetName val="3.4HiCare(Facade)"/>
      <sheetName val="3.4Clubhouse(Facade)"/>
      <sheetName val="3.5 Ext"/>
      <sheetName val="3.6 Pro Sum"/>
      <sheetName val="Exclusion"/>
      <sheetName val="ILCondoFacade - Working"/>
      <sheetName val="Référentiel"/>
      <sheetName val="bp bill"/>
      <sheetName val="Pricing"/>
      <sheetName val="nsc"/>
      <sheetName val="I-slab"/>
      <sheetName val="OLD PRICES"/>
      <sheetName val="Project Information"/>
      <sheetName val="Soi 08"/>
      <sheetName val="MAD BOH AC VRV + Multi"/>
      <sheetName val="MAD Guest Villa AC"/>
      <sheetName val="ตารางส่วนลด_EE_"/>
      <sheetName val="ตารางส่วนลด_EE_1"/>
      <sheetName val="_Cover_090EPY2"/>
      <sheetName val="EPY_Jan_602"/>
      <sheetName val="D-สรุป_Plaza2"/>
      <sheetName val="E-Share_Parking2"/>
      <sheetName val="I-Soft_Cost2"/>
      <sheetName val="I-Detail_Soft2"/>
      <sheetName val="H-Share_M&amp;E2"/>
      <sheetName val="ตารางส่วนลด_EE_2"/>
      <sheetName val="一発シート"/>
      <sheetName val="TT35"/>
      <sheetName val="Summary"/>
      <sheetName val="2a-Consol-RVOs"/>
      <sheetName val="3-CAPARS Log"/>
      <sheetName val="Discounted Cash Flow"/>
      <sheetName val="Cctmst"/>
      <sheetName val="sheetNO"/>
      <sheetName val="งานประปา"/>
      <sheetName val="Invoice"/>
    </sheetNames>
    <sheetDataSet>
      <sheetData sheetId="0" refreshError="1">
        <row r="3">
          <cell r="C3" t="str">
            <v>N0.</v>
          </cell>
          <cell r="D3" t="str">
            <v>DESCRIPTION</v>
          </cell>
          <cell r="E3" t="str">
            <v xml:space="preserve">UNIT  </v>
          </cell>
          <cell r="F3" t="str">
            <v xml:space="preserve">LABOUR </v>
          </cell>
          <cell r="G3" t="str">
            <v>UNIT</v>
          </cell>
        </row>
        <row r="4">
          <cell r="E4" t="str">
            <v>COST</v>
          </cell>
          <cell r="F4" t="str">
            <v>COST</v>
          </cell>
        </row>
        <row r="5">
          <cell r="C5" t="str">
            <v/>
          </cell>
          <cell r="D5" t="str">
            <v>TRANSFORMER , GENERATOR AND HIGH-VOLTAGE EQUIPMENT</v>
          </cell>
        </row>
        <row r="6">
          <cell r="C6">
            <v>1</v>
          </cell>
          <cell r="D6" t="str">
            <v>OIL IMMERSED TRANSFORMER</v>
          </cell>
        </row>
        <row r="7">
          <cell r="C7">
            <v>101</v>
          </cell>
          <cell r="D7" t="str">
            <v>33 KV. OIL IMMERSED TRANS</v>
          </cell>
          <cell r="E7">
            <v>1200</v>
          </cell>
          <cell r="F7">
            <v>0</v>
          </cell>
          <cell r="G7" t="str">
            <v>EA.</v>
          </cell>
        </row>
        <row r="8">
          <cell r="C8">
            <v>101</v>
          </cell>
          <cell r="D8" t="str">
            <v>-  OIL IMMERSED TRANS. 100 KVA.</v>
          </cell>
          <cell r="E8">
            <v>137000</v>
          </cell>
          <cell r="F8">
            <v>2500</v>
          </cell>
          <cell r="G8" t="str">
            <v>SET</v>
          </cell>
        </row>
        <row r="9">
          <cell r="C9">
            <v>102</v>
          </cell>
          <cell r="D9" t="str">
            <v>-  OIL IMMERSED TRANS. 160 KVA.</v>
          </cell>
          <cell r="E9">
            <v>148000</v>
          </cell>
          <cell r="F9">
            <v>2500</v>
          </cell>
          <cell r="G9" t="str">
            <v>SET</v>
          </cell>
        </row>
        <row r="10">
          <cell r="C10">
            <v>103</v>
          </cell>
          <cell r="D10" t="str">
            <v>-  OIL IMMERSED TRANS. 250 KVA.</v>
          </cell>
          <cell r="E10">
            <v>193000</v>
          </cell>
          <cell r="F10">
            <v>2500</v>
          </cell>
          <cell r="G10" t="str">
            <v>SET</v>
          </cell>
        </row>
        <row r="11">
          <cell r="C11">
            <v>104</v>
          </cell>
          <cell r="D11" t="str">
            <v>-  OIL IMMERSED TRANS. 315 KVA.</v>
          </cell>
          <cell r="E11">
            <v>262000</v>
          </cell>
          <cell r="F11">
            <v>3000</v>
          </cell>
          <cell r="G11" t="str">
            <v>SET</v>
          </cell>
        </row>
        <row r="12">
          <cell r="C12">
            <v>105</v>
          </cell>
          <cell r="D12" t="str">
            <v>-  OIL IMMERSED TRANS. 400 KVA.</v>
          </cell>
          <cell r="E12">
            <v>297500</v>
          </cell>
          <cell r="F12">
            <v>3000</v>
          </cell>
          <cell r="G12" t="str">
            <v>SET</v>
          </cell>
        </row>
        <row r="13">
          <cell r="C13">
            <v>106</v>
          </cell>
          <cell r="D13" t="str">
            <v>-  OIL IMMERSED TRANS. 500 KVA.</v>
          </cell>
          <cell r="E13">
            <v>323000</v>
          </cell>
          <cell r="F13">
            <v>3000</v>
          </cell>
          <cell r="G13" t="str">
            <v>SET</v>
          </cell>
        </row>
        <row r="14">
          <cell r="C14">
            <v>107</v>
          </cell>
          <cell r="D14" t="str">
            <v>-  OIL IMMERSED TRANS. 630 KVA.</v>
          </cell>
          <cell r="E14">
            <v>359000</v>
          </cell>
          <cell r="F14">
            <v>5000</v>
          </cell>
          <cell r="G14" t="str">
            <v>SET</v>
          </cell>
        </row>
        <row r="15">
          <cell r="C15">
            <v>108</v>
          </cell>
          <cell r="D15" t="str">
            <v>-  OIL IMMERSED TRANS. 800 KVA.</v>
          </cell>
          <cell r="E15">
            <v>446000</v>
          </cell>
          <cell r="F15">
            <v>5000</v>
          </cell>
          <cell r="G15" t="str">
            <v>SET</v>
          </cell>
        </row>
        <row r="16">
          <cell r="C16">
            <v>109</v>
          </cell>
          <cell r="D16" t="str">
            <v>-  OIL IMMERSED TRANS. 1,000 KVA.</v>
          </cell>
          <cell r="E16">
            <v>542000</v>
          </cell>
          <cell r="F16">
            <v>6000</v>
          </cell>
          <cell r="G16" t="str">
            <v>SET</v>
          </cell>
        </row>
        <row r="17">
          <cell r="C17">
            <v>110</v>
          </cell>
          <cell r="D17" t="str">
            <v>-  OIL IMMERSED TRANS. 1,250 KVA.</v>
          </cell>
          <cell r="E17">
            <v>595000</v>
          </cell>
          <cell r="F17">
            <v>6000</v>
          </cell>
          <cell r="G17" t="str">
            <v>SET</v>
          </cell>
        </row>
        <row r="18">
          <cell r="C18">
            <v>111</v>
          </cell>
          <cell r="D18" t="str">
            <v>-  OIL IMMERSED TRANS. 1,500 KVA.</v>
          </cell>
          <cell r="E18">
            <v>680000</v>
          </cell>
          <cell r="F18">
            <v>6500</v>
          </cell>
          <cell r="G18" t="str">
            <v>SET</v>
          </cell>
        </row>
        <row r="19">
          <cell r="C19">
            <v>112</v>
          </cell>
          <cell r="D19" t="str">
            <v>-  OIL IMMERSED TRANS. 2,000 KVA.</v>
          </cell>
          <cell r="E19">
            <v>855000</v>
          </cell>
          <cell r="F19">
            <v>7000</v>
          </cell>
          <cell r="G19" t="str">
            <v>SET</v>
          </cell>
        </row>
        <row r="20">
          <cell r="C20">
            <v>113</v>
          </cell>
          <cell r="D20" t="str">
            <v>-  OIL IMMERSED TRANS. 2,500 KVA.</v>
          </cell>
          <cell r="E20">
            <v>1046000</v>
          </cell>
          <cell r="F20">
            <v>7500</v>
          </cell>
          <cell r="G20" t="str">
            <v>SET</v>
          </cell>
        </row>
        <row r="21">
          <cell r="C21">
            <v>114</v>
          </cell>
          <cell r="D21" t="str">
            <v>-  OIL IMMERSED TRANS. 3,000 KVA.</v>
          </cell>
          <cell r="E21">
            <v>1256000</v>
          </cell>
          <cell r="F21">
            <v>8500</v>
          </cell>
          <cell r="G21" t="str">
            <v>SET</v>
          </cell>
        </row>
        <row r="22">
          <cell r="C22">
            <v>122</v>
          </cell>
          <cell r="D22" t="str">
            <v>22 - 24 KV หรือ 11 - 12 KV. OIL IMMERSED TRANS</v>
          </cell>
          <cell r="E22">
            <v>38000</v>
          </cell>
          <cell r="F22">
            <v>0</v>
          </cell>
          <cell r="G22" t="str">
            <v>EA.</v>
          </cell>
        </row>
        <row r="23">
          <cell r="C23">
            <v>115</v>
          </cell>
          <cell r="D23" t="str">
            <v>-  OIL IMMERSED TRANS. 100 KVA.</v>
          </cell>
          <cell r="E23">
            <v>104000</v>
          </cell>
          <cell r="F23">
            <v>2500</v>
          </cell>
          <cell r="G23" t="str">
            <v>SET</v>
          </cell>
        </row>
        <row r="24">
          <cell r="C24">
            <v>116</v>
          </cell>
          <cell r="D24" t="str">
            <v>-  OIL IMMERSED TRANS. 160 KVA.</v>
          </cell>
          <cell r="E24">
            <v>131000</v>
          </cell>
          <cell r="F24">
            <v>2500</v>
          </cell>
          <cell r="G24" t="str">
            <v>SET</v>
          </cell>
        </row>
        <row r="25">
          <cell r="C25">
            <v>117</v>
          </cell>
          <cell r="D25" t="str">
            <v>-  OIL IMMERSED TRANS. 200 KVA.</v>
          </cell>
          <cell r="E25">
            <v>154000</v>
          </cell>
          <cell r="F25">
            <v>2500</v>
          </cell>
          <cell r="G25" t="str">
            <v>SET</v>
          </cell>
        </row>
        <row r="26">
          <cell r="C26">
            <v>118</v>
          </cell>
          <cell r="D26" t="str">
            <v>-  OIL IMMERSED TRANS. 250 KVA.</v>
          </cell>
          <cell r="E26">
            <v>171000</v>
          </cell>
          <cell r="F26">
            <v>3000</v>
          </cell>
          <cell r="G26" t="str">
            <v>SET</v>
          </cell>
        </row>
        <row r="27">
          <cell r="C27">
            <v>119</v>
          </cell>
          <cell r="D27" t="str">
            <v>-  OIL IMMERSED TRANS. 315 KVA.</v>
          </cell>
          <cell r="E27">
            <v>227500</v>
          </cell>
          <cell r="F27">
            <v>3000</v>
          </cell>
          <cell r="G27" t="str">
            <v>SET</v>
          </cell>
        </row>
        <row r="28">
          <cell r="C28">
            <v>120</v>
          </cell>
          <cell r="D28" t="str">
            <v>-  OIL IMMERSED TRANS. 400 KVA.</v>
          </cell>
          <cell r="E28">
            <v>262000</v>
          </cell>
          <cell r="F28">
            <v>3000</v>
          </cell>
          <cell r="G28" t="str">
            <v>SET</v>
          </cell>
        </row>
        <row r="29">
          <cell r="C29">
            <v>121</v>
          </cell>
          <cell r="D29" t="str">
            <v>-  OIL IMMERSED TRANS. 500 KVA.</v>
          </cell>
          <cell r="E29">
            <v>289000</v>
          </cell>
          <cell r="F29">
            <v>3000</v>
          </cell>
          <cell r="G29" t="str">
            <v>SET</v>
          </cell>
        </row>
        <row r="30">
          <cell r="C30">
            <v>122</v>
          </cell>
          <cell r="D30" t="str">
            <v>-  OIL IMMERSED TRANS. 630 KVA.</v>
          </cell>
          <cell r="E30">
            <v>323000</v>
          </cell>
          <cell r="F30">
            <v>5000</v>
          </cell>
          <cell r="G30" t="str">
            <v>SET</v>
          </cell>
        </row>
        <row r="31">
          <cell r="C31">
            <v>123</v>
          </cell>
          <cell r="D31" t="str">
            <v>-  OIL IMMERSED TRANS. 800 KVA.</v>
          </cell>
          <cell r="E31">
            <v>402000</v>
          </cell>
          <cell r="F31">
            <v>5000</v>
          </cell>
          <cell r="G31" t="str">
            <v>SET</v>
          </cell>
        </row>
        <row r="32">
          <cell r="C32">
            <v>124</v>
          </cell>
          <cell r="D32" t="str">
            <v>-  OIL IMMERSED TRANS. 1,000 KVA.</v>
          </cell>
          <cell r="E32">
            <v>480000</v>
          </cell>
          <cell r="F32">
            <v>6000</v>
          </cell>
          <cell r="G32" t="str">
            <v>SET</v>
          </cell>
        </row>
        <row r="33">
          <cell r="C33">
            <v>125</v>
          </cell>
          <cell r="D33" t="str">
            <v>-  OIL IMMERSED TRANS. 1,250 KVA.</v>
          </cell>
          <cell r="E33">
            <v>542000</v>
          </cell>
          <cell r="F33">
            <v>6000</v>
          </cell>
          <cell r="G33" t="str">
            <v>SET</v>
          </cell>
        </row>
        <row r="34">
          <cell r="C34">
            <v>126</v>
          </cell>
          <cell r="D34" t="str">
            <v>-  OIL IMMERSED TRANS. 1,600 KVA.</v>
          </cell>
          <cell r="E34">
            <v>629000</v>
          </cell>
          <cell r="F34">
            <v>6000</v>
          </cell>
          <cell r="G34" t="str">
            <v>SET</v>
          </cell>
        </row>
        <row r="35">
          <cell r="C35">
            <v>127</v>
          </cell>
          <cell r="D35" t="str">
            <v>-  OIL IMMERSED TRANS. 2,000 KVA.</v>
          </cell>
          <cell r="E35">
            <v>785000</v>
          </cell>
          <cell r="F35">
            <v>7000</v>
          </cell>
          <cell r="G35" t="str">
            <v>SET</v>
          </cell>
        </row>
        <row r="36">
          <cell r="C36">
            <v>128</v>
          </cell>
          <cell r="D36" t="str">
            <v>-  OIL IMMERSED TRANS. 2,500 KVA.</v>
          </cell>
          <cell r="E36">
            <v>959000</v>
          </cell>
          <cell r="F36">
            <v>7000</v>
          </cell>
          <cell r="G36" t="str">
            <v>SET</v>
          </cell>
        </row>
        <row r="37">
          <cell r="C37">
            <v>129</v>
          </cell>
          <cell r="D37" t="str">
            <v>-  OIL IMMERSED TRANS. 3,150 KVA.</v>
          </cell>
          <cell r="E37">
            <v>1133000</v>
          </cell>
          <cell r="F37">
            <v>8000</v>
          </cell>
          <cell r="G37" t="str">
            <v>SET</v>
          </cell>
        </row>
        <row r="38">
          <cell r="C38">
            <v>2</v>
          </cell>
          <cell r="D38" t="str">
            <v>DRY TYPE CAST RESIN TRANSFORMER</v>
          </cell>
          <cell r="E38">
            <v>70000</v>
          </cell>
          <cell r="F38">
            <v>0</v>
          </cell>
          <cell r="G38" t="str">
            <v>EA.</v>
          </cell>
        </row>
        <row r="39">
          <cell r="C39">
            <v>145</v>
          </cell>
          <cell r="D39" t="str">
            <v>22 - 24 KV OR 11 - 12 KV.  CAST RESIN TRANS</v>
          </cell>
          <cell r="E39">
            <v>80000</v>
          </cell>
          <cell r="F39">
            <v>0</v>
          </cell>
          <cell r="G39" t="str">
            <v>EA.</v>
          </cell>
        </row>
        <row r="40">
          <cell r="C40">
            <v>201</v>
          </cell>
          <cell r="D40" t="str">
            <v>-  CAST RESIN TRANS. 100 KVA.</v>
          </cell>
          <cell r="E40">
            <v>180000</v>
          </cell>
          <cell r="F40">
            <v>7000</v>
          </cell>
          <cell r="G40" t="str">
            <v>SET</v>
          </cell>
        </row>
        <row r="41">
          <cell r="C41">
            <v>202</v>
          </cell>
          <cell r="D41" t="str">
            <v>-  CAST RESIN TRANS. 160 KVA.</v>
          </cell>
          <cell r="E41">
            <v>243000</v>
          </cell>
          <cell r="F41">
            <v>7000</v>
          </cell>
          <cell r="G41" t="str">
            <v>SET</v>
          </cell>
        </row>
        <row r="42">
          <cell r="C42">
            <v>203</v>
          </cell>
          <cell r="D42" t="str">
            <v>-  CAST RESIN TRANS. 250 KVA.</v>
          </cell>
          <cell r="E42">
            <v>304000</v>
          </cell>
          <cell r="F42">
            <v>8000</v>
          </cell>
          <cell r="G42" t="str">
            <v>SET</v>
          </cell>
        </row>
        <row r="43">
          <cell r="C43">
            <v>204</v>
          </cell>
          <cell r="D43" t="str">
            <v>-  CAST RESIN TRANS. 315 KVA.</v>
          </cell>
          <cell r="E43">
            <v>342000</v>
          </cell>
          <cell r="F43">
            <v>8000</v>
          </cell>
          <cell r="G43" t="str">
            <v>SET</v>
          </cell>
        </row>
        <row r="44">
          <cell r="C44">
            <v>205</v>
          </cell>
          <cell r="D44" t="str">
            <v>-  CAST RESIN TRANS. 400 KVA.</v>
          </cell>
          <cell r="E44">
            <v>410000</v>
          </cell>
          <cell r="F44">
            <v>10000</v>
          </cell>
          <cell r="G44" t="str">
            <v>SET</v>
          </cell>
        </row>
        <row r="45">
          <cell r="C45">
            <v>206</v>
          </cell>
          <cell r="D45" t="str">
            <v>-  CAST RESIN TRANS. 500 KVA.</v>
          </cell>
          <cell r="E45">
            <v>486000</v>
          </cell>
          <cell r="F45">
            <v>10000</v>
          </cell>
          <cell r="G45" t="str">
            <v>SET</v>
          </cell>
        </row>
        <row r="46">
          <cell r="C46">
            <v>207</v>
          </cell>
          <cell r="D46" t="str">
            <v>-  CAST RESIN TRANS. 630 KVA.</v>
          </cell>
          <cell r="E46">
            <v>574000</v>
          </cell>
          <cell r="F46">
            <v>12000</v>
          </cell>
          <cell r="G46" t="str">
            <v>SET</v>
          </cell>
        </row>
        <row r="47">
          <cell r="C47">
            <v>208</v>
          </cell>
          <cell r="D47" t="str">
            <v>-  CAST RESIN TRANS. 800 KVA.</v>
          </cell>
          <cell r="E47">
            <v>673000</v>
          </cell>
          <cell r="F47">
            <v>12000</v>
          </cell>
          <cell r="G47" t="str">
            <v>SET</v>
          </cell>
        </row>
        <row r="48">
          <cell r="C48">
            <v>209</v>
          </cell>
          <cell r="D48" t="str">
            <v>-  CAST RESIN TRANS. 1,000 KVA.</v>
          </cell>
          <cell r="E48">
            <v>830000</v>
          </cell>
          <cell r="F48">
            <v>15000</v>
          </cell>
          <cell r="G48" t="str">
            <v>SET</v>
          </cell>
        </row>
        <row r="49">
          <cell r="C49">
            <v>210</v>
          </cell>
          <cell r="D49" t="str">
            <v>-  CAST RESIN TRANS. 1,250 KVA.</v>
          </cell>
          <cell r="E49">
            <v>991000</v>
          </cell>
          <cell r="F49">
            <v>15000</v>
          </cell>
          <cell r="G49" t="str">
            <v>SET</v>
          </cell>
        </row>
        <row r="50">
          <cell r="C50">
            <v>211</v>
          </cell>
          <cell r="D50" t="str">
            <v>-  CAST RESIN TRANS. 1,600 KVA.</v>
          </cell>
          <cell r="E50">
            <v>1137000</v>
          </cell>
          <cell r="F50">
            <v>15000</v>
          </cell>
          <cell r="G50" t="str">
            <v>SET</v>
          </cell>
        </row>
        <row r="51">
          <cell r="C51">
            <v>212</v>
          </cell>
          <cell r="D51" t="str">
            <v>-  CAST RESIN TRANS. 2,000 KVA.</v>
          </cell>
          <cell r="E51">
            <v>1425000</v>
          </cell>
          <cell r="F51">
            <v>18000</v>
          </cell>
          <cell r="G51" t="str">
            <v>SET</v>
          </cell>
        </row>
        <row r="52">
          <cell r="C52">
            <v>213</v>
          </cell>
          <cell r="D52" t="str">
            <v>-  CAST RESIN TRANS. 2,500 KVA.</v>
          </cell>
          <cell r="E52">
            <v>1700000</v>
          </cell>
          <cell r="F52">
            <v>20000</v>
          </cell>
          <cell r="G52" t="str">
            <v>SET</v>
          </cell>
        </row>
        <row r="53">
          <cell r="C53">
            <v>214</v>
          </cell>
          <cell r="D53" t="str">
            <v>-  CAST RESIN TRANS. 3,000 KVA.</v>
          </cell>
          <cell r="E53">
            <v>1902000</v>
          </cell>
          <cell r="F53">
            <v>22000</v>
          </cell>
          <cell r="G53" t="str">
            <v>SET</v>
          </cell>
        </row>
        <row r="54">
          <cell r="C54">
            <v>307</v>
          </cell>
          <cell r="D54" t="str">
            <v>SPACE</v>
          </cell>
          <cell r="E54">
            <v>300000</v>
          </cell>
          <cell r="F54">
            <v>0</v>
          </cell>
          <cell r="G54" t="str">
            <v>EA.</v>
          </cell>
        </row>
        <row r="55">
          <cell r="C55">
            <v>3</v>
          </cell>
          <cell r="D55" t="str">
            <v>PAD MOUNTED TRANSFORMER</v>
          </cell>
          <cell r="E55">
            <v>300000</v>
          </cell>
          <cell r="F55">
            <v>0</v>
          </cell>
          <cell r="G55" t="str">
            <v>EA.</v>
          </cell>
        </row>
        <row r="56">
          <cell r="C56">
            <v>309</v>
          </cell>
          <cell r="D56" t="str">
            <v>11 - 12 OR 22 - 24 KA. PAD MOUNTED TRANS</v>
          </cell>
          <cell r="E56">
            <v>300000</v>
          </cell>
          <cell r="F56">
            <v>0</v>
          </cell>
          <cell r="G56" t="str">
            <v>EA.</v>
          </cell>
        </row>
        <row r="57">
          <cell r="C57">
            <v>301</v>
          </cell>
          <cell r="D57" t="str">
            <v>-  PAD MOUNTED TRANS. 100 KVA.</v>
          </cell>
          <cell r="E57">
            <v>100000</v>
          </cell>
          <cell r="F57">
            <v>2500</v>
          </cell>
          <cell r="G57" t="str">
            <v>SET</v>
          </cell>
        </row>
        <row r="58">
          <cell r="C58">
            <v>302</v>
          </cell>
          <cell r="D58" t="str">
            <v>-  PAD MOUNTED TRANS. 160 KVA.</v>
          </cell>
          <cell r="E58">
            <v>131000</v>
          </cell>
          <cell r="F58">
            <v>2500</v>
          </cell>
          <cell r="G58" t="str">
            <v>SET</v>
          </cell>
        </row>
        <row r="59">
          <cell r="C59">
            <v>303</v>
          </cell>
          <cell r="D59" t="str">
            <v>-  PAD MOUNTED TRANS. 250 KVA.</v>
          </cell>
          <cell r="E59">
            <v>165000</v>
          </cell>
          <cell r="F59">
            <v>2500</v>
          </cell>
          <cell r="G59" t="str">
            <v>SET</v>
          </cell>
        </row>
        <row r="60">
          <cell r="C60">
            <v>304</v>
          </cell>
          <cell r="D60" t="str">
            <v>-  PAD MOUNTED TRANS. 315 KVA.</v>
          </cell>
          <cell r="E60">
            <v>185000</v>
          </cell>
          <cell r="F60">
            <v>3000</v>
          </cell>
          <cell r="G60" t="str">
            <v>SET</v>
          </cell>
        </row>
        <row r="61">
          <cell r="C61">
            <v>305</v>
          </cell>
          <cell r="D61" t="str">
            <v>-  PAD MOUNTED TRANS. 400 KVA.</v>
          </cell>
          <cell r="E61">
            <v>222000</v>
          </cell>
          <cell r="F61">
            <v>3000</v>
          </cell>
          <cell r="G61" t="str">
            <v>SET</v>
          </cell>
        </row>
        <row r="62">
          <cell r="C62">
            <v>306</v>
          </cell>
          <cell r="D62" t="str">
            <v>-  PAD MOUNTED TRANS. 500 KVA.</v>
          </cell>
          <cell r="E62">
            <v>263000</v>
          </cell>
          <cell r="F62">
            <v>3000</v>
          </cell>
          <cell r="G62" t="str">
            <v>SET</v>
          </cell>
        </row>
        <row r="63">
          <cell r="C63">
            <v>307</v>
          </cell>
          <cell r="D63" t="str">
            <v>-  PAD MOUNTED TRANS. 630 KVA.</v>
          </cell>
          <cell r="E63">
            <v>311000</v>
          </cell>
          <cell r="F63">
            <v>5000</v>
          </cell>
          <cell r="G63" t="str">
            <v>SET</v>
          </cell>
        </row>
        <row r="64">
          <cell r="C64">
            <v>308</v>
          </cell>
          <cell r="D64" t="str">
            <v>-  PAD MOUNTED TRANS. 800 KVA.</v>
          </cell>
          <cell r="E64">
            <v>364000</v>
          </cell>
          <cell r="F64">
            <v>5000</v>
          </cell>
          <cell r="G64" t="str">
            <v>SET</v>
          </cell>
        </row>
        <row r="65">
          <cell r="C65">
            <v>309</v>
          </cell>
          <cell r="D65" t="str">
            <v>-  PAD MOUNTED TRANS. 1,000 KVA.</v>
          </cell>
          <cell r="E65">
            <v>450000</v>
          </cell>
          <cell r="F65">
            <v>6000</v>
          </cell>
          <cell r="G65" t="str">
            <v>SET</v>
          </cell>
        </row>
        <row r="66">
          <cell r="C66">
            <v>310</v>
          </cell>
          <cell r="D66" t="str">
            <v>-  PAD MOUNTED TRANS. 1,250 KVA.</v>
          </cell>
          <cell r="E66">
            <v>537000</v>
          </cell>
          <cell r="F66">
            <v>6000</v>
          </cell>
          <cell r="G66" t="str">
            <v>SET</v>
          </cell>
        </row>
        <row r="67">
          <cell r="C67">
            <v>311</v>
          </cell>
          <cell r="D67" t="str">
            <v>-  PAD MOUNTED TRANS. 1,500 KVA.</v>
          </cell>
          <cell r="E67">
            <v>616000</v>
          </cell>
          <cell r="F67">
            <v>6000</v>
          </cell>
          <cell r="G67" t="str">
            <v>SET</v>
          </cell>
        </row>
        <row r="68">
          <cell r="C68">
            <v>312</v>
          </cell>
          <cell r="D68" t="str">
            <v>-  PAD MOUNTED TRANS. 2,000 KVA.</v>
          </cell>
          <cell r="E68">
            <v>772000</v>
          </cell>
          <cell r="F68">
            <v>7000</v>
          </cell>
          <cell r="G68" t="str">
            <v>SET</v>
          </cell>
        </row>
        <row r="69">
          <cell r="C69">
            <v>313</v>
          </cell>
          <cell r="D69" t="str">
            <v>-  PAD MOUNTED TRANS. 2,500 KVA.</v>
          </cell>
          <cell r="E69">
            <v>921000</v>
          </cell>
          <cell r="F69">
            <v>7000</v>
          </cell>
          <cell r="G69" t="str">
            <v>SET</v>
          </cell>
        </row>
        <row r="70">
          <cell r="C70">
            <v>314</v>
          </cell>
          <cell r="D70" t="str">
            <v>-  PAD MOUNTED TRANS. 3,000 KVA.</v>
          </cell>
          <cell r="E70">
            <v>1030000</v>
          </cell>
          <cell r="F70">
            <v>8000</v>
          </cell>
          <cell r="G70" t="str">
            <v>SET</v>
          </cell>
        </row>
        <row r="71">
          <cell r="C71">
            <v>332</v>
          </cell>
          <cell r="D71" t="str">
            <v>OIL IMMERSED TRANSFORMER</v>
          </cell>
          <cell r="E71">
            <v>440000</v>
          </cell>
          <cell r="F71">
            <v>0</v>
          </cell>
          <cell r="G71" t="str">
            <v>EA.</v>
          </cell>
        </row>
        <row r="72">
          <cell r="C72">
            <v>333</v>
          </cell>
          <cell r="D72" t="str">
            <v>33 KA. PAD MOUNTED TRANS</v>
          </cell>
          <cell r="E72">
            <v>1000000</v>
          </cell>
          <cell r="F72">
            <v>0</v>
          </cell>
          <cell r="G72" t="str">
            <v>EA.</v>
          </cell>
        </row>
        <row r="73">
          <cell r="C73">
            <v>315</v>
          </cell>
          <cell r="D73" t="str">
            <v>-  PAD MOUNTED TRANS. 100 KVA.</v>
          </cell>
          <cell r="E73">
            <v>106000</v>
          </cell>
          <cell r="F73">
            <v>2500</v>
          </cell>
          <cell r="G73" t="str">
            <v>SET</v>
          </cell>
        </row>
        <row r="74">
          <cell r="C74">
            <v>316</v>
          </cell>
          <cell r="D74" t="str">
            <v>-  PAD MOUNTED TRANS. 160 KVA.</v>
          </cell>
          <cell r="E74">
            <v>139000</v>
          </cell>
          <cell r="F74">
            <v>2500</v>
          </cell>
          <cell r="G74" t="str">
            <v>SET</v>
          </cell>
        </row>
        <row r="75">
          <cell r="C75">
            <v>317</v>
          </cell>
          <cell r="D75" t="str">
            <v>-  PAD MOUNTED TRANS. 250 KVA.</v>
          </cell>
          <cell r="E75">
            <v>176000</v>
          </cell>
          <cell r="F75">
            <v>2500</v>
          </cell>
          <cell r="G75" t="str">
            <v>SET</v>
          </cell>
        </row>
        <row r="76">
          <cell r="C76">
            <v>318</v>
          </cell>
          <cell r="D76" t="str">
            <v>-  PAD MOUNTED TRANS. 315 KVA.</v>
          </cell>
          <cell r="E76">
            <v>197000</v>
          </cell>
          <cell r="F76">
            <v>3000</v>
          </cell>
          <cell r="G76" t="str">
            <v>SET</v>
          </cell>
        </row>
        <row r="77">
          <cell r="C77">
            <v>319</v>
          </cell>
          <cell r="D77" t="str">
            <v>-  PAD MOUNTED TRANS. 400 KVA.</v>
          </cell>
          <cell r="E77">
            <v>237000</v>
          </cell>
          <cell r="F77">
            <v>3000</v>
          </cell>
          <cell r="G77" t="str">
            <v>SET</v>
          </cell>
        </row>
        <row r="78">
          <cell r="C78">
            <v>320</v>
          </cell>
          <cell r="D78" t="str">
            <v>-  PAD MOUNTED TRANS. 500 KVA.</v>
          </cell>
          <cell r="E78">
            <v>280000</v>
          </cell>
          <cell r="F78">
            <v>3000</v>
          </cell>
          <cell r="G78" t="str">
            <v>SET</v>
          </cell>
        </row>
        <row r="79">
          <cell r="C79">
            <v>321</v>
          </cell>
          <cell r="D79" t="str">
            <v>-  PAD MOUNTED TRANS. 630 KVA.</v>
          </cell>
          <cell r="E79">
            <v>331000</v>
          </cell>
          <cell r="F79">
            <v>5000</v>
          </cell>
          <cell r="G79" t="str">
            <v>SET</v>
          </cell>
        </row>
        <row r="80">
          <cell r="C80">
            <v>322</v>
          </cell>
          <cell r="D80" t="str">
            <v>-  PAD MOUNTED TRANS. 800 KVA.</v>
          </cell>
          <cell r="E80">
            <v>388000</v>
          </cell>
          <cell r="F80">
            <v>5000</v>
          </cell>
          <cell r="G80" t="str">
            <v>SET</v>
          </cell>
        </row>
        <row r="81">
          <cell r="C81">
            <v>323</v>
          </cell>
          <cell r="D81" t="str">
            <v>-  PAD MOUNTED TRANS. 1,000 KVA.</v>
          </cell>
          <cell r="E81">
            <v>480000</v>
          </cell>
          <cell r="F81">
            <v>6000</v>
          </cell>
          <cell r="G81" t="str">
            <v>SET</v>
          </cell>
        </row>
        <row r="82">
          <cell r="C82">
            <v>324</v>
          </cell>
          <cell r="D82" t="str">
            <v>-  PAD MOUNTED TRANS. 1,250 KVA.</v>
          </cell>
          <cell r="E82">
            <v>572000</v>
          </cell>
          <cell r="F82">
            <v>6000</v>
          </cell>
          <cell r="G82" t="str">
            <v>SET</v>
          </cell>
        </row>
        <row r="83">
          <cell r="C83">
            <v>325</v>
          </cell>
          <cell r="D83" t="str">
            <v>-  PAD MOUNTED TRANS. 1,500 KVA.</v>
          </cell>
          <cell r="E83">
            <v>657000</v>
          </cell>
          <cell r="F83">
            <v>6500</v>
          </cell>
          <cell r="G83" t="str">
            <v>SET</v>
          </cell>
        </row>
        <row r="84">
          <cell r="C84">
            <v>326</v>
          </cell>
          <cell r="D84" t="str">
            <v>-  PAD MOUNTED TRANS. 2,000 KVA.</v>
          </cell>
          <cell r="E84">
            <v>823000</v>
          </cell>
          <cell r="F84">
            <v>7000</v>
          </cell>
          <cell r="G84" t="str">
            <v>SET</v>
          </cell>
        </row>
        <row r="85">
          <cell r="C85">
            <v>327</v>
          </cell>
          <cell r="D85" t="str">
            <v>-  PAD MOUNTED TRANS. 2,500 KVA.</v>
          </cell>
          <cell r="E85">
            <v>982000</v>
          </cell>
          <cell r="F85">
            <v>7500</v>
          </cell>
          <cell r="G85" t="str">
            <v>SET</v>
          </cell>
        </row>
        <row r="86">
          <cell r="C86">
            <v>328</v>
          </cell>
          <cell r="D86" t="str">
            <v>-  PAD MOUNTED TRANS. 3,000 KVA.</v>
          </cell>
          <cell r="E86">
            <v>1110000</v>
          </cell>
          <cell r="F86">
            <v>8500</v>
          </cell>
          <cell r="G86" t="str">
            <v>SET</v>
          </cell>
        </row>
        <row r="87">
          <cell r="C87">
            <v>4</v>
          </cell>
          <cell r="D87" t="str">
            <v>GENERATOR SET</v>
          </cell>
          <cell r="E87">
            <v>2800</v>
          </cell>
          <cell r="F87">
            <v>0</v>
          </cell>
          <cell r="G87" t="str">
            <v>EA.</v>
          </cell>
        </row>
        <row r="88">
          <cell r="C88">
            <v>401</v>
          </cell>
          <cell r="D88" t="str">
            <v>-  GEN. SET 35 KVA. (PRIME)</v>
          </cell>
          <cell r="E88">
            <v>456000</v>
          </cell>
          <cell r="F88">
            <v>8000</v>
          </cell>
          <cell r="G88" t="str">
            <v>SET</v>
          </cell>
        </row>
        <row r="89">
          <cell r="C89">
            <v>402</v>
          </cell>
          <cell r="D89" t="str">
            <v>-  GEN. SET 50 KVA. (PRIME)</v>
          </cell>
          <cell r="E89">
            <v>546000</v>
          </cell>
          <cell r="F89">
            <v>8000</v>
          </cell>
          <cell r="G89" t="str">
            <v>SET</v>
          </cell>
        </row>
        <row r="90">
          <cell r="C90">
            <v>403</v>
          </cell>
          <cell r="D90" t="str">
            <v>-  GEN. SET 60 KVA. (PRIME)</v>
          </cell>
          <cell r="E90">
            <v>592000</v>
          </cell>
          <cell r="F90">
            <v>1000</v>
          </cell>
          <cell r="G90" t="str">
            <v>SET</v>
          </cell>
        </row>
        <row r="91">
          <cell r="C91">
            <v>404</v>
          </cell>
          <cell r="D91" t="str">
            <v>-  GEN. SET 80 KVA. (PRIME)</v>
          </cell>
          <cell r="E91">
            <v>600000</v>
          </cell>
          <cell r="F91">
            <v>1000</v>
          </cell>
          <cell r="G91" t="str">
            <v>SET</v>
          </cell>
        </row>
        <row r="92">
          <cell r="C92">
            <v>405</v>
          </cell>
          <cell r="D92" t="str">
            <v>-  GEN. SET 100 KVA. (PRIME)</v>
          </cell>
          <cell r="E92">
            <v>683000</v>
          </cell>
          <cell r="F92">
            <v>15000</v>
          </cell>
          <cell r="G92" t="str">
            <v>SET</v>
          </cell>
        </row>
        <row r="93">
          <cell r="C93">
            <v>406</v>
          </cell>
          <cell r="D93" t="str">
            <v>-  GEN. SET 130 KVA. (PRIME)</v>
          </cell>
          <cell r="E93">
            <v>900000</v>
          </cell>
          <cell r="F93">
            <v>15000</v>
          </cell>
          <cell r="G93" t="str">
            <v>SET</v>
          </cell>
        </row>
        <row r="94">
          <cell r="C94">
            <v>407</v>
          </cell>
          <cell r="D94" t="str">
            <v>-  GEN. SET 170 KVA. (PRIME)</v>
          </cell>
          <cell r="E94">
            <v>1100000</v>
          </cell>
          <cell r="F94">
            <v>20000</v>
          </cell>
          <cell r="G94" t="str">
            <v>SET</v>
          </cell>
        </row>
        <row r="95">
          <cell r="C95">
            <v>408</v>
          </cell>
          <cell r="D95" t="str">
            <v>-  GEN. SET 200 KVA. (PRIME)</v>
          </cell>
          <cell r="E95">
            <v>1200000</v>
          </cell>
          <cell r="F95">
            <v>20000</v>
          </cell>
          <cell r="G95" t="str">
            <v>SET</v>
          </cell>
        </row>
        <row r="96">
          <cell r="C96">
            <v>409</v>
          </cell>
          <cell r="D96" t="str">
            <v>-  GEN. SET 230 KVA. (PRIME)</v>
          </cell>
          <cell r="E96">
            <v>1350000</v>
          </cell>
          <cell r="F96">
            <v>20000</v>
          </cell>
          <cell r="G96" t="str">
            <v>SET</v>
          </cell>
        </row>
        <row r="97">
          <cell r="C97">
            <v>410</v>
          </cell>
          <cell r="D97" t="str">
            <v>-  GEN. SET 250 KVA. (PRIME)</v>
          </cell>
          <cell r="E97">
            <v>1350000</v>
          </cell>
          <cell r="F97">
            <v>25000</v>
          </cell>
          <cell r="G97" t="str">
            <v>SET</v>
          </cell>
        </row>
        <row r="98">
          <cell r="C98">
            <v>411</v>
          </cell>
          <cell r="D98" t="str">
            <v>-  GEN. SET 300 KVA. (PRIME)</v>
          </cell>
          <cell r="E98">
            <v>1514000</v>
          </cell>
          <cell r="F98">
            <v>25000</v>
          </cell>
          <cell r="G98" t="str">
            <v>SET</v>
          </cell>
        </row>
        <row r="99">
          <cell r="C99">
            <v>412</v>
          </cell>
          <cell r="D99" t="str">
            <v>-  GEN. SET 320 KVA. (PRIME)</v>
          </cell>
          <cell r="E99">
            <v>1600000</v>
          </cell>
          <cell r="F99">
            <v>25000</v>
          </cell>
          <cell r="G99" t="str">
            <v>SET</v>
          </cell>
        </row>
        <row r="100">
          <cell r="C100">
            <v>413</v>
          </cell>
          <cell r="D100" t="str">
            <v>-  GEN. SET 360 KVA. (PRIME)</v>
          </cell>
          <cell r="E100">
            <v>1884000</v>
          </cell>
          <cell r="F100">
            <v>25000</v>
          </cell>
          <cell r="G100" t="str">
            <v>SET</v>
          </cell>
        </row>
        <row r="101">
          <cell r="C101">
            <v>414</v>
          </cell>
          <cell r="D101" t="str">
            <v>-  GEN. SET 380 KVA. (PRIME)</v>
          </cell>
          <cell r="E101">
            <v>1950000</v>
          </cell>
          <cell r="F101">
            <v>25000</v>
          </cell>
          <cell r="G101" t="str">
            <v>SET</v>
          </cell>
        </row>
        <row r="102">
          <cell r="C102">
            <v>415</v>
          </cell>
          <cell r="D102" t="str">
            <v>-  GEN. SET 450 KVA. (PRIME)</v>
          </cell>
          <cell r="E102">
            <v>2000000</v>
          </cell>
          <cell r="F102">
            <v>30000</v>
          </cell>
          <cell r="G102" t="str">
            <v>SET</v>
          </cell>
        </row>
        <row r="103">
          <cell r="C103">
            <v>416</v>
          </cell>
          <cell r="D103" t="str">
            <v>-  GEN. SET 500 KVA. (PRIME)</v>
          </cell>
          <cell r="E103">
            <v>2190000</v>
          </cell>
          <cell r="F103">
            <v>30000</v>
          </cell>
          <cell r="G103" t="str">
            <v>SET</v>
          </cell>
        </row>
        <row r="104">
          <cell r="C104">
            <v>417</v>
          </cell>
          <cell r="D104" t="str">
            <v>-  GEN. SET 650 KVA. (PRIME)</v>
          </cell>
          <cell r="E104">
            <v>2897000</v>
          </cell>
          <cell r="F104">
            <v>30000</v>
          </cell>
          <cell r="G104" t="str">
            <v>SET</v>
          </cell>
        </row>
        <row r="105">
          <cell r="C105">
            <v>418</v>
          </cell>
          <cell r="D105" t="str">
            <v>-  GEN. SET 720 KVA. (PRIME)</v>
          </cell>
          <cell r="E105">
            <v>3200000</v>
          </cell>
          <cell r="F105">
            <v>35000</v>
          </cell>
          <cell r="G105" t="str">
            <v>SET</v>
          </cell>
        </row>
        <row r="106">
          <cell r="C106">
            <v>419</v>
          </cell>
          <cell r="D106" t="str">
            <v>-  GEN. SET 760 KVA. (PRIME)</v>
          </cell>
          <cell r="E106">
            <v>3700000</v>
          </cell>
          <cell r="F106">
            <v>35000</v>
          </cell>
          <cell r="G106" t="str">
            <v>SET</v>
          </cell>
        </row>
        <row r="107">
          <cell r="C107">
            <v>420</v>
          </cell>
          <cell r="D107" t="str">
            <v>-  GEN. SET 720 KVA. (PRIME)</v>
          </cell>
          <cell r="E107">
            <v>3963000</v>
          </cell>
          <cell r="F107">
            <v>40000</v>
          </cell>
          <cell r="G107" t="str">
            <v>SET</v>
          </cell>
        </row>
        <row r="108">
          <cell r="C108">
            <v>421</v>
          </cell>
          <cell r="D108" t="str">
            <v>-  GEN. SET 1,000 KVA. (PRIME)</v>
          </cell>
          <cell r="E108">
            <v>4683000</v>
          </cell>
          <cell r="F108">
            <v>45000</v>
          </cell>
          <cell r="G108" t="str">
            <v>SET</v>
          </cell>
        </row>
        <row r="109">
          <cell r="C109">
            <v>422</v>
          </cell>
          <cell r="D109" t="str">
            <v>-  GEN. SET 1,250 KVA. (PRIME)</v>
          </cell>
          <cell r="E109">
            <v>5400000</v>
          </cell>
          <cell r="F109">
            <v>50000</v>
          </cell>
          <cell r="G109" t="str">
            <v>SET</v>
          </cell>
        </row>
        <row r="110">
          <cell r="C110">
            <v>423</v>
          </cell>
          <cell r="D110" t="str">
            <v>-  GEN. SET 1,375 KVA. (PRIME)</v>
          </cell>
          <cell r="E110">
            <v>6330000</v>
          </cell>
          <cell r="F110">
            <v>50000</v>
          </cell>
          <cell r="G110" t="str">
            <v>SET</v>
          </cell>
        </row>
        <row r="111">
          <cell r="C111">
            <v>605</v>
          </cell>
          <cell r="D111" t="str">
            <v>SPACE</v>
          </cell>
          <cell r="E111">
            <v>130000</v>
          </cell>
          <cell r="F111">
            <v>0</v>
          </cell>
          <cell r="G111" t="str">
            <v>EA.</v>
          </cell>
        </row>
        <row r="112">
          <cell r="C112">
            <v>431</v>
          </cell>
          <cell r="D112" t="str">
            <v>-  GEN. SET 30 KVA. (STAND-BY)</v>
          </cell>
          <cell r="E112">
            <v>411000</v>
          </cell>
          <cell r="F112">
            <v>6000</v>
          </cell>
          <cell r="G112" t="str">
            <v>SET</v>
          </cell>
        </row>
        <row r="113">
          <cell r="C113">
            <v>432</v>
          </cell>
          <cell r="D113" t="str">
            <v>-  GEN. SET 45 KVA. (STAND-BY)</v>
          </cell>
          <cell r="E113">
            <v>456000</v>
          </cell>
          <cell r="F113">
            <v>6000</v>
          </cell>
          <cell r="G113" t="str">
            <v>SET</v>
          </cell>
        </row>
        <row r="114">
          <cell r="C114">
            <v>433</v>
          </cell>
          <cell r="D114" t="str">
            <v>-  GEN. SET 50 KVA. (STAND-BY)</v>
          </cell>
          <cell r="E114">
            <v>546000</v>
          </cell>
          <cell r="F114">
            <v>8000</v>
          </cell>
          <cell r="G114" t="str">
            <v>SET</v>
          </cell>
        </row>
        <row r="115">
          <cell r="C115">
            <v>434</v>
          </cell>
          <cell r="D115" t="str">
            <v>-  GEN. SET 70 KVA. (STAND-BY)</v>
          </cell>
          <cell r="E115">
            <v>570000</v>
          </cell>
          <cell r="F115">
            <v>8000</v>
          </cell>
          <cell r="G115" t="str">
            <v>SET</v>
          </cell>
        </row>
        <row r="116">
          <cell r="C116">
            <v>435</v>
          </cell>
          <cell r="D116" t="str">
            <v>-  GEN. SET 90 KVA. (STAND-BY)</v>
          </cell>
          <cell r="E116">
            <v>590000</v>
          </cell>
          <cell r="F116">
            <v>10000</v>
          </cell>
          <cell r="G116" t="str">
            <v>SET</v>
          </cell>
        </row>
        <row r="117">
          <cell r="C117">
            <v>436</v>
          </cell>
          <cell r="D117" t="str">
            <v>-  GEN. SET 110 KVA. (STAND-BY)</v>
          </cell>
          <cell r="E117">
            <v>670000</v>
          </cell>
          <cell r="F117">
            <v>10000</v>
          </cell>
          <cell r="G117" t="str">
            <v>SET</v>
          </cell>
        </row>
        <row r="118">
          <cell r="C118">
            <v>437</v>
          </cell>
          <cell r="D118" t="str">
            <v>-  GEN. SET 150 KVA. (STAND-BY)</v>
          </cell>
          <cell r="E118">
            <v>900000</v>
          </cell>
          <cell r="F118">
            <v>15000</v>
          </cell>
          <cell r="G118" t="str">
            <v>SET</v>
          </cell>
        </row>
        <row r="119">
          <cell r="C119">
            <v>438</v>
          </cell>
          <cell r="D119" t="str">
            <v>-  GEN. SET 190 KVA. (STAND-BY)</v>
          </cell>
          <cell r="E119">
            <v>920000</v>
          </cell>
          <cell r="F119">
            <v>15000</v>
          </cell>
          <cell r="G119" t="str">
            <v>SET</v>
          </cell>
        </row>
        <row r="120">
          <cell r="C120">
            <v>439</v>
          </cell>
          <cell r="D120" t="str">
            <v>-  GEN. SET 210 KVA. (STAND-BY)</v>
          </cell>
          <cell r="E120">
            <v>1100000</v>
          </cell>
          <cell r="F120">
            <v>20000</v>
          </cell>
          <cell r="G120" t="str">
            <v>SET</v>
          </cell>
        </row>
        <row r="121">
          <cell r="C121">
            <v>440</v>
          </cell>
          <cell r="D121" t="str">
            <v>-  GEN. SET 250 KVA. (STAND-BY)</v>
          </cell>
          <cell r="E121">
            <v>1214000</v>
          </cell>
          <cell r="F121">
            <v>20000</v>
          </cell>
          <cell r="G121" t="str">
            <v>SET</v>
          </cell>
        </row>
        <row r="122">
          <cell r="C122">
            <v>441</v>
          </cell>
          <cell r="D122" t="str">
            <v>-  GEN. SET 280 KVA. (STAND-BY)</v>
          </cell>
          <cell r="E122">
            <v>1350000</v>
          </cell>
          <cell r="F122">
            <v>20000</v>
          </cell>
          <cell r="G122" t="str">
            <v>SET</v>
          </cell>
        </row>
        <row r="123">
          <cell r="C123">
            <v>442</v>
          </cell>
          <cell r="D123" t="str">
            <v>-  GEN. SET 310 KVA. (STAND-BY)</v>
          </cell>
          <cell r="E123">
            <v>1510000</v>
          </cell>
          <cell r="F123">
            <v>25000</v>
          </cell>
          <cell r="G123" t="str">
            <v>SET</v>
          </cell>
        </row>
        <row r="124">
          <cell r="C124">
            <v>443</v>
          </cell>
          <cell r="D124" t="str">
            <v>-  GEN. SET 330 KVA. (STAND-BY)</v>
          </cell>
          <cell r="E124">
            <v>1550000</v>
          </cell>
          <cell r="F124">
            <v>25000</v>
          </cell>
          <cell r="G124" t="str">
            <v>SET</v>
          </cell>
        </row>
        <row r="125">
          <cell r="C125">
            <v>444</v>
          </cell>
          <cell r="D125" t="str">
            <v>-  GEN. SET 345 KVA. (STAND-BY)</v>
          </cell>
          <cell r="E125">
            <v>1600000</v>
          </cell>
          <cell r="F125">
            <v>25000</v>
          </cell>
          <cell r="G125" t="str">
            <v>SET</v>
          </cell>
        </row>
        <row r="126">
          <cell r="C126">
            <v>445</v>
          </cell>
          <cell r="D126" t="str">
            <v>-  GEN. SET 390 KVA. (STAND-BY)</v>
          </cell>
          <cell r="E126">
            <v>1884000</v>
          </cell>
          <cell r="F126">
            <v>25000</v>
          </cell>
          <cell r="G126" t="str">
            <v>SET</v>
          </cell>
        </row>
        <row r="127">
          <cell r="C127">
            <v>446</v>
          </cell>
          <cell r="D127" t="str">
            <v>-  GEN. SET 415 KVA. (STAND-BY)</v>
          </cell>
          <cell r="E127">
            <v>1900000</v>
          </cell>
          <cell r="F127">
            <v>25000</v>
          </cell>
          <cell r="G127" t="str">
            <v>SET</v>
          </cell>
        </row>
        <row r="128">
          <cell r="C128">
            <v>447</v>
          </cell>
          <cell r="D128" t="str">
            <v>-  GEN. SET 500 KVA. (STAND-BY)</v>
          </cell>
          <cell r="E128">
            <v>2063000</v>
          </cell>
          <cell r="F128">
            <v>25000</v>
          </cell>
          <cell r="G128" t="str">
            <v>SET</v>
          </cell>
        </row>
        <row r="129">
          <cell r="C129">
            <v>448</v>
          </cell>
          <cell r="D129" t="str">
            <v>-  GEN. SET 560 KVA. (STAND-BY)</v>
          </cell>
          <cell r="E129">
            <v>2195000</v>
          </cell>
          <cell r="F129">
            <v>30000</v>
          </cell>
          <cell r="G129" t="str">
            <v>SET</v>
          </cell>
        </row>
        <row r="130">
          <cell r="C130">
            <v>449</v>
          </cell>
          <cell r="D130" t="str">
            <v>-  GEN. SET 700 KVA. (STAND-BY)</v>
          </cell>
          <cell r="E130">
            <v>2897000</v>
          </cell>
          <cell r="F130">
            <v>30000</v>
          </cell>
          <cell r="G130" t="str">
            <v>SET</v>
          </cell>
        </row>
        <row r="131">
          <cell r="C131">
            <v>450</v>
          </cell>
          <cell r="D131" t="str">
            <v>-  GEN. SET 800 KVA. (STAND-BY)</v>
          </cell>
          <cell r="E131">
            <v>3664000</v>
          </cell>
          <cell r="F131">
            <v>30000</v>
          </cell>
          <cell r="G131" t="str">
            <v>SET</v>
          </cell>
        </row>
        <row r="132">
          <cell r="C132">
            <v>451</v>
          </cell>
          <cell r="D132" t="str">
            <v>-  GEN. SET 830 KVA. (STAND-BY)</v>
          </cell>
          <cell r="E132">
            <v>3826000</v>
          </cell>
          <cell r="F132">
            <v>35000</v>
          </cell>
          <cell r="G132" t="str">
            <v>SET</v>
          </cell>
        </row>
        <row r="133">
          <cell r="C133">
            <v>452</v>
          </cell>
          <cell r="D133" t="str">
            <v>-  GEN. SET 1,000 KVA. (STAND-BY)</v>
          </cell>
          <cell r="E133">
            <v>3963000</v>
          </cell>
          <cell r="F133">
            <v>35000</v>
          </cell>
          <cell r="G133" t="str">
            <v>SET</v>
          </cell>
        </row>
        <row r="134">
          <cell r="C134">
            <v>453</v>
          </cell>
          <cell r="D134" t="str">
            <v>-  GEN. SET 1,125 KVA. (STAND-BY)</v>
          </cell>
          <cell r="E134">
            <v>4683000</v>
          </cell>
          <cell r="F134">
            <v>40000</v>
          </cell>
          <cell r="G134" t="str">
            <v>SET</v>
          </cell>
        </row>
        <row r="135">
          <cell r="C135">
            <v>454</v>
          </cell>
          <cell r="D135" t="str">
            <v>-  GEN. SET 1,400 KVA. (STAND-BY)</v>
          </cell>
          <cell r="E135">
            <v>5400000</v>
          </cell>
          <cell r="F135">
            <v>45000</v>
          </cell>
          <cell r="G135" t="str">
            <v>SET</v>
          </cell>
        </row>
        <row r="136">
          <cell r="C136">
            <v>455</v>
          </cell>
          <cell r="D136" t="str">
            <v>-  GEN. SET 1,550 KVA. (STAND-BY)</v>
          </cell>
          <cell r="E136">
            <v>6330000</v>
          </cell>
          <cell r="F136">
            <v>50000</v>
          </cell>
          <cell r="G136" t="str">
            <v>SET</v>
          </cell>
        </row>
        <row r="137">
          <cell r="C137">
            <v>456</v>
          </cell>
          <cell r="D137" t="str">
            <v>-  GEN. SET 1,600 KVA. (STAND-BY)</v>
          </cell>
          <cell r="E137">
            <v>7000000</v>
          </cell>
          <cell r="F137">
            <v>50000</v>
          </cell>
          <cell r="G137" t="str">
            <v>SET</v>
          </cell>
        </row>
        <row r="138">
          <cell r="C138">
            <v>802</v>
          </cell>
          <cell r="D138" t="str">
            <v>SPACE</v>
          </cell>
          <cell r="E138">
            <v>11000</v>
          </cell>
          <cell r="F138">
            <v>500</v>
          </cell>
          <cell r="G138" t="str">
            <v>M.</v>
          </cell>
        </row>
        <row r="139">
          <cell r="C139">
            <v>5</v>
          </cell>
          <cell r="D139" t="str">
            <v>HIGH-VOLTAGE EQUIPMENT</v>
          </cell>
          <cell r="E139">
            <v>12000</v>
          </cell>
          <cell r="F139">
            <v>700</v>
          </cell>
          <cell r="G139" t="str">
            <v>M.</v>
          </cell>
        </row>
        <row r="140">
          <cell r="C140">
            <v>501</v>
          </cell>
          <cell r="D140" t="str">
            <v>-  LIGHTNING ARRESTER 21 KV. 5 KA.</v>
          </cell>
          <cell r="E140">
            <v>3000</v>
          </cell>
          <cell r="F140">
            <v>200</v>
          </cell>
          <cell r="G140" t="str">
            <v>EA.</v>
          </cell>
        </row>
        <row r="141">
          <cell r="C141">
            <v>502</v>
          </cell>
          <cell r="D141" t="str">
            <v>-  LIGHTNING ARRESTER 24 KV. 5 KA.</v>
          </cell>
          <cell r="E141">
            <v>3000</v>
          </cell>
          <cell r="F141">
            <v>200</v>
          </cell>
          <cell r="G141" t="str">
            <v>EA.</v>
          </cell>
        </row>
        <row r="142">
          <cell r="C142">
            <v>503</v>
          </cell>
          <cell r="D142" t="str">
            <v>-  LIGHTNING ARRESTER 30 KV. 5 KA.</v>
          </cell>
          <cell r="E142">
            <v>5800</v>
          </cell>
          <cell r="F142">
            <v>200</v>
          </cell>
          <cell r="G142" t="str">
            <v>EA.</v>
          </cell>
        </row>
        <row r="143">
          <cell r="C143">
            <v>504</v>
          </cell>
          <cell r="D143" t="str">
            <v>-  LIGHTNING ARRESTER 20 KV. 10 KA.</v>
          </cell>
          <cell r="E143">
            <v>6000</v>
          </cell>
          <cell r="F143">
            <v>200</v>
          </cell>
          <cell r="G143" t="str">
            <v>EA.</v>
          </cell>
        </row>
        <row r="144">
          <cell r="C144">
            <v>505</v>
          </cell>
          <cell r="D144" t="str">
            <v>-  LIGHTNING ARRESTER 24 KV. 10 KA.</v>
          </cell>
          <cell r="E144">
            <v>6000</v>
          </cell>
          <cell r="F144">
            <v>200</v>
          </cell>
          <cell r="G144" t="str">
            <v>EA.</v>
          </cell>
        </row>
        <row r="145">
          <cell r="C145">
            <v>506</v>
          </cell>
          <cell r="D145" t="str">
            <v>-  LIGHTNING ARRESTER 30 KV. 10 KA.</v>
          </cell>
          <cell r="E145">
            <v>7500</v>
          </cell>
          <cell r="F145">
            <v>200</v>
          </cell>
          <cell r="G145" t="str">
            <v>EA.</v>
          </cell>
        </row>
        <row r="146">
          <cell r="C146">
            <v>507</v>
          </cell>
          <cell r="D146" t="str">
            <v>-  CURRENT TRANSFORMER 24 KV.</v>
          </cell>
          <cell r="E146">
            <v>22000</v>
          </cell>
          <cell r="F146">
            <v>0</v>
          </cell>
          <cell r="G146" t="str">
            <v>EA.</v>
          </cell>
        </row>
        <row r="147">
          <cell r="C147">
            <v>508</v>
          </cell>
          <cell r="D147" t="str">
            <v>-  CURRENT TRANSFORMER 36 KV.</v>
          </cell>
          <cell r="E147">
            <v>25000</v>
          </cell>
          <cell r="F147">
            <v>0</v>
          </cell>
          <cell r="G147" t="str">
            <v>EA.</v>
          </cell>
        </row>
        <row r="148">
          <cell r="C148">
            <v>509</v>
          </cell>
          <cell r="D148" t="str">
            <v>-  VOLTAGE TRANSFORMER 24 KV.</v>
          </cell>
          <cell r="E148">
            <v>32000</v>
          </cell>
          <cell r="F148">
            <v>0</v>
          </cell>
          <cell r="G148" t="str">
            <v>EA.</v>
          </cell>
        </row>
        <row r="149">
          <cell r="C149">
            <v>510</v>
          </cell>
          <cell r="D149" t="str">
            <v>-  VOLTAGE TRANSFORMER 36 KV.</v>
          </cell>
          <cell r="E149">
            <v>50000</v>
          </cell>
          <cell r="F149">
            <v>0</v>
          </cell>
          <cell r="G149" t="str">
            <v>EA.</v>
          </cell>
        </row>
        <row r="150">
          <cell r="C150">
            <v>511</v>
          </cell>
          <cell r="D150" t="str">
            <v>-  35 SQ.MM. TERMINATOR 24 KV. INDOOR TYPE</v>
          </cell>
          <cell r="E150">
            <v>1750</v>
          </cell>
          <cell r="F150">
            <v>1000</v>
          </cell>
          <cell r="G150" t="str">
            <v>SET</v>
          </cell>
        </row>
        <row r="151">
          <cell r="C151">
            <v>512</v>
          </cell>
          <cell r="D151" t="str">
            <v>-  70 SQ.MM. TERMINATOR 24 KV. INDOOR TYPE</v>
          </cell>
          <cell r="E151">
            <v>1850</v>
          </cell>
          <cell r="F151">
            <v>1000</v>
          </cell>
          <cell r="G151" t="str">
            <v>SET</v>
          </cell>
        </row>
        <row r="152">
          <cell r="C152">
            <v>513</v>
          </cell>
          <cell r="D152" t="str">
            <v>-  185 SQ.MM. TERMINATOR 24 KV. INDOOR TYPE</v>
          </cell>
          <cell r="E152">
            <v>2100</v>
          </cell>
          <cell r="F152">
            <v>1000</v>
          </cell>
          <cell r="G152" t="str">
            <v>SET</v>
          </cell>
        </row>
        <row r="153">
          <cell r="C153">
            <v>514</v>
          </cell>
          <cell r="D153" t="str">
            <v>-  400 SQ.MM. TERMINATOR 24 KV. INDOOR TYPE</v>
          </cell>
          <cell r="E153">
            <v>2380</v>
          </cell>
          <cell r="F153">
            <v>1000</v>
          </cell>
          <cell r="G153" t="str">
            <v>SET</v>
          </cell>
        </row>
        <row r="154">
          <cell r="C154">
            <v>515</v>
          </cell>
          <cell r="D154" t="str">
            <v>-  50 SQ.MM. TERMINATOR 36 KV. INDOOR TYPE</v>
          </cell>
          <cell r="E154">
            <v>2750</v>
          </cell>
          <cell r="F154">
            <v>1000</v>
          </cell>
          <cell r="G154" t="str">
            <v>SET</v>
          </cell>
        </row>
        <row r="155">
          <cell r="C155">
            <v>516</v>
          </cell>
          <cell r="D155" t="str">
            <v>-  120 SQ.MM. TERMINATOR 36 KV. INDOOR TYPE</v>
          </cell>
          <cell r="E155">
            <v>3150</v>
          </cell>
          <cell r="F155">
            <v>1000</v>
          </cell>
          <cell r="G155" t="str">
            <v>SET</v>
          </cell>
        </row>
        <row r="156">
          <cell r="C156">
            <v>517</v>
          </cell>
          <cell r="D156" t="str">
            <v>-  185 SQ.MM. TERMINATOR 36 KV. INDOOR TYPE</v>
          </cell>
          <cell r="E156">
            <v>3380</v>
          </cell>
          <cell r="F156">
            <v>1000</v>
          </cell>
          <cell r="G156" t="str">
            <v>SET</v>
          </cell>
        </row>
        <row r="157">
          <cell r="C157">
            <v>518</v>
          </cell>
          <cell r="D157" t="str">
            <v>-  500 SQ.MM. TERMINATOR 36 KV. INDOOR TYPE</v>
          </cell>
          <cell r="E157">
            <v>3800</v>
          </cell>
          <cell r="F157">
            <v>1000</v>
          </cell>
          <cell r="G157" t="str">
            <v>SET</v>
          </cell>
        </row>
        <row r="158">
          <cell r="C158">
            <v>519</v>
          </cell>
          <cell r="D158" t="str">
            <v>-  35 SQ.MM. TERMINATOR 24 KV. OUTDOOR TYPE</v>
          </cell>
          <cell r="E158">
            <v>4400</v>
          </cell>
          <cell r="F158">
            <v>1000</v>
          </cell>
          <cell r="G158" t="str">
            <v>SET</v>
          </cell>
        </row>
        <row r="159">
          <cell r="C159">
            <v>520</v>
          </cell>
          <cell r="D159" t="str">
            <v>-  70 SQ.MM. TERMINATOR 24 KV. OUTDOOR TYPE</v>
          </cell>
          <cell r="E159">
            <v>4600</v>
          </cell>
          <cell r="F159">
            <v>1000</v>
          </cell>
          <cell r="G159" t="str">
            <v>SET</v>
          </cell>
        </row>
        <row r="160">
          <cell r="C160">
            <v>521</v>
          </cell>
          <cell r="D160" t="str">
            <v>-  185 SQ.MM. TERMINATOR 24 KV. OUTDOOR TYPE</v>
          </cell>
          <cell r="E160">
            <v>4950</v>
          </cell>
          <cell r="F160">
            <v>1200</v>
          </cell>
          <cell r="G160" t="str">
            <v>SET</v>
          </cell>
        </row>
        <row r="161">
          <cell r="C161">
            <v>522</v>
          </cell>
          <cell r="D161" t="str">
            <v>-  400 SQ.MM. TERMINATOR 24 KV. OUTDOOR TYPE</v>
          </cell>
          <cell r="E161">
            <v>5400</v>
          </cell>
          <cell r="F161">
            <v>1200</v>
          </cell>
          <cell r="G161" t="str">
            <v>SET</v>
          </cell>
        </row>
        <row r="162">
          <cell r="C162">
            <v>523</v>
          </cell>
          <cell r="D162" t="str">
            <v>-  50 SQ.MM. TERMINATOR 36 KV. OUTDOOR TYPE</v>
          </cell>
          <cell r="E162">
            <v>6300</v>
          </cell>
          <cell r="F162">
            <v>1000</v>
          </cell>
          <cell r="G162" t="str">
            <v>SET</v>
          </cell>
        </row>
        <row r="163">
          <cell r="C163">
            <v>524</v>
          </cell>
          <cell r="D163" t="str">
            <v>-  120 SQ.MM. TERMINATOR 36 KV. OUTDOOR TYPE</v>
          </cell>
          <cell r="E163">
            <v>6800</v>
          </cell>
          <cell r="F163">
            <v>1000</v>
          </cell>
          <cell r="G163" t="str">
            <v>SET</v>
          </cell>
        </row>
        <row r="164">
          <cell r="C164">
            <v>525</v>
          </cell>
          <cell r="D164" t="str">
            <v>-  185 SQ.MM. TERMINATOR 36 KV. OUTDOOR TYPE</v>
          </cell>
          <cell r="E164">
            <v>7600</v>
          </cell>
          <cell r="F164">
            <v>1200</v>
          </cell>
          <cell r="G164" t="str">
            <v>SET</v>
          </cell>
        </row>
        <row r="165">
          <cell r="C165">
            <v>526</v>
          </cell>
          <cell r="D165" t="str">
            <v>-  500 SQ.MM. TERMINATOR 36 KV. OUTDOOR TYPE</v>
          </cell>
          <cell r="E165">
            <v>8000</v>
          </cell>
          <cell r="F165">
            <v>1200</v>
          </cell>
          <cell r="G165" t="str">
            <v>SET</v>
          </cell>
        </row>
        <row r="166">
          <cell r="C166">
            <v>829</v>
          </cell>
          <cell r="D166" t="str">
            <v>SPACE</v>
          </cell>
          <cell r="E166">
            <v>28000</v>
          </cell>
          <cell r="F166">
            <v>800</v>
          </cell>
          <cell r="G166" t="str">
            <v>M.</v>
          </cell>
        </row>
        <row r="167">
          <cell r="C167">
            <v>830</v>
          </cell>
          <cell r="D167" t="str">
            <v>MANHOLE</v>
          </cell>
          <cell r="E167">
            <v>30000</v>
          </cell>
          <cell r="F167">
            <v>1000</v>
          </cell>
          <cell r="G167" t="str">
            <v>M.</v>
          </cell>
        </row>
        <row r="168">
          <cell r="C168">
            <v>551</v>
          </cell>
          <cell r="D168" t="str">
            <v>-  MANHOLE TYPE C</v>
          </cell>
          <cell r="E168">
            <v>15000</v>
          </cell>
          <cell r="F168">
            <v>5000</v>
          </cell>
          <cell r="G168" t="str">
            <v>LOT</v>
          </cell>
        </row>
        <row r="169">
          <cell r="C169">
            <v>552</v>
          </cell>
          <cell r="D169" t="str">
            <v>-  MANHOLE TYPE C - 1</v>
          </cell>
          <cell r="E169">
            <v>19000</v>
          </cell>
          <cell r="F169">
            <v>5000</v>
          </cell>
          <cell r="G169" t="str">
            <v>LOT</v>
          </cell>
        </row>
        <row r="170">
          <cell r="C170">
            <v>553</v>
          </cell>
          <cell r="D170" t="str">
            <v>-  MANHOLE TYPE C - 2</v>
          </cell>
          <cell r="E170">
            <v>14000</v>
          </cell>
          <cell r="F170">
            <v>5000</v>
          </cell>
          <cell r="G170" t="str">
            <v>LOT</v>
          </cell>
        </row>
        <row r="171">
          <cell r="C171">
            <v>554</v>
          </cell>
          <cell r="D171" t="str">
            <v>-  MANHOLE TYPE C - 3</v>
          </cell>
          <cell r="E171">
            <v>15000</v>
          </cell>
          <cell r="F171">
            <v>5000</v>
          </cell>
          <cell r="G171" t="str">
            <v>LOT</v>
          </cell>
        </row>
        <row r="172">
          <cell r="C172">
            <v>555</v>
          </cell>
          <cell r="D172" t="str">
            <v>-  MANHOLE TYPE A - 1</v>
          </cell>
          <cell r="E172">
            <v>40000</v>
          </cell>
          <cell r="F172">
            <v>25000</v>
          </cell>
          <cell r="G172" t="str">
            <v>LOT</v>
          </cell>
        </row>
        <row r="173">
          <cell r="C173">
            <v>556</v>
          </cell>
          <cell r="D173" t="str">
            <v>-  MANHOLE TYPE A - 1/1</v>
          </cell>
          <cell r="E173">
            <v>60000</v>
          </cell>
          <cell r="F173">
            <v>25000</v>
          </cell>
          <cell r="G173" t="str">
            <v>LOT</v>
          </cell>
        </row>
        <row r="174">
          <cell r="C174">
            <v>557</v>
          </cell>
          <cell r="D174" t="str">
            <v>-  MANHOLE TYPE A - 1/2</v>
          </cell>
          <cell r="E174">
            <v>54000</v>
          </cell>
          <cell r="F174">
            <v>22000</v>
          </cell>
          <cell r="G174" t="str">
            <v>LOT</v>
          </cell>
        </row>
        <row r="175">
          <cell r="C175">
            <v>558</v>
          </cell>
          <cell r="D175" t="str">
            <v>-  MANHOLE TYPE A - 1/3</v>
          </cell>
          <cell r="E175">
            <v>54000</v>
          </cell>
          <cell r="F175">
            <v>22000</v>
          </cell>
          <cell r="G175" t="str">
            <v>LOT</v>
          </cell>
        </row>
        <row r="176">
          <cell r="C176">
            <v>559</v>
          </cell>
          <cell r="D176" t="str">
            <v>-  MANHOLE TYPE A - 2</v>
          </cell>
          <cell r="E176">
            <v>49000</v>
          </cell>
          <cell r="F176">
            <v>17000</v>
          </cell>
          <cell r="G176" t="str">
            <v>LOT</v>
          </cell>
        </row>
        <row r="177">
          <cell r="C177">
            <v>560</v>
          </cell>
          <cell r="D177" t="str">
            <v>-  MANHOLE TYPE A - 2/1</v>
          </cell>
          <cell r="E177">
            <v>50000</v>
          </cell>
          <cell r="F177">
            <v>17000</v>
          </cell>
          <cell r="G177" t="str">
            <v>LOT</v>
          </cell>
        </row>
        <row r="178">
          <cell r="C178">
            <v>561</v>
          </cell>
          <cell r="D178" t="str">
            <v>-  MANHOLE TYPE A - 3</v>
          </cell>
          <cell r="E178">
            <v>42000</v>
          </cell>
          <cell r="F178">
            <v>15000</v>
          </cell>
          <cell r="G178" t="str">
            <v>LOT</v>
          </cell>
        </row>
        <row r="179">
          <cell r="C179">
            <v>562</v>
          </cell>
          <cell r="D179" t="str">
            <v>-  MANHOLE TYPE A - 3/1</v>
          </cell>
          <cell r="E179">
            <v>43000</v>
          </cell>
          <cell r="F179">
            <v>16000</v>
          </cell>
          <cell r="G179" t="str">
            <v>LOT</v>
          </cell>
        </row>
        <row r="180">
          <cell r="C180">
            <v>563</v>
          </cell>
          <cell r="D180" t="str">
            <v>-  MANHOLE TYPE A - 4/1</v>
          </cell>
          <cell r="E180">
            <v>60000</v>
          </cell>
          <cell r="F180">
            <v>20000</v>
          </cell>
          <cell r="G180" t="str">
            <v>LOT</v>
          </cell>
        </row>
        <row r="181">
          <cell r="C181">
            <v>564</v>
          </cell>
          <cell r="D181" t="str">
            <v>-  MANHOLE TYPE B - 3/1</v>
          </cell>
          <cell r="E181">
            <v>165000</v>
          </cell>
          <cell r="F181">
            <v>33000</v>
          </cell>
          <cell r="G181" t="str">
            <v>LOT</v>
          </cell>
        </row>
        <row r="182">
          <cell r="C182">
            <v>565</v>
          </cell>
          <cell r="D182" t="str">
            <v>-  MANHOLE TYPE B - 3/15</v>
          </cell>
          <cell r="E182">
            <v>144000</v>
          </cell>
          <cell r="F182">
            <v>46000</v>
          </cell>
          <cell r="G182" t="str">
            <v>LOT</v>
          </cell>
        </row>
        <row r="183">
          <cell r="C183">
            <v>566</v>
          </cell>
          <cell r="D183" t="str">
            <v>-  MANHOLE TYPE B - 3/3</v>
          </cell>
          <cell r="E183">
            <v>110000</v>
          </cell>
          <cell r="F183">
            <v>39000</v>
          </cell>
          <cell r="G183" t="str">
            <v>LOT</v>
          </cell>
        </row>
        <row r="184">
          <cell r="C184">
            <v>567</v>
          </cell>
          <cell r="D184" t="str">
            <v>-  MANHOLE TYPE B - 3/4</v>
          </cell>
          <cell r="E184">
            <v>136000</v>
          </cell>
          <cell r="F184">
            <v>37000</v>
          </cell>
          <cell r="G184" t="str">
            <v>LOT</v>
          </cell>
        </row>
        <row r="185">
          <cell r="C185">
            <v>568</v>
          </cell>
          <cell r="D185" t="str">
            <v>-  MANHOLE TYPE B - 4/1</v>
          </cell>
          <cell r="E185">
            <v>93000</v>
          </cell>
          <cell r="F185">
            <v>29000</v>
          </cell>
          <cell r="G185" t="str">
            <v>LOT</v>
          </cell>
        </row>
        <row r="186">
          <cell r="C186">
            <v>6</v>
          </cell>
          <cell r="D186" t="str">
            <v>HIGH-VOLTAGE SWITCHING EQUIPMENT</v>
          </cell>
          <cell r="E186">
            <v>14000</v>
          </cell>
          <cell r="F186">
            <v>500</v>
          </cell>
          <cell r="G186" t="str">
            <v>M.</v>
          </cell>
        </row>
        <row r="187">
          <cell r="C187">
            <v>853</v>
          </cell>
          <cell r="D187" t="str">
            <v>DROPOUT FUSE CUTOUT</v>
          </cell>
          <cell r="E187">
            <v>14000</v>
          </cell>
          <cell r="F187">
            <v>700</v>
          </cell>
          <cell r="G187" t="str">
            <v>M.</v>
          </cell>
        </row>
        <row r="188">
          <cell r="C188">
            <v>601</v>
          </cell>
          <cell r="D188" t="str">
            <v>-  DROPOUT FUSE CUTOUT 24 KV. 100A. 10 KA.</v>
          </cell>
          <cell r="E188">
            <v>6000</v>
          </cell>
          <cell r="F188">
            <v>500</v>
          </cell>
          <cell r="G188" t="str">
            <v>EA.</v>
          </cell>
        </row>
        <row r="189">
          <cell r="C189">
            <v>602</v>
          </cell>
          <cell r="D189" t="str">
            <v>-  DROPOUT FUSE CUTOUT 24 KV. 200A. 10 KA.</v>
          </cell>
          <cell r="E189">
            <v>7500</v>
          </cell>
          <cell r="F189">
            <v>500</v>
          </cell>
          <cell r="G189" t="str">
            <v>EA.</v>
          </cell>
        </row>
        <row r="190">
          <cell r="C190">
            <v>603</v>
          </cell>
          <cell r="D190" t="str">
            <v>-  DROPOUT FUSE CUTOUT 36 KV. 100A. 10 KA.</v>
          </cell>
          <cell r="E190">
            <v>6000</v>
          </cell>
          <cell r="F190">
            <v>500</v>
          </cell>
          <cell r="G190" t="str">
            <v>EA.</v>
          </cell>
        </row>
        <row r="191">
          <cell r="C191">
            <v>604</v>
          </cell>
          <cell r="D191" t="str">
            <v>-  DROPOUT FUSE CUTOUT 36 KV. 200A. 10 KA.</v>
          </cell>
          <cell r="E191">
            <v>14000</v>
          </cell>
          <cell r="F191">
            <v>500</v>
          </cell>
          <cell r="G191" t="str">
            <v>EA.</v>
          </cell>
        </row>
        <row r="192">
          <cell r="C192">
            <v>858</v>
          </cell>
          <cell r="D192" t="str">
            <v>SPACE</v>
          </cell>
          <cell r="E192">
            <v>34000</v>
          </cell>
          <cell r="F192">
            <v>1000</v>
          </cell>
          <cell r="G192" t="str">
            <v>M.</v>
          </cell>
        </row>
        <row r="193">
          <cell r="C193">
            <v>859</v>
          </cell>
          <cell r="D193" t="str">
            <v>LOAD BREAK  (POLE MOUNTED)</v>
          </cell>
          <cell r="E193">
            <v>40000</v>
          </cell>
          <cell r="F193">
            <v>1000</v>
          </cell>
          <cell r="G193" t="str">
            <v>M.</v>
          </cell>
        </row>
        <row r="194">
          <cell r="C194">
            <v>611</v>
          </cell>
          <cell r="D194" t="str">
            <v>-  LOAD BREAK SWITCH 25 KV. 600A.</v>
          </cell>
          <cell r="E194">
            <v>200000</v>
          </cell>
          <cell r="F194">
            <v>5000</v>
          </cell>
          <cell r="G194" t="str">
            <v>EA.</v>
          </cell>
        </row>
        <row r="195">
          <cell r="C195">
            <v>612</v>
          </cell>
          <cell r="D195" t="str">
            <v>-  LOAD BREAK SWITCH 35 KV. 600A.</v>
          </cell>
          <cell r="E195">
            <v>288000</v>
          </cell>
          <cell r="F195">
            <v>5000</v>
          </cell>
          <cell r="G195" t="str">
            <v>EA.</v>
          </cell>
        </row>
        <row r="196">
          <cell r="C196">
            <v>613</v>
          </cell>
          <cell r="D196" t="str">
            <v>-  SF6. LOAD BREAK SWITCH 25 KV. 400A. MANUAL OPERATE</v>
          </cell>
          <cell r="E196">
            <v>300000</v>
          </cell>
          <cell r="F196">
            <v>7000</v>
          </cell>
          <cell r="G196" t="str">
            <v>EA.</v>
          </cell>
        </row>
        <row r="197">
          <cell r="C197">
            <v>614</v>
          </cell>
          <cell r="D197" t="str">
            <v>-  SF6. LOAD BREAK SWITCH 25 KV. 400A. MANUAL AND ELECTRIC OPERATE</v>
          </cell>
          <cell r="E197">
            <v>380000</v>
          </cell>
          <cell r="F197">
            <v>7000</v>
          </cell>
          <cell r="G197" t="str">
            <v>EA.</v>
          </cell>
        </row>
        <row r="198">
          <cell r="C198">
            <v>864</v>
          </cell>
          <cell r="D198" t="str">
            <v>SPACE</v>
          </cell>
          <cell r="E198">
            <v>22000</v>
          </cell>
          <cell r="F198">
            <v>800</v>
          </cell>
          <cell r="G198" t="str">
            <v>M.</v>
          </cell>
        </row>
        <row r="199">
          <cell r="C199">
            <v>865</v>
          </cell>
          <cell r="D199" t="str">
            <v>DISCONNECTING SWITCH</v>
          </cell>
          <cell r="E199">
            <v>26000</v>
          </cell>
          <cell r="F199">
            <v>800</v>
          </cell>
          <cell r="G199" t="str">
            <v>M.</v>
          </cell>
        </row>
        <row r="200">
          <cell r="C200">
            <v>616</v>
          </cell>
          <cell r="D200" t="str">
            <v>-  DISCONNECTING SWITCH 24 KV. 600A.</v>
          </cell>
          <cell r="E200">
            <v>11000</v>
          </cell>
          <cell r="F200">
            <v>1500</v>
          </cell>
          <cell r="G200" t="str">
            <v>EA.</v>
          </cell>
        </row>
        <row r="201">
          <cell r="C201">
            <v>617</v>
          </cell>
          <cell r="D201" t="str">
            <v>-  DISCONNECTING SWITCH 36 KV. 600A.</v>
          </cell>
          <cell r="E201">
            <v>25000</v>
          </cell>
          <cell r="F201">
            <v>1500</v>
          </cell>
          <cell r="G201" t="str">
            <v>EA.</v>
          </cell>
        </row>
        <row r="202">
          <cell r="C202">
            <v>618</v>
          </cell>
          <cell r="D202" t="str">
            <v>-  DISCONNECTING SWITCH 24 KV. 1,200A.</v>
          </cell>
          <cell r="E202">
            <v>25000</v>
          </cell>
          <cell r="F202">
            <v>1500</v>
          </cell>
          <cell r="G202" t="str">
            <v>EA.</v>
          </cell>
        </row>
        <row r="203">
          <cell r="C203">
            <v>619</v>
          </cell>
          <cell r="D203" t="str">
            <v>-  DISCONNECTING SWITCH 36 KV. 1,200A.</v>
          </cell>
          <cell r="E203">
            <v>35000</v>
          </cell>
          <cell r="F203">
            <v>1500</v>
          </cell>
          <cell r="G203" t="str">
            <v>EA.</v>
          </cell>
        </row>
        <row r="204">
          <cell r="C204">
            <v>298</v>
          </cell>
          <cell r="D204" t="str">
            <v>SPACE</v>
          </cell>
          <cell r="E204">
            <v>55</v>
          </cell>
          <cell r="F204">
            <v>8</v>
          </cell>
          <cell r="G204" t="str">
            <v>M.</v>
          </cell>
        </row>
        <row r="205">
          <cell r="C205">
            <v>299</v>
          </cell>
          <cell r="D205" t="str">
            <v>LOAD BREAK SWITCH  (INDOOR)</v>
          </cell>
          <cell r="E205">
            <v>74</v>
          </cell>
          <cell r="F205">
            <v>11</v>
          </cell>
          <cell r="G205" t="str">
            <v>M.</v>
          </cell>
        </row>
        <row r="206">
          <cell r="C206">
            <v>626</v>
          </cell>
          <cell r="D206" t="str">
            <v>-  LOAD BREAK SWITCH 24 KV. 630A. (NONFUSE)</v>
          </cell>
          <cell r="E206">
            <v>70000</v>
          </cell>
          <cell r="F206">
            <v>0</v>
          </cell>
          <cell r="G206" t="str">
            <v>EA.</v>
          </cell>
        </row>
        <row r="207">
          <cell r="C207">
            <v>627</v>
          </cell>
          <cell r="D207" t="str">
            <v>-  LOAD BREAK SWITCH 36 KV. 630A. (NONFUSE)</v>
          </cell>
          <cell r="E207">
            <v>85000</v>
          </cell>
          <cell r="F207">
            <v>0</v>
          </cell>
          <cell r="G207" t="str">
            <v>EA.</v>
          </cell>
        </row>
        <row r="208">
          <cell r="C208">
            <v>628</v>
          </cell>
          <cell r="D208" t="str">
            <v>-  LOAD BREAK SWITCH 24 KV. 630A. (W./FUSE)</v>
          </cell>
          <cell r="E208">
            <v>86000</v>
          </cell>
          <cell r="F208">
            <v>0</v>
          </cell>
          <cell r="G208" t="str">
            <v>EA.</v>
          </cell>
        </row>
        <row r="209">
          <cell r="C209">
            <v>629</v>
          </cell>
          <cell r="D209" t="str">
            <v>-  LOAD BREAK SWITCH 36 KV. 630A. (W./FUSE)</v>
          </cell>
          <cell r="E209">
            <v>115000</v>
          </cell>
          <cell r="F209">
            <v>0</v>
          </cell>
          <cell r="G209" t="str">
            <v>EA.</v>
          </cell>
        </row>
        <row r="210">
          <cell r="C210">
            <v>875</v>
          </cell>
          <cell r="D210" t="str">
            <v>SPACE</v>
          </cell>
          <cell r="E210">
            <v>24000</v>
          </cell>
          <cell r="F210">
            <v>800</v>
          </cell>
          <cell r="G210" t="str">
            <v>M.</v>
          </cell>
        </row>
        <row r="211">
          <cell r="C211">
            <v>636</v>
          </cell>
          <cell r="D211" t="str">
            <v xml:space="preserve">-  LOAD BREAK SWITCH 24 KV. 200A. </v>
          </cell>
          <cell r="E211">
            <v>514000</v>
          </cell>
          <cell r="F211">
            <v>8000</v>
          </cell>
          <cell r="G211" t="str">
            <v>EA.</v>
          </cell>
        </row>
        <row r="212">
          <cell r="C212">
            <v>637</v>
          </cell>
          <cell r="D212" t="str">
            <v xml:space="preserve">-  LOAD BREAK SWITCH 24 KV. 200A. </v>
          </cell>
          <cell r="E212">
            <v>819000</v>
          </cell>
          <cell r="F212">
            <v>10000</v>
          </cell>
          <cell r="G212" t="str">
            <v>EA.</v>
          </cell>
        </row>
        <row r="213">
          <cell r="C213">
            <v>638</v>
          </cell>
          <cell r="D213" t="str">
            <v xml:space="preserve">-  LOAD BREAK SWITCH 24 KV. 200A. </v>
          </cell>
          <cell r="E213">
            <v>1123000</v>
          </cell>
          <cell r="F213">
            <v>15000</v>
          </cell>
          <cell r="G213" t="str">
            <v>EA.</v>
          </cell>
        </row>
        <row r="214">
          <cell r="C214">
            <v>639</v>
          </cell>
          <cell r="D214" t="str">
            <v xml:space="preserve">-  LOAD BREAK SWITCH 24 KV. 200A. </v>
          </cell>
          <cell r="E214">
            <v>1224000</v>
          </cell>
          <cell r="F214">
            <v>10000</v>
          </cell>
          <cell r="G214" t="str">
            <v>EA.</v>
          </cell>
        </row>
        <row r="215">
          <cell r="C215">
            <v>640</v>
          </cell>
          <cell r="D215" t="str">
            <v xml:space="preserve">-  LOAD BREAK SWITCH 24 KV. 200A. </v>
          </cell>
          <cell r="E215">
            <v>2238000</v>
          </cell>
          <cell r="F215">
            <v>15000</v>
          </cell>
          <cell r="G215" t="str">
            <v>EA.</v>
          </cell>
        </row>
        <row r="216">
          <cell r="C216">
            <v>641</v>
          </cell>
          <cell r="D216" t="str">
            <v xml:space="preserve">-  LOAD BREAK SWITCH 24 KV. 200A. </v>
          </cell>
          <cell r="E216">
            <v>3252000</v>
          </cell>
          <cell r="F216">
            <v>18000</v>
          </cell>
          <cell r="G216" t="str">
            <v>EA.</v>
          </cell>
        </row>
        <row r="217">
          <cell r="C217">
            <v>882</v>
          </cell>
          <cell r="D217" t="str">
            <v>SPACE</v>
          </cell>
          <cell r="E217">
            <v>28000</v>
          </cell>
          <cell r="F217">
            <v>700</v>
          </cell>
          <cell r="G217" t="str">
            <v>M.</v>
          </cell>
        </row>
        <row r="218">
          <cell r="C218">
            <v>883</v>
          </cell>
          <cell r="D218" t="str">
            <v>RING MAIN UNIT (SF6)</v>
          </cell>
          <cell r="E218">
            <v>30000</v>
          </cell>
          <cell r="F218">
            <v>700</v>
          </cell>
          <cell r="G218" t="str">
            <v>M.</v>
          </cell>
        </row>
        <row r="219">
          <cell r="C219">
            <v>651</v>
          </cell>
          <cell r="D219" t="str">
            <v>-  3 FUNC 400A. RING MAIN UNIT (DISCONNECTING SWITCH)</v>
          </cell>
          <cell r="E219">
            <v>702000</v>
          </cell>
          <cell r="F219">
            <v>10000</v>
          </cell>
          <cell r="G219" t="str">
            <v>SET</v>
          </cell>
        </row>
        <row r="220">
          <cell r="C220">
            <v>652</v>
          </cell>
          <cell r="D220" t="str">
            <v>-  3 FUNC 400A. RING MAIN UNIT (CIRCUIT BREAKER))</v>
          </cell>
          <cell r="E220">
            <v>702000</v>
          </cell>
          <cell r="F220">
            <v>10000</v>
          </cell>
          <cell r="G220" t="str">
            <v>SET</v>
          </cell>
        </row>
        <row r="221">
          <cell r="C221">
            <v>653</v>
          </cell>
          <cell r="D221" t="str">
            <v>-  4 FUNC 400A. RING MAIN UNIT (DISCONNECTING SWITCH)</v>
          </cell>
          <cell r="E221">
            <v>1014000</v>
          </cell>
          <cell r="F221">
            <v>12000</v>
          </cell>
          <cell r="G221" t="str">
            <v>SET</v>
          </cell>
        </row>
        <row r="222">
          <cell r="C222">
            <v>654</v>
          </cell>
          <cell r="D222" t="str">
            <v>-  4 FUNC 400A. RING MAIN UNIT (CIRCUIT BREAKER))</v>
          </cell>
          <cell r="E222">
            <v>1014000</v>
          </cell>
          <cell r="F222">
            <v>12000</v>
          </cell>
          <cell r="G222" t="str">
            <v>SET</v>
          </cell>
        </row>
        <row r="223">
          <cell r="C223">
            <v>655</v>
          </cell>
          <cell r="D223" t="str">
            <v>-  3 FUNC 600A. RING MAIN UNIT (DISCONNECTING SWITCH)</v>
          </cell>
          <cell r="E223">
            <v>819000</v>
          </cell>
          <cell r="F223">
            <v>12000</v>
          </cell>
          <cell r="G223" t="str">
            <v>SET</v>
          </cell>
        </row>
        <row r="224">
          <cell r="C224">
            <v>656</v>
          </cell>
          <cell r="D224" t="str">
            <v>-  3 FUNC 600A. RING MAIN UNIT (CIRCUIT BREAKER))</v>
          </cell>
          <cell r="E224">
            <v>819000</v>
          </cell>
          <cell r="F224">
            <v>12000</v>
          </cell>
          <cell r="G224" t="str">
            <v>SET</v>
          </cell>
        </row>
        <row r="225">
          <cell r="C225">
            <v>657</v>
          </cell>
          <cell r="D225" t="str">
            <v>-  4 FUNC 600A. RING MAIN UNIT (DISCONNECTING SWITCH)</v>
          </cell>
          <cell r="E225">
            <v>1131000</v>
          </cell>
          <cell r="F225">
            <v>15000</v>
          </cell>
          <cell r="G225" t="str">
            <v>SET</v>
          </cell>
        </row>
        <row r="226">
          <cell r="C226">
            <v>658</v>
          </cell>
          <cell r="D226" t="str">
            <v>-  4 FUNC 600A. RING MAIN UNIT (CIRCUIT BREAKER))</v>
          </cell>
          <cell r="E226">
            <v>1131000</v>
          </cell>
          <cell r="F226">
            <v>15000</v>
          </cell>
          <cell r="G226" t="str">
            <v>SET</v>
          </cell>
        </row>
        <row r="227">
          <cell r="C227">
            <v>326</v>
          </cell>
          <cell r="D227" t="str">
            <v>SPACE</v>
          </cell>
          <cell r="E227">
            <v>1832</v>
          </cell>
          <cell r="F227">
            <v>130</v>
          </cell>
          <cell r="G227" t="str">
            <v>M.</v>
          </cell>
        </row>
        <row r="228">
          <cell r="C228">
            <v>327</v>
          </cell>
          <cell r="D228" t="str">
            <v>-  3/C - 185 SQ.MM. 12/20(24) KVCV</v>
          </cell>
          <cell r="E228">
            <v>2131</v>
          </cell>
          <cell r="F228">
            <v>140</v>
          </cell>
          <cell r="G228" t="str">
            <v>M.</v>
          </cell>
        </row>
        <row r="229">
          <cell r="C229">
            <v>328</v>
          </cell>
          <cell r="D229" t="str">
            <v>-  3/C - 240 SQ.MM. 12/20(24) KVCV</v>
          </cell>
          <cell r="E229">
            <v>2566</v>
          </cell>
          <cell r="F229">
            <v>160</v>
          </cell>
          <cell r="G229" t="str">
            <v>M.</v>
          </cell>
        </row>
        <row r="230">
          <cell r="C230">
            <v>329</v>
          </cell>
          <cell r="D230" t="str">
            <v>-  3/C - 300 SQ.MM. 12/20(24) KVCV</v>
          </cell>
          <cell r="E230">
            <v>3084</v>
          </cell>
          <cell r="F230">
            <v>180</v>
          </cell>
          <cell r="G230" t="str">
            <v>M.</v>
          </cell>
        </row>
        <row r="231">
          <cell r="C231">
            <v>330</v>
          </cell>
          <cell r="D231" t="str">
            <v>-  3/C - 400 SQ.MM. 12/20(24) KVCV</v>
          </cell>
          <cell r="E231">
            <v>3712</v>
          </cell>
          <cell r="F231">
            <v>200</v>
          </cell>
          <cell r="G231" t="str">
            <v>M.</v>
          </cell>
        </row>
        <row r="232">
          <cell r="C232">
            <v>331</v>
          </cell>
          <cell r="D232" t="str">
            <v>-  1/C - 35 SQ.MM. 18/30(36) KVCV</v>
          </cell>
          <cell r="E232">
            <v>260</v>
          </cell>
          <cell r="F232">
            <v>60</v>
          </cell>
          <cell r="G232" t="str">
            <v>M.</v>
          </cell>
        </row>
        <row r="233">
          <cell r="C233">
            <v>332</v>
          </cell>
          <cell r="D233" t="str">
            <v>-  1/C - 50 SQ.MM. 18/30(36) KVCV</v>
          </cell>
          <cell r="E233">
            <v>281</v>
          </cell>
          <cell r="F233">
            <v>70</v>
          </cell>
          <cell r="G233" t="str">
            <v>M.</v>
          </cell>
        </row>
        <row r="234">
          <cell r="C234">
            <v>333</v>
          </cell>
          <cell r="D234" t="str">
            <v>-  1/C - 70 SQ.MM. 18/30(36) KVCV</v>
          </cell>
          <cell r="E234">
            <v>325</v>
          </cell>
          <cell r="F234">
            <v>75</v>
          </cell>
          <cell r="G234" t="str">
            <v>M.</v>
          </cell>
        </row>
        <row r="235">
          <cell r="C235">
            <v>334</v>
          </cell>
          <cell r="D235" t="str">
            <v>-  1/C - 95 SQ.MM. 18/30(36) KVCV</v>
          </cell>
          <cell r="E235">
            <v>396</v>
          </cell>
          <cell r="F235">
            <v>80</v>
          </cell>
          <cell r="G235" t="str">
            <v>M.</v>
          </cell>
        </row>
        <row r="236">
          <cell r="C236">
            <v>335</v>
          </cell>
          <cell r="D236" t="str">
            <v>-  1/C - 120 SQ.MM. 18/30(36) KVCV</v>
          </cell>
          <cell r="E236">
            <v>490</v>
          </cell>
          <cell r="F236">
            <v>85</v>
          </cell>
          <cell r="G236" t="str">
            <v>M.</v>
          </cell>
        </row>
        <row r="237">
          <cell r="C237">
            <v>336</v>
          </cell>
          <cell r="D237" t="str">
            <v>-  1/C - 150 SQ.MM. 18/30(36) KVCV</v>
          </cell>
          <cell r="E237">
            <v>560</v>
          </cell>
          <cell r="F237">
            <v>90</v>
          </cell>
          <cell r="G237" t="str">
            <v>M.</v>
          </cell>
        </row>
        <row r="238">
          <cell r="C238">
            <v>337</v>
          </cell>
          <cell r="D238" t="str">
            <v>-  1/C - 185 SQ.MM. 18/30(36) KVCV</v>
          </cell>
          <cell r="E238">
            <v>654</v>
          </cell>
          <cell r="F238">
            <v>100</v>
          </cell>
          <cell r="G238" t="str">
            <v>M.</v>
          </cell>
        </row>
        <row r="239">
          <cell r="C239">
            <v>338</v>
          </cell>
          <cell r="D239" t="str">
            <v>-  1/C - 240 SQ.MM. 18/30(36) KVCV</v>
          </cell>
          <cell r="E239">
            <v>802</v>
          </cell>
          <cell r="F239">
            <v>110</v>
          </cell>
          <cell r="G239" t="str">
            <v>M.</v>
          </cell>
        </row>
        <row r="240">
          <cell r="C240">
            <v>339</v>
          </cell>
          <cell r="D240" t="str">
            <v>-  1/C - 300 SQ.MM. 18/30(36) KVCV</v>
          </cell>
          <cell r="E240">
            <v>962</v>
          </cell>
          <cell r="F240">
            <v>130</v>
          </cell>
          <cell r="G240" t="str">
            <v>M.</v>
          </cell>
        </row>
        <row r="241">
          <cell r="C241">
            <v>340</v>
          </cell>
          <cell r="D241" t="str">
            <v>-  1/C - 400 SQ.MM. 18/30(36) KVCV</v>
          </cell>
          <cell r="E241">
            <v>1158</v>
          </cell>
          <cell r="F241">
            <v>150</v>
          </cell>
          <cell r="G241" t="str">
            <v>M.</v>
          </cell>
        </row>
        <row r="242">
          <cell r="C242">
            <v>341</v>
          </cell>
          <cell r="D242" t="str">
            <v>-  3/C - 50 SQ.MM. 18/30(36) KVCV</v>
          </cell>
          <cell r="E242">
            <v>930</v>
          </cell>
          <cell r="F242">
            <v>100</v>
          </cell>
          <cell r="G242" t="str">
            <v>M.</v>
          </cell>
        </row>
        <row r="243">
          <cell r="C243">
            <v>342</v>
          </cell>
          <cell r="D243" t="str">
            <v>-  3/C - 70 SQ.MM. 18/30(36) KVCV</v>
          </cell>
          <cell r="E243">
            <v>1088</v>
          </cell>
          <cell r="F243">
            <v>110</v>
          </cell>
          <cell r="G243" t="str">
            <v>M.</v>
          </cell>
        </row>
        <row r="244">
          <cell r="C244">
            <v>343</v>
          </cell>
          <cell r="D244" t="str">
            <v>-  3/C - 95 SQ.MM. 18/30(36) KVCV</v>
          </cell>
          <cell r="E244">
            <v>1303</v>
          </cell>
          <cell r="F244">
            <v>130</v>
          </cell>
          <cell r="G244" t="str">
            <v>M.</v>
          </cell>
        </row>
        <row r="245">
          <cell r="C245">
            <v>344</v>
          </cell>
          <cell r="D245" t="str">
            <v>-  3/C - 120 SQ.MM. 18/30(36) KVCV</v>
          </cell>
          <cell r="E245">
            <v>1670</v>
          </cell>
          <cell r="F245">
            <v>150</v>
          </cell>
          <cell r="G245" t="str">
            <v>M.</v>
          </cell>
        </row>
        <row r="246">
          <cell r="C246">
            <v>345</v>
          </cell>
          <cell r="D246" t="str">
            <v>-  3/C - 150 SQ.MM. 18/30(36) KVCV</v>
          </cell>
          <cell r="E246">
            <v>1897</v>
          </cell>
          <cell r="F246">
            <v>170</v>
          </cell>
          <cell r="G246" t="str">
            <v>M.</v>
          </cell>
        </row>
        <row r="247">
          <cell r="C247">
            <v>346</v>
          </cell>
          <cell r="D247" t="str">
            <v>-  3/C - 185 SQ.MM. 18/30(36) KVCV</v>
          </cell>
          <cell r="E247">
            <v>2206</v>
          </cell>
          <cell r="F247">
            <v>180</v>
          </cell>
          <cell r="G247" t="str">
            <v>M.</v>
          </cell>
        </row>
        <row r="248">
          <cell r="C248">
            <v>347</v>
          </cell>
          <cell r="D248" t="str">
            <v>-  3/C - 240 SQ.MM. 18/30(36) KVCV</v>
          </cell>
          <cell r="E248">
            <v>2660</v>
          </cell>
          <cell r="F248">
            <v>200</v>
          </cell>
          <cell r="G248" t="str">
            <v>M.</v>
          </cell>
        </row>
        <row r="249">
          <cell r="C249">
            <v>348</v>
          </cell>
          <cell r="D249" t="str">
            <v>-  3/C - 300 SQ.MM. 18/30(36) KVCV</v>
          </cell>
          <cell r="E249">
            <v>3166</v>
          </cell>
          <cell r="F249">
            <v>220</v>
          </cell>
          <cell r="G249" t="str">
            <v>M.</v>
          </cell>
        </row>
        <row r="250">
          <cell r="C250">
            <v>349</v>
          </cell>
          <cell r="D250" t="str">
            <v>-  3/C - 400 SQ.MM. 18/30(36) KVCV</v>
          </cell>
          <cell r="E250">
            <v>3709</v>
          </cell>
          <cell r="F250">
            <v>240</v>
          </cell>
          <cell r="G250" t="str">
            <v>M.</v>
          </cell>
        </row>
        <row r="251">
          <cell r="C251">
            <v>501</v>
          </cell>
          <cell r="D251" t="str">
            <v>SPACE</v>
          </cell>
          <cell r="E251">
            <v>23000</v>
          </cell>
          <cell r="F251">
            <v>2000</v>
          </cell>
          <cell r="G251" t="str">
            <v>SET</v>
          </cell>
        </row>
        <row r="252">
          <cell r="C252">
            <v>351</v>
          </cell>
          <cell r="D252" t="str">
            <v>-  1/C - 25 SQ.MM. 25 KV.XLPE</v>
          </cell>
          <cell r="E252">
            <v>0</v>
          </cell>
          <cell r="F252">
            <v>0</v>
          </cell>
          <cell r="G252" t="str">
            <v>M.</v>
          </cell>
        </row>
        <row r="253">
          <cell r="C253">
            <v>352</v>
          </cell>
          <cell r="D253" t="str">
            <v>-  1/C - 35 SQ.MM. 25 KV.XLPE</v>
          </cell>
          <cell r="E253">
            <v>305</v>
          </cell>
          <cell r="F253">
            <v>35</v>
          </cell>
          <cell r="G253" t="str">
            <v>M.</v>
          </cell>
        </row>
        <row r="254">
          <cell r="C254">
            <v>353</v>
          </cell>
          <cell r="D254" t="str">
            <v>-  1/C - 50 SQ.MM. 25 KV.XLPE</v>
          </cell>
          <cell r="E254">
            <v>345</v>
          </cell>
          <cell r="F254">
            <v>40</v>
          </cell>
          <cell r="G254" t="str">
            <v>M.</v>
          </cell>
        </row>
        <row r="255">
          <cell r="C255">
            <v>354</v>
          </cell>
          <cell r="D255" t="str">
            <v>-  1/C - 70 SQ.MM. 25 KV.XLPE</v>
          </cell>
          <cell r="E255">
            <v>415</v>
          </cell>
          <cell r="F255">
            <v>60</v>
          </cell>
          <cell r="G255" t="str">
            <v>M.</v>
          </cell>
        </row>
        <row r="256">
          <cell r="C256">
            <v>355</v>
          </cell>
          <cell r="D256" t="str">
            <v>-  1/C - 95 SQ.MM. 25 KV.XLPE</v>
          </cell>
          <cell r="E256">
            <v>515</v>
          </cell>
          <cell r="F256">
            <v>70</v>
          </cell>
          <cell r="G256" t="str">
            <v>M.</v>
          </cell>
        </row>
        <row r="257">
          <cell r="C257">
            <v>356</v>
          </cell>
          <cell r="D257" t="str">
            <v>-  1/C - 120 SQ.MM. 25 KV.XLPE</v>
          </cell>
          <cell r="E257">
            <v>605</v>
          </cell>
          <cell r="F257">
            <v>75</v>
          </cell>
          <cell r="G257" t="str">
            <v>M.</v>
          </cell>
        </row>
        <row r="258">
          <cell r="C258">
            <v>357</v>
          </cell>
          <cell r="D258" t="str">
            <v>-  1/C - 150 SQ.MM. 25 KV.XLPE</v>
          </cell>
          <cell r="E258">
            <v>705</v>
          </cell>
          <cell r="F258">
            <v>80</v>
          </cell>
          <cell r="G258" t="str">
            <v>M.</v>
          </cell>
        </row>
        <row r="259">
          <cell r="C259">
            <v>358</v>
          </cell>
          <cell r="D259" t="str">
            <v>-  1/C - 185 SQ.MM. 25 KV.XLPE</v>
          </cell>
          <cell r="E259">
            <v>835</v>
          </cell>
          <cell r="F259">
            <v>85</v>
          </cell>
          <cell r="G259" t="str">
            <v>M.</v>
          </cell>
        </row>
        <row r="260">
          <cell r="C260">
            <v>359</v>
          </cell>
          <cell r="D260" t="str">
            <v>-  1/C - 240 SQ.MM. 25 KV.XLPE</v>
          </cell>
          <cell r="E260">
            <v>995</v>
          </cell>
          <cell r="F260">
            <v>90</v>
          </cell>
          <cell r="G260" t="str">
            <v>M.</v>
          </cell>
        </row>
        <row r="261">
          <cell r="C261">
            <v>360</v>
          </cell>
          <cell r="D261" t="str">
            <v>-  1/C - 35 SQ.MM. 35 KV.XLPE</v>
          </cell>
          <cell r="E261">
            <v>0</v>
          </cell>
          <cell r="F261">
            <v>60</v>
          </cell>
          <cell r="G261" t="str">
            <v>M.</v>
          </cell>
        </row>
        <row r="262">
          <cell r="C262">
            <v>361</v>
          </cell>
          <cell r="D262" t="str">
            <v>-  1/C - 50 SQ.MM. 35 KV.XLPE</v>
          </cell>
          <cell r="E262">
            <v>0</v>
          </cell>
          <cell r="F262">
            <v>70</v>
          </cell>
          <cell r="G262" t="str">
            <v>M.</v>
          </cell>
        </row>
        <row r="263">
          <cell r="C263">
            <v>362</v>
          </cell>
          <cell r="D263" t="str">
            <v>-  1/C - 70 SQ.MM. 35 KV.XLPE</v>
          </cell>
          <cell r="E263">
            <v>0</v>
          </cell>
          <cell r="F263">
            <v>75</v>
          </cell>
          <cell r="G263" t="str">
            <v>M.</v>
          </cell>
        </row>
        <row r="264">
          <cell r="C264">
            <v>363</v>
          </cell>
          <cell r="D264" t="str">
            <v>-  1/C - 95 SQ.MM. 35 KV.XLPE</v>
          </cell>
          <cell r="E264">
            <v>0</v>
          </cell>
          <cell r="F264">
            <v>80</v>
          </cell>
          <cell r="G264" t="str">
            <v>M.</v>
          </cell>
        </row>
        <row r="265">
          <cell r="C265">
            <v>364</v>
          </cell>
          <cell r="D265" t="str">
            <v>-  1/C - 120 SQ.MM. 35 KV.XLPE</v>
          </cell>
          <cell r="E265">
            <v>0</v>
          </cell>
          <cell r="F265">
            <v>85</v>
          </cell>
          <cell r="G265" t="str">
            <v>M.</v>
          </cell>
        </row>
        <row r="266">
          <cell r="C266">
            <v>365</v>
          </cell>
          <cell r="D266" t="str">
            <v>-  1/C - 150 SQ.MM. 35 KV.XLPE</v>
          </cell>
          <cell r="E266">
            <v>0</v>
          </cell>
          <cell r="F266">
            <v>90</v>
          </cell>
          <cell r="G266" t="str">
            <v>M.</v>
          </cell>
        </row>
        <row r="267">
          <cell r="C267">
            <v>366</v>
          </cell>
          <cell r="D267" t="str">
            <v>-  1/C - 185 SQ.MM. 35 KV.XLPE</v>
          </cell>
          <cell r="E267">
            <v>0</v>
          </cell>
          <cell r="F267">
            <v>100</v>
          </cell>
          <cell r="G267" t="str">
            <v>M.</v>
          </cell>
        </row>
        <row r="268">
          <cell r="C268">
            <v>367</v>
          </cell>
          <cell r="D268" t="str">
            <v>-  1/C - 240 SQ.MM. 35 KV.XLPE</v>
          </cell>
          <cell r="E268">
            <v>0</v>
          </cell>
          <cell r="F268">
            <v>110</v>
          </cell>
          <cell r="G268" t="str">
            <v>M.</v>
          </cell>
        </row>
        <row r="269">
          <cell r="D269" t="str">
            <v>SPACE</v>
          </cell>
        </row>
        <row r="270">
          <cell r="C270">
            <v>369</v>
          </cell>
          <cell r="D270" t="str">
            <v>-  1/C - 35 SQ.MM. 25 KV.PIC</v>
          </cell>
          <cell r="E270">
            <v>108</v>
          </cell>
          <cell r="F270">
            <v>20</v>
          </cell>
          <cell r="G270" t="str">
            <v>M.</v>
          </cell>
        </row>
        <row r="271">
          <cell r="C271">
            <v>370</v>
          </cell>
          <cell r="D271" t="str">
            <v>-  1/C - 50 SQ.MM. 25 KV.PIC</v>
          </cell>
          <cell r="E271">
            <v>128</v>
          </cell>
          <cell r="F271">
            <v>25</v>
          </cell>
          <cell r="G271" t="str">
            <v>M.</v>
          </cell>
        </row>
        <row r="272">
          <cell r="C272">
            <v>371</v>
          </cell>
          <cell r="D272" t="str">
            <v>-  1/C - 70 SQ.MM. 25 KV.PIC</v>
          </cell>
          <cell r="E272">
            <v>148</v>
          </cell>
          <cell r="F272">
            <v>30</v>
          </cell>
          <cell r="G272" t="str">
            <v>M.</v>
          </cell>
        </row>
        <row r="273">
          <cell r="C273">
            <v>372</v>
          </cell>
          <cell r="D273" t="str">
            <v>-  1/C - 95 SQ.MM. 25 KV.PIC</v>
          </cell>
          <cell r="E273">
            <v>178</v>
          </cell>
          <cell r="F273">
            <v>35</v>
          </cell>
          <cell r="G273" t="str">
            <v>M.</v>
          </cell>
        </row>
        <row r="274">
          <cell r="C274">
            <v>373</v>
          </cell>
          <cell r="D274" t="str">
            <v>-  1/C - 120 SQ.MM. 25 KV.PIC</v>
          </cell>
          <cell r="E274">
            <v>208</v>
          </cell>
          <cell r="F274">
            <v>40</v>
          </cell>
          <cell r="G274" t="str">
            <v>M.</v>
          </cell>
        </row>
        <row r="275">
          <cell r="C275">
            <v>374</v>
          </cell>
          <cell r="D275" t="str">
            <v>-  1/C - 150 SQ.MM. 25 KV.PIC</v>
          </cell>
          <cell r="E275">
            <v>248</v>
          </cell>
          <cell r="F275">
            <v>60</v>
          </cell>
          <cell r="G275" t="str">
            <v>M.</v>
          </cell>
        </row>
        <row r="276">
          <cell r="C276">
            <v>375</v>
          </cell>
          <cell r="D276" t="str">
            <v>-  1/C - 185 SQ.MM. 25 KV.PIC</v>
          </cell>
          <cell r="E276">
            <v>288</v>
          </cell>
          <cell r="F276">
            <v>70</v>
          </cell>
          <cell r="G276" t="str">
            <v>M.</v>
          </cell>
        </row>
        <row r="277">
          <cell r="C277">
            <v>376</v>
          </cell>
          <cell r="D277" t="str">
            <v>-  1/C - 240 SQ.MM. 25 KV.PIC</v>
          </cell>
          <cell r="E277">
            <v>348</v>
          </cell>
          <cell r="F277">
            <v>75</v>
          </cell>
          <cell r="G277" t="str">
            <v>M.</v>
          </cell>
        </row>
        <row r="278">
          <cell r="C278">
            <v>377</v>
          </cell>
          <cell r="D278" t="str">
            <v>-  1/C - 35 SQ.MM. 35 KV.PIC</v>
          </cell>
          <cell r="E278">
            <v>0</v>
          </cell>
          <cell r="F278">
            <v>30</v>
          </cell>
          <cell r="G278" t="str">
            <v>M.</v>
          </cell>
        </row>
        <row r="279">
          <cell r="C279">
            <v>378</v>
          </cell>
          <cell r="D279" t="str">
            <v>-  1/C - 50 SQ.MM. 35 KV.PIC</v>
          </cell>
          <cell r="E279">
            <v>0</v>
          </cell>
          <cell r="F279">
            <v>35</v>
          </cell>
          <cell r="G279" t="str">
            <v>M.</v>
          </cell>
        </row>
        <row r="280">
          <cell r="C280">
            <v>379</v>
          </cell>
          <cell r="D280" t="str">
            <v>-  1/C - 70 SQ.MM. 35 KV.PIC</v>
          </cell>
          <cell r="E280">
            <v>0</v>
          </cell>
          <cell r="F280">
            <v>40</v>
          </cell>
          <cell r="G280" t="str">
            <v>M.</v>
          </cell>
        </row>
        <row r="281">
          <cell r="C281">
            <v>380</v>
          </cell>
          <cell r="D281" t="str">
            <v>-  1/C - 95 SQ.MM. 35 KV.PIC</v>
          </cell>
          <cell r="E281">
            <v>0</v>
          </cell>
          <cell r="F281">
            <v>60</v>
          </cell>
          <cell r="G281" t="str">
            <v>M.</v>
          </cell>
        </row>
        <row r="282">
          <cell r="C282">
            <v>381</v>
          </cell>
          <cell r="D282" t="str">
            <v>-  1/C - 120 SQ.MM. 35 KV.PIC</v>
          </cell>
          <cell r="E282">
            <v>0</v>
          </cell>
          <cell r="F282">
            <v>70</v>
          </cell>
          <cell r="G282" t="str">
            <v>M.</v>
          </cell>
        </row>
        <row r="283">
          <cell r="C283">
            <v>382</v>
          </cell>
          <cell r="D283" t="str">
            <v>-  1/C - 150 SQ.MM. 35 KV.PIC</v>
          </cell>
          <cell r="E283">
            <v>0</v>
          </cell>
          <cell r="F283">
            <v>75</v>
          </cell>
          <cell r="G283" t="str">
            <v>M.</v>
          </cell>
        </row>
        <row r="284">
          <cell r="C284">
            <v>383</v>
          </cell>
          <cell r="D284" t="str">
            <v>-  1/C - 185 SQ.MM. 35 KV.PIC</v>
          </cell>
          <cell r="E284">
            <v>0</v>
          </cell>
          <cell r="F284">
            <v>80</v>
          </cell>
          <cell r="G284" t="str">
            <v>M.</v>
          </cell>
        </row>
        <row r="285">
          <cell r="C285">
            <v>384</v>
          </cell>
          <cell r="D285" t="str">
            <v>-  1/C - 240 SQ.MM. 35 KV.PIC</v>
          </cell>
          <cell r="E285">
            <v>0</v>
          </cell>
          <cell r="F285">
            <v>85</v>
          </cell>
          <cell r="G285" t="str">
            <v>M.</v>
          </cell>
        </row>
        <row r="286">
          <cell r="D286" t="str">
            <v>SPACE</v>
          </cell>
        </row>
        <row r="287">
          <cell r="C287">
            <v>386</v>
          </cell>
          <cell r="D287" t="str">
            <v>-  1/C - 35 SQ.MM. 25 KV.SPACED AERIAL</v>
          </cell>
          <cell r="E287">
            <v>160</v>
          </cell>
          <cell r="F287">
            <v>25</v>
          </cell>
          <cell r="G287" t="str">
            <v>M.</v>
          </cell>
        </row>
        <row r="288">
          <cell r="C288">
            <v>387</v>
          </cell>
          <cell r="D288" t="str">
            <v>-  1/C - 50 SQ.MM. 25 KV.SPACED AERIAL</v>
          </cell>
          <cell r="E288">
            <v>190</v>
          </cell>
          <cell r="F288">
            <v>30</v>
          </cell>
          <cell r="G288" t="str">
            <v>M.</v>
          </cell>
        </row>
        <row r="289">
          <cell r="C289">
            <v>388</v>
          </cell>
          <cell r="D289" t="str">
            <v>-  1/C - 70 SQ.MM. 25 KV.SPACED AERIAL</v>
          </cell>
          <cell r="E289">
            <v>220</v>
          </cell>
          <cell r="F289">
            <v>35</v>
          </cell>
          <cell r="G289" t="str">
            <v>M.</v>
          </cell>
        </row>
        <row r="290">
          <cell r="C290">
            <v>389</v>
          </cell>
          <cell r="D290" t="str">
            <v>-  1/C - 95 SQ.MM. 25 KV.SPACED AERIAL</v>
          </cell>
          <cell r="E290">
            <v>260</v>
          </cell>
          <cell r="F290">
            <v>40</v>
          </cell>
          <cell r="G290" t="str">
            <v>M.</v>
          </cell>
        </row>
        <row r="291">
          <cell r="C291">
            <v>390</v>
          </cell>
          <cell r="D291" t="str">
            <v>-  1/C - 120 SQ.MM. 25 KV.SPACED AERIAL</v>
          </cell>
          <cell r="E291">
            <v>300</v>
          </cell>
          <cell r="F291">
            <v>60</v>
          </cell>
          <cell r="G291" t="str">
            <v>M.</v>
          </cell>
        </row>
        <row r="292">
          <cell r="C292">
            <v>391</v>
          </cell>
          <cell r="D292" t="str">
            <v>-  1/C - 150 SQ.MM. 25 KV.SPACED AERIAL</v>
          </cell>
          <cell r="E292">
            <v>340</v>
          </cell>
          <cell r="F292">
            <v>70</v>
          </cell>
          <cell r="G292" t="str">
            <v>M.</v>
          </cell>
        </row>
        <row r="293">
          <cell r="C293">
            <v>392</v>
          </cell>
          <cell r="D293" t="str">
            <v>-  1/C - 185 SQ.MM. 25 KV.SPACED AERIAL</v>
          </cell>
          <cell r="E293">
            <v>390</v>
          </cell>
          <cell r="F293">
            <v>75</v>
          </cell>
          <cell r="G293" t="str">
            <v>M.</v>
          </cell>
        </row>
        <row r="294">
          <cell r="C294">
            <v>393</v>
          </cell>
          <cell r="D294" t="str">
            <v>-  1/C - 240 SQ.MM. 25 KV.SPACED AERIAL</v>
          </cell>
          <cell r="E294">
            <v>470</v>
          </cell>
          <cell r="F294">
            <v>80</v>
          </cell>
          <cell r="G294" t="str">
            <v>M.</v>
          </cell>
        </row>
        <row r="295">
          <cell r="C295">
            <v>394</v>
          </cell>
          <cell r="D295" t="str">
            <v>-  1/C - 35 SQ.MM. 35 KV.SPACED AERIAL</v>
          </cell>
          <cell r="E295">
            <v>0</v>
          </cell>
          <cell r="F295">
            <v>75</v>
          </cell>
          <cell r="G295" t="str">
            <v>M.</v>
          </cell>
        </row>
        <row r="296">
          <cell r="C296">
            <v>395</v>
          </cell>
          <cell r="D296" t="str">
            <v>-  1/C - 50 SQ.MM. 35 KV.SPACED AERIAL</v>
          </cell>
          <cell r="E296">
            <v>0</v>
          </cell>
          <cell r="F296">
            <v>89</v>
          </cell>
          <cell r="G296" t="str">
            <v>M.</v>
          </cell>
        </row>
        <row r="297">
          <cell r="C297">
            <v>396</v>
          </cell>
          <cell r="D297" t="str">
            <v>-  1/C - 70 SQ.MM. 35 KV.SPACED AERIAL</v>
          </cell>
          <cell r="E297">
            <v>0</v>
          </cell>
          <cell r="F297">
            <v>85</v>
          </cell>
          <cell r="G297" t="str">
            <v>M.</v>
          </cell>
        </row>
        <row r="298">
          <cell r="C298">
            <v>397</v>
          </cell>
          <cell r="D298" t="str">
            <v>-  1/C - 95 SQ.MM. 35 KV.SPACED AERIAL</v>
          </cell>
          <cell r="E298">
            <v>0</v>
          </cell>
          <cell r="F298">
            <v>90</v>
          </cell>
          <cell r="G298" t="str">
            <v>M.</v>
          </cell>
        </row>
        <row r="299">
          <cell r="C299">
            <v>398</v>
          </cell>
          <cell r="D299" t="str">
            <v>-  1/C - 120 SQ.MM. 35 KV.SPACED AERIAL</v>
          </cell>
          <cell r="E299">
            <v>0</v>
          </cell>
          <cell r="F299">
            <v>100</v>
          </cell>
          <cell r="G299" t="str">
            <v>M.</v>
          </cell>
        </row>
        <row r="300">
          <cell r="C300">
            <v>399</v>
          </cell>
          <cell r="D300" t="str">
            <v>-  1/C - 150 SQ.MM. 35 KV.SPACED AERIAL</v>
          </cell>
          <cell r="E300">
            <v>0</v>
          </cell>
          <cell r="F300">
            <v>110</v>
          </cell>
          <cell r="G300" t="str">
            <v>M.</v>
          </cell>
        </row>
        <row r="301">
          <cell r="C301">
            <v>400</v>
          </cell>
          <cell r="D301" t="str">
            <v>-  1/C - 185 SQ.MM. 35 KV.SPACED AERIAL</v>
          </cell>
          <cell r="E301">
            <v>0</v>
          </cell>
          <cell r="F301">
            <v>120</v>
          </cell>
          <cell r="G301" t="str">
            <v>M.</v>
          </cell>
        </row>
        <row r="302">
          <cell r="C302">
            <v>401</v>
          </cell>
          <cell r="D302" t="str">
            <v>-  1/C - 240 SQ.MM. 35 KV.SPACED AERIAL</v>
          </cell>
          <cell r="E302">
            <v>0</v>
          </cell>
          <cell r="F302">
            <v>140</v>
          </cell>
          <cell r="G302" t="str">
            <v>M.</v>
          </cell>
        </row>
        <row r="303">
          <cell r="C303">
            <v>402</v>
          </cell>
          <cell r="D303" t="str">
            <v>-  25 SQ.MM. ALL ALUMINIUM CABLE</v>
          </cell>
          <cell r="E303">
            <v>9</v>
          </cell>
          <cell r="F303">
            <v>5</v>
          </cell>
          <cell r="G303" t="str">
            <v>M.</v>
          </cell>
        </row>
        <row r="304">
          <cell r="C304">
            <v>403</v>
          </cell>
          <cell r="D304" t="str">
            <v>-  35 SQ.MM. ALL ALUMINIUM CABLE</v>
          </cell>
          <cell r="E304">
            <v>13</v>
          </cell>
          <cell r="F304">
            <v>6</v>
          </cell>
          <cell r="G304" t="str">
            <v>M.</v>
          </cell>
        </row>
        <row r="305">
          <cell r="C305">
            <v>404</v>
          </cell>
          <cell r="D305" t="str">
            <v>-  50 SQ.MM. ALL ALUMINIUM CABLE</v>
          </cell>
          <cell r="E305">
            <v>18</v>
          </cell>
          <cell r="F305">
            <v>8</v>
          </cell>
          <cell r="G305" t="str">
            <v>M.</v>
          </cell>
        </row>
        <row r="306">
          <cell r="C306">
            <v>405</v>
          </cell>
          <cell r="D306" t="str">
            <v>-  70 SQ.MM. ALL ALUMINIUM CABLE</v>
          </cell>
          <cell r="E306">
            <v>26</v>
          </cell>
          <cell r="F306">
            <v>11</v>
          </cell>
          <cell r="G306" t="str">
            <v>M.</v>
          </cell>
        </row>
        <row r="307">
          <cell r="C307">
            <v>406</v>
          </cell>
          <cell r="D307" t="str">
            <v>-  95 SQ.MM. ALL ALUMINIUM CABLE</v>
          </cell>
          <cell r="E307">
            <v>36</v>
          </cell>
          <cell r="F307">
            <v>16</v>
          </cell>
          <cell r="G307" t="str">
            <v>M.</v>
          </cell>
        </row>
        <row r="308">
          <cell r="C308">
            <v>407</v>
          </cell>
          <cell r="D308" t="str">
            <v>-  120 SQ.MM. ALL ALUMINIUM CABLE</v>
          </cell>
          <cell r="E308">
            <v>46</v>
          </cell>
          <cell r="F308">
            <v>20</v>
          </cell>
          <cell r="G308" t="str">
            <v>M.</v>
          </cell>
        </row>
        <row r="309">
          <cell r="C309">
            <v>408</v>
          </cell>
          <cell r="D309" t="str">
            <v>-  150 SQ.MM. ALL ALUMINIUM CABLE</v>
          </cell>
          <cell r="E309">
            <v>56</v>
          </cell>
          <cell r="F309">
            <v>25</v>
          </cell>
          <cell r="G309" t="str">
            <v>M.</v>
          </cell>
        </row>
        <row r="310">
          <cell r="C310">
            <v>409</v>
          </cell>
          <cell r="D310" t="str">
            <v>-  185 SQ.MM. ALL ALUMINIUM CABLE</v>
          </cell>
          <cell r="E310">
            <v>64</v>
          </cell>
          <cell r="F310">
            <v>30</v>
          </cell>
          <cell r="G310" t="str">
            <v>M.</v>
          </cell>
        </row>
        <row r="311">
          <cell r="C311">
            <v>410</v>
          </cell>
          <cell r="D311" t="str">
            <v>-  25 SQ.MM. ACSR</v>
          </cell>
          <cell r="E311">
            <v>11</v>
          </cell>
          <cell r="F311">
            <v>5</v>
          </cell>
          <cell r="G311" t="str">
            <v>M.</v>
          </cell>
        </row>
        <row r="312">
          <cell r="C312">
            <v>411</v>
          </cell>
          <cell r="D312" t="str">
            <v>-  35 SQ.MM. ACSR</v>
          </cell>
          <cell r="E312">
            <v>15</v>
          </cell>
          <cell r="F312">
            <v>6</v>
          </cell>
          <cell r="G312" t="str">
            <v>M.</v>
          </cell>
        </row>
        <row r="313">
          <cell r="C313">
            <v>412</v>
          </cell>
          <cell r="D313" t="str">
            <v>-  50 SQ.MM. ACSR</v>
          </cell>
          <cell r="E313">
            <v>21</v>
          </cell>
          <cell r="F313">
            <v>8</v>
          </cell>
          <cell r="G313" t="str">
            <v>M.</v>
          </cell>
        </row>
        <row r="314">
          <cell r="C314">
            <v>413</v>
          </cell>
          <cell r="D314" t="str">
            <v>-  70 SQ.MM. ACSR</v>
          </cell>
          <cell r="E314">
            <v>30</v>
          </cell>
          <cell r="F314">
            <v>11</v>
          </cell>
          <cell r="G314" t="str">
            <v>M.</v>
          </cell>
        </row>
        <row r="315">
          <cell r="C315">
            <v>414</v>
          </cell>
          <cell r="D315" t="str">
            <v>-  95 SQ.MM. ACSR</v>
          </cell>
          <cell r="E315">
            <v>42</v>
          </cell>
          <cell r="F315">
            <v>16</v>
          </cell>
          <cell r="G315" t="str">
            <v>M.</v>
          </cell>
        </row>
        <row r="316">
          <cell r="C316">
            <v>415</v>
          </cell>
          <cell r="D316" t="str">
            <v>-  120 SQ.MM. ACSR</v>
          </cell>
          <cell r="E316">
            <v>54</v>
          </cell>
          <cell r="F316">
            <v>20</v>
          </cell>
          <cell r="G316" t="str">
            <v>M.</v>
          </cell>
        </row>
        <row r="317">
          <cell r="C317">
            <v>416</v>
          </cell>
          <cell r="D317" t="str">
            <v>-  150 SQ.MM. ACSR</v>
          </cell>
          <cell r="E317">
            <v>83</v>
          </cell>
          <cell r="F317">
            <v>25</v>
          </cell>
          <cell r="G317" t="str">
            <v>M.</v>
          </cell>
        </row>
        <row r="318">
          <cell r="C318">
            <v>417</v>
          </cell>
          <cell r="D318" t="str">
            <v>-  185 SQ.MM. ACSR</v>
          </cell>
          <cell r="E318">
            <v>0</v>
          </cell>
          <cell r="F318">
            <v>0</v>
          </cell>
          <cell r="G318" t="str">
            <v>M.</v>
          </cell>
        </row>
        <row r="319">
          <cell r="D319" t="str">
            <v>SPACE</v>
          </cell>
        </row>
        <row r="320">
          <cell r="C320">
            <v>45</v>
          </cell>
          <cell r="D320" t="str">
            <v>FIRE - RESISTANT CABLE</v>
          </cell>
        </row>
        <row r="321">
          <cell r="C321">
            <v>451</v>
          </cell>
          <cell r="D321" t="str">
            <v>-  1/C - 0.75 SQ.MM. FR.</v>
          </cell>
          <cell r="E321">
            <v>17</v>
          </cell>
          <cell r="F321">
            <v>1</v>
          </cell>
          <cell r="G321" t="str">
            <v>M.</v>
          </cell>
        </row>
        <row r="322">
          <cell r="C322">
            <v>452</v>
          </cell>
          <cell r="D322" t="str">
            <v>-  1/C - 1.0 SQ.MM. FR.</v>
          </cell>
          <cell r="E322">
            <v>19</v>
          </cell>
          <cell r="F322">
            <v>1</v>
          </cell>
          <cell r="G322" t="str">
            <v>M.</v>
          </cell>
        </row>
        <row r="323">
          <cell r="C323">
            <v>453</v>
          </cell>
          <cell r="D323" t="str">
            <v>-  1/C - 1.5 SQ.MM. FR.</v>
          </cell>
          <cell r="E323">
            <v>20</v>
          </cell>
          <cell r="F323">
            <v>1</v>
          </cell>
          <cell r="G323" t="str">
            <v>M.</v>
          </cell>
        </row>
        <row r="324">
          <cell r="C324">
            <v>454</v>
          </cell>
          <cell r="D324" t="str">
            <v>-  1/C - 2.5 SQ.MM. FR.</v>
          </cell>
          <cell r="E324">
            <v>26</v>
          </cell>
          <cell r="F324">
            <v>2</v>
          </cell>
          <cell r="G324" t="str">
            <v>M.</v>
          </cell>
        </row>
        <row r="325">
          <cell r="C325">
            <v>455</v>
          </cell>
          <cell r="D325" t="str">
            <v>-  1/C - 4 SQ.MM. FR.</v>
          </cell>
          <cell r="E325">
            <v>36</v>
          </cell>
          <cell r="F325">
            <v>2</v>
          </cell>
          <cell r="G325" t="str">
            <v>M.</v>
          </cell>
        </row>
        <row r="326">
          <cell r="C326">
            <v>456</v>
          </cell>
          <cell r="D326" t="str">
            <v>-  1/C - 6 SQ.MM. FR.</v>
          </cell>
          <cell r="E326">
            <v>60</v>
          </cell>
          <cell r="F326">
            <v>3</v>
          </cell>
          <cell r="G326" t="str">
            <v>M.</v>
          </cell>
        </row>
        <row r="327">
          <cell r="C327">
            <v>457</v>
          </cell>
          <cell r="D327" t="str">
            <v>-  1/C - 10 SQ.MM. FR.</v>
          </cell>
          <cell r="E327">
            <v>82</v>
          </cell>
          <cell r="F327">
            <v>5</v>
          </cell>
          <cell r="G327" t="str">
            <v>M.</v>
          </cell>
        </row>
        <row r="328">
          <cell r="C328">
            <v>458</v>
          </cell>
          <cell r="D328" t="str">
            <v>-  1/C - 16 SQ.MM. FR.</v>
          </cell>
          <cell r="E328">
            <v>96</v>
          </cell>
          <cell r="F328">
            <v>6</v>
          </cell>
          <cell r="G328" t="str">
            <v>M.</v>
          </cell>
        </row>
        <row r="329">
          <cell r="C329">
            <v>459</v>
          </cell>
          <cell r="D329" t="str">
            <v>-  1/C - 25 SQ.MM. FR.</v>
          </cell>
          <cell r="E329">
            <v>130</v>
          </cell>
          <cell r="F329">
            <v>8</v>
          </cell>
          <cell r="G329" t="str">
            <v>M.</v>
          </cell>
        </row>
        <row r="330">
          <cell r="C330">
            <v>460</v>
          </cell>
          <cell r="D330" t="str">
            <v>-  1/C - 35 SQ.MM. FR.</v>
          </cell>
          <cell r="E330">
            <v>184</v>
          </cell>
          <cell r="F330">
            <v>11</v>
          </cell>
          <cell r="G330" t="str">
            <v>M.</v>
          </cell>
        </row>
        <row r="331">
          <cell r="C331">
            <v>461</v>
          </cell>
          <cell r="D331" t="str">
            <v>-  1/C - 50 SQ.MM. FR.</v>
          </cell>
          <cell r="E331">
            <v>264</v>
          </cell>
          <cell r="F331">
            <v>16</v>
          </cell>
          <cell r="G331" t="str">
            <v>M.</v>
          </cell>
        </row>
        <row r="332">
          <cell r="C332">
            <v>462</v>
          </cell>
          <cell r="D332" t="str">
            <v>-  1/C - 70 SQ.MM. FR.</v>
          </cell>
          <cell r="E332">
            <v>330</v>
          </cell>
          <cell r="F332">
            <v>20</v>
          </cell>
          <cell r="G332" t="str">
            <v>M.</v>
          </cell>
        </row>
        <row r="333">
          <cell r="C333">
            <v>463</v>
          </cell>
          <cell r="D333" t="str">
            <v>-  1/C - 95 SQ.MM. FR.</v>
          </cell>
          <cell r="E333">
            <v>396</v>
          </cell>
          <cell r="F333">
            <v>25</v>
          </cell>
          <cell r="G333" t="str">
            <v>M.</v>
          </cell>
        </row>
        <row r="334">
          <cell r="C334">
            <v>464</v>
          </cell>
          <cell r="D334" t="str">
            <v>-  1/C - 120 SQ.MM. FR.</v>
          </cell>
          <cell r="E334">
            <v>488</v>
          </cell>
          <cell r="F334">
            <v>30</v>
          </cell>
          <cell r="G334" t="str">
            <v>M.</v>
          </cell>
        </row>
        <row r="335">
          <cell r="C335">
            <v>465</v>
          </cell>
          <cell r="D335" t="str">
            <v>-  1/C - 150 SQ.MM. FR.</v>
          </cell>
          <cell r="E335">
            <v>589</v>
          </cell>
          <cell r="F335">
            <v>35</v>
          </cell>
          <cell r="G335" t="str">
            <v>M.</v>
          </cell>
        </row>
        <row r="336">
          <cell r="C336">
            <v>466</v>
          </cell>
          <cell r="D336" t="str">
            <v>-  1/C - 185 SQ.MM. FR.</v>
          </cell>
          <cell r="E336">
            <v>688</v>
          </cell>
          <cell r="F336">
            <v>40</v>
          </cell>
          <cell r="G336" t="str">
            <v>M.</v>
          </cell>
        </row>
        <row r="337">
          <cell r="C337">
            <v>467</v>
          </cell>
          <cell r="D337" t="str">
            <v>-  1/C - 240 SQ.MM. FR.</v>
          </cell>
          <cell r="E337">
            <v>852</v>
          </cell>
          <cell r="F337">
            <v>50</v>
          </cell>
          <cell r="G337" t="str">
            <v>M.</v>
          </cell>
        </row>
        <row r="338">
          <cell r="C338">
            <v>468</v>
          </cell>
          <cell r="D338" t="str">
            <v>-  1/C - 300 SQ.MM. FR.</v>
          </cell>
          <cell r="E338">
            <v>1088</v>
          </cell>
          <cell r="F338">
            <v>60</v>
          </cell>
          <cell r="G338" t="str">
            <v>M.</v>
          </cell>
        </row>
        <row r="339">
          <cell r="C339">
            <v>469</v>
          </cell>
          <cell r="D339" t="str">
            <v>-  1/C - 400 SQ.MM. FR.</v>
          </cell>
          <cell r="E339">
            <v>1308</v>
          </cell>
          <cell r="F339">
            <v>70</v>
          </cell>
          <cell r="G339" t="str">
            <v>M.</v>
          </cell>
        </row>
        <row r="340">
          <cell r="C340">
            <v>470</v>
          </cell>
          <cell r="D340" t="str">
            <v>-  1/C - 500 SQ.MM. FR.</v>
          </cell>
          <cell r="E340">
            <v>1548</v>
          </cell>
          <cell r="F340">
            <v>90</v>
          </cell>
          <cell r="G340" t="str">
            <v>M.</v>
          </cell>
        </row>
        <row r="341">
          <cell r="C341">
            <v>471</v>
          </cell>
          <cell r="D341" t="str">
            <v>-  1/C - 630 SQ.MM. FR.</v>
          </cell>
          <cell r="E341">
            <v>1904</v>
          </cell>
          <cell r="F341">
            <v>105</v>
          </cell>
          <cell r="G341" t="str">
            <v>M.</v>
          </cell>
        </row>
        <row r="342">
          <cell r="C342">
            <v>472</v>
          </cell>
          <cell r="D342" t="str">
            <v>-  1/C - 2.5 SQ.MM. FR. W./SHEET</v>
          </cell>
          <cell r="E342">
            <v>44</v>
          </cell>
          <cell r="F342">
            <v>2</v>
          </cell>
          <cell r="G342" t="str">
            <v>M.</v>
          </cell>
        </row>
        <row r="343">
          <cell r="C343">
            <v>473</v>
          </cell>
          <cell r="D343" t="str">
            <v>-  1/C - 4 SQ.MM. FR. W./SHEET</v>
          </cell>
          <cell r="E343">
            <v>58</v>
          </cell>
          <cell r="F343">
            <v>3</v>
          </cell>
          <cell r="G343" t="str">
            <v>M.</v>
          </cell>
        </row>
        <row r="344">
          <cell r="C344">
            <v>474</v>
          </cell>
          <cell r="D344" t="str">
            <v>-  1/C - 6 SQ.MM. FR. W./SHEET</v>
          </cell>
          <cell r="E344">
            <v>71</v>
          </cell>
          <cell r="F344">
            <v>5</v>
          </cell>
          <cell r="G344" t="str">
            <v>M.</v>
          </cell>
        </row>
        <row r="345">
          <cell r="C345">
            <v>475</v>
          </cell>
          <cell r="D345" t="str">
            <v>-  1/C - 10 SQ.MM. FR. W./SHEET</v>
          </cell>
          <cell r="E345">
            <v>97</v>
          </cell>
          <cell r="F345">
            <v>6</v>
          </cell>
          <cell r="G345" t="str">
            <v>M.</v>
          </cell>
        </row>
        <row r="346">
          <cell r="C346">
            <v>476</v>
          </cell>
          <cell r="D346" t="str">
            <v>-  1/C - 16 SQ.MM. FR. W./SHEET</v>
          </cell>
          <cell r="E346">
            <v>112</v>
          </cell>
          <cell r="F346">
            <v>8</v>
          </cell>
          <cell r="G346" t="str">
            <v>M.</v>
          </cell>
        </row>
        <row r="347">
          <cell r="C347">
            <v>477</v>
          </cell>
          <cell r="D347" t="str">
            <v>-  1/C - 25 SQ.MM. FR. W./SHEET</v>
          </cell>
          <cell r="E347">
            <v>154</v>
          </cell>
          <cell r="F347">
            <v>11</v>
          </cell>
          <cell r="G347" t="str">
            <v>M.</v>
          </cell>
        </row>
        <row r="348">
          <cell r="C348">
            <v>478</v>
          </cell>
          <cell r="D348" t="str">
            <v>-  1/C - 35 SQ.MM. FR. W./SHEET</v>
          </cell>
          <cell r="E348">
            <v>211</v>
          </cell>
          <cell r="F348">
            <v>16</v>
          </cell>
          <cell r="G348" t="str">
            <v>M.</v>
          </cell>
        </row>
        <row r="349">
          <cell r="C349">
            <v>479</v>
          </cell>
          <cell r="D349" t="str">
            <v>-  1/C - 50 SQ.MM. FR. W./SHEET</v>
          </cell>
          <cell r="E349">
            <v>303</v>
          </cell>
          <cell r="F349">
            <v>20</v>
          </cell>
          <cell r="G349" t="str">
            <v>M.</v>
          </cell>
        </row>
        <row r="350">
          <cell r="C350">
            <v>480</v>
          </cell>
          <cell r="D350" t="str">
            <v>-  1/C - 70 SQ.MM. FR. W./SHEET</v>
          </cell>
          <cell r="E350">
            <v>389</v>
          </cell>
          <cell r="F350">
            <v>25</v>
          </cell>
          <cell r="G350" t="str">
            <v>M.</v>
          </cell>
        </row>
        <row r="351">
          <cell r="C351">
            <v>481</v>
          </cell>
          <cell r="D351" t="str">
            <v>-  1/C - 95 SQ.MM. FR. W./SHEET</v>
          </cell>
          <cell r="E351">
            <v>470</v>
          </cell>
          <cell r="F351">
            <v>30</v>
          </cell>
          <cell r="G351" t="str">
            <v>M.</v>
          </cell>
        </row>
        <row r="352">
          <cell r="C352">
            <v>482</v>
          </cell>
          <cell r="D352" t="str">
            <v>-  1/C - 120 SQ.MM. FR. W./SHEET</v>
          </cell>
          <cell r="E352">
            <v>570</v>
          </cell>
          <cell r="F352">
            <v>35</v>
          </cell>
          <cell r="G352" t="str">
            <v>M.</v>
          </cell>
        </row>
        <row r="353">
          <cell r="C353">
            <v>483</v>
          </cell>
          <cell r="D353" t="str">
            <v>-  1/C - 150 SQ.MM. FR. W./SHEET</v>
          </cell>
          <cell r="E353">
            <v>716</v>
          </cell>
          <cell r="F353">
            <v>40</v>
          </cell>
          <cell r="G353" t="str">
            <v>M.</v>
          </cell>
        </row>
        <row r="354">
          <cell r="C354">
            <v>484</v>
          </cell>
          <cell r="D354" t="str">
            <v>-  1/C - 185 SQ.MM. FR. W./SHEET</v>
          </cell>
          <cell r="E354">
            <v>835</v>
          </cell>
          <cell r="F354">
            <v>50</v>
          </cell>
          <cell r="G354" t="str">
            <v>M.</v>
          </cell>
        </row>
        <row r="355">
          <cell r="C355">
            <v>485</v>
          </cell>
          <cell r="D355" t="str">
            <v>-  1/C - 240 SQ.MM. FR. W./SHEET</v>
          </cell>
          <cell r="E355">
            <v>1051</v>
          </cell>
          <cell r="F355">
            <v>60</v>
          </cell>
          <cell r="G355" t="str">
            <v>M.</v>
          </cell>
        </row>
        <row r="356">
          <cell r="C356">
            <v>486</v>
          </cell>
          <cell r="D356" t="str">
            <v>-  1/C - 300 SQ.MM. FR. W./SHEET</v>
          </cell>
          <cell r="E356">
            <v>1390</v>
          </cell>
          <cell r="F356">
            <v>70</v>
          </cell>
          <cell r="G356" t="str">
            <v>M.</v>
          </cell>
        </row>
        <row r="357">
          <cell r="C357">
            <v>487</v>
          </cell>
          <cell r="D357" t="str">
            <v>-  1/C - 400 SQ.MM. FR. W./SHEET</v>
          </cell>
          <cell r="E357">
            <v>1679</v>
          </cell>
          <cell r="F357">
            <v>90</v>
          </cell>
          <cell r="G357" t="str">
            <v>M.</v>
          </cell>
        </row>
        <row r="358">
          <cell r="C358">
            <v>488</v>
          </cell>
          <cell r="D358" t="str">
            <v>-  1/C - 500 SQ.MM. FR. W./SHEET</v>
          </cell>
          <cell r="E358">
            <v>1818</v>
          </cell>
          <cell r="F358">
            <v>105</v>
          </cell>
          <cell r="G358" t="str">
            <v>M.</v>
          </cell>
        </row>
        <row r="359">
          <cell r="C359">
            <v>489</v>
          </cell>
          <cell r="D359" t="str">
            <v>-  1/C - 630 SQ.MM. FR. W./SHEET</v>
          </cell>
          <cell r="E359">
            <v>2183</v>
          </cell>
          <cell r="F359">
            <v>120</v>
          </cell>
          <cell r="G359" t="str">
            <v>M.</v>
          </cell>
        </row>
        <row r="360">
          <cell r="C360">
            <v>5</v>
          </cell>
          <cell r="D360" t="str">
            <v>CABLE RACEWAY</v>
          </cell>
        </row>
        <row r="361">
          <cell r="C361">
            <v>501</v>
          </cell>
          <cell r="D361" t="str">
            <v>-  DIA. 1/2" EMT</v>
          </cell>
          <cell r="E361">
            <v>23</v>
          </cell>
          <cell r="F361">
            <v>10</v>
          </cell>
          <cell r="G361" t="str">
            <v>M.</v>
          </cell>
        </row>
        <row r="362">
          <cell r="C362">
            <v>502</v>
          </cell>
          <cell r="D362" t="str">
            <v>-  DIA. 3/4" EMT</v>
          </cell>
          <cell r="E362">
            <v>34</v>
          </cell>
          <cell r="F362">
            <v>15</v>
          </cell>
          <cell r="G362" t="str">
            <v>M.</v>
          </cell>
        </row>
        <row r="363">
          <cell r="C363">
            <v>503</v>
          </cell>
          <cell r="D363" t="str">
            <v>-  DIA. 1" EMT</v>
          </cell>
          <cell r="E363">
            <v>48</v>
          </cell>
          <cell r="F363">
            <v>18</v>
          </cell>
          <cell r="G363" t="str">
            <v>M.</v>
          </cell>
        </row>
        <row r="364">
          <cell r="C364">
            <v>504</v>
          </cell>
          <cell r="D364" t="str">
            <v>-  DIA. 1 1/4" EMT</v>
          </cell>
          <cell r="E364">
            <v>79</v>
          </cell>
          <cell r="F364">
            <v>25</v>
          </cell>
          <cell r="G364" t="str">
            <v>M.</v>
          </cell>
        </row>
        <row r="365">
          <cell r="C365">
            <v>505</v>
          </cell>
          <cell r="D365" t="str">
            <v>-  DIA. 1 1/2" EMT</v>
          </cell>
          <cell r="E365">
            <v>92</v>
          </cell>
          <cell r="F365">
            <v>30</v>
          </cell>
          <cell r="G365" t="str">
            <v>M.</v>
          </cell>
        </row>
        <row r="366">
          <cell r="C366">
            <v>506</v>
          </cell>
          <cell r="D366" t="str">
            <v>-  DIA. 2" EMT</v>
          </cell>
          <cell r="E366">
            <v>114</v>
          </cell>
          <cell r="F366">
            <v>40</v>
          </cell>
          <cell r="G366" t="str">
            <v>M.</v>
          </cell>
        </row>
        <row r="367">
          <cell r="C367">
            <v>507</v>
          </cell>
          <cell r="D367" t="str">
            <v>-  DIA. 1/2" IMC</v>
          </cell>
          <cell r="E367">
            <v>45</v>
          </cell>
          <cell r="F367">
            <v>13</v>
          </cell>
          <cell r="G367" t="str">
            <v>M.</v>
          </cell>
        </row>
        <row r="368">
          <cell r="C368">
            <v>508</v>
          </cell>
          <cell r="D368" t="str">
            <v>-  DIA. 3/4" IMC</v>
          </cell>
          <cell r="E368">
            <v>61</v>
          </cell>
          <cell r="F368">
            <v>15</v>
          </cell>
          <cell r="G368" t="str">
            <v>M.</v>
          </cell>
        </row>
        <row r="369">
          <cell r="C369">
            <v>509</v>
          </cell>
          <cell r="D369" t="str">
            <v>-  DIA. 1" IMC</v>
          </cell>
          <cell r="E369">
            <v>82</v>
          </cell>
          <cell r="F369">
            <v>20</v>
          </cell>
          <cell r="G369" t="str">
            <v>M.</v>
          </cell>
        </row>
        <row r="370">
          <cell r="C370">
            <v>510</v>
          </cell>
          <cell r="D370" t="str">
            <v>-  DIA. 1 1/4" IMC</v>
          </cell>
          <cell r="E370">
            <v>105</v>
          </cell>
          <cell r="F370">
            <v>25</v>
          </cell>
          <cell r="G370" t="str">
            <v>M.</v>
          </cell>
        </row>
        <row r="371">
          <cell r="C371">
            <v>511</v>
          </cell>
          <cell r="D371" t="str">
            <v>-  DIA. 1 1/2" IMC</v>
          </cell>
          <cell r="E371">
            <v>130</v>
          </cell>
          <cell r="F371">
            <v>30</v>
          </cell>
          <cell r="G371" t="str">
            <v>M.</v>
          </cell>
        </row>
        <row r="372">
          <cell r="C372">
            <v>512</v>
          </cell>
          <cell r="D372" t="str">
            <v>-  DIA. 2" IMC</v>
          </cell>
          <cell r="E372">
            <v>174</v>
          </cell>
          <cell r="F372">
            <v>35</v>
          </cell>
          <cell r="G372" t="str">
            <v>M.</v>
          </cell>
        </row>
        <row r="373">
          <cell r="C373">
            <v>513</v>
          </cell>
          <cell r="D373" t="str">
            <v>-  DIA. 2 1/2" IMC</v>
          </cell>
          <cell r="E373">
            <v>282</v>
          </cell>
          <cell r="F373">
            <v>45</v>
          </cell>
          <cell r="G373" t="str">
            <v>M.</v>
          </cell>
        </row>
        <row r="374">
          <cell r="C374">
            <v>514</v>
          </cell>
          <cell r="D374" t="str">
            <v>-  DIA. 3" IMC</v>
          </cell>
          <cell r="E374">
            <v>342</v>
          </cell>
          <cell r="F374">
            <v>50</v>
          </cell>
          <cell r="G374" t="str">
            <v>M.</v>
          </cell>
        </row>
        <row r="375">
          <cell r="C375">
            <v>515</v>
          </cell>
          <cell r="D375" t="str">
            <v>-  DIA. 3 1/2" IMC</v>
          </cell>
          <cell r="E375">
            <v>397</v>
          </cell>
          <cell r="F375">
            <v>55</v>
          </cell>
          <cell r="G375" t="str">
            <v>M.</v>
          </cell>
        </row>
        <row r="376">
          <cell r="C376">
            <v>516</v>
          </cell>
          <cell r="D376" t="str">
            <v>-  DIA. 4" IMC</v>
          </cell>
          <cell r="E376">
            <v>433</v>
          </cell>
          <cell r="F376">
            <v>60</v>
          </cell>
          <cell r="G376" t="str">
            <v>M.</v>
          </cell>
        </row>
        <row r="377">
          <cell r="C377">
            <v>517</v>
          </cell>
          <cell r="D377" t="str">
            <v>-  DIA. 5" IMC</v>
          </cell>
          <cell r="E377">
            <v>747</v>
          </cell>
          <cell r="F377">
            <v>70</v>
          </cell>
          <cell r="G377" t="str">
            <v>M.</v>
          </cell>
        </row>
        <row r="378">
          <cell r="C378">
            <v>518</v>
          </cell>
          <cell r="D378" t="str">
            <v>-  DIA. 1/2" RSC</v>
          </cell>
          <cell r="E378">
            <v>64</v>
          </cell>
          <cell r="F378">
            <v>15</v>
          </cell>
          <cell r="G378" t="str">
            <v>M.</v>
          </cell>
        </row>
        <row r="379">
          <cell r="C379">
            <v>519</v>
          </cell>
          <cell r="D379" t="str">
            <v>-  DIA. 3/4" RSC</v>
          </cell>
          <cell r="E379">
            <v>82</v>
          </cell>
          <cell r="F379">
            <v>20</v>
          </cell>
          <cell r="G379" t="str">
            <v>M.</v>
          </cell>
        </row>
        <row r="380">
          <cell r="C380">
            <v>520</v>
          </cell>
          <cell r="D380" t="str">
            <v>-  DIA. 1" RSC</v>
          </cell>
          <cell r="E380">
            <v>120</v>
          </cell>
          <cell r="F380">
            <v>25</v>
          </cell>
          <cell r="G380" t="str">
            <v>M.</v>
          </cell>
        </row>
        <row r="381">
          <cell r="C381">
            <v>521</v>
          </cell>
          <cell r="D381" t="str">
            <v>-  DIA. 1 1/4" RSC</v>
          </cell>
          <cell r="E381">
            <v>153</v>
          </cell>
          <cell r="F381">
            <v>35</v>
          </cell>
          <cell r="G381" t="str">
            <v>M.</v>
          </cell>
        </row>
        <row r="382">
          <cell r="C382">
            <v>522</v>
          </cell>
          <cell r="D382" t="str">
            <v>-  DIA. 1 1/2" RSC</v>
          </cell>
          <cell r="E382">
            <v>182</v>
          </cell>
          <cell r="F382">
            <v>45</v>
          </cell>
          <cell r="G382" t="str">
            <v>M.</v>
          </cell>
        </row>
        <row r="383">
          <cell r="C383">
            <v>523</v>
          </cell>
          <cell r="D383" t="str">
            <v>-  DIA. 2" RSC</v>
          </cell>
          <cell r="E383">
            <v>243</v>
          </cell>
          <cell r="F383">
            <v>55</v>
          </cell>
          <cell r="G383" t="str">
            <v>M.</v>
          </cell>
        </row>
        <row r="384">
          <cell r="C384">
            <v>524</v>
          </cell>
          <cell r="D384" t="str">
            <v>-  DIA. 2 1/2" RSC</v>
          </cell>
          <cell r="E384">
            <v>373</v>
          </cell>
          <cell r="F384">
            <v>80</v>
          </cell>
          <cell r="G384" t="str">
            <v>M.</v>
          </cell>
        </row>
        <row r="385">
          <cell r="C385">
            <v>525</v>
          </cell>
          <cell r="D385" t="str">
            <v>-  DIA. 3" RSC</v>
          </cell>
          <cell r="E385">
            <v>480</v>
          </cell>
          <cell r="F385">
            <v>90</v>
          </cell>
          <cell r="G385" t="str">
            <v>M.</v>
          </cell>
        </row>
        <row r="386">
          <cell r="C386">
            <v>526</v>
          </cell>
          <cell r="D386" t="str">
            <v>-  DIA. 3 1/2" RSC</v>
          </cell>
          <cell r="E386">
            <v>606</v>
          </cell>
          <cell r="F386">
            <v>100</v>
          </cell>
          <cell r="G386" t="str">
            <v>M.</v>
          </cell>
        </row>
        <row r="387">
          <cell r="C387">
            <v>527</v>
          </cell>
          <cell r="D387" t="str">
            <v>-  DIA. 4" RSC</v>
          </cell>
          <cell r="E387">
            <v>706</v>
          </cell>
          <cell r="F387">
            <v>125</v>
          </cell>
          <cell r="G387" t="str">
            <v>M.</v>
          </cell>
        </row>
        <row r="388">
          <cell r="C388">
            <v>528</v>
          </cell>
          <cell r="D388" t="str">
            <v>-  DIA. 5" RSC</v>
          </cell>
          <cell r="E388">
            <v>1016</v>
          </cell>
          <cell r="F388">
            <v>140</v>
          </cell>
          <cell r="G388" t="str">
            <v>M.</v>
          </cell>
        </row>
        <row r="389">
          <cell r="D389" t="str">
            <v>SPACE</v>
          </cell>
        </row>
        <row r="390">
          <cell r="C390">
            <v>530</v>
          </cell>
          <cell r="D390" t="str">
            <v>-  DIA. 25 MM. HDPE-PN4</v>
          </cell>
          <cell r="E390">
            <v>20</v>
          </cell>
          <cell r="F390">
            <v>10</v>
          </cell>
          <cell r="G390" t="str">
            <v>M.</v>
          </cell>
        </row>
        <row r="391">
          <cell r="C391">
            <v>531</v>
          </cell>
          <cell r="D391" t="str">
            <v>-  DIA. 32 MM. HDPE-PN4</v>
          </cell>
          <cell r="E391">
            <v>25</v>
          </cell>
          <cell r="F391">
            <v>15</v>
          </cell>
          <cell r="G391" t="str">
            <v>M.</v>
          </cell>
        </row>
        <row r="392">
          <cell r="C392">
            <v>532</v>
          </cell>
          <cell r="D392" t="str">
            <v>-  DIA. 40 MM. HDPE-PN4</v>
          </cell>
          <cell r="E392">
            <v>34</v>
          </cell>
          <cell r="F392">
            <v>18</v>
          </cell>
          <cell r="G392" t="str">
            <v>M.</v>
          </cell>
        </row>
        <row r="393">
          <cell r="C393">
            <v>533</v>
          </cell>
          <cell r="D393" t="str">
            <v>-  DIA. 50 MM. HDPE-PN4</v>
          </cell>
          <cell r="E393">
            <v>38</v>
          </cell>
          <cell r="F393">
            <v>25</v>
          </cell>
          <cell r="G393" t="str">
            <v>M.</v>
          </cell>
        </row>
        <row r="394">
          <cell r="C394">
            <v>534</v>
          </cell>
          <cell r="D394" t="str">
            <v>-  DIA. 63 MM. HDPE-PN4</v>
          </cell>
          <cell r="E394">
            <v>56</v>
          </cell>
          <cell r="F394">
            <v>30</v>
          </cell>
          <cell r="G394" t="str">
            <v>M.</v>
          </cell>
        </row>
        <row r="395">
          <cell r="C395">
            <v>535</v>
          </cell>
          <cell r="D395" t="str">
            <v>-  DIA. 75 MM. HDPE-PN4</v>
          </cell>
          <cell r="E395">
            <v>81</v>
          </cell>
          <cell r="F395">
            <v>40</v>
          </cell>
          <cell r="G395" t="str">
            <v>M.</v>
          </cell>
        </row>
        <row r="396">
          <cell r="C396">
            <v>536</v>
          </cell>
          <cell r="D396" t="str">
            <v>-  DIA. 90 MM. HDPE-PN4</v>
          </cell>
          <cell r="E396">
            <v>116</v>
          </cell>
          <cell r="F396">
            <v>47</v>
          </cell>
          <cell r="G396" t="str">
            <v>M.</v>
          </cell>
        </row>
        <row r="397">
          <cell r="C397">
            <v>537</v>
          </cell>
          <cell r="D397" t="str">
            <v>-  DIA. 110 MM. HDPE-PN4</v>
          </cell>
          <cell r="E397">
            <v>170</v>
          </cell>
          <cell r="F397">
            <v>55</v>
          </cell>
          <cell r="G397" t="str">
            <v>M.</v>
          </cell>
        </row>
        <row r="398">
          <cell r="C398">
            <v>538</v>
          </cell>
          <cell r="D398" t="str">
            <v>-  DIA. 125 MM. HDPE-PN4</v>
          </cell>
          <cell r="E398">
            <v>220</v>
          </cell>
          <cell r="F398">
            <v>65</v>
          </cell>
          <cell r="G398" t="str">
            <v>M.</v>
          </cell>
        </row>
        <row r="399">
          <cell r="C399">
            <v>539</v>
          </cell>
          <cell r="D399" t="str">
            <v>-  DIA. 140 MM. HDPE-PN4</v>
          </cell>
          <cell r="E399">
            <v>278</v>
          </cell>
          <cell r="F399">
            <v>70</v>
          </cell>
          <cell r="G399" t="str">
            <v>M.</v>
          </cell>
        </row>
        <row r="400">
          <cell r="C400">
            <v>540</v>
          </cell>
          <cell r="D400" t="str">
            <v>-  DIA. 160 MM. HDPE-PN4</v>
          </cell>
          <cell r="E400">
            <v>363</v>
          </cell>
          <cell r="F400">
            <v>75</v>
          </cell>
          <cell r="G400" t="str">
            <v>M.</v>
          </cell>
        </row>
        <row r="401">
          <cell r="C401">
            <v>541</v>
          </cell>
          <cell r="D401" t="str">
            <v>-  DIA. 180 MM. HDPE-PN4</v>
          </cell>
          <cell r="E401">
            <v>462</v>
          </cell>
          <cell r="F401">
            <v>80</v>
          </cell>
          <cell r="G401" t="str">
            <v>M.</v>
          </cell>
        </row>
        <row r="402">
          <cell r="D402" t="str">
            <v>SPACE</v>
          </cell>
        </row>
        <row r="403">
          <cell r="C403">
            <v>546</v>
          </cell>
          <cell r="D403" t="str">
            <v>-  DIA. 25 MM. HDPE-PN6</v>
          </cell>
          <cell r="E403">
            <v>20</v>
          </cell>
          <cell r="F403">
            <v>10</v>
          </cell>
          <cell r="G403" t="str">
            <v>M.</v>
          </cell>
        </row>
        <row r="404">
          <cell r="C404">
            <v>547</v>
          </cell>
          <cell r="D404" t="str">
            <v>-  DIA. 32 MM. HDPE-PN6</v>
          </cell>
          <cell r="E404">
            <v>25</v>
          </cell>
          <cell r="F404">
            <v>15</v>
          </cell>
          <cell r="G404" t="str">
            <v>M.</v>
          </cell>
        </row>
        <row r="405">
          <cell r="C405">
            <v>548</v>
          </cell>
          <cell r="D405" t="str">
            <v>-  DIA. 40 MM. HDPE-PN6</v>
          </cell>
          <cell r="E405">
            <v>34</v>
          </cell>
          <cell r="F405">
            <v>18</v>
          </cell>
          <cell r="G405" t="str">
            <v>M.</v>
          </cell>
        </row>
        <row r="406">
          <cell r="C406">
            <v>549</v>
          </cell>
          <cell r="D406" t="str">
            <v>-  DIA. 50 MM. HDPE-PN6</v>
          </cell>
          <cell r="E406">
            <v>53</v>
          </cell>
          <cell r="F406">
            <v>25</v>
          </cell>
          <cell r="G406" t="str">
            <v>M.</v>
          </cell>
        </row>
        <row r="407">
          <cell r="C407">
            <v>550</v>
          </cell>
          <cell r="D407" t="str">
            <v>-  DIA. 63 MM. HDPE-PN6</v>
          </cell>
          <cell r="E407">
            <v>83</v>
          </cell>
          <cell r="F407">
            <v>30</v>
          </cell>
          <cell r="G407" t="str">
            <v>M.</v>
          </cell>
        </row>
        <row r="408">
          <cell r="C408">
            <v>551</v>
          </cell>
          <cell r="D408" t="str">
            <v>-  DIA. 75 MM. HDPE-PN6</v>
          </cell>
          <cell r="E408">
            <v>116</v>
          </cell>
          <cell r="F408">
            <v>40</v>
          </cell>
          <cell r="G408" t="str">
            <v>M.</v>
          </cell>
        </row>
        <row r="409">
          <cell r="C409">
            <v>552</v>
          </cell>
          <cell r="D409" t="str">
            <v>-  DIA. 90 MM. HDPE-PN6</v>
          </cell>
          <cell r="E409">
            <v>166</v>
          </cell>
          <cell r="F409">
            <v>47</v>
          </cell>
          <cell r="G409" t="str">
            <v>M.</v>
          </cell>
        </row>
        <row r="410">
          <cell r="C410">
            <v>553</v>
          </cell>
          <cell r="D410" t="str">
            <v>-  DIA. 110 MM. HDPE-PN6</v>
          </cell>
          <cell r="E410">
            <v>248</v>
          </cell>
          <cell r="F410">
            <v>55</v>
          </cell>
          <cell r="G410" t="str">
            <v>M.</v>
          </cell>
        </row>
        <row r="411">
          <cell r="C411">
            <v>554</v>
          </cell>
          <cell r="D411" t="str">
            <v>-  DIA. 125 MM. HDPE-PN6</v>
          </cell>
          <cell r="E411">
            <v>318</v>
          </cell>
          <cell r="F411">
            <v>65</v>
          </cell>
          <cell r="G411" t="str">
            <v>M.</v>
          </cell>
        </row>
        <row r="412">
          <cell r="C412">
            <v>555</v>
          </cell>
          <cell r="D412" t="str">
            <v>-  DIA. 140 MM. HDPE-PN6</v>
          </cell>
          <cell r="E412">
            <v>399</v>
          </cell>
          <cell r="F412">
            <v>70</v>
          </cell>
          <cell r="G412" t="str">
            <v>M.</v>
          </cell>
        </row>
        <row r="413">
          <cell r="C413">
            <v>556</v>
          </cell>
          <cell r="D413" t="str">
            <v>-  DIA. 160 MM. HDPE-PN6</v>
          </cell>
          <cell r="E413">
            <v>520</v>
          </cell>
          <cell r="F413">
            <v>75</v>
          </cell>
          <cell r="G413" t="str">
            <v>M.</v>
          </cell>
        </row>
        <row r="414">
          <cell r="C414">
            <v>557</v>
          </cell>
          <cell r="D414" t="str">
            <v>-  DIA. 180 MM. HDPE-PN6</v>
          </cell>
          <cell r="E414">
            <v>655</v>
          </cell>
          <cell r="F414">
            <v>80</v>
          </cell>
          <cell r="G414" t="str">
            <v>M.</v>
          </cell>
        </row>
        <row r="415">
          <cell r="D415" t="str">
            <v>SPACE</v>
          </cell>
        </row>
        <row r="416">
          <cell r="C416">
            <v>561</v>
          </cell>
          <cell r="D416" t="str">
            <v>-  DIA. 2" FRE</v>
          </cell>
          <cell r="E416">
            <v>380</v>
          </cell>
          <cell r="F416">
            <v>50</v>
          </cell>
          <cell r="G416" t="str">
            <v>M.</v>
          </cell>
        </row>
        <row r="417">
          <cell r="C417">
            <v>562</v>
          </cell>
          <cell r="D417" t="str">
            <v>-  DIA. 2 1/2" FRE</v>
          </cell>
          <cell r="E417">
            <v>430</v>
          </cell>
          <cell r="F417">
            <v>60</v>
          </cell>
          <cell r="G417" t="str">
            <v>M.</v>
          </cell>
        </row>
        <row r="418">
          <cell r="C418">
            <v>563</v>
          </cell>
          <cell r="D418" t="str">
            <v>-  DIA. 3" FRE</v>
          </cell>
          <cell r="E418">
            <v>490</v>
          </cell>
          <cell r="F418">
            <v>70</v>
          </cell>
          <cell r="G418" t="str">
            <v>M.</v>
          </cell>
        </row>
        <row r="419">
          <cell r="C419">
            <v>564</v>
          </cell>
          <cell r="D419" t="str">
            <v>-  DIA. 4" FRE</v>
          </cell>
          <cell r="E419">
            <v>550</v>
          </cell>
          <cell r="F419">
            <v>70</v>
          </cell>
          <cell r="G419" t="str">
            <v>M.</v>
          </cell>
        </row>
        <row r="420">
          <cell r="C420">
            <v>565</v>
          </cell>
          <cell r="D420" t="str">
            <v>-  DIA. 5" FRE</v>
          </cell>
          <cell r="E420">
            <v>830</v>
          </cell>
          <cell r="F420">
            <v>100</v>
          </cell>
          <cell r="G420" t="str">
            <v>M.</v>
          </cell>
        </row>
        <row r="421">
          <cell r="C421">
            <v>566</v>
          </cell>
          <cell r="D421" t="str">
            <v>-  DIA. 6" FRE</v>
          </cell>
          <cell r="E421">
            <v>1330</v>
          </cell>
          <cell r="F421">
            <v>150</v>
          </cell>
          <cell r="G421" t="str">
            <v>M.</v>
          </cell>
        </row>
        <row r="422">
          <cell r="D422" t="str">
            <v>SPACE</v>
          </cell>
        </row>
        <row r="423">
          <cell r="D423" t="str">
            <v>5"CONDUIT IN DUCT BANK</v>
          </cell>
        </row>
        <row r="424">
          <cell r="C424">
            <v>571</v>
          </cell>
          <cell r="D424" t="str">
            <v xml:space="preserve">-  DIA. 125 MM. HDPE-PN6 (2x1) DUCT BANK </v>
          </cell>
          <cell r="E424">
            <v>1480</v>
          </cell>
          <cell r="F424">
            <v>600</v>
          </cell>
          <cell r="G424" t="str">
            <v>M.</v>
          </cell>
        </row>
        <row r="425">
          <cell r="C425">
            <v>572</v>
          </cell>
          <cell r="D425" t="str">
            <v xml:space="preserve">-  DIA. 125 MM. HDPE-PN6 (2x2) DUCT BANK </v>
          </cell>
          <cell r="E425">
            <v>2420</v>
          </cell>
          <cell r="F425">
            <v>800</v>
          </cell>
          <cell r="G425" t="str">
            <v>M.</v>
          </cell>
        </row>
        <row r="426">
          <cell r="C426">
            <v>573</v>
          </cell>
          <cell r="D426" t="str">
            <v xml:space="preserve">-  DIA. 125 MM. HDPE-PN6 (2x3) DUCT BANK </v>
          </cell>
          <cell r="E426">
            <v>3400</v>
          </cell>
          <cell r="F426">
            <v>1000</v>
          </cell>
          <cell r="G426" t="str">
            <v>M.</v>
          </cell>
        </row>
        <row r="427">
          <cell r="D427" t="str">
            <v>SPACE</v>
          </cell>
        </row>
        <row r="428">
          <cell r="C428">
            <v>576</v>
          </cell>
          <cell r="D428" t="str">
            <v xml:space="preserve">-  DIA. 5" FRE (2x1) CONDUIT </v>
          </cell>
          <cell r="E428">
            <v>1480</v>
          </cell>
          <cell r="F428">
            <v>300</v>
          </cell>
          <cell r="G428" t="str">
            <v>M.</v>
          </cell>
        </row>
        <row r="429">
          <cell r="C429">
            <v>577</v>
          </cell>
          <cell r="D429" t="str">
            <v xml:space="preserve">-  DIA. 5" FRE (2x2) CONDUIT </v>
          </cell>
          <cell r="E429">
            <v>2830</v>
          </cell>
          <cell r="F429">
            <v>400</v>
          </cell>
          <cell r="G429" t="str">
            <v>M.</v>
          </cell>
        </row>
        <row r="430">
          <cell r="C430">
            <v>578</v>
          </cell>
          <cell r="D430" t="str">
            <v xml:space="preserve">-  DIA. 5" FRE (2x3) CONDUIT </v>
          </cell>
          <cell r="E430">
            <v>3970</v>
          </cell>
          <cell r="F430">
            <v>600</v>
          </cell>
          <cell r="G430" t="str">
            <v>M.</v>
          </cell>
        </row>
        <row r="431">
          <cell r="D431" t="str">
            <v>SPACE</v>
          </cell>
        </row>
        <row r="432">
          <cell r="C432">
            <v>591</v>
          </cell>
          <cell r="D432" t="str">
            <v>-  DIA. 1/2" PVC-CLASS2</v>
          </cell>
          <cell r="E432">
            <v>11</v>
          </cell>
          <cell r="F432">
            <v>5</v>
          </cell>
          <cell r="G432" t="str">
            <v>M.</v>
          </cell>
        </row>
        <row r="433">
          <cell r="C433">
            <v>592</v>
          </cell>
          <cell r="D433" t="str">
            <v>-  DIA. 3/4" PVC-CLASS2</v>
          </cell>
          <cell r="E433">
            <v>13</v>
          </cell>
          <cell r="F433">
            <v>8</v>
          </cell>
          <cell r="G433" t="str">
            <v>M.</v>
          </cell>
        </row>
        <row r="434">
          <cell r="C434">
            <v>593</v>
          </cell>
          <cell r="D434" t="str">
            <v>-  DIA. 1" PVC-CLASS2</v>
          </cell>
          <cell r="E434">
            <v>24</v>
          </cell>
          <cell r="F434">
            <v>12</v>
          </cell>
          <cell r="G434" t="str">
            <v>M.</v>
          </cell>
        </row>
        <row r="435">
          <cell r="C435">
            <v>594</v>
          </cell>
          <cell r="D435" t="str">
            <v>-  DIA. 1 1/4" PVC-CLASS2</v>
          </cell>
          <cell r="E435">
            <v>34</v>
          </cell>
          <cell r="F435">
            <v>18</v>
          </cell>
          <cell r="G435" t="str">
            <v>M.</v>
          </cell>
        </row>
        <row r="436">
          <cell r="C436">
            <v>595</v>
          </cell>
          <cell r="D436" t="str">
            <v>-  DIA. 1 1/2" PVC-CLASS2</v>
          </cell>
          <cell r="E436">
            <v>44</v>
          </cell>
          <cell r="F436">
            <v>20</v>
          </cell>
          <cell r="G436" t="str">
            <v>M.</v>
          </cell>
        </row>
        <row r="437">
          <cell r="C437">
            <v>596</v>
          </cell>
          <cell r="D437" t="str">
            <v>-  DIA. 2" PVC-CLASS2</v>
          </cell>
          <cell r="E437">
            <v>62</v>
          </cell>
          <cell r="F437">
            <v>24</v>
          </cell>
          <cell r="G437" t="str">
            <v>M.</v>
          </cell>
        </row>
        <row r="438">
          <cell r="C438">
            <v>597</v>
          </cell>
          <cell r="D438" t="str">
            <v>-  DIA. 2 1/2" PVC-CLASS3</v>
          </cell>
          <cell r="E438">
            <v>80</v>
          </cell>
          <cell r="F438">
            <v>30</v>
          </cell>
          <cell r="G438" t="str">
            <v>M.</v>
          </cell>
        </row>
        <row r="439">
          <cell r="C439">
            <v>598</v>
          </cell>
          <cell r="D439" t="str">
            <v>-  DIA. 3" PVC-CLASS2</v>
          </cell>
          <cell r="E439">
            <v>126</v>
          </cell>
          <cell r="F439">
            <v>35</v>
          </cell>
          <cell r="G439" t="str">
            <v>M.</v>
          </cell>
        </row>
        <row r="440">
          <cell r="C440">
            <v>599</v>
          </cell>
          <cell r="D440" t="str">
            <v>-  DIA. 4" PVC-CLASS2</v>
          </cell>
          <cell r="E440">
            <v>192</v>
          </cell>
          <cell r="F440">
            <v>40</v>
          </cell>
          <cell r="G440" t="str">
            <v>M.</v>
          </cell>
        </row>
        <row r="441">
          <cell r="D441" t="str">
            <v>SPACE</v>
          </cell>
        </row>
        <row r="442">
          <cell r="C442">
            <v>6</v>
          </cell>
          <cell r="D442" t="str">
            <v>WIRE WAY (1.6 mm.THICK)</v>
          </cell>
        </row>
        <row r="443">
          <cell r="C443">
            <v>601</v>
          </cell>
          <cell r="D443" t="str">
            <v>-  50 mm.x50 mm. WIRE WAY</v>
          </cell>
          <cell r="E443">
            <v>192</v>
          </cell>
          <cell r="F443">
            <v>11</v>
          </cell>
          <cell r="G443" t="str">
            <v>M.</v>
          </cell>
        </row>
        <row r="444">
          <cell r="C444">
            <v>602</v>
          </cell>
          <cell r="D444" t="str">
            <v>-  50 mm.x75 mm. WIRE WAY</v>
          </cell>
          <cell r="E444">
            <v>230</v>
          </cell>
          <cell r="F444">
            <v>14</v>
          </cell>
          <cell r="G444" t="str">
            <v>M.</v>
          </cell>
        </row>
        <row r="445">
          <cell r="C445">
            <v>603</v>
          </cell>
          <cell r="D445" t="str">
            <v>-  50 mm.x100 mm. WIRE WAY</v>
          </cell>
          <cell r="E445">
            <v>263</v>
          </cell>
          <cell r="F445">
            <v>17</v>
          </cell>
          <cell r="G445" t="str">
            <v>M.</v>
          </cell>
        </row>
        <row r="446">
          <cell r="C446">
            <v>604</v>
          </cell>
          <cell r="D446" t="str">
            <v>-  50 mm.x125 mm. WIRE WAY</v>
          </cell>
          <cell r="E446">
            <v>300</v>
          </cell>
          <cell r="F446">
            <v>20</v>
          </cell>
          <cell r="G446" t="str">
            <v>M.</v>
          </cell>
        </row>
        <row r="447">
          <cell r="C447">
            <v>605</v>
          </cell>
          <cell r="D447" t="str">
            <v>-  50 mm.x150 mm. WIRE WAY</v>
          </cell>
          <cell r="E447">
            <v>340</v>
          </cell>
          <cell r="F447">
            <v>23</v>
          </cell>
          <cell r="G447" t="str">
            <v>M.</v>
          </cell>
        </row>
        <row r="448">
          <cell r="C448">
            <v>606</v>
          </cell>
          <cell r="D448" t="str">
            <v>-  50 mm.x200 mm. WIRE WAY</v>
          </cell>
          <cell r="E448">
            <v>400</v>
          </cell>
          <cell r="F448">
            <v>26</v>
          </cell>
          <cell r="G448" t="str">
            <v>M.</v>
          </cell>
        </row>
        <row r="449">
          <cell r="C449">
            <v>607</v>
          </cell>
          <cell r="D449" t="str">
            <v>-  50 mm.x250 mm. WIRE WAY</v>
          </cell>
          <cell r="E449">
            <v>483</v>
          </cell>
          <cell r="F449">
            <v>29</v>
          </cell>
          <cell r="G449" t="str">
            <v>M.</v>
          </cell>
        </row>
        <row r="450">
          <cell r="C450">
            <v>608</v>
          </cell>
          <cell r="D450" t="str">
            <v>-  75 mm.x100 mm. WIRE WAY</v>
          </cell>
          <cell r="E450">
            <v>300</v>
          </cell>
          <cell r="F450">
            <v>20</v>
          </cell>
          <cell r="G450" t="str">
            <v>M.</v>
          </cell>
        </row>
        <row r="451">
          <cell r="C451">
            <v>609</v>
          </cell>
          <cell r="D451" t="str">
            <v>-  75 mm.x150 mm. WIRE WAY</v>
          </cell>
          <cell r="E451">
            <v>375</v>
          </cell>
          <cell r="F451">
            <v>25</v>
          </cell>
          <cell r="G451" t="str">
            <v>M.</v>
          </cell>
        </row>
        <row r="452">
          <cell r="C452">
            <v>610</v>
          </cell>
          <cell r="D452" t="str">
            <v>-  75 mm.x200 mm. WIRE WAY</v>
          </cell>
          <cell r="E452">
            <v>446</v>
          </cell>
          <cell r="F452">
            <v>28</v>
          </cell>
          <cell r="G452" t="str">
            <v>M.</v>
          </cell>
        </row>
        <row r="453">
          <cell r="C453">
            <v>611</v>
          </cell>
          <cell r="D453" t="str">
            <v>-  75 mm.x250 mm. WIRE WAY</v>
          </cell>
          <cell r="E453">
            <v>520</v>
          </cell>
          <cell r="F453">
            <v>32</v>
          </cell>
          <cell r="G453" t="str">
            <v>M.</v>
          </cell>
        </row>
        <row r="454">
          <cell r="C454">
            <v>612</v>
          </cell>
          <cell r="D454" t="str">
            <v>-  75 mm.x300 mm. WIRE WAY</v>
          </cell>
          <cell r="E454">
            <v>590</v>
          </cell>
          <cell r="F454">
            <v>35</v>
          </cell>
          <cell r="G454" t="str">
            <v>M.</v>
          </cell>
        </row>
        <row r="455">
          <cell r="C455">
            <v>613</v>
          </cell>
          <cell r="D455" t="str">
            <v>-  100 mm.x100 mm. WIRE WAY</v>
          </cell>
          <cell r="E455">
            <v>340</v>
          </cell>
          <cell r="F455">
            <v>23</v>
          </cell>
          <cell r="G455" t="str">
            <v>M.</v>
          </cell>
        </row>
        <row r="456">
          <cell r="C456">
            <v>614</v>
          </cell>
          <cell r="D456" t="str">
            <v>-  100 mm.x150 mm. WIRE WAY</v>
          </cell>
          <cell r="E456">
            <v>400</v>
          </cell>
          <cell r="F456">
            <v>26</v>
          </cell>
          <cell r="G456" t="str">
            <v>M.</v>
          </cell>
        </row>
        <row r="457">
          <cell r="C457">
            <v>615</v>
          </cell>
          <cell r="D457" t="str">
            <v>-  100 mm.x200 mm. WIRE WAY</v>
          </cell>
          <cell r="E457">
            <v>483</v>
          </cell>
          <cell r="F457">
            <v>29</v>
          </cell>
          <cell r="G457" t="str">
            <v>M.</v>
          </cell>
        </row>
        <row r="458">
          <cell r="C458">
            <v>616</v>
          </cell>
          <cell r="D458" t="str">
            <v>-  100 mm.x250 mm. WIRE WAY</v>
          </cell>
          <cell r="E458">
            <v>550</v>
          </cell>
          <cell r="F458">
            <v>34</v>
          </cell>
          <cell r="G458" t="str">
            <v>M.</v>
          </cell>
        </row>
        <row r="459">
          <cell r="C459">
            <v>617</v>
          </cell>
          <cell r="D459" t="str">
            <v>-  100 mm.x300 mm. WIRE WAY</v>
          </cell>
          <cell r="E459">
            <v>630</v>
          </cell>
          <cell r="F459">
            <v>37</v>
          </cell>
          <cell r="G459" t="str">
            <v>M.</v>
          </cell>
        </row>
        <row r="460">
          <cell r="C460">
            <v>618</v>
          </cell>
          <cell r="D460" t="str">
            <v>-  100 mm.x350 mm. WIRE WAY</v>
          </cell>
          <cell r="E460">
            <v>700</v>
          </cell>
          <cell r="F460">
            <v>40</v>
          </cell>
          <cell r="G460" t="str">
            <v>M.</v>
          </cell>
        </row>
        <row r="461">
          <cell r="C461">
            <v>619</v>
          </cell>
          <cell r="D461" t="str">
            <v>-  150 mm.x150 mm. WIRE WAY</v>
          </cell>
          <cell r="E461">
            <v>483</v>
          </cell>
          <cell r="F461">
            <v>29</v>
          </cell>
          <cell r="G461" t="str">
            <v>M.</v>
          </cell>
        </row>
        <row r="462">
          <cell r="C462">
            <v>620</v>
          </cell>
          <cell r="D462" t="str">
            <v>-  150 mm.x200 mm. WIRE WAY</v>
          </cell>
          <cell r="E462">
            <v>550</v>
          </cell>
          <cell r="F462">
            <v>34</v>
          </cell>
          <cell r="G462" t="str">
            <v>M.</v>
          </cell>
        </row>
        <row r="463">
          <cell r="C463">
            <v>621</v>
          </cell>
          <cell r="D463" t="str">
            <v>-  150 mm.x250 mm. WIRE WAY</v>
          </cell>
          <cell r="E463">
            <v>630</v>
          </cell>
          <cell r="F463">
            <v>37</v>
          </cell>
          <cell r="G463" t="str">
            <v>M.</v>
          </cell>
        </row>
        <row r="464">
          <cell r="C464">
            <v>622</v>
          </cell>
          <cell r="D464" t="str">
            <v>-  150 mm.x300 mm. WIRE WAY</v>
          </cell>
          <cell r="E464">
            <v>700</v>
          </cell>
          <cell r="F464">
            <v>40</v>
          </cell>
          <cell r="G464" t="str">
            <v>M.</v>
          </cell>
        </row>
        <row r="465">
          <cell r="C465">
            <v>623</v>
          </cell>
          <cell r="D465" t="str">
            <v>-  150 mm.x350 mm. WIRE WAY</v>
          </cell>
          <cell r="E465">
            <v>775</v>
          </cell>
          <cell r="F465">
            <v>45</v>
          </cell>
          <cell r="G465" t="str">
            <v>M.</v>
          </cell>
        </row>
        <row r="466">
          <cell r="C466">
            <v>624</v>
          </cell>
          <cell r="D466" t="str">
            <v>-  150 mm.x400 mm. WIRE WAY</v>
          </cell>
          <cell r="E466">
            <v>846</v>
          </cell>
          <cell r="F466">
            <v>48</v>
          </cell>
          <cell r="G466" t="str">
            <v>M.</v>
          </cell>
        </row>
        <row r="467">
          <cell r="C467">
            <v>625</v>
          </cell>
          <cell r="D467" t="str">
            <v>-  200 mm.x200 mm. WIRE WAY</v>
          </cell>
          <cell r="E467">
            <v>500</v>
          </cell>
          <cell r="F467">
            <v>31</v>
          </cell>
          <cell r="G467" t="str">
            <v>M.</v>
          </cell>
        </row>
        <row r="468">
          <cell r="C468">
            <v>626</v>
          </cell>
          <cell r="D468" t="str">
            <v>-  200 mm.x250 mm. WIRE WAY</v>
          </cell>
          <cell r="E468">
            <v>575</v>
          </cell>
          <cell r="F468">
            <v>35</v>
          </cell>
          <cell r="G468" t="str">
            <v>M.</v>
          </cell>
        </row>
        <row r="469">
          <cell r="C469">
            <v>627</v>
          </cell>
          <cell r="D469" t="str">
            <v>-  200 mm.x300 mm. WIRE WAY</v>
          </cell>
          <cell r="E469">
            <v>775</v>
          </cell>
          <cell r="F469">
            <v>45</v>
          </cell>
          <cell r="G469" t="str">
            <v>M.</v>
          </cell>
        </row>
        <row r="470">
          <cell r="C470">
            <v>628</v>
          </cell>
          <cell r="D470" t="str">
            <v>-  200 mm.x350 mm. WIRE WAY</v>
          </cell>
          <cell r="E470">
            <v>846</v>
          </cell>
          <cell r="F470">
            <v>48</v>
          </cell>
          <cell r="G470" t="str">
            <v>M.</v>
          </cell>
        </row>
        <row r="471">
          <cell r="C471">
            <v>629</v>
          </cell>
          <cell r="D471" t="str">
            <v>-  200 mm.x400 mm. WIRE WAY</v>
          </cell>
          <cell r="E471">
            <v>920</v>
          </cell>
          <cell r="F471">
            <v>53</v>
          </cell>
          <cell r="G471" t="str">
            <v>M.</v>
          </cell>
        </row>
        <row r="472">
          <cell r="C472">
            <v>630</v>
          </cell>
          <cell r="D472" t="str">
            <v>-  200 mm.x450 mm. WIRE WAY</v>
          </cell>
          <cell r="E472">
            <v>990</v>
          </cell>
          <cell r="F472">
            <v>56</v>
          </cell>
          <cell r="G472" t="str">
            <v>M.</v>
          </cell>
        </row>
        <row r="473">
          <cell r="C473">
            <v>631</v>
          </cell>
          <cell r="D473" t="str">
            <v>-  250 mm.x250 mm. WIRE WAY</v>
          </cell>
          <cell r="E473">
            <v>775</v>
          </cell>
          <cell r="F473">
            <v>45</v>
          </cell>
          <cell r="G473" t="str">
            <v>M.</v>
          </cell>
        </row>
        <row r="474">
          <cell r="C474">
            <v>632</v>
          </cell>
          <cell r="D474" t="str">
            <v>-  250 mm.x300 mm. WIRE WAY</v>
          </cell>
          <cell r="E474">
            <v>846</v>
          </cell>
          <cell r="F474">
            <v>48</v>
          </cell>
          <cell r="G474" t="str">
            <v>M.</v>
          </cell>
        </row>
        <row r="475">
          <cell r="C475">
            <v>633</v>
          </cell>
          <cell r="D475" t="str">
            <v>-  250 mm.x350 mm. WIRE WAY</v>
          </cell>
          <cell r="E475">
            <v>920</v>
          </cell>
          <cell r="F475">
            <v>53</v>
          </cell>
          <cell r="G475" t="str">
            <v>M.</v>
          </cell>
        </row>
        <row r="476">
          <cell r="C476">
            <v>634</v>
          </cell>
          <cell r="D476" t="str">
            <v>-  250 mm.x400 mm. WIRE WAY</v>
          </cell>
          <cell r="E476">
            <v>990</v>
          </cell>
          <cell r="F476">
            <v>56</v>
          </cell>
          <cell r="G476" t="str">
            <v>M.</v>
          </cell>
        </row>
        <row r="477">
          <cell r="C477">
            <v>635</v>
          </cell>
          <cell r="D477" t="str">
            <v>-  250 mm.x450 mm. WIRE WAY</v>
          </cell>
          <cell r="E477">
            <v>1066</v>
          </cell>
          <cell r="F477">
            <v>60</v>
          </cell>
          <cell r="G477" t="str">
            <v>M.</v>
          </cell>
        </row>
        <row r="478">
          <cell r="C478">
            <v>636</v>
          </cell>
          <cell r="D478" t="str">
            <v>-  250 mm.x500 mm. WIRE WAY</v>
          </cell>
          <cell r="E478">
            <v>1138</v>
          </cell>
          <cell r="F478">
            <v>64</v>
          </cell>
          <cell r="G478" t="str">
            <v>M.</v>
          </cell>
        </row>
        <row r="479">
          <cell r="C479">
            <v>637</v>
          </cell>
          <cell r="D479" t="str">
            <v>-  250 mm.x550 mm. WIRE WAY</v>
          </cell>
          <cell r="E479">
            <v>1213</v>
          </cell>
          <cell r="F479">
            <v>70</v>
          </cell>
          <cell r="G479" t="str">
            <v>M.</v>
          </cell>
        </row>
        <row r="480">
          <cell r="D480" t="str">
            <v/>
          </cell>
        </row>
        <row r="481">
          <cell r="C481">
            <v>64</v>
          </cell>
          <cell r="D481" t="str">
            <v>CABLE TRAY ; ( 2.0 mm. THICK)</v>
          </cell>
        </row>
        <row r="482">
          <cell r="C482">
            <v>641</v>
          </cell>
          <cell r="D482" t="str">
            <v>-  100 mm. CABLE TRAY</v>
          </cell>
          <cell r="E482">
            <v>423</v>
          </cell>
          <cell r="F482">
            <v>29</v>
          </cell>
          <cell r="G482" t="str">
            <v>M.</v>
          </cell>
        </row>
        <row r="483">
          <cell r="C483">
            <v>642</v>
          </cell>
          <cell r="D483" t="str">
            <v>-  200 mm. CABLE TRAY</v>
          </cell>
          <cell r="E483">
            <v>533</v>
          </cell>
          <cell r="F483">
            <v>32</v>
          </cell>
          <cell r="G483" t="str">
            <v>M.</v>
          </cell>
        </row>
        <row r="484">
          <cell r="C484">
            <v>643</v>
          </cell>
          <cell r="D484" t="str">
            <v>-  300 mm. CABLE TRAY</v>
          </cell>
          <cell r="E484">
            <v>640</v>
          </cell>
          <cell r="F484">
            <v>35</v>
          </cell>
          <cell r="G484" t="str">
            <v>M.</v>
          </cell>
        </row>
        <row r="485">
          <cell r="C485">
            <v>644</v>
          </cell>
          <cell r="D485" t="str">
            <v>-  400 mm. CABLE TRAY</v>
          </cell>
          <cell r="E485">
            <v>747</v>
          </cell>
          <cell r="F485">
            <v>42</v>
          </cell>
          <cell r="G485" t="str">
            <v>M.</v>
          </cell>
        </row>
        <row r="486">
          <cell r="C486">
            <v>645</v>
          </cell>
          <cell r="D486" t="str">
            <v>-  500 mm. CABLE TRAY</v>
          </cell>
          <cell r="E486">
            <v>877</v>
          </cell>
          <cell r="F486">
            <v>50</v>
          </cell>
          <cell r="G486" t="str">
            <v>M.</v>
          </cell>
        </row>
        <row r="487">
          <cell r="C487">
            <v>646</v>
          </cell>
          <cell r="D487" t="str">
            <v>-  600 mm. CABLE TRAY</v>
          </cell>
          <cell r="E487">
            <v>986</v>
          </cell>
          <cell r="F487">
            <v>55</v>
          </cell>
          <cell r="G487" t="str">
            <v>M.</v>
          </cell>
        </row>
        <row r="488">
          <cell r="C488">
            <v>647</v>
          </cell>
          <cell r="D488" t="str">
            <v>-  700 mm. CABLE TRAY</v>
          </cell>
          <cell r="E488">
            <v>1094</v>
          </cell>
          <cell r="F488">
            <v>61</v>
          </cell>
          <cell r="G488" t="str">
            <v>M.</v>
          </cell>
        </row>
        <row r="489">
          <cell r="C489">
            <v>648</v>
          </cell>
          <cell r="D489" t="str">
            <v>-  800 mm. CABLE TRAY</v>
          </cell>
          <cell r="E489">
            <v>1200</v>
          </cell>
          <cell r="F489">
            <v>70</v>
          </cell>
          <cell r="G489" t="str">
            <v>M.</v>
          </cell>
        </row>
        <row r="490">
          <cell r="C490">
            <v>649</v>
          </cell>
          <cell r="D490" t="str">
            <v>-  900 mm. CABLE TRAY</v>
          </cell>
          <cell r="E490">
            <v>1320</v>
          </cell>
          <cell r="F490">
            <v>78</v>
          </cell>
          <cell r="G490" t="str">
            <v>M.</v>
          </cell>
        </row>
        <row r="491">
          <cell r="C491">
            <v>650</v>
          </cell>
          <cell r="D491" t="str">
            <v>-  1,000 mm. CABLE TRAY</v>
          </cell>
          <cell r="E491">
            <v>1440</v>
          </cell>
          <cell r="F491">
            <v>82</v>
          </cell>
          <cell r="G491" t="str">
            <v>M.</v>
          </cell>
        </row>
        <row r="492">
          <cell r="C492">
            <v>65</v>
          </cell>
          <cell r="D492" t="str">
            <v>CABLE LADDER ; ( 2.0 mm. THICK)</v>
          </cell>
        </row>
        <row r="493">
          <cell r="C493">
            <v>651</v>
          </cell>
          <cell r="D493" t="str">
            <v>-  100 mm. CABLE LADDER</v>
          </cell>
          <cell r="E493">
            <v>563</v>
          </cell>
          <cell r="F493">
            <v>34</v>
          </cell>
          <cell r="G493" t="str">
            <v>M.</v>
          </cell>
        </row>
        <row r="494">
          <cell r="C494">
            <v>652</v>
          </cell>
          <cell r="D494" t="str">
            <v>-  200 mm. CABLE LADDER</v>
          </cell>
          <cell r="E494">
            <v>600</v>
          </cell>
          <cell r="F494">
            <v>36</v>
          </cell>
          <cell r="G494" t="str">
            <v>M.</v>
          </cell>
        </row>
        <row r="495">
          <cell r="C495">
            <v>653</v>
          </cell>
          <cell r="D495" t="str">
            <v>-  300 mm. CABLE LADDER</v>
          </cell>
          <cell r="E495">
            <v>650</v>
          </cell>
          <cell r="F495">
            <v>39</v>
          </cell>
          <cell r="G495" t="str">
            <v>M.</v>
          </cell>
        </row>
        <row r="496">
          <cell r="C496">
            <v>654</v>
          </cell>
          <cell r="D496" t="str">
            <v>-  400 mm. CABLE LADDER</v>
          </cell>
          <cell r="E496">
            <v>690</v>
          </cell>
          <cell r="F496">
            <v>41</v>
          </cell>
          <cell r="G496" t="str">
            <v>M.</v>
          </cell>
        </row>
        <row r="497">
          <cell r="C497">
            <v>655</v>
          </cell>
          <cell r="D497" t="str">
            <v>-  500 mm. CABLE LADDER</v>
          </cell>
          <cell r="E497">
            <v>740</v>
          </cell>
          <cell r="F497">
            <v>43</v>
          </cell>
          <cell r="G497" t="str">
            <v>M.</v>
          </cell>
        </row>
        <row r="498">
          <cell r="C498">
            <v>656</v>
          </cell>
          <cell r="D498" t="str">
            <v>-  600 mm. CABLE LADDER</v>
          </cell>
          <cell r="E498">
            <v>785</v>
          </cell>
          <cell r="F498">
            <v>45</v>
          </cell>
          <cell r="G498" t="str">
            <v>M.</v>
          </cell>
        </row>
        <row r="499">
          <cell r="C499">
            <v>657</v>
          </cell>
          <cell r="D499" t="str">
            <v>-  700 mm. CABLE LADDER</v>
          </cell>
          <cell r="E499">
            <v>830</v>
          </cell>
          <cell r="F499">
            <v>48</v>
          </cell>
          <cell r="G499" t="str">
            <v>M.</v>
          </cell>
        </row>
        <row r="500">
          <cell r="C500">
            <v>658</v>
          </cell>
          <cell r="D500" t="str">
            <v>-  800 mm. CABLE LADDER</v>
          </cell>
          <cell r="E500">
            <v>877</v>
          </cell>
          <cell r="F500">
            <v>50</v>
          </cell>
          <cell r="G500" t="str">
            <v>M.</v>
          </cell>
        </row>
        <row r="501">
          <cell r="C501">
            <v>659</v>
          </cell>
          <cell r="D501" t="str">
            <v>-  900 mm. CABLE LADDER</v>
          </cell>
          <cell r="E501">
            <v>920</v>
          </cell>
          <cell r="F501">
            <v>53</v>
          </cell>
          <cell r="G501" t="str">
            <v>M.</v>
          </cell>
        </row>
        <row r="502">
          <cell r="C502">
            <v>660</v>
          </cell>
          <cell r="D502" t="str">
            <v>-  1,000 mm. CABLE LADDER</v>
          </cell>
          <cell r="E502">
            <v>963</v>
          </cell>
          <cell r="F502">
            <v>56</v>
          </cell>
          <cell r="G502" t="str">
            <v>M.</v>
          </cell>
        </row>
      </sheetData>
      <sheetData sheetId="1" refreshError="1"/>
      <sheetData sheetId="2" refreshError="1"/>
      <sheetData sheetId="3" refreshError="1"/>
      <sheetData sheetId="4" refreshError="1"/>
      <sheetData sheetId="5" refreshError="1"/>
      <sheetData sheetId="6" refreshError="1">
        <row r="3">
          <cell r="C3" t="str">
            <v>N0.</v>
          </cell>
          <cell r="D3" t="str">
            <v>DESCRIPTION</v>
          </cell>
          <cell r="E3" t="str">
            <v xml:space="preserve">UNIT  </v>
          </cell>
          <cell r="F3" t="str">
            <v xml:space="preserve">LABOUR </v>
          </cell>
          <cell r="G3" t="str">
            <v>UNIT</v>
          </cell>
        </row>
        <row r="4">
          <cell r="E4" t="str">
            <v>COST</v>
          </cell>
          <cell r="F4" t="str">
            <v>COST</v>
          </cell>
        </row>
        <row r="5">
          <cell r="C5" t="str">
            <v/>
          </cell>
          <cell r="D5" t="str">
            <v>MATV, CCTV, SOUND, LIGHTING CONTROL, ACCESS CONTROL</v>
          </cell>
        </row>
        <row r="6">
          <cell r="D6" t="str">
            <v>AND LIGHTNING PROTECTION</v>
          </cell>
        </row>
        <row r="7">
          <cell r="C7">
            <v>1</v>
          </cell>
          <cell r="D7" t="str">
            <v>HEAD END SET</v>
          </cell>
        </row>
        <row r="8">
          <cell r="C8">
            <v>101</v>
          </cell>
          <cell r="D8" t="str">
            <v>-  MULTIBAND AMPLIFIER</v>
          </cell>
          <cell r="E8">
            <v>5000</v>
          </cell>
          <cell r="F8">
            <v>0</v>
          </cell>
          <cell r="G8" t="str">
            <v>EA.</v>
          </cell>
        </row>
        <row r="9">
          <cell r="C9">
            <v>102</v>
          </cell>
          <cell r="D9" t="str">
            <v>-  CHANNEL AMPLIFIER</v>
          </cell>
          <cell r="E9">
            <v>7000</v>
          </cell>
          <cell r="F9">
            <v>0</v>
          </cell>
          <cell r="G9" t="str">
            <v>EA.</v>
          </cell>
        </row>
        <row r="10">
          <cell r="C10">
            <v>103</v>
          </cell>
          <cell r="D10" t="str">
            <v>-  BOOSTER</v>
          </cell>
          <cell r="E10">
            <v>3000</v>
          </cell>
          <cell r="F10">
            <v>0</v>
          </cell>
          <cell r="G10" t="str">
            <v>EA.</v>
          </cell>
        </row>
        <row r="11">
          <cell r="C11">
            <v>104</v>
          </cell>
          <cell r="D11" t="str">
            <v>-  RECEIVER AND MODULATOR</v>
          </cell>
          <cell r="E11">
            <v>16000</v>
          </cell>
          <cell r="F11">
            <v>0</v>
          </cell>
          <cell r="G11" t="str">
            <v>EA.</v>
          </cell>
        </row>
        <row r="12">
          <cell r="C12">
            <v>105</v>
          </cell>
          <cell r="D12" t="str">
            <v>-  POWER SUPPLY</v>
          </cell>
          <cell r="E12">
            <v>5000</v>
          </cell>
          <cell r="F12">
            <v>0</v>
          </cell>
          <cell r="G12" t="str">
            <v>EA.</v>
          </cell>
        </row>
        <row r="13">
          <cell r="C13">
            <v>106</v>
          </cell>
          <cell r="D13" t="str">
            <v>-  MIXER</v>
          </cell>
          <cell r="E13">
            <v>5000</v>
          </cell>
          <cell r="F13">
            <v>0</v>
          </cell>
          <cell r="G13" t="str">
            <v>EA.</v>
          </cell>
        </row>
        <row r="14">
          <cell r="C14">
            <v>107</v>
          </cell>
          <cell r="D14" t="str">
            <v>-  2-WAY SPLITTER</v>
          </cell>
          <cell r="E14">
            <v>400</v>
          </cell>
          <cell r="F14">
            <v>100</v>
          </cell>
          <cell r="G14" t="str">
            <v>EA.</v>
          </cell>
        </row>
        <row r="15">
          <cell r="C15">
            <v>108</v>
          </cell>
          <cell r="D15" t="str">
            <v>-  3-WAY SPLITTER</v>
          </cell>
          <cell r="E15">
            <v>600</v>
          </cell>
          <cell r="F15">
            <v>100</v>
          </cell>
          <cell r="G15" t="str">
            <v>EA.</v>
          </cell>
        </row>
        <row r="16">
          <cell r="C16">
            <v>109</v>
          </cell>
          <cell r="D16" t="str">
            <v>-  4-WAY SPLITTER</v>
          </cell>
          <cell r="E16">
            <v>800</v>
          </cell>
          <cell r="F16">
            <v>100</v>
          </cell>
          <cell r="G16" t="str">
            <v>EA.</v>
          </cell>
        </row>
        <row r="17">
          <cell r="C17">
            <v>110</v>
          </cell>
          <cell r="D17" t="str">
            <v>-  6-WAY SPLITTER</v>
          </cell>
          <cell r="E17">
            <v>600</v>
          </cell>
          <cell r="F17">
            <v>150</v>
          </cell>
          <cell r="G17" t="str">
            <v>EA.</v>
          </cell>
        </row>
        <row r="18">
          <cell r="C18">
            <v>111</v>
          </cell>
          <cell r="D18" t="str">
            <v>-  2-WAY TAP-OFF</v>
          </cell>
          <cell r="E18">
            <v>600</v>
          </cell>
          <cell r="F18">
            <v>100</v>
          </cell>
          <cell r="G18" t="str">
            <v>EA.</v>
          </cell>
        </row>
        <row r="19">
          <cell r="C19">
            <v>112</v>
          </cell>
          <cell r="D19" t="str">
            <v>-  3-WAY TAP-OFF</v>
          </cell>
          <cell r="E19">
            <v>800</v>
          </cell>
          <cell r="F19">
            <v>100</v>
          </cell>
          <cell r="G19" t="str">
            <v>EA.</v>
          </cell>
        </row>
        <row r="20">
          <cell r="C20">
            <v>113</v>
          </cell>
          <cell r="D20" t="str">
            <v>-  4-WAY TAP-OFF</v>
          </cell>
          <cell r="E20">
            <v>800</v>
          </cell>
          <cell r="F20">
            <v>150</v>
          </cell>
          <cell r="G20" t="str">
            <v>EA.</v>
          </cell>
        </row>
        <row r="21">
          <cell r="D21" t="str">
            <v>SPACE</v>
          </cell>
        </row>
        <row r="22">
          <cell r="D22" t="str">
            <v>ANTENNA AND SATTELLITE</v>
          </cell>
        </row>
        <row r="23">
          <cell r="C23">
            <v>121</v>
          </cell>
          <cell r="D23" t="str">
            <v>-  TV ANTENNA</v>
          </cell>
          <cell r="E23">
            <v>15000</v>
          </cell>
          <cell r="F23">
            <v>0</v>
          </cell>
          <cell r="G23" t="str">
            <v>SET</v>
          </cell>
        </row>
        <row r="24">
          <cell r="C24">
            <v>122</v>
          </cell>
          <cell r="D24" t="str">
            <v>-  TV AND FM ANTENNA</v>
          </cell>
          <cell r="E24">
            <v>16000</v>
          </cell>
          <cell r="F24">
            <v>0</v>
          </cell>
          <cell r="G24" t="str">
            <v>SET</v>
          </cell>
        </row>
        <row r="25">
          <cell r="C25">
            <v>123</v>
          </cell>
          <cell r="D25" t="str">
            <v>-  TV ANTENNA  (HOME USE)</v>
          </cell>
          <cell r="E25">
            <v>1500</v>
          </cell>
          <cell r="F25">
            <v>1000</v>
          </cell>
          <cell r="G25" t="str">
            <v>SET</v>
          </cell>
        </row>
        <row r="26">
          <cell r="C26">
            <v>124</v>
          </cell>
          <cell r="D26" t="str">
            <v>-  72 CM.DIGITAL SATELLITE DISH</v>
          </cell>
          <cell r="E26">
            <v>4000</v>
          </cell>
          <cell r="F26">
            <v>1000</v>
          </cell>
          <cell r="G26" t="str">
            <v>SET</v>
          </cell>
        </row>
        <row r="27">
          <cell r="C27">
            <v>125</v>
          </cell>
          <cell r="D27" t="str">
            <v>-  8" SATELLITE DISH</v>
          </cell>
          <cell r="E27">
            <v>24000</v>
          </cell>
          <cell r="F27">
            <v>5000</v>
          </cell>
          <cell r="G27" t="str">
            <v>SET</v>
          </cell>
        </row>
        <row r="28">
          <cell r="C28">
            <v>126</v>
          </cell>
          <cell r="D28" t="str">
            <v>-  10" SATELLITE DISH</v>
          </cell>
          <cell r="E28">
            <v>26000</v>
          </cell>
          <cell r="F28">
            <v>6000</v>
          </cell>
          <cell r="G28" t="str">
            <v>SET</v>
          </cell>
        </row>
        <row r="29">
          <cell r="D29" t="str">
            <v>SPACE</v>
          </cell>
        </row>
        <row r="30">
          <cell r="D30" t="str">
            <v>OUTLET AND CABLE</v>
          </cell>
        </row>
        <row r="31">
          <cell r="C31">
            <v>131</v>
          </cell>
          <cell r="D31" t="str">
            <v>-  TV OUTLET, PLASTIC PLATE</v>
          </cell>
          <cell r="E31">
            <v>160</v>
          </cell>
          <cell r="F31">
            <v>80</v>
          </cell>
          <cell r="G31" t="str">
            <v>SET</v>
          </cell>
        </row>
        <row r="32">
          <cell r="C32">
            <v>132</v>
          </cell>
          <cell r="D32" t="str">
            <v>-  TV AND FM OUTLET, PLASTIC PLATE</v>
          </cell>
          <cell r="E32">
            <v>280</v>
          </cell>
          <cell r="F32">
            <v>120</v>
          </cell>
          <cell r="G32" t="str">
            <v>SET</v>
          </cell>
        </row>
        <row r="33">
          <cell r="C33">
            <v>133</v>
          </cell>
          <cell r="D33" t="str">
            <v>-  TV OUTLET, ALUMINIUM PLATE</v>
          </cell>
          <cell r="E33">
            <v>190</v>
          </cell>
          <cell r="F33">
            <v>80</v>
          </cell>
          <cell r="G33" t="str">
            <v>SET</v>
          </cell>
        </row>
        <row r="34">
          <cell r="C34">
            <v>134</v>
          </cell>
          <cell r="D34" t="str">
            <v>-  TV AND FM OUTLET, ALUMINIUM PLATE</v>
          </cell>
          <cell r="E34">
            <v>310</v>
          </cell>
          <cell r="F34">
            <v>120</v>
          </cell>
          <cell r="G34" t="str">
            <v>SET</v>
          </cell>
        </row>
        <row r="35">
          <cell r="C35">
            <v>135</v>
          </cell>
          <cell r="D35" t="str">
            <v>-  TV OUTLET, STAINLESS PLATE</v>
          </cell>
          <cell r="E35">
            <v>205</v>
          </cell>
          <cell r="F35">
            <v>80</v>
          </cell>
          <cell r="G35" t="str">
            <v>SET</v>
          </cell>
        </row>
        <row r="36">
          <cell r="C36">
            <v>136</v>
          </cell>
          <cell r="D36" t="str">
            <v>-  TV AND FM OUTLET, STAINLESS PLATE</v>
          </cell>
          <cell r="E36">
            <v>325</v>
          </cell>
          <cell r="F36">
            <v>120</v>
          </cell>
          <cell r="G36" t="str">
            <v>SET</v>
          </cell>
        </row>
        <row r="37">
          <cell r="C37">
            <v>137</v>
          </cell>
          <cell r="D37" t="str">
            <v>-  TV OUTLET,  ALUMINIUM PLATE ; LIVING STYLE</v>
          </cell>
          <cell r="E37">
            <v>655</v>
          </cell>
          <cell r="F37">
            <v>80</v>
          </cell>
          <cell r="G37" t="str">
            <v>SET</v>
          </cell>
        </row>
        <row r="38">
          <cell r="C38">
            <v>138</v>
          </cell>
          <cell r="D38" t="str">
            <v>-  TV AND FM OUTLET,  ALUMINIUM PLATE ; LIVING STYLE</v>
          </cell>
          <cell r="E38">
            <v>1000</v>
          </cell>
          <cell r="F38">
            <v>120</v>
          </cell>
          <cell r="G38" t="str">
            <v>SET</v>
          </cell>
        </row>
        <row r="39">
          <cell r="C39">
            <v>139</v>
          </cell>
          <cell r="D39" t="str">
            <v>-  TV OUTLET,  CHROMIUM PLATE ; LIVING STYLE</v>
          </cell>
          <cell r="E39">
            <v>915</v>
          </cell>
          <cell r="F39">
            <v>80</v>
          </cell>
          <cell r="G39" t="str">
            <v>SET</v>
          </cell>
        </row>
        <row r="40">
          <cell r="C40">
            <v>140</v>
          </cell>
          <cell r="D40" t="str">
            <v>-  TV AND FM OUTLET,  CHROMIUM PLATE ; LIVING STYLE</v>
          </cell>
          <cell r="E40">
            <v>1300</v>
          </cell>
          <cell r="F40">
            <v>120</v>
          </cell>
          <cell r="G40" t="str">
            <v>SET</v>
          </cell>
        </row>
        <row r="41">
          <cell r="C41">
            <v>141</v>
          </cell>
          <cell r="D41" t="str">
            <v>-  RG59/U, 60% SHIELD</v>
          </cell>
          <cell r="E41">
            <v>13</v>
          </cell>
          <cell r="F41">
            <v>2</v>
          </cell>
          <cell r="G41" t="str">
            <v>M.</v>
          </cell>
        </row>
        <row r="42">
          <cell r="C42">
            <v>142</v>
          </cell>
          <cell r="D42" t="str">
            <v>-  RG6/U, 60% SHIELD</v>
          </cell>
          <cell r="E42">
            <v>15</v>
          </cell>
          <cell r="F42">
            <v>3</v>
          </cell>
          <cell r="G42" t="str">
            <v>M.</v>
          </cell>
        </row>
        <row r="43">
          <cell r="C43">
            <v>143</v>
          </cell>
          <cell r="D43" t="str">
            <v>-  RG11/U, 60% SHIELD</v>
          </cell>
          <cell r="E43">
            <v>31</v>
          </cell>
          <cell r="F43">
            <v>4</v>
          </cell>
          <cell r="G43" t="str">
            <v>M.</v>
          </cell>
        </row>
        <row r="44">
          <cell r="C44">
            <v>144</v>
          </cell>
          <cell r="D44" t="str">
            <v>-  RG59/U, 90% SHIELD</v>
          </cell>
          <cell r="E44">
            <v>15</v>
          </cell>
          <cell r="F44">
            <v>2</v>
          </cell>
          <cell r="G44" t="str">
            <v>M.</v>
          </cell>
        </row>
        <row r="45">
          <cell r="C45">
            <v>145</v>
          </cell>
          <cell r="D45" t="str">
            <v>-  RG6/U, 90% SHIELD</v>
          </cell>
          <cell r="E45">
            <v>22</v>
          </cell>
          <cell r="F45">
            <v>3</v>
          </cell>
          <cell r="G45" t="str">
            <v>M.</v>
          </cell>
        </row>
        <row r="46">
          <cell r="C46">
            <v>146</v>
          </cell>
          <cell r="D46" t="str">
            <v>-  RG11/U, 90% SHIELD</v>
          </cell>
          <cell r="E46">
            <v>33</v>
          </cell>
          <cell r="F46">
            <v>4</v>
          </cell>
          <cell r="G46" t="str">
            <v>M.</v>
          </cell>
        </row>
        <row r="47">
          <cell r="D47" t="str">
            <v>SPACE</v>
          </cell>
        </row>
        <row r="48">
          <cell r="C48">
            <v>2</v>
          </cell>
          <cell r="D48" t="str">
            <v>CCTV SYSTEM</v>
          </cell>
        </row>
        <row r="49">
          <cell r="C49">
            <v>201</v>
          </cell>
          <cell r="D49" t="str">
            <v>-  VIDEO MULTIPLEXER 16 OUTPUT</v>
          </cell>
          <cell r="E49">
            <v>315000</v>
          </cell>
          <cell r="F49">
            <v>10000</v>
          </cell>
          <cell r="G49" t="str">
            <v>SET</v>
          </cell>
        </row>
        <row r="50">
          <cell r="C50">
            <v>202</v>
          </cell>
          <cell r="D50" t="str">
            <v>-  BLACK &amp; WHITE CCTV CAMERA FIXED LENS AUTO IRIS</v>
          </cell>
          <cell r="E50">
            <v>20000</v>
          </cell>
          <cell r="F50">
            <v>2000</v>
          </cell>
          <cell r="G50" t="str">
            <v>SET</v>
          </cell>
        </row>
        <row r="51">
          <cell r="C51">
            <v>203</v>
          </cell>
          <cell r="D51" t="str">
            <v>-  COLOUR CCTV CAMERA FIXED LENS AUTO IRIS</v>
          </cell>
          <cell r="E51">
            <v>27000</v>
          </cell>
          <cell r="F51">
            <v>2000</v>
          </cell>
          <cell r="G51" t="str">
            <v>SET</v>
          </cell>
        </row>
        <row r="52">
          <cell r="C52">
            <v>204</v>
          </cell>
          <cell r="D52" t="str">
            <v>-  TIME-LAPSE VCR</v>
          </cell>
          <cell r="E52">
            <v>54000</v>
          </cell>
          <cell r="F52">
            <v>3000</v>
          </cell>
          <cell r="G52" t="str">
            <v>SET</v>
          </cell>
        </row>
        <row r="53">
          <cell r="C53">
            <v>205</v>
          </cell>
          <cell r="D53" t="str">
            <v>-  CONTROL CONSOLE</v>
          </cell>
          <cell r="E53">
            <v>20000</v>
          </cell>
          <cell r="F53">
            <v>3000</v>
          </cell>
          <cell r="G53" t="str">
            <v>SET</v>
          </cell>
        </row>
        <row r="54">
          <cell r="D54" t="str">
            <v>SPACE</v>
          </cell>
        </row>
        <row r="55">
          <cell r="C55">
            <v>211</v>
          </cell>
          <cell r="D55" t="str">
            <v>-  12" BLACK &amp; WHITE MONITOR</v>
          </cell>
          <cell r="E55">
            <v>10000</v>
          </cell>
          <cell r="F55">
            <v>1000</v>
          </cell>
          <cell r="G55" t="str">
            <v>SET</v>
          </cell>
        </row>
        <row r="56">
          <cell r="C56">
            <v>212</v>
          </cell>
          <cell r="D56" t="str">
            <v>-  14" BLACK &amp; WHITE MONITOR</v>
          </cell>
          <cell r="E56">
            <v>15000</v>
          </cell>
          <cell r="F56">
            <v>1000</v>
          </cell>
          <cell r="G56" t="str">
            <v>SET</v>
          </cell>
        </row>
        <row r="57">
          <cell r="C57">
            <v>213</v>
          </cell>
          <cell r="D57" t="str">
            <v>-  19" BLACK &amp; WHITE MONITOR</v>
          </cell>
          <cell r="E57">
            <v>20000</v>
          </cell>
          <cell r="F57">
            <v>1000</v>
          </cell>
          <cell r="G57" t="str">
            <v>SET</v>
          </cell>
        </row>
        <row r="58">
          <cell r="C58">
            <v>214</v>
          </cell>
          <cell r="D58" t="str">
            <v>-  12" COLOUR MONITOR</v>
          </cell>
          <cell r="E58">
            <v>25000</v>
          </cell>
          <cell r="F58">
            <v>1000</v>
          </cell>
          <cell r="G58" t="str">
            <v>SET</v>
          </cell>
        </row>
        <row r="59">
          <cell r="C59">
            <v>215</v>
          </cell>
          <cell r="D59" t="str">
            <v>-  14" COLOUR MONITOR</v>
          </cell>
          <cell r="E59">
            <v>40000</v>
          </cell>
          <cell r="F59">
            <v>1000</v>
          </cell>
          <cell r="G59" t="str">
            <v>SET</v>
          </cell>
        </row>
        <row r="60">
          <cell r="C60">
            <v>216</v>
          </cell>
          <cell r="D60" t="str">
            <v>-  20" COLOUR MONITOR</v>
          </cell>
          <cell r="E60">
            <v>70000</v>
          </cell>
          <cell r="F60">
            <v>1000</v>
          </cell>
          <cell r="G60" t="str">
            <v>SET</v>
          </cell>
        </row>
        <row r="62">
          <cell r="C62">
            <v>3</v>
          </cell>
          <cell r="D62" t="str">
            <v>SOUND SYSTEM</v>
          </cell>
        </row>
        <row r="63">
          <cell r="C63">
            <v>301</v>
          </cell>
          <cell r="D63" t="str">
            <v>-  HAND-HELD MICROPHONE</v>
          </cell>
          <cell r="E63">
            <v>6570</v>
          </cell>
          <cell r="F63">
            <v>0</v>
          </cell>
          <cell r="G63" t="str">
            <v>SET</v>
          </cell>
        </row>
        <row r="64">
          <cell r="C64">
            <v>302</v>
          </cell>
          <cell r="D64" t="str">
            <v>-  TIE-CLIP MICROPHONE</v>
          </cell>
          <cell r="E64">
            <v>24600</v>
          </cell>
          <cell r="F64">
            <v>0</v>
          </cell>
          <cell r="G64" t="str">
            <v>SET</v>
          </cell>
        </row>
        <row r="65">
          <cell r="C65">
            <v>303</v>
          </cell>
          <cell r="D65" t="str">
            <v>-  TABLE-STAND MICROPHONE</v>
          </cell>
          <cell r="E65">
            <v>5830</v>
          </cell>
          <cell r="F65">
            <v>0</v>
          </cell>
          <cell r="G65" t="str">
            <v>SET</v>
          </cell>
        </row>
        <row r="66">
          <cell r="C66">
            <v>304</v>
          </cell>
          <cell r="D66" t="str">
            <v>-  TABLE-STAND MICROPHONE WITH REMOTE ZONE SELECTER</v>
          </cell>
          <cell r="E66">
            <v>17730</v>
          </cell>
          <cell r="F66">
            <v>0</v>
          </cell>
          <cell r="G66" t="str">
            <v>SET</v>
          </cell>
        </row>
        <row r="67">
          <cell r="C67">
            <v>305</v>
          </cell>
          <cell r="D67" t="str">
            <v>-  WIRELESS MICROPHONE</v>
          </cell>
          <cell r="E67">
            <v>18100</v>
          </cell>
          <cell r="F67">
            <v>0</v>
          </cell>
          <cell r="G67" t="str">
            <v>SET</v>
          </cell>
        </row>
        <row r="68">
          <cell r="C68">
            <v>306</v>
          </cell>
          <cell r="D68" t="str">
            <v>-  WIRELESS RECEIVER MODULE</v>
          </cell>
          <cell r="E68">
            <v>36000</v>
          </cell>
          <cell r="F68">
            <v>0</v>
          </cell>
          <cell r="G68" t="str">
            <v>SET</v>
          </cell>
        </row>
        <row r="69">
          <cell r="C69">
            <v>309</v>
          </cell>
          <cell r="D69" t="str">
            <v>-  8-CHANNEL SPACE AUDIO MIXER</v>
          </cell>
          <cell r="E69">
            <v>89960</v>
          </cell>
          <cell r="F69">
            <v>2000</v>
          </cell>
          <cell r="G69" t="str">
            <v>SET</v>
          </cell>
        </row>
        <row r="70">
          <cell r="C70">
            <v>310</v>
          </cell>
          <cell r="D70" t="str">
            <v>-  GRAPHIC EQUALIZER</v>
          </cell>
          <cell r="G70" t="str">
            <v>SET</v>
          </cell>
        </row>
        <row r="71">
          <cell r="C71">
            <v>311</v>
          </cell>
          <cell r="D71" t="str">
            <v>-  100 W. (MAX.) POWER AMPLIFIER</v>
          </cell>
          <cell r="E71">
            <v>69200</v>
          </cell>
          <cell r="F71">
            <v>1000</v>
          </cell>
          <cell r="G71" t="str">
            <v>SET</v>
          </cell>
        </row>
        <row r="72">
          <cell r="C72">
            <v>312</v>
          </cell>
          <cell r="D72" t="str">
            <v>-  200 W. (MAX.) POWER AMPLIFIER</v>
          </cell>
          <cell r="E72">
            <v>108120</v>
          </cell>
          <cell r="F72">
            <v>1500</v>
          </cell>
          <cell r="G72" t="str">
            <v>SET</v>
          </cell>
        </row>
        <row r="73">
          <cell r="C73">
            <v>313</v>
          </cell>
          <cell r="D73" t="str">
            <v>-  300 W. (MAX.) POWER AMPLIFIER</v>
          </cell>
          <cell r="E73">
            <v>177320</v>
          </cell>
          <cell r="F73">
            <v>2000</v>
          </cell>
          <cell r="G73" t="str">
            <v>SET</v>
          </cell>
        </row>
        <row r="74">
          <cell r="C74">
            <v>314</v>
          </cell>
          <cell r="D74" t="str">
            <v>-  400 W. (MAX.) POWER AMPLIFIER</v>
          </cell>
          <cell r="E74">
            <v>178610</v>
          </cell>
          <cell r="F74">
            <v>2000</v>
          </cell>
          <cell r="G74" t="str">
            <v>SET</v>
          </cell>
        </row>
        <row r="75">
          <cell r="C75">
            <v>315</v>
          </cell>
          <cell r="D75" t="str">
            <v>-  500 W. (MAX.) POWER AMPLIFIER</v>
          </cell>
          <cell r="E75">
            <v>220000</v>
          </cell>
          <cell r="F75">
            <v>2500</v>
          </cell>
          <cell r="G75" t="str">
            <v>SET</v>
          </cell>
        </row>
        <row r="76">
          <cell r="C76">
            <v>316</v>
          </cell>
          <cell r="D76" t="str">
            <v>-  1x600 W. (MAX.) POWER AMPLIFIER</v>
          </cell>
          <cell r="E76">
            <v>250000</v>
          </cell>
          <cell r="F76">
            <v>3000</v>
          </cell>
          <cell r="G76" t="str">
            <v>SET</v>
          </cell>
        </row>
        <row r="77">
          <cell r="C77">
            <v>317</v>
          </cell>
          <cell r="D77" t="str">
            <v>-  PRE-AMPLIFIER</v>
          </cell>
          <cell r="E77">
            <v>32900</v>
          </cell>
          <cell r="F77">
            <v>1000</v>
          </cell>
          <cell r="G77" t="str">
            <v>SET</v>
          </cell>
        </row>
        <row r="78">
          <cell r="C78">
            <v>321</v>
          </cell>
          <cell r="D78" t="str">
            <v>-  SINGLE SPACE TYPE DECK</v>
          </cell>
          <cell r="E78">
            <v>7550</v>
          </cell>
          <cell r="F78">
            <v>200</v>
          </cell>
          <cell r="G78" t="str">
            <v>SET</v>
          </cell>
        </row>
        <row r="79">
          <cell r="C79">
            <v>322</v>
          </cell>
          <cell r="D79" t="str">
            <v>-  DOUBLE TAPE DECK</v>
          </cell>
          <cell r="E79">
            <v>15000</v>
          </cell>
          <cell r="F79">
            <v>200</v>
          </cell>
          <cell r="G79" t="str">
            <v>SET</v>
          </cell>
        </row>
        <row r="80">
          <cell r="C80">
            <v>323</v>
          </cell>
          <cell r="D80" t="str">
            <v>-  1 D.CD.PLAYER</v>
          </cell>
          <cell r="E80">
            <v>0</v>
          </cell>
          <cell r="F80">
            <v>0</v>
          </cell>
          <cell r="G80" t="str">
            <v>SET</v>
          </cell>
        </row>
        <row r="81">
          <cell r="C81">
            <v>324</v>
          </cell>
          <cell r="D81" t="str">
            <v>-  3 D.CD.PLAYER</v>
          </cell>
          <cell r="E81">
            <v>0</v>
          </cell>
          <cell r="F81">
            <v>0</v>
          </cell>
          <cell r="G81" t="str">
            <v>SET</v>
          </cell>
        </row>
        <row r="82">
          <cell r="C82">
            <v>325</v>
          </cell>
          <cell r="D82" t="str">
            <v>-  5D.CD.PLAYER</v>
          </cell>
          <cell r="E82">
            <v>0</v>
          </cell>
          <cell r="F82">
            <v>0</v>
          </cell>
          <cell r="G82" t="str">
            <v>SET</v>
          </cell>
        </row>
        <row r="83">
          <cell r="C83">
            <v>326</v>
          </cell>
          <cell r="D83" t="str">
            <v>-  10 D.CD PLAYER</v>
          </cell>
          <cell r="E83">
            <v>0</v>
          </cell>
          <cell r="F83">
            <v>0</v>
          </cell>
          <cell r="G83" t="str">
            <v>SET</v>
          </cell>
        </row>
        <row r="84">
          <cell r="C84">
            <v>327</v>
          </cell>
          <cell r="D84" t="str">
            <v>-  TUNER &amp; ANTENNA</v>
          </cell>
          <cell r="E84">
            <v>5870</v>
          </cell>
          <cell r="F84">
            <v>200</v>
          </cell>
          <cell r="G84" t="str">
            <v>SET</v>
          </cell>
        </row>
        <row r="85">
          <cell r="D85" t="str">
            <v>SPACE</v>
          </cell>
        </row>
        <row r="86">
          <cell r="C86">
            <v>331</v>
          </cell>
          <cell r="D86" t="str">
            <v>-  18 ZONE CALL STATION</v>
          </cell>
          <cell r="E86">
            <v>54000</v>
          </cell>
          <cell r="F86">
            <v>0</v>
          </cell>
          <cell r="G86" t="str">
            <v>SET</v>
          </cell>
        </row>
        <row r="87">
          <cell r="C87">
            <v>332</v>
          </cell>
          <cell r="D87" t="str">
            <v>-  36 ZONE CALL STATION</v>
          </cell>
          <cell r="E87">
            <v>75600</v>
          </cell>
          <cell r="F87">
            <v>0</v>
          </cell>
          <cell r="G87" t="str">
            <v>SET</v>
          </cell>
        </row>
        <row r="88">
          <cell r="C88">
            <v>333</v>
          </cell>
          <cell r="D88" t="str">
            <v>-  SYSTEM MANAGEMENT</v>
          </cell>
          <cell r="E88">
            <v>150500</v>
          </cell>
          <cell r="F88">
            <v>5000</v>
          </cell>
          <cell r="G88" t="str">
            <v>SET</v>
          </cell>
        </row>
        <row r="89">
          <cell r="D89" t="str">
            <v>SPACE</v>
          </cell>
        </row>
        <row r="90">
          <cell r="D90" t="str">
            <v>LOUDSPEAKER</v>
          </cell>
        </row>
        <row r="91">
          <cell r="C91">
            <v>341</v>
          </cell>
          <cell r="D91" t="str">
            <v>-  3 W. CABINET SPEAKER</v>
          </cell>
          <cell r="E91">
            <v>2240</v>
          </cell>
          <cell r="F91">
            <v>200</v>
          </cell>
          <cell r="G91" t="str">
            <v>SET</v>
          </cell>
        </row>
        <row r="92">
          <cell r="C92">
            <v>342</v>
          </cell>
          <cell r="D92" t="str">
            <v>-  6 W. CABINET SPEAKER</v>
          </cell>
          <cell r="E92">
            <v>2310</v>
          </cell>
          <cell r="F92">
            <v>200</v>
          </cell>
          <cell r="G92" t="str">
            <v>SET</v>
          </cell>
        </row>
        <row r="93">
          <cell r="C93">
            <v>343</v>
          </cell>
          <cell r="D93" t="str">
            <v>-  12 W. (MAX) COLUMN SPEAKER</v>
          </cell>
          <cell r="E93">
            <v>10590</v>
          </cell>
          <cell r="F93">
            <v>100</v>
          </cell>
          <cell r="G93" t="str">
            <v>SET</v>
          </cell>
        </row>
        <row r="94">
          <cell r="C94">
            <v>344</v>
          </cell>
          <cell r="D94" t="str">
            <v>-  24 W (MAX) COLUMN SPEAKER</v>
          </cell>
          <cell r="E94">
            <v>14510</v>
          </cell>
          <cell r="F94">
            <v>100</v>
          </cell>
          <cell r="G94" t="str">
            <v>SET</v>
          </cell>
        </row>
        <row r="95">
          <cell r="C95">
            <v>345</v>
          </cell>
          <cell r="D95" t="str">
            <v>-  36 W.(MAX) COLUMN SPEAKER</v>
          </cell>
          <cell r="E95">
            <v>1499</v>
          </cell>
          <cell r="F95">
            <v>100</v>
          </cell>
          <cell r="G95" t="str">
            <v>SET</v>
          </cell>
        </row>
        <row r="96">
          <cell r="C96">
            <v>346</v>
          </cell>
          <cell r="D96" t="str">
            <v>-  12 W. CARDIOID COLUMN SPEAKER</v>
          </cell>
          <cell r="E96">
            <v>24000</v>
          </cell>
          <cell r="F96">
            <v>500</v>
          </cell>
          <cell r="G96" t="str">
            <v>SET</v>
          </cell>
        </row>
        <row r="97">
          <cell r="C97">
            <v>347</v>
          </cell>
          <cell r="D97" t="str">
            <v>-  24 W. CARDIOID COLUMN SPEAKER</v>
          </cell>
          <cell r="E97">
            <v>36000</v>
          </cell>
          <cell r="F97">
            <v>500</v>
          </cell>
          <cell r="G97" t="str">
            <v>SET</v>
          </cell>
        </row>
        <row r="98">
          <cell r="C98">
            <v>348</v>
          </cell>
          <cell r="D98" t="str">
            <v>-  30 W. CARDIOID COLUMN SPEAKER</v>
          </cell>
          <cell r="E98">
            <v>46000</v>
          </cell>
          <cell r="F98">
            <v>500</v>
          </cell>
          <cell r="G98" t="str">
            <v>SET</v>
          </cell>
        </row>
        <row r="99">
          <cell r="C99">
            <v>349</v>
          </cell>
          <cell r="D99" t="str">
            <v>-  36 W. CARDIOID COLUMN SPEAKER (OUT DOOR)</v>
          </cell>
          <cell r="E99">
            <v>52000</v>
          </cell>
          <cell r="F99">
            <v>500</v>
          </cell>
          <cell r="G99" t="str">
            <v>SET</v>
          </cell>
        </row>
        <row r="100">
          <cell r="C100" t="str">
            <v/>
          </cell>
          <cell r="D100" t="str">
            <v>SPACE</v>
          </cell>
        </row>
        <row r="101">
          <cell r="C101">
            <v>351</v>
          </cell>
          <cell r="D101" t="str">
            <v>-  6 W. PANEL SPEAKER</v>
          </cell>
          <cell r="E101">
            <v>3500</v>
          </cell>
          <cell r="F101">
            <v>100</v>
          </cell>
          <cell r="G101" t="str">
            <v>SET</v>
          </cell>
        </row>
        <row r="102">
          <cell r="C102">
            <v>352</v>
          </cell>
          <cell r="D102" t="str">
            <v>-  6 W. CEILING LOUD SPEAKER</v>
          </cell>
          <cell r="E102">
            <v>1900</v>
          </cell>
          <cell r="F102">
            <v>200</v>
          </cell>
          <cell r="G102" t="str">
            <v>SET</v>
          </cell>
        </row>
        <row r="103">
          <cell r="C103">
            <v>353</v>
          </cell>
          <cell r="D103" t="str">
            <v>-  24 W. PANEL CEILING SPEAKER</v>
          </cell>
          <cell r="E103">
            <v>0</v>
          </cell>
          <cell r="F103">
            <v>200</v>
          </cell>
          <cell r="G103" t="str">
            <v>SET</v>
          </cell>
        </row>
        <row r="104">
          <cell r="D104" t="str">
            <v>SPACE</v>
          </cell>
        </row>
        <row r="105">
          <cell r="C105">
            <v>356</v>
          </cell>
          <cell r="D105" t="str">
            <v xml:space="preserve">-  6 W. B1-DIRECTIONAL SOUND PROJECTOR                       </v>
          </cell>
          <cell r="E105">
            <v>3570</v>
          </cell>
          <cell r="F105">
            <v>100</v>
          </cell>
          <cell r="G105" t="str">
            <v>SET</v>
          </cell>
        </row>
        <row r="106">
          <cell r="C106">
            <v>357</v>
          </cell>
          <cell r="D106" t="str">
            <v>-  6 W. SOUND PROJECTOR</v>
          </cell>
          <cell r="E106">
            <v>2950</v>
          </cell>
          <cell r="F106">
            <v>100</v>
          </cell>
          <cell r="G106" t="str">
            <v>SET</v>
          </cell>
        </row>
        <row r="107">
          <cell r="C107">
            <v>358</v>
          </cell>
          <cell r="D107" t="str">
            <v>-  10 W. SOUND PROJECTOR</v>
          </cell>
          <cell r="E107">
            <v>3810</v>
          </cell>
          <cell r="F107">
            <v>100</v>
          </cell>
          <cell r="G107" t="str">
            <v>SET</v>
          </cell>
        </row>
        <row r="108">
          <cell r="C108">
            <v>359</v>
          </cell>
          <cell r="D108" t="str">
            <v>-  10 W. PENDANT SPHERE SPEAKER</v>
          </cell>
          <cell r="E108">
            <v>3590</v>
          </cell>
          <cell r="F108">
            <v>100</v>
          </cell>
          <cell r="G108" t="str">
            <v>SET</v>
          </cell>
        </row>
        <row r="109">
          <cell r="C109">
            <v>360</v>
          </cell>
          <cell r="D109" t="str">
            <v>-  25 W. (MAX.) SOUND PROJECTOR</v>
          </cell>
          <cell r="E109">
            <v>0</v>
          </cell>
          <cell r="F109">
            <v>0</v>
          </cell>
          <cell r="G109" t="str">
            <v>SET</v>
          </cell>
        </row>
        <row r="110">
          <cell r="C110">
            <v>361</v>
          </cell>
          <cell r="D110" t="str">
            <v xml:space="preserve">-  25 W. (MAX.) SOUND PROJECTOR (OUTDOOR)                      </v>
          </cell>
          <cell r="E110">
            <v>0</v>
          </cell>
          <cell r="F110">
            <v>0</v>
          </cell>
          <cell r="G110" t="str">
            <v>SET</v>
          </cell>
        </row>
        <row r="111">
          <cell r="D111" t="str">
            <v>SPACE</v>
          </cell>
        </row>
        <row r="112">
          <cell r="C112">
            <v>366</v>
          </cell>
          <cell r="D112" t="str">
            <v xml:space="preserve">-  10 W. HORN  </v>
          </cell>
          <cell r="E112">
            <v>4100</v>
          </cell>
          <cell r="F112">
            <v>100</v>
          </cell>
          <cell r="G112" t="str">
            <v>SET</v>
          </cell>
        </row>
        <row r="113">
          <cell r="C113">
            <v>367</v>
          </cell>
          <cell r="D113" t="str">
            <v>-  15 W. HORN</v>
          </cell>
          <cell r="E113">
            <v>0</v>
          </cell>
          <cell r="F113">
            <v>0</v>
          </cell>
          <cell r="G113" t="str">
            <v>SET</v>
          </cell>
        </row>
        <row r="114">
          <cell r="C114">
            <v>368</v>
          </cell>
          <cell r="D114" t="str">
            <v>-  20 W. HORN</v>
          </cell>
          <cell r="E114">
            <v>7370</v>
          </cell>
          <cell r="F114">
            <v>100</v>
          </cell>
          <cell r="G114" t="str">
            <v>SET</v>
          </cell>
        </row>
        <row r="115">
          <cell r="C115">
            <v>369</v>
          </cell>
          <cell r="D115" t="str">
            <v>-  30 W. HORN</v>
          </cell>
          <cell r="E115">
            <v>8380</v>
          </cell>
          <cell r="F115">
            <v>100</v>
          </cell>
          <cell r="G115" t="str">
            <v>SET</v>
          </cell>
        </row>
        <row r="116">
          <cell r="D116" t="str">
            <v>SPACE</v>
          </cell>
        </row>
        <row r="118">
          <cell r="C118">
            <v>4</v>
          </cell>
          <cell r="D118" t="str">
            <v>LIGHTING CONTROL</v>
          </cell>
        </row>
        <row r="119">
          <cell r="D119" t="str">
            <v>NATIONAL 2W. REMOTE CONTROL</v>
          </cell>
        </row>
        <row r="120">
          <cell r="D120" t="str">
            <v>-  2 W, NATIONAL</v>
          </cell>
        </row>
        <row r="121">
          <cell r="D121" t="str">
            <v>-  DILITE</v>
          </cell>
          <cell r="G121" t="str">
            <v>SET</v>
          </cell>
        </row>
        <row r="122">
          <cell r="C122">
            <v>401</v>
          </cell>
          <cell r="D122" t="str">
            <v>-  TRANSMISSION UNIT</v>
          </cell>
          <cell r="E122">
            <v>25200</v>
          </cell>
          <cell r="F122">
            <v>500</v>
          </cell>
          <cell r="G122" t="str">
            <v>SET</v>
          </cell>
        </row>
        <row r="123">
          <cell r="C123">
            <v>402</v>
          </cell>
          <cell r="D123" t="str">
            <v>-  TRANSFORMER</v>
          </cell>
          <cell r="E123">
            <v>4650</v>
          </cell>
          <cell r="F123">
            <v>200</v>
          </cell>
          <cell r="G123" t="str">
            <v>SET</v>
          </cell>
        </row>
        <row r="124">
          <cell r="C124">
            <v>403</v>
          </cell>
          <cell r="D124" t="str">
            <v>-  CONTACT INPUT TERMINAL UNIT</v>
          </cell>
          <cell r="E124">
            <v>5960</v>
          </cell>
          <cell r="F124">
            <v>200</v>
          </cell>
          <cell r="G124" t="str">
            <v>SET</v>
          </cell>
        </row>
        <row r="125">
          <cell r="C125">
            <v>404</v>
          </cell>
          <cell r="D125" t="str">
            <v>-  PATTERN SWITCH (4 PATTERN)</v>
          </cell>
          <cell r="E125">
            <v>2830</v>
          </cell>
          <cell r="F125">
            <v>200</v>
          </cell>
          <cell r="G125" t="str">
            <v>SET</v>
          </cell>
        </row>
        <row r="126">
          <cell r="C126">
            <v>405</v>
          </cell>
          <cell r="D126" t="str">
            <v xml:space="preserve">-  PATTERN SETTING SWITCH </v>
          </cell>
          <cell r="E126">
            <v>2830</v>
          </cell>
          <cell r="F126">
            <v>200</v>
          </cell>
          <cell r="G126" t="str">
            <v>SET</v>
          </cell>
        </row>
        <row r="127">
          <cell r="C127">
            <v>406</v>
          </cell>
          <cell r="D127" t="str">
            <v>-  ZONE PATTERN SWITCH (3 PATTERN)</v>
          </cell>
          <cell r="E127">
            <v>2900</v>
          </cell>
          <cell r="F127">
            <v>200</v>
          </cell>
          <cell r="G127" t="str">
            <v>SET</v>
          </cell>
        </row>
        <row r="128">
          <cell r="C128">
            <v>407</v>
          </cell>
          <cell r="D128" t="str">
            <v>-  GROUP SWITCH 1 GROUP</v>
          </cell>
          <cell r="E128">
            <v>2450</v>
          </cell>
          <cell r="F128">
            <v>200</v>
          </cell>
          <cell r="G128" t="str">
            <v>SET</v>
          </cell>
        </row>
        <row r="129">
          <cell r="C129">
            <v>408</v>
          </cell>
          <cell r="D129" t="str">
            <v>-  GROUP SWITCH 4 GROUP</v>
          </cell>
          <cell r="E129">
            <v>3050</v>
          </cell>
          <cell r="F129">
            <v>200</v>
          </cell>
          <cell r="G129" t="str">
            <v>SET</v>
          </cell>
        </row>
        <row r="130">
          <cell r="C130">
            <v>409</v>
          </cell>
          <cell r="D130" t="str">
            <v xml:space="preserve">-  GROUP SETTING SWITCH </v>
          </cell>
          <cell r="E130">
            <v>2830</v>
          </cell>
          <cell r="F130">
            <v>200</v>
          </cell>
          <cell r="G130" t="str">
            <v>SET</v>
          </cell>
        </row>
        <row r="131">
          <cell r="C131">
            <v>410</v>
          </cell>
          <cell r="D131" t="str">
            <v>-  TIMER SETTING UNIT</v>
          </cell>
          <cell r="E131">
            <v>54400</v>
          </cell>
          <cell r="F131">
            <v>200</v>
          </cell>
          <cell r="G131" t="str">
            <v>SET</v>
          </cell>
        </row>
        <row r="132">
          <cell r="C132">
            <v>411</v>
          </cell>
          <cell r="D132" t="str">
            <v>-  HID RELAY 20A. (SINGLE POLE)</v>
          </cell>
          <cell r="E132">
            <v>1420</v>
          </cell>
          <cell r="F132">
            <v>100</v>
          </cell>
          <cell r="G132" t="str">
            <v>SET</v>
          </cell>
        </row>
        <row r="133">
          <cell r="C133">
            <v>412</v>
          </cell>
          <cell r="D133" t="str">
            <v>-  HID RELAY 20A. (DOUBLE POLE)</v>
          </cell>
          <cell r="E133">
            <v>2870</v>
          </cell>
          <cell r="F133">
            <v>100</v>
          </cell>
          <cell r="G133" t="str">
            <v>SET</v>
          </cell>
        </row>
        <row r="134">
          <cell r="C134">
            <v>413</v>
          </cell>
          <cell r="D134" t="str">
            <v>-  RELAY CONTROL T/U (4 CIRCUIT)</v>
          </cell>
          <cell r="E134">
            <v>4100</v>
          </cell>
          <cell r="F134">
            <v>200</v>
          </cell>
          <cell r="G134" t="str">
            <v>SET</v>
          </cell>
        </row>
        <row r="135">
          <cell r="C135">
            <v>414</v>
          </cell>
          <cell r="D135" t="str">
            <v>-  RELAY CONTROL T/U (1 CIRCUIT)</v>
          </cell>
          <cell r="E135">
            <v>2600</v>
          </cell>
          <cell r="F135">
            <v>200</v>
          </cell>
          <cell r="G135" t="str">
            <v>SET</v>
          </cell>
        </row>
        <row r="136">
          <cell r="C136">
            <v>415</v>
          </cell>
          <cell r="D136" t="str">
            <v>-  6A. CONTACT OUTPUT T/U (4 CIRCUIT)</v>
          </cell>
          <cell r="E136">
            <v>6350</v>
          </cell>
          <cell r="F136">
            <v>200</v>
          </cell>
          <cell r="G136" t="str">
            <v>SET</v>
          </cell>
        </row>
        <row r="137">
          <cell r="C137">
            <v>416</v>
          </cell>
          <cell r="D137" t="str">
            <v>-  6A. CONTACT OUTPUT T/U (1 CIRCUIT)</v>
          </cell>
          <cell r="E137">
            <v>3100</v>
          </cell>
          <cell r="F137">
            <v>200</v>
          </cell>
          <cell r="G137" t="str">
            <v>SET</v>
          </cell>
        </row>
        <row r="138">
          <cell r="C138">
            <v>417</v>
          </cell>
          <cell r="D138" t="str">
            <v>-  INTERFACE</v>
          </cell>
          <cell r="E138">
            <v>133900</v>
          </cell>
          <cell r="F138">
            <v>0</v>
          </cell>
          <cell r="G138" t="str">
            <v>SET</v>
          </cell>
        </row>
        <row r="139">
          <cell r="C139">
            <v>418</v>
          </cell>
          <cell r="D139" t="str">
            <v>-  AMPLIFIER</v>
          </cell>
          <cell r="E139">
            <v>8230</v>
          </cell>
          <cell r="F139">
            <v>200</v>
          </cell>
          <cell r="G139" t="str">
            <v>SET</v>
          </cell>
        </row>
        <row r="140">
          <cell r="C140">
            <v>419</v>
          </cell>
          <cell r="D140" t="str">
            <v>-  WIRE LESS PANEL UNIT</v>
          </cell>
          <cell r="E140">
            <v>7500</v>
          </cell>
          <cell r="F140">
            <v>200</v>
          </cell>
          <cell r="G140" t="str">
            <v>SET</v>
          </cell>
        </row>
        <row r="141">
          <cell r="C141">
            <v>420</v>
          </cell>
          <cell r="D141" t="str">
            <v>-  WIRE LESS 4 SWITCH</v>
          </cell>
          <cell r="E141">
            <v>3500</v>
          </cell>
          <cell r="F141">
            <v>200</v>
          </cell>
          <cell r="G141" t="str">
            <v>SET</v>
          </cell>
        </row>
        <row r="142">
          <cell r="D142" t="str">
            <v>SPACE</v>
          </cell>
        </row>
        <row r="143">
          <cell r="C143" t="str">
            <v/>
          </cell>
          <cell r="D143" t="str">
            <v xml:space="preserve">   DILITE LIGHTING CONTROL</v>
          </cell>
        </row>
        <row r="144">
          <cell r="C144">
            <v>432</v>
          </cell>
          <cell r="D144" t="str">
            <v>-  BOX RELAY</v>
          </cell>
          <cell r="E144">
            <v>9650</v>
          </cell>
          <cell r="F144">
            <v>250</v>
          </cell>
          <cell r="G144" t="str">
            <v>SET</v>
          </cell>
        </row>
        <row r="145">
          <cell r="C145">
            <v>433</v>
          </cell>
          <cell r="D145" t="str">
            <v>-  SWITCH TIMER</v>
          </cell>
          <cell r="E145">
            <v>1750</v>
          </cell>
          <cell r="F145">
            <v>250</v>
          </cell>
          <cell r="G145" t="str">
            <v>SET</v>
          </cell>
        </row>
        <row r="146">
          <cell r="C146">
            <v>434</v>
          </cell>
          <cell r="D146" t="str">
            <v>-  SWITCH 8</v>
          </cell>
          <cell r="E146">
            <v>1450</v>
          </cell>
          <cell r="F146">
            <v>250</v>
          </cell>
          <cell r="G146" t="str">
            <v>SET</v>
          </cell>
        </row>
        <row r="147">
          <cell r="C147">
            <v>435</v>
          </cell>
          <cell r="D147" t="str">
            <v>-  SWITCH 8 PLUS INFRARED</v>
          </cell>
          <cell r="E147">
            <v>1650</v>
          </cell>
          <cell r="F147">
            <v>250</v>
          </cell>
          <cell r="G147" t="str">
            <v>SET</v>
          </cell>
        </row>
        <row r="148">
          <cell r="C148">
            <v>436</v>
          </cell>
          <cell r="D148" t="str">
            <v>-  SWITCH ZONE</v>
          </cell>
          <cell r="E148">
            <v>1950</v>
          </cell>
          <cell r="F148">
            <v>250</v>
          </cell>
          <cell r="G148" t="str">
            <v>SET</v>
          </cell>
        </row>
        <row r="149">
          <cell r="C149">
            <v>437</v>
          </cell>
          <cell r="D149" t="str">
            <v>-  SWITCH ZONE PLUS INFRARED</v>
          </cell>
          <cell r="E149">
            <v>2150</v>
          </cell>
          <cell r="F149">
            <v>250</v>
          </cell>
          <cell r="G149" t="str">
            <v>SET</v>
          </cell>
        </row>
        <row r="150">
          <cell r="C150">
            <v>438</v>
          </cell>
          <cell r="D150" t="str">
            <v>-  ADAPTER SWITCH</v>
          </cell>
          <cell r="E150">
            <v>1400</v>
          </cell>
          <cell r="F150">
            <v>250</v>
          </cell>
          <cell r="G150" t="str">
            <v>SET</v>
          </cell>
        </row>
        <row r="151">
          <cell r="C151">
            <v>439</v>
          </cell>
          <cell r="D151" t="str">
            <v>-  PHONE CONTROL PLUS</v>
          </cell>
          <cell r="E151">
            <v>3550</v>
          </cell>
          <cell r="F151">
            <v>250</v>
          </cell>
          <cell r="G151" t="str">
            <v>SET</v>
          </cell>
        </row>
        <row r="152">
          <cell r="C152">
            <v>440</v>
          </cell>
          <cell r="D152" t="str">
            <v>-  INFRARED RECEIVER</v>
          </cell>
          <cell r="E152">
            <v>1400</v>
          </cell>
          <cell r="F152">
            <v>250</v>
          </cell>
          <cell r="G152" t="str">
            <v>SET</v>
          </cell>
        </row>
        <row r="153">
          <cell r="C153">
            <v>441</v>
          </cell>
          <cell r="D153" t="str">
            <v>-  REMOTE ALARM</v>
          </cell>
          <cell r="E153">
            <v>1500</v>
          </cell>
          <cell r="F153">
            <v>250</v>
          </cell>
          <cell r="G153" t="str">
            <v>SET</v>
          </cell>
        </row>
        <row r="154">
          <cell r="C154">
            <v>442</v>
          </cell>
          <cell r="D154" t="str">
            <v>-  REMOTE ALARM WITH INDICATOR</v>
          </cell>
          <cell r="E154">
            <v>3400</v>
          </cell>
          <cell r="F154">
            <v>250</v>
          </cell>
          <cell r="G154" t="str">
            <v>SET</v>
          </cell>
        </row>
        <row r="155">
          <cell r="C155">
            <v>443</v>
          </cell>
          <cell r="D155" t="str">
            <v>-  COMPUTER CONTROL</v>
          </cell>
          <cell r="E155">
            <v>2600</v>
          </cell>
          <cell r="F155">
            <v>250</v>
          </cell>
          <cell r="G155" t="str">
            <v>SET</v>
          </cell>
        </row>
        <row r="156">
          <cell r="C156">
            <v>444</v>
          </cell>
          <cell r="D156" t="str">
            <v>-  SWITCH PROGRAMMABLE</v>
          </cell>
          <cell r="E156">
            <v>3100</v>
          </cell>
          <cell r="F156">
            <v>250</v>
          </cell>
          <cell r="G156" t="str">
            <v>SET</v>
          </cell>
        </row>
        <row r="157">
          <cell r="C157">
            <v>445</v>
          </cell>
          <cell r="D157" t="str">
            <v>-  ADAPTER PROGRAMMABLE</v>
          </cell>
          <cell r="E157">
            <v>2700</v>
          </cell>
          <cell r="F157">
            <v>250</v>
          </cell>
          <cell r="G157" t="str">
            <v>SET</v>
          </cell>
        </row>
        <row r="158">
          <cell r="C158">
            <v>446</v>
          </cell>
          <cell r="D158" t="str">
            <v>-  TEMPERATURE FARM</v>
          </cell>
          <cell r="E158">
            <v>3200</v>
          </cell>
          <cell r="F158">
            <v>250</v>
          </cell>
          <cell r="G158" t="str">
            <v>SET</v>
          </cell>
        </row>
        <row r="159">
          <cell r="C159">
            <v>447</v>
          </cell>
          <cell r="D159" t="str">
            <v>-  TEMPERATURE AIR/RELAY</v>
          </cell>
          <cell r="E159">
            <v>2800</v>
          </cell>
          <cell r="F159">
            <v>250</v>
          </cell>
          <cell r="G159" t="str">
            <v>SET</v>
          </cell>
        </row>
        <row r="160">
          <cell r="C160">
            <v>448</v>
          </cell>
          <cell r="D160" t="str">
            <v>-  20 A. RELAY</v>
          </cell>
          <cell r="E160">
            <v>500</v>
          </cell>
          <cell r="F160">
            <v>100</v>
          </cell>
          <cell r="G160" t="str">
            <v>SET</v>
          </cell>
        </row>
        <row r="161">
          <cell r="D161" t="str">
            <v>SPACE</v>
          </cell>
        </row>
        <row r="162">
          <cell r="C162">
            <v>5</v>
          </cell>
          <cell r="D162" t="str">
            <v>ACCESS, CONTROL</v>
          </cell>
        </row>
        <row r="163">
          <cell r="C163">
            <v>501</v>
          </cell>
          <cell r="D163" t="str">
            <v>-  CONTROLLER</v>
          </cell>
          <cell r="E163">
            <v>33000</v>
          </cell>
          <cell r="F163">
            <v>9000</v>
          </cell>
          <cell r="G163" t="str">
            <v>SET</v>
          </cell>
        </row>
        <row r="164">
          <cell r="C164">
            <v>502</v>
          </cell>
          <cell r="D164" t="str">
            <v>-  DOOR STRIKE WITH DOOR LATCH</v>
          </cell>
          <cell r="E164">
            <v>6000</v>
          </cell>
          <cell r="F164">
            <v>1000</v>
          </cell>
          <cell r="G164" t="str">
            <v>SET</v>
          </cell>
        </row>
        <row r="165">
          <cell r="C165">
            <v>503</v>
          </cell>
          <cell r="D165" t="str">
            <v>-  POWER SUPPLY WITH BATTERY CHARGER</v>
          </cell>
          <cell r="E165">
            <v>2000</v>
          </cell>
          <cell r="F165">
            <v>500</v>
          </cell>
          <cell r="G165" t="str">
            <v>SET</v>
          </cell>
        </row>
        <row r="166">
          <cell r="C166">
            <v>504</v>
          </cell>
          <cell r="D166" t="str">
            <v>-  EXIT BUTTON</v>
          </cell>
          <cell r="E166">
            <v>500</v>
          </cell>
          <cell r="F166">
            <v>300</v>
          </cell>
          <cell r="G166" t="str">
            <v>SET</v>
          </cell>
        </row>
        <row r="167">
          <cell r="C167">
            <v>505</v>
          </cell>
          <cell r="D167" t="str">
            <v>-  ELECTROMAGNETIC LOCK</v>
          </cell>
          <cell r="E167">
            <v>10000</v>
          </cell>
          <cell r="F167">
            <v>1000</v>
          </cell>
          <cell r="G167" t="str">
            <v>SET</v>
          </cell>
        </row>
        <row r="168">
          <cell r="D168" t="str">
            <v>SPACE</v>
          </cell>
        </row>
        <row r="169">
          <cell r="D169" t="str">
            <v>CARD READER</v>
          </cell>
        </row>
        <row r="170">
          <cell r="C170">
            <v>511</v>
          </cell>
          <cell r="D170" t="str">
            <v>-  MAGNETIC CARD READER</v>
          </cell>
          <cell r="E170">
            <v>6000</v>
          </cell>
          <cell r="F170">
            <v>1000</v>
          </cell>
          <cell r="G170" t="str">
            <v>SET</v>
          </cell>
        </row>
        <row r="171">
          <cell r="C171">
            <v>512</v>
          </cell>
          <cell r="D171" t="str">
            <v>-  MAGNETIC INSERT READER</v>
          </cell>
          <cell r="E171">
            <v>8500</v>
          </cell>
          <cell r="F171">
            <v>1000</v>
          </cell>
          <cell r="G171" t="str">
            <v>SET</v>
          </cell>
        </row>
        <row r="172">
          <cell r="C172">
            <v>513</v>
          </cell>
          <cell r="D172" t="str">
            <v>-  BAR CODE READER</v>
          </cell>
          <cell r="E172">
            <v>7000</v>
          </cell>
          <cell r="F172">
            <v>1000</v>
          </cell>
          <cell r="G172" t="str">
            <v>SET</v>
          </cell>
        </row>
        <row r="173">
          <cell r="C173">
            <v>514</v>
          </cell>
          <cell r="D173" t="str">
            <v xml:space="preserve">-  KEYPAD, METAL CASING WATERPROOF </v>
          </cell>
          <cell r="E173">
            <v>4800</v>
          </cell>
          <cell r="F173">
            <v>1000</v>
          </cell>
          <cell r="G173" t="str">
            <v>SET</v>
          </cell>
        </row>
        <row r="174">
          <cell r="C174">
            <v>515</v>
          </cell>
          <cell r="D174" t="str">
            <v>-  MAGNETIC CARD READER WITH KEY PAD &amp; DISPLAY</v>
          </cell>
          <cell r="E174">
            <v>7000</v>
          </cell>
          <cell r="F174">
            <v>1000</v>
          </cell>
          <cell r="G174" t="str">
            <v>SET</v>
          </cell>
        </row>
        <row r="175">
          <cell r="C175">
            <v>516</v>
          </cell>
          <cell r="D175" t="str">
            <v>-  BAR CODE READER</v>
          </cell>
          <cell r="E175">
            <v>7000</v>
          </cell>
          <cell r="F175">
            <v>1000</v>
          </cell>
          <cell r="G175" t="str">
            <v>SET</v>
          </cell>
        </row>
        <row r="176">
          <cell r="C176">
            <v>517</v>
          </cell>
          <cell r="D176" t="str">
            <v>-  SMART CARD READER WITH KEY PAD &amp; DISPLAY</v>
          </cell>
          <cell r="E176" t="str">
            <v>(ON REQ)</v>
          </cell>
          <cell r="F176">
            <v>0</v>
          </cell>
          <cell r="G176" t="str">
            <v>SET</v>
          </cell>
        </row>
        <row r="177">
          <cell r="D177" t="str">
            <v>SPACE</v>
          </cell>
        </row>
        <row r="178">
          <cell r="D178" t="str">
            <v>CARD</v>
          </cell>
        </row>
        <row r="179">
          <cell r="C179">
            <v>521</v>
          </cell>
          <cell r="D179" t="str">
            <v>-  CUSTOMER LOGO CARD</v>
          </cell>
          <cell r="E179">
            <v>100</v>
          </cell>
          <cell r="F179">
            <v>0</v>
          </cell>
          <cell r="G179" t="str">
            <v>SET</v>
          </cell>
        </row>
        <row r="180">
          <cell r="D180" t="str">
            <v>SPACE</v>
          </cell>
        </row>
        <row r="181">
          <cell r="D181" t="str">
            <v>COMMUNICATOR</v>
          </cell>
        </row>
        <row r="182">
          <cell r="C182">
            <v>526</v>
          </cell>
          <cell r="D182" t="str">
            <v>-  SERIAL COMMUNICATOR LINK UP TO 16 CONTROLLERS</v>
          </cell>
          <cell r="E182">
            <v>15000</v>
          </cell>
          <cell r="F182">
            <v>5000</v>
          </cell>
          <cell r="G182" t="str">
            <v>SET</v>
          </cell>
        </row>
        <row r="183">
          <cell r="C183">
            <v>527</v>
          </cell>
          <cell r="D183" t="str">
            <v>-  PARALLEL COMMUNICATOR LINK UP TO 16 CONTROLLERS</v>
          </cell>
          <cell r="E183">
            <v>20000</v>
          </cell>
          <cell r="F183">
            <v>10000</v>
          </cell>
          <cell r="G183" t="str">
            <v>SET</v>
          </cell>
        </row>
        <row r="184">
          <cell r="C184">
            <v>528</v>
          </cell>
          <cell r="D184" t="str">
            <v>-  INTELLIGENT COMMUNICATOR LINK UP TO 64 CONTROLLERS</v>
          </cell>
          <cell r="E184">
            <v>85000</v>
          </cell>
          <cell r="F184">
            <v>15000</v>
          </cell>
          <cell r="G184" t="str">
            <v>SET</v>
          </cell>
        </row>
        <row r="185">
          <cell r="D185" t="str">
            <v>SOFTWARE MANAGEMENT</v>
          </cell>
        </row>
        <row r="186">
          <cell r="D186" t="str">
            <v>-  16 CONTROLLERS ACCESS CONTROL MANAGEMENT</v>
          </cell>
          <cell r="E186">
            <v>22000</v>
          </cell>
          <cell r="F186">
            <v>10000</v>
          </cell>
          <cell r="G186" t="str">
            <v>SET</v>
          </cell>
        </row>
        <row r="187">
          <cell r="D187" t="str">
            <v>-  64 CONTROLLERS ACCESS CONTROL MANAGEMENT</v>
          </cell>
          <cell r="E187">
            <v>35000</v>
          </cell>
          <cell r="F187">
            <v>15000</v>
          </cell>
          <cell r="G187" t="str">
            <v>SET</v>
          </cell>
        </row>
      </sheetData>
      <sheetData sheetId="7">
        <row r="3">
          <cell r="C3" t="str">
            <v>N0.</v>
          </cell>
        </row>
      </sheetData>
      <sheetData sheetId="8">
        <row r="3">
          <cell r="C3" t="str">
            <v>N0.</v>
          </cell>
        </row>
      </sheetData>
      <sheetData sheetId="9">
        <row r="3">
          <cell r="C3" t="str">
            <v>N0.</v>
          </cell>
        </row>
      </sheetData>
      <sheetData sheetId="10">
        <row r="3">
          <cell r="C3" t="str">
            <v>N0.</v>
          </cell>
        </row>
      </sheetData>
      <sheetData sheetId="11">
        <row r="3">
          <cell r="C3" t="str">
            <v>N0.</v>
          </cell>
        </row>
      </sheetData>
      <sheetData sheetId="12">
        <row r="3">
          <cell r="C3" t="str">
            <v>N0.</v>
          </cell>
        </row>
      </sheetData>
      <sheetData sheetId="13">
        <row r="3">
          <cell r="C3" t="str">
            <v>N0.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sheetData sheetId="226"/>
      <sheetData sheetId="227" refreshError="1"/>
      <sheetData sheetId="228" refreshError="1"/>
      <sheetData sheetId="229"/>
      <sheetData sheetId="230"/>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16"/>
      <sheetName val="Sheet5"/>
      <sheetName val="Sheet6"/>
      <sheetName val="Sheet7"/>
      <sheetName val="Sheet8"/>
      <sheetName val="Sheet9"/>
      <sheetName val="Sheet10"/>
      <sheetName val="Sheet11"/>
      <sheetName val="Sheet12"/>
      <sheetName val="Sheet13"/>
      <sheetName val="Sheet14"/>
      <sheetName val="Sheet15"/>
      <sheetName val="Sheet17"/>
      <sheetName val="Sheet18"/>
      <sheetName val="Sheet19"/>
      <sheetName val="Sheet20"/>
      <sheetName val="Deferred tax"/>
      <sheetName val="Sheet4"/>
      <sheetName val="Sheet7 "/>
      <sheetName val="生产部金额"/>
      <sheetName val="ฝ่ายบัญชี"/>
      <sheetName val="BXLDL"/>
      <sheetName val="IMPEADENCE MAP 취수장"/>
    </sheetNames>
    <sheetDataSet>
      <sheetData sheetId="0"/>
      <sheetData sheetId="1">
        <row r="2">
          <cell r="A2" t="str">
            <v>泰州正大饲料有限公司</v>
          </cell>
        </row>
      </sheetData>
      <sheetData sheetId="2"/>
      <sheetData sheetId="3">
        <row r="1">
          <cell r="A1" t="str">
            <v>饲料产销量明细表</v>
          </cell>
        </row>
      </sheetData>
      <sheetData sheetId="4">
        <row r="1">
          <cell r="A1" t="str">
            <v>泰 州 正 大 饲 料 有 限 公 司</v>
          </cell>
        </row>
      </sheetData>
      <sheetData sheetId="5">
        <row r="1">
          <cell r="A1" t="str">
            <v>产品单位售价及单位成本表</v>
          </cell>
        </row>
      </sheetData>
      <sheetData sheetId="6"/>
      <sheetData sheetId="7"/>
      <sheetData sheetId="8"/>
      <sheetData sheetId="9" refreshError="1"/>
      <sheetData sheetId="10">
        <row r="1">
          <cell r="A1" t="str">
            <v>泰 州 正 大 饲 料 有 限 公 司</v>
          </cell>
        </row>
      </sheetData>
      <sheetData sheetId="11">
        <row r="1">
          <cell r="A1" t="str">
            <v>泰 州 正 大 饲 料 有 限 公 司</v>
          </cell>
        </row>
      </sheetData>
      <sheetData sheetId="12" refreshError="1"/>
      <sheetData sheetId="13" refreshError="1"/>
      <sheetData sheetId="14" refreshError="1"/>
      <sheetData sheetId="15" refreshError="1"/>
      <sheetData sheetId="16" refreshError="1"/>
      <sheetData sheetId="17">
        <row r="1">
          <cell r="A1" t="str">
            <v>贡      献      边      际      分      析      表</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สร้างอาคาร (2)"/>
      <sheetName val="สร้างอาคาร"/>
      <sheetName val="new ext"/>
      <sheetName val="con PL"/>
      <sheetName val="ชุดวัดลม"/>
      <sheetName val="ลูกกุ้งวัยอ่อน"/>
      <sheetName val="india"/>
      <sheetName val="pro-Biotic"/>
      <sheetName val="โรงอาหาร (2)"/>
      <sheetName val="โรงอาหาร"/>
      <sheetName val="กำจัดกลิ่น"/>
      <sheetName val="คลัง (2)"/>
      <sheetName val="คลัง"/>
      <sheetName val="ระบบฉีดของสด"/>
      <sheetName val="ลูกกุ้ง (2)"/>
      <sheetName val="ลูกกุ้ง (3)"/>
      <sheetName val="วิศวกรรม"/>
      <sheetName val="gen มหาชัย"/>
      <sheetName val="gen บ้านพรุ"/>
      <sheetName val="อาหารปลา"/>
      <sheetName val="air2"/>
      <sheetName val="air"/>
      <sheetName val="ยางกันซึม"/>
      <sheetName val="lico2"/>
      <sheetName val="lico"/>
      <sheetName val="คอมพิวเตอร์"/>
      <sheetName val="เก็บเอกสาร"/>
      <sheetName val="ลูกกุ้ง"/>
      <sheetName val="ext"/>
      <sheetName val="ป๊มเม็ด"/>
      <sheetName val="ไอน้ำ"/>
      <sheetName val="extruder 1"/>
      <sheetName val="extruder"/>
      <sheetName val="Sheet1"/>
      <sheetName val="Sheet2"/>
      <sheetName val="Sheet3"/>
      <sheetName val="BT-2 บ้านพรุ  (2)"/>
      <sheetName val="super PS บ้านพรุ"/>
      <sheetName val="pro-Biotic (2)"/>
      <sheetName val="งบแป้งสาลี"/>
      <sheetName val="ปรับถมดิน1"/>
      <sheetName val="ปรับถมดิน"/>
      <sheetName val="หอพัก"/>
      <sheetName val="BT-2 บ้านพรุ "/>
      <sheetName val="super PS มหาชัย"/>
      <sheetName val="คอนกรีต"/>
      <sheetName val="MTL$-INTER"/>
      <sheetName val="전기 원가계산서"/>
      <sheetName val="Mat"/>
      <sheetName val="ค่างานต้นทุน"/>
      <sheetName val="Totals"/>
      <sheetName val="Quoted"/>
      <sheetName val="FInput"/>
      <sheetName val="proje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03 "/>
      <sheetName val="Sheet1"/>
      <sheetName val="Sheet2"/>
      <sheetName val="Sheet3"/>
      <sheetName val="FFGM06-1"/>
      <sheetName val="FFGM06-2 "/>
      <sheetName val="Sheet7"/>
      <sheetName val="DETAIL "/>
      <sheetName val="รวมราคาทั้งสิ้น"/>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fo"/>
      <sheetName val="MENU"/>
      <sheetName val="INDEX"/>
      <sheetName val="OC"/>
      <sheetName val="USD"/>
      <sheetName val="MONTH(AGRO)"/>
      <sheetName val="MONTH(IND)"/>
      <sheetName val="MONTH(NC)"/>
      <sheetName val="MONTH(TW)"/>
      <sheetName val="M&amp;Y(AGRO)"/>
      <sheetName val="Rank(Agro)"/>
      <sheetName val="M&amp;Y(AGRO)分區"/>
      <sheetName val="M&amp;Y(AGRO)分省"/>
      <sheetName val="M&amp;Y(Dragon)"/>
      <sheetName val="M&amp;Y(Oil)"/>
      <sheetName val="M&amp;Y(TW)"/>
      <sheetName val="M&amp;Y(IND)"/>
      <sheetName val="M&amp;Y(NC)"/>
      <sheetName val="OUTPUT(AGRO-FIN)"/>
      <sheetName val="M&amp;Y(NC-NL) "/>
      <sheetName val="M&amp;Y(HKF)"/>
      <sheetName val="YEAR(AGRO)"/>
      <sheetName val="YEAR(IND)"/>
      <sheetName val="OUTPUT(AGRO-OPT)"/>
      <sheetName val="DEC"/>
      <sheetName val="OUTPUT(IND-FIN)"/>
      <sheetName val="OUTPUT(IND-OPT)"/>
      <sheetName val="YEAR(NC)"/>
      <sheetName val="YEAR(TW)"/>
      <sheetName val="OUTPUT(TW-FIN)"/>
      <sheetName val="P VS LY &amp; B(AGRO)"/>
      <sheetName val="P VS LY(AGRO)"/>
      <sheetName val="P VS B(AGRO)"/>
      <sheetName val="P VS LY(IND)"/>
      <sheetName val="P VS B(IND)"/>
      <sheetName val="BUDGET(AGRO-FIN)"/>
      <sheetName val="BUDGET(AGRO-OPT)"/>
      <sheetName val="BUDGET(IND-FIN)"/>
      <sheetName val="BUDGET(IND-OPT)"/>
      <sheetName val="HISTORY(AGRO-FIN)"/>
      <sheetName val="HISTORY(AGRO-OPT)"/>
      <sheetName val="HISTORY(IND-FIN)"/>
      <sheetName val="HISTORY(IND-OPT)"/>
      <sheetName val="HISTORY(NC-FIN)"/>
      <sheetName val="HISTORY(TW-FIN)"/>
      <sheetName val="AGRO-DATA"/>
      <sheetName val="IND-DATA"/>
      <sheetName val="NC-DATA"/>
      <sheetName val="TW-DATA"/>
      <sheetName val="Province &amp; Unit"/>
      <sheetName val="LY(AGRO-FIN)"/>
      <sheetName val="LY(AGRO-OPT)"/>
      <sheetName val="LY(IND-FIN)"/>
      <sheetName val="LY(IND-OPT)"/>
      <sheetName val="LY(NC-FIN)"/>
      <sheetName val="LY(TW-FIN)"/>
      <sheetName val="Period"/>
      <sheetName val="OUTPUT(NC-FIN)"/>
      <sheetName val="extruder"/>
      <sheetName val="chitiet"/>
      <sheetName val="FFGM06-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row r="9">
          <cell r="D9" t="str">
            <v>分區</v>
          </cell>
          <cell r="E9" t="str">
            <v>省</v>
          </cell>
        </row>
        <row r="10">
          <cell r="D10" t="str">
            <v>柳志誠</v>
          </cell>
          <cell r="E10" t="str">
            <v>華北</v>
          </cell>
        </row>
        <row r="11">
          <cell r="D11" t="str">
            <v>柳志誠</v>
          </cell>
          <cell r="E11" t="str">
            <v>一條龍</v>
          </cell>
        </row>
        <row r="12">
          <cell r="D12" t="str">
            <v>陳伯正</v>
          </cell>
          <cell r="E12" t="str">
            <v>家禽育種</v>
          </cell>
        </row>
        <row r="13">
          <cell r="D13" t="str">
            <v>柳勤齡</v>
          </cell>
          <cell r="E13" t="str">
            <v>預混料</v>
          </cell>
        </row>
        <row r="14">
          <cell r="D14" t="str">
            <v>相福利</v>
          </cell>
          <cell r="E14" t="str">
            <v>機械</v>
          </cell>
        </row>
        <row r="15">
          <cell r="D15" t="str">
            <v>柳志誠</v>
          </cell>
          <cell r="E15" t="str">
            <v>河北</v>
          </cell>
        </row>
        <row r="16">
          <cell r="D16" t="str">
            <v>柳志誠</v>
          </cell>
          <cell r="E16" t="str">
            <v>河北</v>
          </cell>
        </row>
        <row r="17">
          <cell r="D17" t="str">
            <v>其他</v>
          </cell>
          <cell r="E17" t="str">
            <v>河北</v>
          </cell>
        </row>
        <row r="18">
          <cell r="D18" t="str">
            <v>柳志誠</v>
          </cell>
          <cell r="E18" t="str">
            <v>一條龍</v>
          </cell>
        </row>
        <row r="19">
          <cell r="D19" t="str">
            <v>柳志誠</v>
          </cell>
          <cell r="E19" t="str">
            <v>華北</v>
          </cell>
        </row>
        <row r="20">
          <cell r="D20" t="str">
            <v>柳志誠</v>
          </cell>
          <cell r="E20" t="str">
            <v>華北</v>
          </cell>
        </row>
        <row r="21">
          <cell r="D21" t="str">
            <v>相福利</v>
          </cell>
          <cell r="E21" t="str">
            <v>種子</v>
          </cell>
        </row>
        <row r="22">
          <cell r="D22" t="str">
            <v>姚民僕</v>
          </cell>
          <cell r="E22" t="str">
            <v>河北</v>
          </cell>
        </row>
        <row r="23">
          <cell r="D23" t="str">
            <v>姚民僕</v>
          </cell>
          <cell r="E23" t="str">
            <v>河北</v>
          </cell>
        </row>
        <row r="24">
          <cell r="D24" t="str">
            <v>姚民僕</v>
          </cell>
          <cell r="E24" t="str">
            <v>吉林</v>
          </cell>
        </row>
        <row r="25">
          <cell r="D25" t="str">
            <v>吉林德大</v>
          </cell>
          <cell r="E25" t="str">
            <v>吉林</v>
          </cell>
        </row>
        <row r="26">
          <cell r="D26" t="str">
            <v>姚民僕</v>
          </cell>
          <cell r="E26" t="str">
            <v>遼寧</v>
          </cell>
        </row>
        <row r="27">
          <cell r="D27" t="str">
            <v>姚民僕</v>
          </cell>
          <cell r="E27" t="str">
            <v>遼寧</v>
          </cell>
        </row>
        <row r="28">
          <cell r="D28" t="str">
            <v>其他</v>
          </cell>
          <cell r="E28" t="str">
            <v>吉林</v>
          </cell>
        </row>
        <row r="29">
          <cell r="D29" t="str">
            <v>其他</v>
          </cell>
          <cell r="E29" t="str">
            <v>吉林</v>
          </cell>
        </row>
        <row r="30">
          <cell r="D30" t="str">
            <v>姚民僕</v>
          </cell>
          <cell r="E30" t="str">
            <v>吉林</v>
          </cell>
        </row>
        <row r="31">
          <cell r="D31" t="str">
            <v>姚民僕</v>
          </cell>
          <cell r="E31" t="str">
            <v>一條龍</v>
          </cell>
        </row>
        <row r="32">
          <cell r="D32" t="str">
            <v>林奕章</v>
          </cell>
          <cell r="E32" t="str">
            <v>糧油</v>
          </cell>
        </row>
        <row r="33">
          <cell r="D33" t="str">
            <v>姚民僕</v>
          </cell>
          <cell r="E33" t="str">
            <v>遼寧</v>
          </cell>
        </row>
        <row r="34">
          <cell r="D34" t="str">
            <v>陳伯正</v>
          </cell>
          <cell r="E34" t="str">
            <v>家禽育種</v>
          </cell>
        </row>
        <row r="35">
          <cell r="D35" t="str">
            <v>姚民僕</v>
          </cell>
          <cell r="E35" t="str">
            <v>吉林</v>
          </cell>
        </row>
        <row r="36">
          <cell r="D36" t="str">
            <v>姚民僕</v>
          </cell>
          <cell r="E36" t="str">
            <v>吉林</v>
          </cell>
        </row>
        <row r="37">
          <cell r="D37" t="str">
            <v>其他</v>
          </cell>
          <cell r="E37" t="str">
            <v>吉林</v>
          </cell>
        </row>
        <row r="38">
          <cell r="D38" t="str">
            <v>白善霖</v>
          </cell>
          <cell r="E38" t="str">
            <v>西北</v>
          </cell>
        </row>
        <row r="39">
          <cell r="D39" t="str">
            <v>柳志誠</v>
          </cell>
          <cell r="E39" t="str">
            <v>華北</v>
          </cell>
        </row>
        <row r="40">
          <cell r="D40" t="str">
            <v>白善霖</v>
          </cell>
          <cell r="E40" t="str">
            <v>陝西、山東</v>
          </cell>
        </row>
        <row r="41">
          <cell r="D41" t="str">
            <v>白善霖</v>
          </cell>
          <cell r="E41" t="str">
            <v>西北</v>
          </cell>
        </row>
        <row r="42">
          <cell r="D42" t="str">
            <v>白善霖</v>
          </cell>
          <cell r="E42" t="str">
            <v>華北</v>
          </cell>
        </row>
        <row r="43">
          <cell r="D43" t="str">
            <v>白善霖</v>
          </cell>
          <cell r="E43" t="str">
            <v>西北</v>
          </cell>
        </row>
        <row r="44">
          <cell r="D44" t="str">
            <v>姚民僕</v>
          </cell>
          <cell r="E44" t="str">
            <v>一條龍</v>
          </cell>
        </row>
        <row r="45">
          <cell r="D45" t="str">
            <v>何炎光</v>
          </cell>
          <cell r="E45" t="str">
            <v>陝西、山東</v>
          </cell>
        </row>
        <row r="46">
          <cell r="D46" t="str">
            <v>何炎光</v>
          </cell>
          <cell r="E46" t="str">
            <v>安徽</v>
          </cell>
        </row>
        <row r="47">
          <cell r="D47" t="str">
            <v>何炎光</v>
          </cell>
          <cell r="E47" t="str">
            <v>江蘇、淅江</v>
          </cell>
        </row>
        <row r="48">
          <cell r="D48" t="str">
            <v>何炎光</v>
          </cell>
          <cell r="E48" t="str">
            <v>安徽</v>
          </cell>
        </row>
        <row r="49">
          <cell r="D49" t="str">
            <v>何炎光</v>
          </cell>
          <cell r="E49" t="str">
            <v>江蘇、淅江</v>
          </cell>
        </row>
        <row r="50">
          <cell r="D50" t="str">
            <v>何炎光</v>
          </cell>
          <cell r="E50" t="str">
            <v>江蘇、淅江</v>
          </cell>
        </row>
        <row r="51">
          <cell r="D51" t="str">
            <v>何炎光</v>
          </cell>
          <cell r="E51" t="str">
            <v>江蘇、淅江</v>
          </cell>
        </row>
        <row r="52">
          <cell r="D52" t="str">
            <v>何炎光</v>
          </cell>
          <cell r="E52" t="str">
            <v>江蘇、淅江</v>
          </cell>
        </row>
        <row r="53">
          <cell r="D53" t="str">
            <v>何炎光</v>
          </cell>
          <cell r="E53" t="str">
            <v>安徽</v>
          </cell>
        </row>
        <row r="54">
          <cell r="D54" t="str">
            <v>何炎光</v>
          </cell>
          <cell r="E54" t="str">
            <v>江蘇、淅江</v>
          </cell>
        </row>
        <row r="55">
          <cell r="D55" t="str">
            <v>何炎光</v>
          </cell>
          <cell r="E55" t="str">
            <v>江蘇、淅江</v>
          </cell>
        </row>
        <row r="56">
          <cell r="D56" t="str">
            <v>其他</v>
          </cell>
          <cell r="E56" t="str">
            <v>江蘇、淅江</v>
          </cell>
        </row>
        <row r="57">
          <cell r="D57" t="str">
            <v>何炎光</v>
          </cell>
          <cell r="E57" t="str">
            <v>江蘇、淅江</v>
          </cell>
        </row>
        <row r="58">
          <cell r="D58" t="str">
            <v>柳勤齡</v>
          </cell>
          <cell r="E58" t="str">
            <v>預混料</v>
          </cell>
        </row>
        <row r="59">
          <cell r="D59" t="str">
            <v>柳勤齡</v>
          </cell>
          <cell r="E59" t="str">
            <v>預混料</v>
          </cell>
        </row>
        <row r="60">
          <cell r="D60" t="str">
            <v>何炎光</v>
          </cell>
          <cell r="E60" t="str">
            <v>湖南</v>
          </cell>
        </row>
        <row r="61">
          <cell r="D61" t="str">
            <v>林奕章</v>
          </cell>
          <cell r="E61" t="str">
            <v>糧油</v>
          </cell>
        </row>
        <row r="62">
          <cell r="D62" t="str">
            <v>何炎光</v>
          </cell>
          <cell r="E62" t="str">
            <v>湖南</v>
          </cell>
        </row>
        <row r="63">
          <cell r="D63" t="str">
            <v>何炎光</v>
          </cell>
          <cell r="E63" t="str">
            <v>湖北</v>
          </cell>
        </row>
        <row r="64">
          <cell r="D64" t="str">
            <v>徐立寬</v>
          </cell>
          <cell r="E64" t="str">
            <v>豬事業</v>
          </cell>
        </row>
        <row r="65">
          <cell r="D65" t="str">
            <v>何炎光</v>
          </cell>
          <cell r="E65" t="str">
            <v>河南</v>
          </cell>
        </row>
        <row r="66">
          <cell r="D66" t="str">
            <v>何炎光</v>
          </cell>
          <cell r="E66" t="str">
            <v>湖南</v>
          </cell>
        </row>
        <row r="67">
          <cell r="D67" t="str">
            <v>何炎光</v>
          </cell>
          <cell r="E67" t="str">
            <v>湖南</v>
          </cell>
        </row>
        <row r="68">
          <cell r="D68" t="str">
            <v>徐立寬</v>
          </cell>
          <cell r="E68" t="str">
            <v>豬事業</v>
          </cell>
        </row>
        <row r="69">
          <cell r="D69" t="str">
            <v>徐立寬</v>
          </cell>
          <cell r="E69" t="str">
            <v>豬事業</v>
          </cell>
        </row>
        <row r="70">
          <cell r="D70" t="str">
            <v>何炎光</v>
          </cell>
          <cell r="E70" t="str">
            <v>河南</v>
          </cell>
        </row>
        <row r="71">
          <cell r="D71" t="str">
            <v>何炎光</v>
          </cell>
          <cell r="E71" t="str">
            <v>湖北</v>
          </cell>
        </row>
        <row r="72">
          <cell r="D72" t="str">
            <v>何炎光</v>
          </cell>
          <cell r="E72" t="str">
            <v>河南</v>
          </cell>
        </row>
        <row r="73">
          <cell r="D73" t="str">
            <v>何炎光</v>
          </cell>
          <cell r="E73" t="str">
            <v>湖北</v>
          </cell>
        </row>
        <row r="74">
          <cell r="D74" t="str">
            <v>何炎光</v>
          </cell>
          <cell r="E74" t="str">
            <v>湖南</v>
          </cell>
        </row>
        <row r="75">
          <cell r="D75" t="str">
            <v>相福利</v>
          </cell>
          <cell r="E75" t="str">
            <v>生化工程</v>
          </cell>
        </row>
        <row r="76">
          <cell r="D76" t="str">
            <v>相福利</v>
          </cell>
          <cell r="E76" t="str">
            <v>種子</v>
          </cell>
        </row>
        <row r="77">
          <cell r="D77" t="str">
            <v>何炎光</v>
          </cell>
          <cell r="E77" t="str">
            <v>河南</v>
          </cell>
        </row>
        <row r="78">
          <cell r="D78" t="str">
            <v>徐立寬</v>
          </cell>
          <cell r="E78" t="str">
            <v>豬事業</v>
          </cell>
        </row>
        <row r="79">
          <cell r="D79" t="str">
            <v>柳勤齡</v>
          </cell>
          <cell r="E79" t="str">
            <v>預混料</v>
          </cell>
        </row>
        <row r="80">
          <cell r="D80" t="str">
            <v>何炎光</v>
          </cell>
          <cell r="E80" t="str">
            <v>四川</v>
          </cell>
        </row>
        <row r="81">
          <cell r="D81" t="str">
            <v>何炎光</v>
          </cell>
          <cell r="E81" t="str">
            <v>重慶</v>
          </cell>
        </row>
        <row r="82">
          <cell r="D82" t="str">
            <v>黃業夫</v>
          </cell>
          <cell r="E82" t="str">
            <v>廣西、雲南</v>
          </cell>
        </row>
        <row r="83">
          <cell r="D83" t="str">
            <v>黃業夫</v>
          </cell>
          <cell r="E83" t="str">
            <v>廣西、雲南</v>
          </cell>
        </row>
        <row r="84">
          <cell r="D84" t="str">
            <v>何炎光</v>
          </cell>
          <cell r="E84" t="str">
            <v>四川</v>
          </cell>
        </row>
        <row r="85">
          <cell r="D85" t="str">
            <v>何炎光</v>
          </cell>
          <cell r="E85" t="str">
            <v>四川</v>
          </cell>
        </row>
        <row r="86">
          <cell r="D86" t="str">
            <v>何炎光</v>
          </cell>
          <cell r="E86" t="str">
            <v>四川</v>
          </cell>
        </row>
        <row r="87">
          <cell r="D87" t="str">
            <v>何炎光</v>
          </cell>
          <cell r="E87" t="str">
            <v>重慶</v>
          </cell>
        </row>
        <row r="88">
          <cell r="D88" t="str">
            <v>相福利</v>
          </cell>
          <cell r="E88" t="str">
            <v>生化工程</v>
          </cell>
        </row>
        <row r="89">
          <cell r="D89" t="str">
            <v>何炎光</v>
          </cell>
          <cell r="E89" t="str">
            <v>四川</v>
          </cell>
        </row>
        <row r="90">
          <cell r="D90" t="str">
            <v>何炎光</v>
          </cell>
          <cell r="E90" t="str">
            <v>四川</v>
          </cell>
        </row>
        <row r="91">
          <cell r="D91" t="str">
            <v>黃業夫</v>
          </cell>
          <cell r="E91" t="str">
            <v>廣西、雲南</v>
          </cell>
        </row>
        <row r="92">
          <cell r="D92" t="str">
            <v>何炎光</v>
          </cell>
          <cell r="E92" t="str">
            <v>重慶</v>
          </cell>
        </row>
        <row r="93">
          <cell r="D93" t="str">
            <v>何炎光</v>
          </cell>
          <cell r="E93" t="str">
            <v>重慶</v>
          </cell>
        </row>
        <row r="94">
          <cell r="D94" t="str">
            <v>其他</v>
          </cell>
          <cell r="E94" t="str">
            <v>其他</v>
          </cell>
        </row>
        <row r="95">
          <cell r="D95" t="str">
            <v>黃業夫</v>
          </cell>
          <cell r="E95" t="str">
            <v>江蘇、淅江</v>
          </cell>
        </row>
        <row r="96">
          <cell r="D96" t="str">
            <v>其他</v>
          </cell>
          <cell r="E96" t="str">
            <v>其他</v>
          </cell>
        </row>
        <row r="97">
          <cell r="D97" t="str">
            <v>相福利</v>
          </cell>
          <cell r="E97" t="str">
            <v>機械</v>
          </cell>
        </row>
        <row r="98">
          <cell r="D98" t="str">
            <v>相福利</v>
          </cell>
          <cell r="E98" t="str">
            <v>機械</v>
          </cell>
        </row>
        <row r="99">
          <cell r="D99" t="str">
            <v>其他</v>
          </cell>
          <cell r="E99" t="str">
            <v>其他</v>
          </cell>
        </row>
        <row r="100">
          <cell r="D100" t="str">
            <v>何炎光</v>
          </cell>
          <cell r="E100" t="str">
            <v>江西</v>
          </cell>
        </row>
        <row r="101">
          <cell r="D101" t="str">
            <v>何炎光</v>
          </cell>
          <cell r="E101" t="str">
            <v>江西</v>
          </cell>
        </row>
        <row r="102">
          <cell r="D102" t="str">
            <v>黃業夫</v>
          </cell>
          <cell r="E102" t="str">
            <v>褔建</v>
          </cell>
        </row>
        <row r="103">
          <cell r="D103" t="str">
            <v>黃業夫</v>
          </cell>
          <cell r="E103" t="str">
            <v>褔建</v>
          </cell>
        </row>
        <row r="104">
          <cell r="D104" t="str">
            <v>相福利</v>
          </cell>
          <cell r="E104" t="str">
            <v>生化工程</v>
          </cell>
        </row>
        <row r="105">
          <cell r="D105" t="str">
            <v>何炎光</v>
          </cell>
          <cell r="E105" t="str">
            <v>江西</v>
          </cell>
        </row>
        <row r="106">
          <cell r="D106" t="str">
            <v>相福利</v>
          </cell>
          <cell r="E106" t="str">
            <v>生化工程</v>
          </cell>
        </row>
        <row r="107">
          <cell r="D107" t="str">
            <v>黃業夫</v>
          </cell>
          <cell r="E107" t="str">
            <v>褔建</v>
          </cell>
        </row>
        <row r="108">
          <cell r="D108" t="str">
            <v>柳勤齡</v>
          </cell>
          <cell r="E108" t="str">
            <v>預混料</v>
          </cell>
        </row>
        <row r="109">
          <cell r="D109" t="str">
            <v>其他</v>
          </cell>
          <cell r="E109" t="str">
            <v>其他</v>
          </cell>
        </row>
        <row r="110">
          <cell r="D110" t="str">
            <v>黃元安</v>
          </cell>
          <cell r="E110" t="str">
            <v>康地</v>
          </cell>
        </row>
        <row r="111">
          <cell r="D111" t="str">
            <v>黃元安</v>
          </cell>
          <cell r="E111" t="str">
            <v>康地</v>
          </cell>
        </row>
        <row r="112">
          <cell r="D112" t="str">
            <v>黃元安</v>
          </cell>
          <cell r="E112" t="str">
            <v>康地</v>
          </cell>
        </row>
        <row r="113">
          <cell r="D113" t="str">
            <v>黃元安</v>
          </cell>
          <cell r="E113" t="str">
            <v>康地</v>
          </cell>
        </row>
        <row r="114">
          <cell r="D114" t="str">
            <v>黃元安</v>
          </cell>
          <cell r="E114" t="str">
            <v>康地</v>
          </cell>
        </row>
        <row r="115">
          <cell r="D115" t="str">
            <v>黃元安</v>
          </cell>
          <cell r="E115" t="str">
            <v>康地</v>
          </cell>
        </row>
        <row r="116">
          <cell r="D116" t="str">
            <v>黃元安</v>
          </cell>
          <cell r="E116" t="str">
            <v>康地</v>
          </cell>
        </row>
        <row r="117">
          <cell r="D117" t="str">
            <v>黃元安</v>
          </cell>
          <cell r="E117" t="str">
            <v>康地</v>
          </cell>
        </row>
        <row r="118">
          <cell r="D118" t="str">
            <v>黃元安</v>
          </cell>
          <cell r="E118" t="str">
            <v>康地</v>
          </cell>
        </row>
        <row r="119">
          <cell r="D119" t="str">
            <v>黃元安</v>
          </cell>
          <cell r="E119" t="str">
            <v>康地</v>
          </cell>
        </row>
        <row r="120">
          <cell r="D120" t="str">
            <v>黃元安</v>
          </cell>
          <cell r="E120" t="str">
            <v>康地</v>
          </cell>
        </row>
        <row r="121">
          <cell r="D121" t="str">
            <v>黃元安</v>
          </cell>
          <cell r="E121" t="str">
            <v>康地</v>
          </cell>
        </row>
        <row r="122">
          <cell r="D122" t="str">
            <v>其他</v>
          </cell>
          <cell r="E122" t="str">
            <v>其他</v>
          </cell>
        </row>
        <row r="123">
          <cell r="D123" t="str">
            <v>其他</v>
          </cell>
          <cell r="E123" t="str">
            <v>華北</v>
          </cell>
        </row>
        <row r="124">
          <cell r="D124" t="str">
            <v>徐立寬</v>
          </cell>
          <cell r="E124" t="str">
            <v>豬事業</v>
          </cell>
        </row>
        <row r="125">
          <cell r="D125" t="str">
            <v>其他</v>
          </cell>
          <cell r="E125" t="str">
            <v>其他</v>
          </cell>
        </row>
        <row r="126">
          <cell r="D126" t="str">
            <v>柳勤齡</v>
          </cell>
          <cell r="E126" t="str">
            <v>預混料</v>
          </cell>
        </row>
        <row r="127">
          <cell r="D127" t="str">
            <v>柳勤齡</v>
          </cell>
          <cell r="E127" t="str">
            <v>預混料</v>
          </cell>
        </row>
        <row r="128">
          <cell r="D128" t="str">
            <v>何炎光</v>
          </cell>
          <cell r="E128" t="str">
            <v>湖南</v>
          </cell>
        </row>
        <row r="129">
          <cell r="D129" t="str">
            <v>柳勤齡</v>
          </cell>
          <cell r="E129" t="str">
            <v>預混料</v>
          </cell>
        </row>
        <row r="130">
          <cell r="D130" t="str">
            <v>林奕章</v>
          </cell>
          <cell r="E130" t="str">
            <v>糧油</v>
          </cell>
        </row>
        <row r="131">
          <cell r="D131" t="str">
            <v>林奕章</v>
          </cell>
          <cell r="E131" t="str">
            <v>糧油</v>
          </cell>
        </row>
        <row r="132">
          <cell r="D132" t="str">
            <v>其他</v>
          </cell>
          <cell r="E132" t="str">
            <v>其他</v>
          </cell>
        </row>
        <row r="133">
          <cell r="D133" t="str">
            <v>相福利</v>
          </cell>
          <cell r="E133" t="str">
            <v>種子</v>
          </cell>
        </row>
        <row r="134">
          <cell r="D134" t="str">
            <v>白善霖</v>
          </cell>
          <cell r="E134" t="str">
            <v>西北</v>
          </cell>
        </row>
        <row r="135">
          <cell r="D135" t="str">
            <v>陳伯正</v>
          </cell>
          <cell r="E135" t="str">
            <v>家禽育種</v>
          </cell>
        </row>
        <row r="136">
          <cell r="D136" t="str">
            <v>陳伯正</v>
          </cell>
          <cell r="E136" t="str">
            <v>家禽育種</v>
          </cell>
        </row>
        <row r="137">
          <cell r="D137" t="str">
            <v>陳伯正</v>
          </cell>
          <cell r="E137" t="str">
            <v>家禽育種</v>
          </cell>
        </row>
      </sheetData>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1-Explanation"/>
      <sheetName val="7-Bridge Analysis"/>
      <sheetName val="2-BS"/>
      <sheetName val="3-PL"/>
      <sheetName val="4Total-Exp"/>
      <sheetName val="4-Exp(Prod)"/>
      <sheetName val="4-Exp (Sales)"/>
      <sheetName val="4-Exp (G&amp;A)"/>
      <sheetName val="5-1AR"/>
      <sheetName val="5-2ACTION"/>
      <sheetName val="6-庫存明細表"/>
      <sheetName val="8-原料耗用价格比较"/>
      <sheetName val="8-????????"/>
      <sheetName val="8-________"/>
      <sheetName val="FFGM06-1"/>
      <sheetName val="extruder"/>
      <sheetName val="รวมราคาทั้งสิ้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4">
          <cell r="EP4">
            <v>6</v>
          </cell>
          <cell r="ER4">
            <v>7</v>
          </cell>
          <cell r="ET4">
            <v>8</v>
          </cell>
          <cell r="EV4">
            <v>9</v>
          </cell>
          <cell r="EX4">
            <v>10</v>
          </cell>
          <cell r="EZ4">
            <v>11</v>
          </cell>
          <cell r="FB4">
            <v>12</v>
          </cell>
        </row>
      </sheetData>
      <sheetData sheetId="13"/>
      <sheetData sheetId="14" refreshError="1"/>
      <sheetData sheetId="15" refreshError="1"/>
      <sheetData sheetId="16" refreshError="1"/>
      <sheetData sheetId="1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
      <sheetName val="SH-B"/>
      <sheetName val="SH-C"/>
      <sheetName val="SH-D"/>
      <sheetName val="SH-E"/>
      <sheetName val="SH-F"/>
      <sheetName val="SH-G"/>
      <sheetName val="SH_A"/>
      <sheetName val="SH_B"/>
      <sheetName val="SH_C"/>
      <sheetName val="SH_D"/>
      <sheetName val="SH_E"/>
      <sheetName val="SH_F"/>
      <sheetName val="SH_G"/>
      <sheetName val="FR"/>
      <sheetName val="Sheet1"/>
      <sheetName val="สรุปราคา"/>
      <sheetName val="A-หมวดค่าใช้จ่ายฯ"/>
      <sheetName val="B-หมวดงานรื้อถอน"/>
      <sheetName val="C-หมวดงานตกแต่งภายใน"/>
      <sheetName val="ELE"/>
      <sheetName val="Ratio"/>
      <sheetName val="Ratio Qty"/>
      <sheetName val="Foundation "/>
      <sheetName val="Column "/>
      <sheetName val="Beam  "/>
      <sheetName val="RC Slab "/>
      <sheetName val="Lift Core  "/>
      <sheetName val="Post-Tens. Slab  "/>
      <sheetName val="RC.Stair  "/>
      <sheetName val="RC wall "/>
      <sheetName val="Typ.F"/>
      <sheetName val="สรุปงานโครงสร้าง"/>
      <sheetName val="โครงสร้าง"/>
      <sheetName val="Grand sum"/>
      <sheetName val="Sum Floor"/>
      <sheetName val="Sum Fl."/>
      <sheetName val="Footing"/>
      <sheetName val="Code Footing"/>
      <sheetName val="Code Column"/>
      <sheetName val="Column"/>
      <sheetName val="G BEAM"/>
      <sheetName val="BEAM"/>
      <sheetName val="WALL"/>
      <sheetName val="C_Beam"/>
      <sheetName val="C_Wall"/>
      <sheetName val="Code Beam"/>
      <sheetName val="G Slab"/>
      <sheetName val="Slab"/>
      <sheetName val="Road"/>
      <sheetName val="Code Slab"/>
      <sheetName val="Post-Tenion"/>
      <sheetName val="Code Post"/>
      <sheetName val="Lift"/>
      <sheetName val="Stair"/>
      <sheetName val="Code Stair"/>
      <sheetName val="STEEL Roof"/>
      <sheetName val="โครงหลังคา"/>
      <sheetName val="Steel"/>
      <sheetName val=" "/>
      <sheetName val="บทสรุปผู้บริหาร"/>
      <sheetName val="(R05)-PLE-602"/>
      <sheetName val="Ratio_Qty"/>
      <sheetName val="Foundation_"/>
      <sheetName val="Column_"/>
      <sheetName val="Beam__"/>
      <sheetName val="RC_Slab_"/>
      <sheetName val="Lift_Core__"/>
      <sheetName val="Post-Tens__Slab__"/>
      <sheetName val="RC_Stair__"/>
      <sheetName val="RC_wall_"/>
      <sheetName val="Typ_F"/>
      <sheetName val="Grand_sum"/>
      <sheetName val="Sum_Floor"/>
      <sheetName val="Sum_Fl_"/>
      <sheetName val="Code_Footing"/>
      <sheetName val="Code_Column"/>
      <sheetName val="G_BEAM"/>
      <sheetName val="Code_Beam"/>
      <sheetName val="G_Slab"/>
      <sheetName val="Code_Slab"/>
      <sheetName val="Code_Post"/>
      <sheetName val="Code_Stair"/>
      <sheetName val="STEEL_Roof"/>
      <sheetName val="MAIN"/>
      <sheetName val="SG"/>
      <sheetName val="J100"/>
      <sheetName val="실행철강하도"/>
      <sheetName val="sheetNO"/>
      <sheetName val="DETAIL "/>
      <sheetName val="SOURCE"/>
      <sheetName val="Store"/>
      <sheetName val="토공집계표"/>
      <sheetName val="Worksheet"/>
      <sheetName val="EST-FOOTING (G)"/>
      <sheetName val="ประมาณการประตูหน้าต่าง "/>
      <sheetName val="สรุปราคา (L)"/>
      <sheetName val="Mat"/>
      <sheetName val="AC"/>
      <sheetName val="03100(SS)"/>
      <sheetName val="Total BOQ"/>
      <sheetName val="Bill No. 2 - Carpark"/>
      <sheetName val="4G SUM-SK (Lift&amp;Interior)"/>
      <sheetName val="S-Curve (Lift&amp;Interior)"/>
      <sheetName val="6L4 DETAIL SK"/>
      <sheetName val="S-Curve (R2)"/>
      <sheetName val="CUSTOMER"/>
      <sheetName val="7-consume"/>
      <sheetName val="6-Equipment"/>
      <sheetName val="4-Local transport"/>
      <sheetName val="Backup"/>
      <sheetName val="Sum"/>
      <sheetName val="SAN REDUCED 1"/>
      <sheetName val="รวมราคาทั้งสิ้น"/>
      <sheetName val="rate"/>
      <sheetName val="SUM."/>
      <sheetName val="(1)Contract"/>
      <sheetName val="(2)PMI 012"/>
      <sheetName val="(3)PMI 014"/>
      <sheetName val="(4)PMI 015"/>
      <sheetName val="(5)PMI 021"/>
      <sheetName val="(6)PMI 022"/>
      <sheetName val="(7)PMI 024"/>
      <sheetName val="(8)PMI 028"/>
      <sheetName val="(9)PMI.."/>
      <sheetName val="(10)PMI."/>
      <sheetName val="( 11)TV"/>
      <sheetName val="Main Sum (Hotel &amp; Residences)"/>
      <sheetName val="ELE.xls"/>
      <sheetName val="ELEC"/>
      <sheetName val="bq"/>
      <sheetName val="cov-estimate"/>
      <sheetName val="อาคารหลัก A"/>
      <sheetName val="I-slab"/>
      <sheetName val="SUM-AIR-Submit"/>
      <sheetName val="STRUCTURE"/>
      <sheetName val="BOX Cryostat Details"/>
      <sheetName val="Driver Linac Layout"/>
      <sheetName val="Inputs"/>
      <sheetName val="Magnet Details"/>
      <sheetName val="PL"/>
      <sheetName val="Factor F Data"/>
      <sheetName val="_"/>
      <sheetName val="DETAIL_"/>
      <sheetName val="เงินกู้ MGC"/>
      <sheetName val="เงินกู้ธนชาติ"/>
      <sheetName val="BAL"/>
      <sheetName val="EST-FOOTING_(G)"/>
      <sheetName val="ZPS02"/>
      <sheetName val="detail"/>
      <sheetName val="ADO_2552"/>
      <sheetName val="STD"/>
      <sheetName val="HVAC"/>
      <sheetName val="Construction cost assumption"/>
      <sheetName val="JLL Assumption"/>
      <sheetName val="Retail Program&amp;Rev Assumption"/>
      <sheetName val="ประมาณการประตูหน้าต่าง_"/>
      <sheetName val="Unit rate Architecture"/>
      <sheetName val="Cavity Inputs"/>
      <sheetName val="Sum(Civil Work)"/>
      <sheetName val="สรุป_EMC"/>
      <sheetName val="data3"/>
      <sheetName val="Code"/>
      <sheetName val="วัดใต้"/>
      <sheetName val="Replacement Cost "/>
      <sheetName val="B-หมวดงานรื้-ถอน"/>
      <sheetName val=" HW บานเลื่อน"/>
      <sheetName val="Cost Data"/>
      <sheetName val="Material"/>
      <sheetName val="Prod-1"/>
      <sheetName val="Ratio_Qty1"/>
      <sheetName val="Foundation_1"/>
      <sheetName val="Column_1"/>
      <sheetName val="Beam__1"/>
      <sheetName val="RC_Slab_1"/>
      <sheetName val="Lift_Core__1"/>
      <sheetName val="Post-Tens__Slab__1"/>
      <sheetName val="RC_Stair__1"/>
      <sheetName val="RC_wall_1"/>
      <sheetName val="Typ_F1"/>
      <sheetName val="Grand_sum1"/>
      <sheetName val="Sum_Floor1"/>
      <sheetName val="Sum_Fl_1"/>
      <sheetName val="Code_Footing1"/>
      <sheetName val="Code_Column1"/>
      <sheetName val="G_BEAM1"/>
      <sheetName val="Code_Beam1"/>
      <sheetName val="G_Slab1"/>
      <sheetName val="Code_Slab1"/>
      <sheetName val="Code_Post1"/>
      <sheetName val="Code_Stair1"/>
      <sheetName val="STEEL_Roof1"/>
      <sheetName val="_1"/>
      <sheetName val="DETAIL_1"/>
      <sheetName val="สรุปราคา_(L)"/>
      <sheetName val="Total_BOQ"/>
      <sheetName val="Bill_No__2_-_Carpark"/>
      <sheetName val="4G_SUM-SK_(Lift&amp;Interior)"/>
      <sheetName val="S-Curve_(Lift&amp;Interior)"/>
      <sheetName val="6L4_DETAIL_SK"/>
      <sheetName val="S-Curve_(R2)"/>
      <sheetName val="4-Local_transport"/>
      <sheetName val="SAN_REDUCED_1"/>
      <sheetName val="Main_Sum_(Hotel_&amp;_Residences)"/>
      <sheetName val="SUM_"/>
      <sheetName val="(2)PMI_012"/>
      <sheetName val="(3)PMI_014"/>
      <sheetName val="(4)PMI_015"/>
      <sheetName val="(5)PMI_021"/>
      <sheetName val="(6)PMI_022"/>
      <sheetName val="(7)PMI_024"/>
      <sheetName val="(8)PMI_028"/>
      <sheetName val="(9)PMI__"/>
      <sheetName val="(10)PMI_"/>
      <sheetName val="(_11)TV"/>
      <sheetName val="ELE_xls"/>
      <sheetName val="อาคารหลัก_A"/>
      <sheetName val="BOX_Cryostat_Details"/>
      <sheetName val="Driver_Linac_Layout"/>
      <sheetName val="Magnet_Details"/>
      <sheetName val="Factor_F_Data"/>
      <sheetName val="S4.1_MEP Guestroom"/>
      <sheetName val="概総括1"/>
      <sheetName val="file"/>
      <sheetName val="EST-FOOTING_(G)1"/>
      <sheetName val="ประมาณการประตูหน้าต่าง_1"/>
      <sheetName val="เงินกู้_MGC"/>
      <sheetName val="Construction_cost_assumption"/>
      <sheetName val="JLL_Assumption"/>
      <sheetName val="Retail_Program&amp;Rev_Assumption"/>
      <sheetName val="Unit_rate_Architecture"/>
      <sheetName val="Cavity_Inputs"/>
      <sheetName val="Sum(Civil_Work)"/>
      <sheetName val="Replacement_Cost_"/>
      <sheetName val="_HW_บานเลื่อน"/>
      <sheetName val="สรุป"/>
      <sheetName val="Summary"/>
      <sheetName val="AC.C"/>
      <sheetName val="RC.footing"/>
      <sheetName val="S_x0000_&quot;ì_x0005_Ù_x0000__x0000__x0000_"/>
      <sheetName val="Ratchada"/>
      <sheetName val="Menu"/>
      <sheetName val="วัฒนพัฒน์"/>
      <sheetName val="MET19"/>
      <sheetName val="Sum SN"/>
      <sheetName val="Main Riser"/>
      <sheetName val="AC_C"/>
      <sheetName val="H1.0"/>
      <sheetName val="aman seri"/>
      <sheetName val="S?&quot;ì_x0005_Ù???"/>
      <sheetName val="Database"/>
      <sheetName val="Output"/>
      <sheetName val="งานโครงสร้าง"/>
      <sheetName val="S"/>
      <sheetName val="S_&quot;ì_x0005_Ù___"/>
      <sheetName val="properties"/>
      <sheetName val="ฐานข้อมูลป้าย"/>
      <sheetName val="Cash Flow-1"/>
      <sheetName val="QUANTITY COMPARISON"/>
      <sheetName val="Cost_Categories"/>
      <sheetName val="Operating"/>
      <sheetName val="Formula"/>
      <sheetName val="A.O.R."/>
      <sheetName val="calc_menu_déroulant"/>
      <sheetName val="LITF"/>
      <sheetName val="Ratio_Qty2"/>
      <sheetName val="Foundation_2"/>
      <sheetName val="Column_2"/>
      <sheetName val="Beam__2"/>
      <sheetName val="RC_Slab_2"/>
      <sheetName val="Lift_Core__2"/>
      <sheetName val="Post-Tens__Slab__2"/>
      <sheetName val="RC_Stair__2"/>
      <sheetName val="RC_wall_2"/>
      <sheetName val="Typ_F2"/>
      <sheetName val="Grand_sum2"/>
      <sheetName val="Sum_Floor2"/>
      <sheetName val="Sum_Fl_2"/>
      <sheetName val="Code_Footing2"/>
      <sheetName val="Code_Column2"/>
      <sheetName val="G_BEAM2"/>
      <sheetName val="Code_Beam2"/>
      <sheetName val="G_Slab2"/>
      <sheetName val="Code_Slab2"/>
      <sheetName val="Code_Post2"/>
      <sheetName val="Code_Stair2"/>
      <sheetName val="STEEL_Roof2"/>
      <sheetName val="_2"/>
      <sheetName val="DETAIL_2"/>
      <sheetName val="EST-FOOTING_(G)2"/>
      <sheetName val="ประมาณการประตูหน้าต่าง_2"/>
      <sheetName val="สรุปราคา_(L)1"/>
      <sheetName val="Total_BOQ1"/>
      <sheetName val="4G_SUM-SK_(Lift&amp;Interior)1"/>
      <sheetName val="S-Curve_(Lift&amp;Interior)1"/>
      <sheetName val="6L4_DETAIL_SK1"/>
      <sheetName val="S-Curve_(R2)1"/>
      <sheetName val="4-Local_transport1"/>
      <sheetName val="SAN_REDUCED_11"/>
      <sheetName val="Bill_No__2_-_Carpark1"/>
      <sheetName val="Main_Sum_(Hotel_&amp;_Residences)1"/>
      <sheetName val="SUM_1"/>
      <sheetName val="(2)PMI_0121"/>
      <sheetName val="(3)PMI_0141"/>
      <sheetName val="(4)PMI_0151"/>
      <sheetName val="(5)PMI_0211"/>
      <sheetName val="(6)PMI_0221"/>
      <sheetName val="(7)PMI_0241"/>
      <sheetName val="(8)PMI_0281"/>
      <sheetName val="(9)PMI__1"/>
      <sheetName val="(10)PMI_1"/>
      <sheetName val="(_11)TV1"/>
      <sheetName val="ELE_xls1"/>
      <sheetName val="BOX_Cryostat_Details1"/>
      <sheetName val="Driver_Linac_Layout1"/>
      <sheetName val="Magnet_Details1"/>
      <sheetName val="Factor_F_Data1"/>
      <sheetName val="อาคารหลัก_A1"/>
      <sheetName val="S4_1_MEP_Guestroom"/>
      <sheetName val="เงินกู้_MGC1"/>
      <sheetName val="_HW_บานเลื่อน1"/>
      <sheetName val="Construction_cost_assumption1"/>
      <sheetName val="JLL_Assumption1"/>
      <sheetName val="Retail_Program&amp;Rev_Assumption1"/>
      <sheetName val="Unit_rate_Architecture1"/>
      <sheetName val="Cavity_Inputs1"/>
      <sheetName val="Sum(Civil_Work)1"/>
      <sheetName val="Replacement_Cost_1"/>
      <sheetName val="Cost_Data"/>
      <sheetName val="Summary cal"/>
      <sheetName val="JM50-99"/>
      <sheetName val="splinkler"/>
      <sheetName val="Syntec Summary_B_C_F"/>
      <sheetName val="List"/>
      <sheetName val="boq"/>
      <sheetName val="Hauling"/>
      <sheetName val="BM"/>
      <sheetName val="Purchase Order"/>
      <sheetName val="Customize Your Purchase Order"/>
      <sheetName val="BK Unit Rate"/>
      <sheetName val="SITE OFFICE"/>
      <sheetName val="Cost"/>
      <sheetName val="Cost Break"/>
      <sheetName val="งานสถาปัตยกรรม A"/>
      <sheetName val="AC_C1"/>
      <sheetName val="RC_footing"/>
      <sheetName val="S&quot;ìÙ"/>
      <sheetName val="Sum_SN"/>
      <sheetName val="Main_Riser"/>
      <sheetName val="H1_0"/>
      <sheetName val="aman_seri"/>
      <sheetName val="S?&quot;ìÙ???"/>
      <sheetName val="Main Assumption"/>
      <sheetName val="S3 Architectural"/>
      <sheetName val="ST-อาคาร C"/>
      <sheetName val="BQ-E20-02(Rp)"/>
      <sheetName val="แบบ A"/>
      <sheetName val="แบบ B"/>
      <sheetName val="แบบ C"/>
      <sheetName val="แบบ D"/>
      <sheetName val="แบบ E"/>
      <sheetName val="แบบ G"/>
      <sheetName val="แบบ H"/>
      <sheetName val="แบบ L"/>
      <sheetName val="แบบ M"/>
      <sheetName val="แบบ N"/>
      <sheetName val="แบบ P"/>
      <sheetName val="แบบ S"/>
      <sheetName val="แบบ T"/>
      <sheetName val="แบบ TP"/>
      <sheetName val="แบบ V"/>
      <sheetName val="แบบ Y"/>
      <sheetName val="Ragama"/>
      <sheetName val="Ratio_Qty3"/>
      <sheetName val="Foundation_3"/>
      <sheetName val="Column_3"/>
      <sheetName val="Beam__3"/>
      <sheetName val="RC_Slab_3"/>
      <sheetName val="Lift_Core__3"/>
      <sheetName val="Post-Tens__Slab__3"/>
      <sheetName val="RC_Stair__3"/>
      <sheetName val="RC_wall_3"/>
      <sheetName val="Typ_F3"/>
      <sheetName val="Grand_sum3"/>
      <sheetName val="Sum_Floor3"/>
      <sheetName val="Sum_Fl_3"/>
      <sheetName val="Code_Footing3"/>
      <sheetName val="Code_Column3"/>
      <sheetName val="G_BEAM3"/>
      <sheetName val="Code_Beam3"/>
      <sheetName val="G_Slab3"/>
      <sheetName val="Code_Slab3"/>
      <sheetName val="Code_Post3"/>
      <sheetName val="Code_Stair3"/>
      <sheetName val="STEEL_Roof3"/>
      <sheetName val="_3"/>
      <sheetName val="DETAIL_3"/>
      <sheetName val="EST-FOOTING_(G)3"/>
      <sheetName val="ประมาณการประตูหน้าต่าง_3"/>
      <sheetName val="สรุปราคา_(L)2"/>
      <sheetName val="Total_BOQ2"/>
      <sheetName val="4G_SUM-SK_(Lift&amp;Interior)2"/>
      <sheetName val="S-Curve_(Lift&amp;Interior)2"/>
      <sheetName val="6L4_DETAIL_SK2"/>
      <sheetName val="S-Curve_(R2)2"/>
      <sheetName val="4-Local_transport2"/>
      <sheetName val="SAN_REDUCED_12"/>
      <sheetName val="Bill_No__2_-_Carpark2"/>
      <sheetName val="Main_Sum_(Hotel_&amp;_Residences)2"/>
      <sheetName val="SUM_2"/>
      <sheetName val="(2)PMI_0122"/>
      <sheetName val="(3)PMI_0142"/>
      <sheetName val="(4)PMI_0152"/>
      <sheetName val="(5)PMI_0212"/>
      <sheetName val="(6)PMI_0222"/>
      <sheetName val="(7)PMI_0242"/>
      <sheetName val="(8)PMI_0282"/>
      <sheetName val="(9)PMI__2"/>
      <sheetName val="(10)PMI_2"/>
      <sheetName val="(_11)TV2"/>
      <sheetName val="ELE_xls2"/>
      <sheetName val="BOX_Cryostat_Details2"/>
      <sheetName val="Driver_Linac_Layout2"/>
      <sheetName val="Magnet_Details2"/>
      <sheetName val="Factor_F_Data2"/>
      <sheetName val="อาคารหลัก_A2"/>
      <sheetName val="S4_1_MEP_Guestroom1"/>
      <sheetName val="เงินกู้_MGC2"/>
      <sheetName val="_HW_บานเลื่อน2"/>
      <sheetName val="Construction_cost_assumption2"/>
      <sheetName val="JLL_Assumption2"/>
      <sheetName val="Retail_Program&amp;Rev_Assumption2"/>
      <sheetName val="Unit_rate_Architecture2"/>
      <sheetName val="Cavity_Inputs2"/>
      <sheetName val="Sum(Civil_Work)2"/>
      <sheetName val="Replacement_Cost_2"/>
      <sheetName val="Cost_Data1"/>
      <sheetName val="Ratio_Qty4"/>
      <sheetName val="Foundation_4"/>
      <sheetName val="Column_4"/>
      <sheetName val="Beam__4"/>
      <sheetName val="RC_Slab_4"/>
      <sheetName val="Lift_Core__4"/>
      <sheetName val="Post-Tens__Slab__4"/>
      <sheetName val="RC_Stair__4"/>
      <sheetName val="RC_wall_4"/>
      <sheetName val="Typ_F4"/>
      <sheetName val="Grand_sum4"/>
      <sheetName val="Sum_Floor4"/>
      <sheetName val="Sum_Fl_4"/>
      <sheetName val="Code_Footing4"/>
      <sheetName val="Code_Column4"/>
      <sheetName val="G_BEAM4"/>
      <sheetName val="Code_Beam4"/>
      <sheetName val="G_Slab4"/>
      <sheetName val="Code_Slab4"/>
      <sheetName val="Code_Post4"/>
      <sheetName val="Code_Stair4"/>
      <sheetName val="STEEL_Roof4"/>
      <sheetName val="_4"/>
      <sheetName val="DETAIL_4"/>
      <sheetName val="EST-FOOTING_(G)4"/>
      <sheetName val="ประมาณการประตูหน้าต่าง_4"/>
      <sheetName val="สรุปราคา_(L)3"/>
      <sheetName val="Total_BOQ3"/>
      <sheetName val="4G_SUM-SK_(Lift&amp;Interior)3"/>
      <sheetName val="S-Curve_(Lift&amp;Interior)3"/>
      <sheetName val="6L4_DETAIL_SK3"/>
      <sheetName val="S-Curve_(R2)3"/>
      <sheetName val="4-Local_transport3"/>
      <sheetName val="SAN_REDUCED_13"/>
      <sheetName val="Bill_No__2_-_Carpark3"/>
      <sheetName val="Main_Sum_(Hotel_&amp;_Residences)3"/>
      <sheetName val="SUM_3"/>
      <sheetName val="(2)PMI_0123"/>
      <sheetName val="(3)PMI_0143"/>
      <sheetName val="(4)PMI_0153"/>
      <sheetName val="(5)PMI_0213"/>
      <sheetName val="(6)PMI_0223"/>
      <sheetName val="(7)PMI_0243"/>
      <sheetName val="(8)PMI_0283"/>
      <sheetName val="(9)PMI__3"/>
      <sheetName val="(10)PMI_3"/>
      <sheetName val="(_11)TV3"/>
      <sheetName val="ELE_xls3"/>
      <sheetName val="BOX_Cryostat_Details3"/>
      <sheetName val="Driver_Linac_Layout3"/>
      <sheetName val="Magnet_Details3"/>
      <sheetName val="Factor_F_Data3"/>
      <sheetName val="อาคารหลัก_A3"/>
      <sheetName val="S4_1_MEP_Guestroom2"/>
      <sheetName val="เงินกู้_MGC3"/>
      <sheetName val="_HW_บานเลื่อน3"/>
      <sheetName val="Construction_cost_assumption3"/>
      <sheetName val="JLL_Assumption3"/>
      <sheetName val="Retail_Program&amp;Rev_Assumption3"/>
      <sheetName val="Unit_rate_Architecture3"/>
      <sheetName val="Cavity_Inputs3"/>
      <sheetName val="Sum(Civil_Work)3"/>
      <sheetName val="Replacement_Cost_3"/>
      <sheetName val="Cost_Data2"/>
      <sheetName val="AC_C2"/>
      <sheetName val="RefSheet"/>
      <sheetName val=" FS"/>
      <sheetName val="Sch_1_EE"/>
      <sheetName val="Sch.2 SN"/>
      <sheetName val="Sch.3 FP"/>
      <sheetName val="Sch.4 AC"/>
      <sheetName val="Sch.6 Prelim"/>
      <sheetName val="XL4Poppy"/>
      <sheetName val="A1.2"/>
      <sheetName val="Mat_Source"/>
      <sheetName val="Unit_Div6"/>
      <sheetName val="Total"/>
      <sheetName val="C_footing"/>
      <sheetName val="Arch"/>
      <sheetName val="R_footing"/>
      <sheetName val="C_rc."/>
      <sheetName val="R_rc. "/>
      <sheetName val="C_post."/>
      <sheetName val="R_post."/>
      <sheetName val="C_Flat"/>
      <sheetName val="R_Flat"/>
      <sheetName val="C-beam(net) "/>
      <sheetName val="R_beam(net)  "/>
      <sheetName val="C-column"/>
      <sheetName val="R_column"/>
      <sheetName val="Vessel Size"/>
      <sheetName val="Progress"/>
      <sheetName val="KC"/>
      <sheetName val="area converter"/>
      <sheetName val="1_Interior L1_L3"/>
      <sheetName val="Trial Balance"/>
      <sheetName val="TB"/>
      <sheetName val="Master"/>
      <sheetName val="EXT-01"/>
      <sheetName val="FD"/>
      <sheetName val="GI"/>
      <sheetName val="EE (3)"/>
      <sheetName val="PAVEMENT"/>
      <sheetName val="TRAFFIC"/>
      <sheetName val="040"/>
      <sheetName val="060"/>
      <sheetName val="Selection"/>
      <sheetName val="ภูมิทัศน์"/>
      <sheetName val="Equipment"/>
      <sheetName val="For Bid VS For Con"/>
      <sheetName val="20190517"/>
      <sheetName val="Xtra_Signage"/>
      <sheetName val="Status Update"/>
      <sheetName val="Status VO update"/>
      <sheetName val="Sum S&amp;A, M&amp;E"/>
      <sheetName val="Compa Budget"/>
      <sheetName val="Reserv)"/>
      <sheetName val="sumnary กองทุน"/>
      <sheetName val="StatusUpdate "/>
      <sheetName val="Award+VO"/>
      <sheetName val="StatusUpdate เก่า"/>
      <sheetName val="New requirement"/>
      <sheetName val="B1,B2_CMC"/>
      <sheetName val="B1,B2_OMG"/>
      <sheetName val="Form"/>
      <sheetName val="Budget FEC"/>
      <sheetName val="01-CHM(Site CLR)"/>
      <sheetName val="02-TPC(Pile CPN)M"/>
      <sheetName val="03-TPC(Pile CPN)L"/>
      <sheetName val="04-SK(Pile CPN)M"/>
      <sheetName val="05-SK(Pile CPN)L"/>
      <sheetName val="06-TNA(Pile CPN)M"/>
      <sheetName val="07-TNA(Pile CPN)L"/>
      <sheetName val="51-TPC(Pile CDS)M"/>
      <sheetName val="52-TPC(Pile CDS)L"/>
      <sheetName val="S&amp;A"/>
      <sheetName val="1,800"/>
      <sheetName val="1,950"/>
      <sheetName val="Program"/>
      <sheetName val="Status VO"/>
      <sheetName val="Unit Price"/>
      <sheetName val="schedule "/>
      <sheetName val="11 ข้อมูลงานCon"/>
      <sheetName val="10 ข้อมูลวัสดุ-ค่าดำเนิน"/>
      <sheetName val="ปร.4 งานผังบริเวณ"/>
      <sheetName val="material_cost"/>
      <sheetName val="MEP Works"/>
      <sheetName val="11 ข้อมูลงานCo"/>
      <sheetName val="10 ข้อมูลวัสดุ"/>
      <sheetName val="gl"/>
      <sheetName val="JobSetup"/>
      <sheetName val="Pr"/>
      <sheetName val="Proposal Form"/>
      <sheetName val="Data"/>
      <sheetName val="Balance Sheet-Assets"/>
      <sheetName val="Balance Sheet-Liabs"/>
      <sheetName val="RONA"/>
      <sheetName val="JPN-Salary"/>
      <sheetName val="ExcRate"/>
      <sheetName val="Exchange Rate"/>
      <sheetName val="Boq(1)"/>
      <sheetName val="DB_A"/>
      <sheetName val="DB_Q"/>
      <sheetName val="Assumptions"/>
      <sheetName val="Exec Summary"/>
      <sheetName val="Sensitivities"/>
      <sheetName val="공통가설"/>
      <sheetName val="summary1-3"/>
      <sheetName val="Super"/>
      <sheetName val="GAE8'97"/>
      <sheetName val="apart-ee"/>
      <sheetName val="Signage ABF L1-L7"/>
      <sheetName val="Signage C,D,E "/>
      <sheetName val="Status (เดิม)"/>
      <sheetName val="For Bid VS For Con (2)"/>
      <sheetName val="UKG Graph Regional"/>
      <sheetName val="UKG All"/>
      <sheetName val="Branch"/>
      <sheetName val="Data Dep1"/>
      <sheetName val="STF-SDL"/>
      <sheetName val="salary"/>
      <sheetName val="Bond"/>
      <sheetName val="Exchange"/>
      <sheetName val="S_x005f_x0000_&quot;ì_x005f_x0005_Ù_x005f_x0000__x0000"/>
      <sheetName val="S?&quot;ì_x005f_x0005_Ù???"/>
      <sheetName val="Summary SN FP"/>
      <sheetName val="LOP current status"/>
      <sheetName val="Consl"/>
      <sheetName val="SCHEDULE_3"/>
      <sheetName val="SCHEDULE_2"/>
      <sheetName val="4G_SUø6_x0000_À6_x0000__x001c_7_x0000_6_x0000_Ógw"/>
      <sheetName val="AC_A"/>
      <sheetName val="EE"/>
      <sheetName val="SUMMARY VO_036"/>
      <sheetName val="VO_036"/>
      <sheetName val="DIRECT COST SUMMARY"/>
      <sheetName val="Duct AC"/>
      <sheetName val="EE (POWER)"/>
      <sheetName val="EE (Power Bakery)"/>
      <sheetName val="EE (AC)"/>
      <sheetName val="EE (DATA)"/>
      <sheetName val="EE (EMERGENCY)"/>
      <sheetName val="EE (LIGHTING)"/>
      <sheetName val="EE (Fire alarm)"/>
      <sheetName val="4G_SUø6"/>
      <sheetName val="สรุปราคา (EMC)"/>
      <sheetName val="Cash Flow"/>
      <sheetName val="000000"/>
      <sheetName val="XXXXXX"/>
      <sheetName val="100000"/>
      <sheetName val="200000"/>
      <sheetName val="Spec."/>
      <sheetName val="วัสดุพื้นฐาน"/>
      <sheetName val="ปริมาณ"/>
      <sheetName val="Common"/>
      <sheetName val="Window"/>
      <sheetName val="Balcony"/>
      <sheetName val="Shop Front"/>
      <sheetName val="MiNi Shop"/>
      <sheetName val="เสาหน้าร้าน"/>
      <sheetName val="FEATURE WALL"/>
      <sheetName val="Built 1"/>
      <sheetName val="Built 2"/>
      <sheetName val="Built 4"/>
      <sheetName val="Built 5"/>
      <sheetName val="Built 6"/>
      <sheetName val="Built 7"/>
      <sheetName val="Counter"/>
      <sheetName val="KIOSK CANOPY"/>
      <sheetName val="Koos By Owner"/>
      <sheetName val="Kios By Tenant"/>
      <sheetName val="ป้ายร้านค่า"/>
      <sheetName val="CART"/>
      <sheetName val="Feature"/>
      <sheetName val="S_&quot;ìÙ___"/>
      <sheetName val="RECY"/>
      <sheetName val="Discounted Cash Flow"/>
      <sheetName val="Unit_Div5"/>
      <sheetName val="S_x0000_&quot;ì_x0005_Ù_x0000__x0000"/>
      <sheetName val="Doors"/>
      <sheetName val="WallFloor"/>
      <sheetName val="FL1"/>
      <sheetName val="Main Summary"/>
      <sheetName val="21"/>
      <sheetName val="Master01"/>
      <sheetName val="A"/>
      <sheetName val="sum 1-4"/>
      <sheetName val="Assump - Operational"/>
      <sheetName val="Memo"/>
      <sheetName val="Adj. AR oversea"/>
      <sheetName val="Total Revenue"/>
      <sheetName val="Income Statement"/>
      <sheetName val="Book 1 Summary"/>
      <sheetName val="ราคาต่อหน่วย2-9"/>
      <sheetName val="หน้าปก"/>
      <sheetName val="สารบัญ"/>
      <sheetName val="1 คำนำ"/>
      <sheetName val="2 บทสรุปของผู้บริหาร  "/>
      <sheetName val="2.1 การว่าจ้างที่ปรึกษา"/>
      <sheetName val="3 สถานะการออกแบบ"/>
      <sheetName val="3.1 สถานะการออกแบบ AR "/>
      <sheetName val="3.2 สถานะการออกแบบ ST "/>
      <sheetName val="3.3 สถานะการออกแบบ MES "/>
      <sheetName val="3.4 สถานะการออกแบบ LS "/>
      <sheetName val="3.5 สถานะการออกแบบ IN "/>
      <sheetName val="4 EIA"/>
      <sheetName val="สถานะ EIA "/>
      <sheetName val="5.การยื่นขอใบอนุญาตราชการ"/>
      <sheetName val="6 การประกันภัย&amp;หลักประกัน"/>
      <sheetName val="3. สถานะงานก่อสร้าง"/>
      <sheetName val="Demolish work "/>
      <sheetName val="Work_SO Fl.1"/>
      <sheetName val="MOCK UP(AR)_Fl.2"/>
      <sheetName val="3.1 งานโครงสร้าง+ระบบ "/>
      <sheetName val="3.2 งานโครงสร้าง."/>
      <sheetName val="3.3 งานสถาปัตย์"/>
      <sheetName val="L PILE"/>
      <sheetName val="Retaining Wall"/>
      <sheetName val="Plumbing-SN1."/>
      <sheetName val="Plumbing-SN2"/>
      <sheetName val="Electrical system-(1st)"/>
      <sheetName val="Electrical system-(2nd)"/>
      <sheetName val="Air condition system-1ST-1"/>
      <sheetName val="Air condition system-1ST-2"/>
      <sheetName val="Air condition system-2ND"/>
      <sheetName val="Air condition system-(Mockup)"/>
      <sheetName val="Site Drainage system-part 1"/>
      <sheetName val="Site Drainage system-part 2"/>
      <sheetName val="3.4 งานระบบ"/>
      <sheetName val="4. สรุปการเงินโครงการ"/>
      <sheetName val="4.1 สรุปการเงินโครงการ"/>
      <sheetName val="5.แผนการทำงาน"/>
      <sheetName val="9.1 แผนงานการพัฒนาโครงการ"/>
      <sheetName val="5.1 Schedule มีไฟล์แนบ"/>
      <sheetName val="9.2 แผนการทำงานเดือนถัดไป "/>
      <sheetName val="5.2 S-Curve มีไฟล์แนบ"/>
      <sheetName val="6. ภาพถ่ายความก้าวหน้าโครงการ"/>
      <sheetName val="6.1 Photo"/>
      <sheetName val="7. แผนภาพสภาวะอากาศ"/>
      <sheetName val="7.1 แผนภาพสภาวะอากาศ "/>
      <sheetName val="12 Site Instruction Log"/>
      <sheetName val="8. รายการอนุมัติวัสดุ&amp;แบบแปลน"/>
      <sheetName val="8.1 Shop Drawing (ST)"/>
      <sheetName val="8.1 Shop Drawing  (AR)"/>
      <sheetName val="8.2 Shop Drawing (AR)"/>
      <sheetName val="8.3 Material (ST) "/>
      <sheetName val="14 รายการเอกสารติดต่อประสานงาน"/>
      <sheetName val="หนังสือเข้า"/>
      <sheetName val="หนังสือออก"/>
      <sheetName val="8.2 Material (SN)"/>
      <sheetName val="8.2 Material (EE)"/>
      <sheetName val="8.4 Material (AR)"/>
      <sheetName val="8.5 Shop Drawing (ระบบ)"/>
      <sheetName val="8.6 Material (ระบบ)"/>
      <sheetName val="9. ผังโครงสร้างบุคลากร"/>
      <sheetName val="9.1 JTK มีไฟล์แนบ"/>
      <sheetName val="15.2 MM"/>
      <sheetName val="S_&quot;ì_x005f_x0005_Ù___"/>
      <sheetName val="SN OR14"/>
      <sheetName val="FP OR14"/>
      <sheetName val="inWords"/>
      <sheetName val="Civil Boq"/>
      <sheetName val="ME_DB"/>
      <sheetName val="ทำนบดิน 4"/>
      <sheetName val="General"/>
      <sheetName val="cover"/>
      <sheetName val="S&quot;ì_x0005_Ù"/>
      <sheetName val="S&quot;ì_x0005_Ù_x0000"/>
      <sheetName val="Assembly Status"/>
      <sheetName val="Asmbly Disc Progress"/>
      <sheetName val="Commissioning Deliverables"/>
      <sheetName val="Commissioning Status"/>
      <sheetName val="Pre Fab Disc Prog - Baku"/>
      <sheetName val="Prefab Status - Baku"/>
      <sheetName val="Rate Analysis"/>
      <sheetName val="SCHEDULE_4"/>
      <sheetName val="SPT vs PHI"/>
      <sheetName val="CELL_A"/>
      <sheetName val="ENV_A"/>
      <sheetName val="PG_A"/>
      <sheetName val="MD_A"/>
      <sheetName val="QA&amp;R_A"/>
      <sheetName val="RMP_A"/>
      <sheetName val="RMZ_A"/>
      <sheetName val="JUNE1"/>
      <sheetName val="ENV_R"/>
      <sheetName val="PG_R"/>
      <sheetName val="CELL_R"/>
      <sheetName val="QA&amp;R_R"/>
      <sheetName val="RMP_R"/>
      <sheetName val="RMZ_R"/>
      <sheetName val="Jan"/>
      <sheetName val="Feb"/>
      <sheetName val="Mar"/>
      <sheetName val="Apr"/>
      <sheetName val="May"/>
      <sheetName val="June"/>
      <sheetName val="MD_R"/>
      <sheetName val="YTD-Actual"/>
      <sheetName val="YTD_Revised"/>
      <sheetName val="Cctmst"/>
      <sheetName val="Sheet2"/>
      <sheetName val="2a-Consol-RVOs"/>
      <sheetName val="3-CAPARS Log"/>
      <sheetName val="ใบปะหน้า"/>
      <sheetName val="Architect"/>
      <sheetName val="PRICE LIST"/>
      <sheetName val="สรุปราคาค่าก่อสร้าง_EMC"/>
      <sheetName val="HVAC BoQ"/>
      <sheetName val="division"/>
      <sheetName val="=_x0003__x0002__x0000_"/>
      <sheetName val=""/>
      <sheetName val="=_x0003__x0002_"/>
      <sheetName val="Ctrl"/>
      <sheetName val="C077"/>
      <sheetName val="M070"/>
      <sheetName val="M070- sing"/>
      <sheetName val="Sh&amp;Hd"/>
      <sheetName val="factory"/>
      <sheetName val="external"/>
      <sheetName val="ปร4"/>
      <sheetName val="ราคาวัสดุ"/>
      <sheetName val="ตารางวันหยุด"/>
      <sheetName val="LINK ราคาต่อหน่วย"/>
      <sheetName val="ダクト拾･集計"/>
      <sheetName val="Ratio_Qty5"/>
      <sheetName val="Foundation_5"/>
      <sheetName val="Column_5"/>
      <sheetName val="Beam__5"/>
      <sheetName val="RC_Slab_5"/>
      <sheetName val="Lift_Core__5"/>
      <sheetName val="Post-Tens__Slab__5"/>
      <sheetName val="RC_Stair__5"/>
      <sheetName val="RC_wall_5"/>
      <sheetName val="Typ_F5"/>
      <sheetName val="Grand_sum5"/>
      <sheetName val="Sum_Floor5"/>
      <sheetName val="Sum_Fl_5"/>
      <sheetName val="Code_Footing5"/>
      <sheetName val="Code_Column5"/>
      <sheetName val="G_BEAM5"/>
      <sheetName val="Code_Beam5"/>
      <sheetName val="G_Slab5"/>
      <sheetName val="Code_Slab5"/>
      <sheetName val="Code_Post5"/>
      <sheetName val="Code_Stair5"/>
      <sheetName val="STEEL_Roof5"/>
      <sheetName val="_5"/>
      <sheetName val="DETAIL_5"/>
      <sheetName val="EST-FOOTING_(G)5"/>
      <sheetName val="ประมาณการประตูหน้าต่าง_5"/>
      <sheetName val="สรุปราคา_(L)4"/>
      <sheetName val="SUM_4"/>
      <sheetName val="(2)PMI_0124"/>
      <sheetName val="(3)PMI_0144"/>
      <sheetName val="(4)PMI_0154"/>
      <sheetName val="(5)PMI_0214"/>
      <sheetName val="(6)PMI_0224"/>
      <sheetName val="(7)PMI_0244"/>
      <sheetName val="(8)PMI_0284"/>
      <sheetName val="(9)PMI__4"/>
      <sheetName val="(10)PMI_4"/>
      <sheetName val="(_11)TV4"/>
      <sheetName val="ELE_xls4"/>
      <sheetName val="Total_BOQ4"/>
      <sheetName val="4G_SUM-SK_(Lift&amp;Interior)4"/>
      <sheetName val="S-Curve_(Lift&amp;Interior)4"/>
      <sheetName val="6L4_DETAIL_SK4"/>
      <sheetName val="S-Curve_(R2)4"/>
      <sheetName val="4-Local_transport4"/>
      <sheetName val="SAN_REDUCED_14"/>
      <sheetName val="Bill_No__2_-_Carpark4"/>
      <sheetName val="Main_Sum_(Hotel_&amp;_Residences)4"/>
      <sheetName val="BOX_Cryostat_Details4"/>
      <sheetName val="Driver_Linac_Layout4"/>
      <sheetName val="Magnet_Details4"/>
      <sheetName val="Factor_F_Data4"/>
      <sheetName val="เงินกู้_MGC4"/>
      <sheetName val="อาคารหลัก_A4"/>
      <sheetName val="Construction_cost_assumption4"/>
      <sheetName val="JLL_Assumption4"/>
      <sheetName val="Retail_Program&amp;Rev_Assumption4"/>
      <sheetName val="Unit_rate_Architecture4"/>
      <sheetName val="Cavity_Inputs4"/>
      <sheetName val="Sum(Civil_Work)4"/>
      <sheetName val="Replacement_Cost_4"/>
      <sheetName val="_HW_บานเลื่อน4"/>
      <sheetName val="S4_1_MEP_Guestroom3"/>
      <sheetName val="Cost_Data3"/>
      <sheetName val="AC_C3"/>
      <sheetName val="RC_footing1"/>
      <sheetName val="Sum_SN1"/>
      <sheetName val="Main_Riser1"/>
      <sheetName val="H1_01"/>
      <sheetName val="aman_seri1"/>
      <sheetName val="งานสถาปัตยกรรม_A"/>
      <sheetName val="Cash_Flow-1"/>
      <sheetName val="QUANTITY_COMPARISON"/>
      <sheetName val="A_O_R_"/>
      <sheetName val="C_rc_"/>
      <sheetName val="R_rc__"/>
      <sheetName val="C_post_"/>
      <sheetName val="R_post_"/>
      <sheetName val="C-beam(net)_"/>
      <sheetName val="R_beam(net)__"/>
      <sheetName val="Summary_cal"/>
      <sheetName val="Syntec_Summary_B_C_F"/>
      <sheetName val="Purchase_Order"/>
      <sheetName val="Customize_Your_Purchase_Order"/>
      <sheetName val="BK_Unit_Rate"/>
      <sheetName val="SITE_OFFICE"/>
      <sheetName val="Cost_Break"/>
      <sheetName val="S3_Architectural"/>
      <sheetName val="ST-อาคาร_C"/>
      <sheetName val="_FS"/>
      <sheetName val="Sch_2_SN"/>
      <sheetName val="Sch_3_FP"/>
      <sheetName val="Sch_4_AC"/>
      <sheetName val="Sch_6_Prelim"/>
      <sheetName val="แบบ_A"/>
      <sheetName val="แบบ_B"/>
      <sheetName val="แบบ_C"/>
      <sheetName val="แบบ_D"/>
      <sheetName val="แบบ_E"/>
      <sheetName val="แบบ_G"/>
      <sheetName val="แบบ_H"/>
      <sheetName val="แบบ_L"/>
      <sheetName val="แบบ_M"/>
      <sheetName val="แบบ_N"/>
      <sheetName val="แบบ_P"/>
      <sheetName val="แบบ_S"/>
      <sheetName val="แบบ_T"/>
      <sheetName val="แบบ_TP"/>
      <sheetName val="แบบ_V"/>
      <sheetName val="แบบ_Y"/>
      <sheetName val="Vessel_Size"/>
      <sheetName val="area_converter"/>
      <sheetName val="1_Interior_L1_L3"/>
      <sheetName val="Main_Assumption"/>
      <sheetName val="A1_2"/>
      <sheetName val="Exec_Summary"/>
      <sheetName val="EE_(3)"/>
      <sheetName val="Proposal_Form"/>
      <sheetName val="Balance_Sheet-Assets"/>
      <sheetName val="Balance_Sheet-Liabs"/>
      <sheetName val="Exchange_Rate"/>
      <sheetName val="Trial_Balance"/>
      <sheetName val="Signage_ABF_L1-L7"/>
      <sheetName val="Signage_C,D,E_"/>
      <sheetName val="Status_(เดิม)"/>
      <sheetName val="Status_Update"/>
      <sheetName val="For_Bid_VS_For_Con_(2)"/>
      <sheetName val="For_Bid_VS_For_Con"/>
      <sheetName val="Status_VO_update"/>
      <sheetName val="Sum_S&amp;A,_M&amp;E"/>
      <sheetName val="Compa_Budget"/>
      <sheetName val="sumnary_กองทุน"/>
      <sheetName val="StatusUpdate_"/>
      <sheetName val="StatusUpdate_เก่า"/>
      <sheetName val="New_requirement"/>
      <sheetName val="Budget_FEC"/>
      <sheetName val="01-CHM(Site_CLR)"/>
      <sheetName val="02-TPC(Pile_CPN)M"/>
      <sheetName val="03-TPC(Pile_CPN)L"/>
      <sheetName val="04-SK(Pile_CPN)M"/>
      <sheetName val="05-SK(Pile_CPN)L"/>
      <sheetName val="06-TNA(Pile_CPN)M"/>
      <sheetName val="07-TNA(Pile_CPN)L"/>
      <sheetName val="51-TPC(Pile_CDS)M"/>
      <sheetName val="52-TPC(Pile_CDS)L"/>
      <sheetName val="Status_VO"/>
      <sheetName val="Unit_Price"/>
      <sheetName val="schedule_"/>
      <sheetName val="11_ข้อมูลงานCon"/>
      <sheetName val="10_ข้อมูลวัสดุ-ค่าดำเนิน"/>
      <sheetName val="ปร_4_งานผังบริเวณ"/>
      <sheetName val="MEP_Works"/>
      <sheetName val="11_ข้อมูลงานCo"/>
      <sheetName val="10_ข้อมูลวัสดุ"/>
      <sheetName val="SUMMARY_VO_036"/>
      <sheetName val="DIRECT_COST_SUMMARY"/>
      <sheetName val="Duct_AC"/>
      <sheetName val="EE_(POWER)"/>
      <sheetName val="EE_(Power_Bakery)"/>
      <sheetName val="EE_(AC)"/>
      <sheetName val="EE_(DATA)"/>
      <sheetName val="EE_(EMERGENCY)"/>
      <sheetName val="EE_(LIGHTING)"/>
      <sheetName val="EE_(Fire_alarm)"/>
      <sheetName val="UKG_Graph_Regional"/>
      <sheetName val="UKG_All"/>
      <sheetName val="Data_Dep1"/>
      <sheetName val="4G_SUø6À676Ógw"/>
      <sheetName val="Discounted_Cash_Flow"/>
      <sheetName val="LOP_current_status"/>
      <sheetName val="Summary_SN_FP"/>
      <sheetName val="Cash_Flow"/>
      <sheetName val="Spec_"/>
      <sheetName val="Shop_Front"/>
      <sheetName val="MiNi_Shop"/>
      <sheetName val="FEATURE_WALL"/>
      <sheetName val="Built_1"/>
      <sheetName val="Built_2"/>
      <sheetName val="Built_4"/>
      <sheetName val="Built_5"/>
      <sheetName val="Built_6"/>
      <sheetName val="Built_7"/>
      <sheetName val="KIOSK_CANOPY"/>
      <sheetName val="Koos_By_Owner"/>
      <sheetName val="Kios_By_Tenant"/>
      <sheetName val="สรุปราคา_(EMC)"/>
      <sheetName val="Main_Summary"/>
      <sheetName val="3-CAPARS_Log"/>
      <sheetName val="INPUT DATA HERE"/>
      <sheetName val="SCIB_Proforma"/>
      <sheetName val="SCIB_Data"/>
      <sheetName val="liste"/>
      <sheetName val="12 ข้อมูลงานไม้แบบ"/>
      <sheetName val="Ratio_Qty6"/>
      <sheetName val="Foundation_6"/>
      <sheetName val="Column_6"/>
      <sheetName val="Beam__6"/>
      <sheetName val="RC_Slab_6"/>
      <sheetName val="Lift_Core__6"/>
      <sheetName val="Post-Tens__Slab__6"/>
      <sheetName val="RC_Stair__6"/>
      <sheetName val="RC_wall_6"/>
      <sheetName val="Typ_F6"/>
      <sheetName val="Grand_sum6"/>
      <sheetName val="Sum_Floor6"/>
      <sheetName val="Sum_Fl_6"/>
      <sheetName val="Code_Footing6"/>
      <sheetName val="Code_Column6"/>
      <sheetName val="G_BEAM6"/>
      <sheetName val="Code_Beam6"/>
      <sheetName val="G_Slab6"/>
      <sheetName val="Code_Slab6"/>
      <sheetName val="Code_Post6"/>
      <sheetName val="Code_Stair6"/>
      <sheetName val="STEEL_Roof6"/>
      <sheetName val="_6"/>
      <sheetName val="DETAIL_6"/>
      <sheetName val="EST-FOOTING_(G)6"/>
      <sheetName val="ประมาณการประตูหน้าต่าง_6"/>
      <sheetName val="สรุปราคา_(L)5"/>
      <sheetName val="Total_BOQ5"/>
      <sheetName val="4G_SUM-SK_(Lift&amp;Interior)5"/>
      <sheetName val="S-Curve_(Lift&amp;Interior)5"/>
      <sheetName val="6L4_DETAIL_SK5"/>
      <sheetName val="S-Curve_(R2)5"/>
      <sheetName val="4-Local_transport5"/>
      <sheetName val="SAN_REDUCED_15"/>
      <sheetName val="Bill_No__2_-_Carpark5"/>
      <sheetName val="SUM_5"/>
      <sheetName val="(2)PMI_0125"/>
      <sheetName val="(3)PMI_0145"/>
      <sheetName val="(4)PMI_0155"/>
      <sheetName val="(5)PMI_0215"/>
      <sheetName val="(6)PMI_0225"/>
      <sheetName val="(7)PMI_0245"/>
      <sheetName val="(8)PMI_0285"/>
      <sheetName val="(9)PMI__5"/>
      <sheetName val="(10)PMI_5"/>
      <sheetName val="(_11)TV5"/>
      <sheetName val="BOX_Cryostat_Details5"/>
      <sheetName val="Driver_Linac_Layout5"/>
      <sheetName val="Magnet_Details5"/>
      <sheetName val="Main_Sum_(Hotel_&amp;_Residences)5"/>
      <sheetName val="อาคารหลัก_A5"/>
      <sheetName val="ELE_xls5"/>
      <sheetName val="Factor_F_Data5"/>
      <sheetName val="เงินกู้_MGC5"/>
      <sheetName val="Construction_cost_assumption5"/>
      <sheetName val="JLL_Assumption5"/>
      <sheetName val="Retail_Program&amp;Rev_Assumption5"/>
      <sheetName val="Unit_rate_Architecture5"/>
      <sheetName val="Cavity_Inputs5"/>
      <sheetName val="Sum(Civil_Work)5"/>
      <sheetName val="_HW_บานเลื่อน5"/>
      <sheetName val="Replacement_Cost_5"/>
      <sheetName val="S4_1_MEP_Guestroom4"/>
      <sheetName val="Cost_Data4"/>
      <sheetName val="AC_C4"/>
      <sheetName val="RC_footing2"/>
      <sheetName val="Sum_SN2"/>
      <sheetName val="Main_Riser2"/>
      <sheetName val="H1_02"/>
      <sheetName val="aman_seri2"/>
      <sheetName val="Summary_cal1"/>
      <sheetName val="QUANTITY_COMPARISON1"/>
      <sheetName val="Cash_Flow-11"/>
      <sheetName val="Syntec_Summary_B_C_F1"/>
      <sheetName val="Purchase_Order1"/>
      <sheetName val="Customize_Your_Purchase_Order1"/>
      <sheetName val="BK_Unit_Rate1"/>
      <sheetName val="SITE_OFFICE1"/>
      <sheetName val="Cost_Break1"/>
      <sheetName val="A_O_R_1"/>
      <sheetName val="งานสถาปัตยกรรม_A1"/>
      <sheetName val="_FS1"/>
      <sheetName val="Sch_2_SN1"/>
      <sheetName val="Sch_3_FP1"/>
      <sheetName val="Sch_4_AC1"/>
      <sheetName val="Sch_6_Prelim1"/>
      <sheetName val="แบบ_A1"/>
      <sheetName val="แบบ_B1"/>
      <sheetName val="แบบ_C1"/>
      <sheetName val="แบบ_D1"/>
      <sheetName val="แบบ_E1"/>
      <sheetName val="แบบ_G1"/>
      <sheetName val="แบบ_H1"/>
      <sheetName val="แบบ_L1"/>
      <sheetName val="แบบ_M1"/>
      <sheetName val="แบบ_N1"/>
      <sheetName val="แบบ_P1"/>
      <sheetName val="แบบ_S1"/>
      <sheetName val="แบบ_T1"/>
      <sheetName val="แบบ_TP1"/>
      <sheetName val="แบบ_V1"/>
      <sheetName val="แบบ_Y1"/>
      <sheetName val="C_rc_1"/>
      <sheetName val="R_rc__1"/>
      <sheetName val="C_post_1"/>
      <sheetName val="R_post_1"/>
      <sheetName val="C-beam(net)_1"/>
      <sheetName val="R_beam(net)__1"/>
      <sheetName val="S3_Architectural1"/>
      <sheetName val="ST-อาคาร_C1"/>
      <sheetName val="Vessel_Size1"/>
      <sheetName val="A1_21"/>
      <sheetName val="area_converter1"/>
      <sheetName val="1_Interior_L1_L31"/>
      <sheetName val="Unit_Price1"/>
      <sheetName val="schedule_1"/>
      <sheetName val="11_ข้อมูลงานCon1"/>
      <sheetName val="10_ข้อมูลวัสดุ-ค่าดำเนิน1"/>
      <sheetName val="ปร_4_งานผังบริเวณ1"/>
      <sheetName val="MEP_Works1"/>
      <sheetName val="11_ข้อมูลงานCo1"/>
      <sheetName val="10_ข้อมูลวัสดุ1"/>
      <sheetName val="EE_(3)1"/>
      <sheetName val="Proposal_Form1"/>
      <sheetName val="Balance_Sheet-Assets1"/>
      <sheetName val="Balance_Sheet-Liabs1"/>
      <sheetName val="Exchange_Rate1"/>
      <sheetName val="Trial_Balance1"/>
      <sheetName val="For_Bid_VS_For_Con1"/>
      <sheetName val="Status_Update1"/>
      <sheetName val="Status_VO_update1"/>
      <sheetName val="Sum_S&amp;A,_M&amp;E1"/>
      <sheetName val="Compa_Budget1"/>
      <sheetName val="sumnary_กองทุน1"/>
      <sheetName val="StatusUpdate_1"/>
      <sheetName val="StatusUpdate_เก่า1"/>
      <sheetName val="New_requirement1"/>
      <sheetName val="Budget_FEC1"/>
      <sheetName val="01-CHM(Site_CLR)1"/>
      <sheetName val="02-TPC(Pile_CPN)M1"/>
      <sheetName val="03-TPC(Pile_CPN)L1"/>
      <sheetName val="04-SK(Pile_CPN)M1"/>
      <sheetName val="05-SK(Pile_CPN)L1"/>
      <sheetName val="06-TNA(Pile_CPN)M1"/>
      <sheetName val="07-TNA(Pile_CPN)L1"/>
      <sheetName val="51-TPC(Pile_CDS)M1"/>
      <sheetName val="52-TPC(Pile_CDS)L1"/>
      <sheetName val="Status_VO1"/>
      <sheetName val="Main_Assumption1"/>
      <sheetName val="Exec_Summary1"/>
      <sheetName val="Signage_ABF_L1-L71"/>
      <sheetName val="Signage_C,D,E_1"/>
      <sheetName val="Status_(เดิม)1"/>
      <sheetName val="For_Bid_VS_For_Con_(2)1"/>
      <sheetName val="Summary_SN_FP1"/>
      <sheetName val="Ratio_Qty7"/>
      <sheetName val="Foundation_7"/>
      <sheetName val="Column_7"/>
      <sheetName val="Beam__7"/>
      <sheetName val="RC_Slab_7"/>
      <sheetName val="Lift_Core__7"/>
      <sheetName val="Post-Tens__Slab__7"/>
      <sheetName val="RC_Stair__7"/>
      <sheetName val="RC_wall_7"/>
      <sheetName val="Typ_F7"/>
      <sheetName val="Grand_sum7"/>
      <sheetName val="Sum_Floor7"/>
      <sheetName val="Sum_Fl_7"/>
      <sheetName val="Code_Footing7"/>
      <sheetName val="Code_Column7"/>
      <sheetName val="G_BEAM7"/>
      <sheetName val="Code_Beam7"/>
      <sheetName val="G_Slab7"/>
      <sheetName val="Code_Slab7"/>
      <sheetName val="Code_Post7"/>
      <sheetName val="Code_Stair7"/>
      <sheetName val="STEEL_Roof7"/>
      <sheetName val="_7"/>
      <sheetName val="DETAIL_7"/>
      <sheetName val="EST-FOOTING_(G)7"/>
      <sheetName val="ประมาณการประตูหน้าต่าง_7"/>
      <sheetName val="สรุปราคา_(L)6"/>
      <sheetName val="Total_BOQ6"/>
      <sheetName val="4G_SUM-SK_(Lift&amp;Interior)6"/>
      <sheetName val="S-Curve_(Lift&amp;Interior)6"/>
      <sheetName val="6L4_DETAIL_SK6"/>
      <sheetName val="S-Curve_(R2)6"/>
      <sheetName val="4-Local_transport6"/>
      <sheetName val="SAN_REDUCED_16"/>
      <sheetName val="Bill_No__2_-_Carpark6"/>
      <sheetName val="SUM_6"/>
      <sheetName val="(2)PMI_0126"/>
      <sheetName val="(3)PMI_0146"/>
      <sheetName val="(4)PMI_0156"/>
      <sheetName val="(5)PMI_0216"/>
      <sheetName val="(6)PMI_0226"/>
      <sheetName val="(7)PMI_0246"/>
      <sheetName val="(8)PMI_0286"/>
      <sheetName val="(9)PMI__6"/>
      <sheetName val="(10)PMI_6"/>
      <sheetName val="(_11)TV6"/>
      <sheetName val="BOX_Cryostat_Details6"/>
      <sheetName val="Driver_Linac_Layout6"/>
      <sheetName val="Magnet_Details6"/>
      <sheetName val="Main_Sum_(Hotel_&amp;_Residences)6"/>
      <sheetName val="อาคารหลัก_A6"/>
      <sheetName val="ELE_xls6"/>
      <sheetName val="Factor_F_Data6"/>
      <sheetName val="เงินกู้_MGC6"/>
      <sheetName val="Construction_cost_assumption6"/>
      <sheetName val="JLL_Assumption6"/>
      <sheetName val="Retail_Program&amp;Rev_Assumption6"/>
      <sheetName val="Unit_rate_Architecture6"/>
      <sheetName val="Cavity_Inputs6"/>
      <sheetName val="Sum(Civil_Work)6"/>
      <sheetName val="_HW_บานเลื่อน6"/>
      <sheetName val="Replacement_Cost_6"/>
      <sheetName val="S4_1_MEP_Guestroom5"/>
      <sheetName val="Cost_Data5"/>
      <sheetName val="AC_C5"/>
      <sheetName val="RC_footing3"/>
      <sheetName val="Sum_SN3"/>
      <sheetName val="Main_Riser3"/>
      <sheetName val="H1_03"/>
      <sheetName val="aman_seri3"/>
      <sheetName val="Summary_cal2"/>
      <sheetName val="QUANTITY_COMPARISON2"/>
      <sheetName val="Cash_Flow-12"/>
      <sheetName val="Syntec_Summary_B_C_F2"/>
      <sheetName val="Purchase_Order2"/>
      <sheetName val="Customize_Your_Purchase_Order2"/>
      <sheetName val="BK_Unit_Rate2"/>
      <sheetName val="SITE_OFFICE2"/>
      <sheetName val="Cost_Break2"/>
      <sheetName val="A_O_R_2"/>
      <sheetName val="งานสถาปัตยกรรม_A2"/>
      <sheetName val="_FS2"/>
      <sheetName val="Sch_2_SN2"/>
      <sheetName val="Sch_3_FP2"/>
      <sheetName val="Sch_4_AC2"/>
      <sheetName val="Sch_6_Prelim2"/>
      <sheetName val="แบบ_A2"/>
      <sheetName val="แบบ_B2"/>
      <sheetName val="แบบ_C2"/>
      <sheetName val="แบบ_D2"/>
      <sheetName val="แบบ_E2"/>
      <sheetName val="แบบ_G2"/>
      <sheetName val="แบบ_H2"/>
      <sheetName val="แบบ_L2"/>
      <sheetName val="แบบ_M2"/>
      <sheetName val="แบบ_N2"/>
      <sheetName val="แบบ_P2"/>
      <sheetName val="แบบ_S2"/>
      <sheetName val="แบบ_T2"/>
      <sheetName val="แบบ_TP2"/>
      <sheetName val="แบบ_V2"/>
      <sheetName val="แบบ_Y2"/>
      <sheetName val="C_rc_2"/>
      <sheetName val="R_rc__2"/>
      <sheetName val="C_post_2"/>
      <sheetName val="R_post_2"/>
      <sheetName val="C-beam(net)_2"/>
      <sheetName val="R_beam(net)__2"/>
      <sheetName val="S3_Architectural2"/>
      <sheetName val="ST-อาคาร_C2"/>
      <sheetName val="Vessel_Size2"/>
      <sheetName val="A1_22"/>
      <sheetName val="area_converter2"/>
      <sheetName val="1_Interior_L1_L32"/>
      <sheetName val="Unit_Price2"/>
      <sheetName val="11_ข้อมูลงานCon2"/>
      <sheetName val="10_ข้อมูลวัสดุ-ค่าดำเนิน2"/>
      <sheetName val="ปร_4_งานผังบริเวณ2"/>
      <sheetName val="MEP_Works2"/>
      <sheetName val="11_ข้อมูลงานCo2"/>
      <sheetName val="10_ข้อมูลวัสดุ2"/>
      <sheetName val="EE_(3)2"/>
      <sheetName val="Proposal_Form2"/>
      <sheetName val="Balance_Sheet-Assets2"/>
      <sheetName val="Balance_Sheet-Liabs2"/>
      <sheetName val="Exchange_Rate2"/>
      <sheetName val="Trial_Balance2"/>
      <sheetName val="For_Bid_VS_For_Con2"/>
      <sheetName val="Status_Update2"/>
      <sheetName val="Status_VO_update2"/>
      <sheetName val="Sum_S&amp;A,_M&amp;E2"/>
      <sheetName val="Compa_Budget2"/>
      <sheetName val="sumnary_กองทุน2"/>
      <sheetName val="StatusUpdate_2"/>
      <sheetName val="StatusUpdate_เก่า2"/>
      <sheetName val="New_requirement2"/>
      <sheetName val="Budget_FEC2"/>
      <sheetName val="01-CHM(Site_CLR)2"/>
      <sheetName val="02-TPC(Pile_CPN)M2"/>
      <sheetName val="03-TPC(Pile_CPN)L2"/>
      <sheetName val="04-SK(Pile_CPN)M2"/>
      <sheetName val="05-SK(Pile_CPN)L2"/>
      <sheetName val="06-TNA(Pile_CPN)M2"/>
      <sheetName val="07-TNA(Pile_CPN)L2"/>
      <sheetName val="51-TPC(Pile_CDS)M2"/>
      <sheetName val="52-TPC(Pile_CDS)L2"/>
      <sheetName val="Status_VO2"/>
      <sheetName val="Main_Assumption2"/>
      <sheetName val="Exec_Summary2"/>
      <sheetName val="Signage_ABF_L1-L72"/>
      <sheetName val="Signage_C,D,E_2"/>
      <sheetName val="Status_(เดิม)2"/>
      <sheetName val="For_Bid_VS_For_Con_(2)2"/>
      <sheetName val="Summary_SN_FP2"/>
      <sheetName val="head"/>
      <sheetName val="BOQ E "/>
      <sheetName val="BOQ NET E"/>
      <sheetName val="BOQ M"/>
      <sheetName val="BOQ NET M"/>
      <sheetName val="Net Cost Sum  Rev 1.1"/>
      <sheetName val="INDIRECT"/>
      <sheetName val="Client list"/>
      <sheetName val="Tender Net"/>
      <sheetName val="STMspry"/>
      <sheetName val="PsychroData"/>
      <sheetName val="ADM_A"/>
      <sheetName val="Admin"/>
      <sheetName val="CDC"/>
      <sheetName val="Estate"/>
      <sheetName val="Fire"/>
      <sheetName val="Guest"/>
      <sheetName val="Medical"/>
      <sheetName val="PRE"/>
      <sheetName val="Secutiry"/>
      <sheetName val="Waste"/>
      <sheetName val="summary1-2"/>
      <sheetName val="BQ1-Type A"/>
      <sheetName val="S2"/>
      <sheetName val="S34"/>
      <sheetName val="S3"/>
      <sheetName val="CHE_A"/>
      <sheetName val="DESP_A"/>
      <sheetName val="ISO_A"/>
      <sheetName val="PC_A"/>
      <sheetName val="PM_A"/>
      <sheetName val="SHEET_A"/>
      <sheetName val="RECO_A"/>
      <sheetName val="YARD_A"/>
      <sheetName val="CHEMICAL"/>
      <sheetName val="DESPATCH"/>
      <sheetName val="ISO"/>
      <sheetName val="PRODUCT"/>
      <sheetName val="PULP MILL"/>
      <sheetName val="SHEETING"/>
      <sheetName val="SODA"/>
      <sheetName val="YARD"/>
      <sheetName val="1 Labour"/>
      <sheetName val="3 - Material"/>
      <sheetName val="LEGEND"/>
      <sheetName val="Manual"/>
      <sheetName val="LC-KBANK"/>
      <sheetName val="Aging"/>
      <sheetName val="Waterg"/>
      <sheetName val="คชจ.ดำเนินงาน6-43"/>
      <sheetName val="TrialBalance Q3-2002"/>
      <sheetName val="1-2555"/>
      <sheetName val="price per model"/>
      <sheetName val="สรุปรวม"/>
      <sheetName val="option1"/>
      <sheetName val="DEP12"/>
      <sheetName val="AIR"/>
      <sheetName val="SANITARY"/>
      <sheetName val="C001-Lead"/>
      <sheetName val="Ratios"/>
      <sheetName val="Sheet3"/>
      <sheetName val="QAQC"/>
      <sheetName val="FitOutConfCentre"/>
      <sheetName val="CERTIFICATE"/>
      <sheetName val="งานบริหารโครงการ"/>
      <sheetName val="M_work"/>
      <sheetName val="WORK"/>
      <sheetName val="S0"/>
      <sheetName val="ดัชนีราคา"/>
      <sheetName val="13.Tax Calculation"/>
      <sheetName val="LpC"/>
      <sheetName val="G"/>
      <sheetName val="1.R18 BF"/>
      <sheetName val="F-B"/>
      <sheetName val="Profit_Budget"/>
      <sheetName val="Cert"/>
      <sheetName val="Staff Sch"/>
      <sheetName val="XLR_NoRangeSheet"/>
    </sheetNames>
    <sheetDataSet>
      <sheetData sheetId="0" refreshError="1"/>
      <sheetData sheetId="1" refreshError="1">
        <row r="3">
          <cell r="C3" t="str">
            <v>N0.</v>
          </cell>
          <cell r="D3" t="str">
            <v>DESCRIPTION</v>
          </cell>
          <cell r="E3" t="str">
            <v xml:space="preserve">UNIT  </v>
          </cell>
          <cell r="F3" t="str">
            <v xml:space="preserve">LABOUR </v>
          </cell>
          <cell r="G3" t="str">
            <v>UNIT</v>
          </cell>
        </row>
        <row r="4">
          <cell r="E4" t="str">
            <v>COST</v>
          </cell>
          <cell r="F4" t="str">
            <v>COST</v>
          </cell>
        </row>
        <row r="5">
          <cell r="C5" t="str">
            <v xml:space="preserve"> </v>
          </cell>
          <cell r="D5" t="str">
            <v>ACCESSORIES FOR DISTRIBUTION BOARD</v>
          </cell>
        </row>
        <row r="6">
          <cell r="C6">
            <v>1</v>
          </cell>
          <cell r="D6" t="str">
            <v>,LIGHTNING PROTECTION AND GROUNDING</v>
          </cell>
        </row>
        <row r="7">
          <cell r="C7">
            <v>1</v>
          </cell>
          <cell r="D7" t="str">
            <v>DISTRIBUTION BOARD</v>
          </cell>
          <cell r="E7">
            <v>1200</v>
          </cell>
          <cell r="F7">
            <v>0</v>
          </cell>
          <cell r="G7" t="str">
            <v>EA.</v>
          </cell>
        </row>
        <row r="8">
          <cell r="C8">
            <v>101</v>
          </cell>
          <cell r="D8" t="str">
            <v>-  CUBICLE &amp; BUSBAR</v>
          </cell>
          <cell r="E8">
            <v>1000</v>
          </cell>
          <cell r="F8">
            <v>0</v>
          </cell>
          <cell r="G8" t="str">
            <v>LOT</v>
          </cell>
        </row>
        <row r="9">
          <cell r="C9">
            <v>102</v>
          </cell>
          <cell r="D9" t="str">
            <v>-  CUBICLE &amp; BUSBAR</v>
          </cell>
          <cell r="E9">
            <v>1500</v>
          </cell>
          <cell r="F9">
            <v>0</v>
          </cell>
          <cell r="G9" t="str">
            <v>LOT</v>
          </cell>
        </row>
        <row r="10">
          <cell r="C10">
            <v>103</v>
          </cell>
          <cell r="D10" t="str">
            <v>-  CUBICLE &amp; BUSBAR</v>
          </cell>
          <cell r="E10">
            <v>1900</v>
          </cell>
          <cell r="F10">
            <v>0</v>
          </cell>
          <cell r="G10" t="str">
            <v>LOT</v>
          </cell>
        </row>
        <row r="11">
          <cell r="C11">
            <v>104</v>
          </cell>
          <cell r="D11" t="str">
            <v>-  CUBICLE &amp; BUSBAR</v>
          </cell>
          <cell r="E11">
            <v>2500</v>
          </cell>
          <cell r="F11">
            <v>0</v>
          </cell>
          <cell r="G11" t="str">
            <v>LOT</v>
          </cell>
        </row>
        <row r="12">
          <cell r="C12">
            <v>105</v>
          </cell>
          <cell r="D12" t="str">
            <v>-  CUBICLE &amp; BUSBAR</v>
          </cell>
          <cell r="E12">
            <v>3000</v>
          </cell>
          <cell r="F12">
            <v>0</v>
          </cell>
          <cell r="G12" t="str">
            <v>LOT</v>
          </cell>
        </row>
        <row r="13">
          <cell r="C13">
            <v>106</v>
          </cell>
          <cell r="D13" t="str">
            <v>-  CUBICLE &amp; BUSBAR</v>
          </cell>
          <cell r="E13">
            <v>3500</v>
          </cell>
          <cell r="F13">
            <v>0</v>
          </cell>
          <cell r="G13" t="str">
            <v>LOT</v>
          </cell>
        </row>
        <row r="14">
          <cell r="C14">
            <v>106</v>
          </cell>
          <cell r="D14" t="str">
            <v>SPACE</v>
          </cell>
          <cell r="E14">
            <v>6.15</v>
          </cell>
          <cell r="F14">
            <v>1</v>
          </cell>
          <cell r="G14" t="str">
            <v>M.</v>
          </cell>
        </row>
        <row r="15">
          <cell r="C15">
            <v>111</v>
          </cell>
          <cell r="D15" t="str">
            <v>-  CT 100/5 A</v>
          </cell>
          <cell r="E15">
            <v>1300</v>
          </cell>
          <cell r="F15">
            <v>0</v>
          </cell>
          <cell r="G15" t="str">
            <v>EA.</v>
          </cell>
        </row>
        <row r="16">
          <cell r="C16">
            <v>112</v>
          </cell>
          <cell r="D16" t="str">
            <v>-  CT 125/5 A</v>
          </cell>
          <cell r="E16">
            <v>1300</v>
          </cell>
          <cell r="F16">
            <v>0</v>
          </cell>
          <cell r="G16" t="str">
            <v>EA.</v>
          </cell>
        </row>
        <row r="17">
          <cell r="C17">
            <v>113</v>
          </cell>
          <cell r="D17" t="str">
            <v>-  CT 150/5 A</v>
          </cell>
          <cell r="E17">
            <v>1300</v>
          </cell>
          <cell r="F17">
            <v>0</v>
          </cell>
          <cell r="G17" t="str">
            <v>EA.</v>
          </cell>
        </row>
        <row r="18">
          <cell r="C18">
            <v>114</v>
          </cell>
          <cell r="D18" t="str">
            <v>-  CT 200/5 A</v>
          </cell>
          <cell r="E18">
            <v>1300</v>
          </cell>
          <cell r="F18">
            <v>0</v>
          </cell>
          <cell r="G18" t="str">
            <v>EA.</v>
          </cell>
        </row>
        <row r="19">
          <cell r="C19">
            <v>115</v>
          </cell>
          <cell r="D19" t="str">
            <v>-  CT 250/5 A</v>
          </cell>
          <cell r="E19">
            <v>1300</v>
          </cell>
          <cell r="F19">
            <v>0</v>
          </cell>
          <cell r="G19" t="str">
            <v>EA.</v>
          </cell>
        </row>
        <row r="20">
          <cell r="C20">
            <v>116</v>
          </cell>
          <cell r="D20" t="str">
            <v>-  CT 300/5 A</v>
          </cell>
          <cell r="E20">
            <v>1300</v>
          </cell>
          <cell r="F20">
            <v>0</v>
          </cell>
          <cell r="G20" t="str">
            <v>EA.</v>
          </cell>
        </row>
        <row r="21">
          <cell r="C21">
            <v>117</v>
          </cell>
          <cell r="D21" t="str">
            <v>-  CT 400/5 A</v>
          </cell>
          <cell r="E21">
            <v>1300</v>
          </cell>
          <cell r="F21">
            <v>0</v>
          </cell>
          <cell r="G21" t="str">
            <v>EA.</v>
          </cell>
        </row>
        <row r="22">
          <cell r="C22">
            <v>118</v>
          </cell>
          <cell r="D22" t="str">
            <v>-  CT 500/5 A</v>
          </cell>
          <cell r="E22">
            <v>1500</v>
          </cell>
          <cell r="F22">
            <v>0</v>
          </cell>
          <cell r="G22" t="str">
            <v>EA.</v>
          </cell>
        </row>
        <row r="23">
          <cell r="C23">
            <v>119</v>
          </cell>
          <cell r="D23" t="str">
            <v>-  CT 600/5 A</v>
          </cell>
          <cell r="E23">
            <v>1500</v>
          </cell>
          <cell r="F23">
            <v>0</v>
          </cell>
          <cell r="G23" t="str">
            <v>EA.</v>
          </cell>
        </row>
        <row r="24">
          <cell r="C24">
            <v>120</v>
          </cell>
          <cell r="D24" t="str">
            <v>-  CT 750/5 A</v>
          </cell>
          <cell r="E24">
            <v>1500</v>
          </cell>
          <cell r="F24">
            <v>0</v>
          </cell>
          <cell r="G24" t="str">
            <v>EA.</v>
          </cell>
        </row>
        <row r="25">
          <cell r="C25">
            <v>121</v>
          </cell>
          <cell r="D25" t="str">
            <v>-  CT 800/5 A</v>
          </cell>
          <cell r="E25">
            <v>1500</v>
          </cell>
          <cell r="F25">
            <v>0</v>
          </cell>
          <cell r="G25" t="str">
            <v>EA.</v>
          </cell>
        </row>
        <row r="26">
          <cell r="C26">
            <v>122</v>
          </cell>
          <cell r="D26" t="str">
            <v>-  CT 1,000/5 A</v>
          </cell>
          <cell r="E26">
            <v>1500</v>
          </cell>
          <cell r="F26">
            <v>0</v>
          </cell>
          <cell r="G26" t="str">
            <v>EA.</v>
          </cell>
        </row>
        <row r="27">
          <cell r="C27">
            <v>123</v>
          </cell>
          <cell r="D27" t="str">
            <v>-  CT 1,200/5 A</v>
          </cell>
          <cell r="E27">
            <v>1800</v>
          </cell>
          <cell r="F27">
            <v>0</v>
          </cell>
          <cell r="G27" t="str">
            <v>EA.</v>
          </cell>
        </row>
        <row r="28">
          <cell r="C28">
            <v>124</v>
          </cell>
          <cell r="D28" t="str">
            <v>-  CT 1,500/5 A</v>
          </cell>
          <cell r="E28">
            <v>1800</v>
          </cell>
          <cell r="F28">
            <v>0</v>
          </cell>
          <cell r="G28" t="str">
            <v>EA.</v>
          </cell>
        </row>
        <row r="29">
          <cell r="C29">
            <v>125</v>
          </cell>
          <cell r="D29" t="str">
            <v>-  CT 1,600/5 A</v>
          </cell>
          <cell r="E29">
            <v>1800</v>
          </cell>
          <cell r="F29">
            <v>0</v>
          </cell>
          <cell r="G29" t="str">
            <v>EA.</v>
          </cell>
        </row>
        <row r="30">
          <cell r="C30">
            <v>126</v>
          </cell>
          <cell r="D30" t="str">
            <v>-  CT 2,000/5 A</v>
          </cell>
          <cell r="E30">
            <v>1800</v>
          </cell>
          <cell r="F30">
            <v>0</v>
          </cell>
          <cell r="G30" t="str">
            <v>EA.</v>
          </cell>
        </row>
        <row r="31">
          <cell r="C31">
            <v>127</v>
          </cell>
          <cell r="D31" t="str">
            <v>-  CT 2,500/5 A</v>
          </cell>
          <cell r="E31">
            <v>1800</v>
          </cell>
          <cell r="F31">
            <v>0</v>
          </cell>
          <cell r="G31" t="str">
            <v>EA.</v>
          </cell>
        </row>
        <row r="32">
          <cell r="C32">
            <v>128</v>
          </cell>
          <cell r="D32" t="str">
            <v>-  CT 3,000/5 A</v>
          </cell>
          <cell r="E32">
            <v>2400</v>
          </cell>
          <cell r="F32">
            <v>0</v>
          </cell>
          <cell r="G32" t="str">
            <v>EA.</v>
          </cell>
        </row>
        <row r="33">
          <cell r="C33">
            <v>129</v>
          </cell>
          <cell r="D33" t="str">
            <v>-  CT 4,000/5 A</v>
          </cell>
          <cell r="E33">
            <v>2400</v>
          </cell>
          <cell r="F33">
            <v>0</v>
          </cell>
          <cell r="G33" t="str">
            <v>EA.</v>
          </cell>
        </row>
        <row r="34">
          <cell r="C34">
            <v>129</v>
          </cell>
          <cell r="D34" t="str">
            <v>SPACE</v>
          </cell>
          <cell r="E34">
            <v>41</v>
          </cell>
          <cell r="F34">
            <v>2</v>
          </cell>
          <cell r="G34" t="str">
            <v>M.</v>
          </cell>
        </row>
        <row r="35">
          <cell r="C35">
            <v>131</v>
          </cell>
          <cell r="D35" t="str">
            <v>-  VOLT &amp; VOLTAGE SELECTOR</v>
          </cell>
          <cell r="E35">
            <v>1000</v>
          </cell>
          <cell r="F35">
            <v>0</v>
          </cell>
          <cell r="G35" t="str">
            <v>EA.</v>
          </cell>
        </row>
        <row r="36">
          <cell r="C36">
            <v>132</v>
          </cell>
          <cell r="D36" t="str">
            <v>-  AMP &amp; AMP SELECTOR</v>
          </cell>
          <cell r="E36">
            <v>1000</v>
          </cell>
          <cell r="F36">
            <v>0</v>
          </cell>
          <cell r="G36" t="str">
            <v>EA.</v>
          </cell>
        </row>
        <row r="37">
          <cell r="C37">
            <v>133</v>
          </cell>
          <cell r="D37" t="str">
            <v>-  FREQUENCY METER</v>
          </cell>
          <cell r="E37">
            <v>1500</v>
          </cell>
          <cell r="F37">
            <v>0</v>
          </cell>
          <cell r="G37" t="str">
            <v>EA.</v>
          </cell>
        </row>
        <row r="38">
          <cell r="C38">
            <v>134</v>
          </cell>
          <cell r="D38" t="str">
            <v>-  1 PHASE WATT-HOUR METER</v>
          </cell>
          <cell r="E38">
            <v>1500</v>
          </cell>
          <cell r="F38">
            <v>0</v>
          </cell>
          <cell r="G38" t="str">
            <v>EA.</v>
          </cell>
        </row>
        <row r="39">
          <cell r="C39">
            <v>135</v>
          </cell>
          <cell r="D39" t="str">
            <v>-  3 PHASE WATT-HOUR METER</v>
          </cell>
          <cell r="E39">
            <v>4000</v>
          </cell>
          <cell r="F39">
            <v>0</v>
          </cell>
          <cell r="G39" t="str">
            <v>EA.</v>
          </cell>
        </row>
        <row r="40">
          <cell r="C40">
            <v>136</v>
          </cell>
          <cell r="D40" t="str">
            <v>-  KILOW-WATT METER</v>
          </cell>
          <cell r="E40">
            <v>5000</v>
          </cell>
          <cell r="F40">
            <v>0</v>
          </cell>
          <cell r="G40" t="str">
            <v>EA.</v>
          </cell>
        </row>
        <row r="41">
          <cell r="C41">
            <v>137</v>
          </cell>
          <cell r="D41" t="str">
            <v>-  POWER FACTOR METER</v>
          </cell>
          <cell r="E41">
            <v>35000</v>
          </cell>
          <cell r="F41">
            <v>0</v>
          </cell>
          <cell r="G41" t="str">
            <v>EA.</v>
          </cell>
        </row>
        <row r="42">
          <cell r="C42">
            <v>138</v>
          </cell>
          <cell r="D42" t="str">
            <v>-  DEMAND METER</v>
          </cell>
          <cell r="E42">
            <v>12000</v>
          </cell>
          <cell r="F42">
            <v>0</v>
          </cell>
          <cell r="G42" t="str">
            <v>EA.</v>
          </cell>
        </row>
        <row r="43">
          <cell r="C43">
            <v>139</v>
          </cell>
          <cell r="D43" t="str">
            <v>-  CONTROL FUSE AND PILOT LAMP</v>
          </cell>
          <cell r="E43">
            <v>300</v>
          </cell>
          <cell r="F43">
            <v>0</v>
          </cell>
          <cell r="G43" t="str">
            <v>LOT</v>
          </cell>
        </row>
        <row r="44">
          <cell r="C44">
            <v>139</v>
          </cell>
          <cell r="D44" t="str">
            <v>SPACE</v>
          </cell>
          <cell r="E44">
            <v>82</v>
          </cell>
          <cell r="F44">
            <v>6</v>
          </cell>
          <cell r="G44" t="str">
            <v>M.</v>
          </cell>
        </row>
        <row r="45">
          <cell r="C45">
            <v>2</v>
          </cell>
          <cell r="D45" t="str">
            <v>CAPACITOR ACCESSORIES</v>
          </cell>
          <cell r="E45">
            <v>84</v>
          </cell>
          <cell r="F45">
            <v>7</v>
          </cell>
          <cell r="G45" t="str">
            <v>M.</v>
          </cell>
        </row>
        <row r="46">
          <cell r="C46">
            <v>201</v>
          </cell>
          <cell r="D46" t="str">
            <v>-  3P AC3 MAGNETIC CONTACTOR</v>
          </cell>
          <cell r="E46">
            <v>2000</v>
          </cell>
          <cell r="F46">
            <v>0</v>
          </cell>
          <cell r="G46" t="str">
            <v>EA.</v>
          </cell>
        </row>
        <row r="47">
          <cell r="C47">
            <v>202</v>
          </cell>
          <cell r="D47" t="str">
            <v>-  HRC FUSE W./AUX. CONTACT</v>
          </cell>
          <cell r="E47">
            <v>1500</v>
          </cell>
          <cell r="F47">
            <v>0</v>
          </cell>
          <cell r="G47" t="str">
            <v>EA.</v>
          </cell>
        </row>
        <row r="48">
          <cell r="C48">
            <v>203</v>
          </cell>
          <cell r="D48" t="str">
            <v>-  KVAR CONTROLLER 6 STEP</v>
          </cell>
          <cell r="E48">
            <v>12000</v>
          </cell>
          <cell r="F48">
            <v>0</v>
          </cell>
          <cell r="G48" t="str">
            <v>EA.</v>
          </cell>
        </row>
        <row r="49">
          <cell r="C49">
            <v>204</v>
          </cell>
          <cell r="D49" t="str">
            <v>-  KVAR CONTROLLER 12 STEP</v>
          </cell>
          <cell r="E49">
            <v>13500</v>
          </cell>
          <cell r="F49">
            <v>0</v>
          </cell>
          <cell r="G49" t="str">
            <v>EA.</v>
          </cell>
        </row>
        <row r="50">
          <cell r="C50">
            <v>145</v>
          </cell>
          <cell r="D50" t="str">
            <v>DRY TYPE CAPACITOR</v>
          </cell>
          <cell r="E50">
            <v>107</v>
          </cell>
          <cell r="F50">
            <v>11</v>
          </cell>
          <cell r="G50" t="str">
            <v>M.</v>
          </cell>
        </row>
        <row r="51">
          <cell r="C51">
            <v>211</v>
          </cell>
          <cell r="D51" t="str">
            <v>-  10  KVAR DRY TYPE CAPACITOR</v>
          </cell>
          <cell r="E51">
            <v>2500</v>
          </cell>
          <cell r="F51">
            <v>0</v>
          </cell>
          <cell r="G51" t="str">
            <v>SET</v>
          </cell>
        </row>
        <row r="52">
          <cell r="C52">
            <v>212</v>
          </cell>
          <cell r="D52" t="str">
            <v>-  15  KVAR DRY TYPE CAPACITOR</v>
          </cell>
          <cell r="E52">
            <v>3500</v>
          </cell>
          <cell r="F52">
            <v>0</v>
          </cell>
          <cell r="G52" t="str">
            <v>SET</v>
          </cell>
        </row>
        <row r="53">
          <cell r="C53">
            <v>213</v>
          </cell>
          <cell r="D53" t="str">
            <v>-  20  KVAR DRY TYPE CAPACITOR</v>
          </cell>
          <cell r="E53">
            <v>4200</v>
          </cell>
          <cell r="F53">
            <v>0</v>
          </cell>
          <cell r="G53" t="str">
            <v>SET</v>
          </cell>
        </row>
        <row r="54">
          <cell r="C54">
            <v>214</v>
          </cell>
          <cell r="D54" t="str">
            <v>-  25  KVAR DRY TYPE CAPACITOR</v>
          </cell>
          <cell r="E54">
            <v>4750</v>
          </cell>
          <cell r="F54">
            <v>0</v>
          </cell>
          <cell r="G54" t="str">
            <v>SET</v>
          </cell>
        </row>
        <row r="55">
          <cell r="C55">
            <v>215</v>
          </cell>
          <cell r="D55" t="str">
            <v>-  30  KVAR DRY TYPE CAPACITOR</v>
          </cell>
          <cell r="E55">
            <v>5400</v>
          </cell>
          <cell r="F55">
            <v>0</v>
          </cell>
          <cell r="G55" t="str">
            <v>SET</v>
          </cell>
        </row>
        <row r="56">
          <cell r="C56">
            <v>216</v>
          </cell>
          <cell r="D56" t="str">
            <v>-  40  KVAR DRY TYPE CAPACITOR</v>
          </cell>
          <cell r="E56">
            <v>6900</v>
          </cell>
          <cell r="F56">
            <v>0</v>
          </cell>
          <cell r="G56" t="str">
            <v>SET</v>
          </cell>
        </row>
        <row r="57">
          <cell r="C57">
            <v>217</v>
          </cell>
          <cell r="D57" t="str">
            <v>-  50  KVAR DRY TYPE CAPACITOR</v>
          </cell>
          <cell r="E57">
            <v>7700</v>
          </cell>
          <cell r="F57">
            <v>0</v>
          </cell>
          <cell r="G57" t="str">
            <v>SET</v>
          </cell>
        </row>
        <row r="58">
          <cell r="C58">
            <v>218</v>
          </cell>
          <cell r="D58" t="str">
            <v>-  60  KVAR DRY TYPE CAPACITOR</v>
          </cell>
          <cell r="E58">
            <v>10200</v>
          </cell>
          <cell r="F58">
            <v>0</v>
          </cell>
          <cell r="G58" t="str">
            <v>SET</v>
          </cell>
        </row>
        <row r="59">
          <cell r="C59">
            <v>219</v>
          </cell>
          <cell r="D59" t="str">
            <v>-  75  KVAR DRY TYPE CAPACITOR</v>
          </cell>
          <cell r="E59">
            <v>13100</v>
          </cell>
          <cell r="F59">
            <v>0</v>
          </cell>
          <cell r="G59" t="str">
            <v>SET</v>
          </cell>
        </row>
        <row r="60">
          <cell r="C60">
            <v>220</v>
          </cell>
          <cell r="D60" t="str">
            <v>-  80  KVAR DRY TYPE CAPACITOR</v>
          </cell>
          <cell r="E60">
            <v>13300</v>
          </cell>
          <cell r="F60">
            <v>0</v>
          </cell>
          <cell r="G60" t="str">
            <v>SET</v>
          </cell>
        </row>
        <row r="61">
          <cell r="C61">
            <v>221</v>
          </cell>
          <cell r="D61" t="str">
            <v>-  100  KVAR DRY TYPE CAPACITOR</v>
          </cell>
          <cell r="E61">
            <v>16450</v>
          </cell>
          <cell r="F61">
            <v>0</v>
          </cell>
          <cell r="G61" t="str">
            <v>SET</v>
          </cell>
        </row>
        <row r="62">
          <cell r="C62">
            <v>157</v>
          </cell>
          <cell r="D62" t="str">
            <v>CAPACITOR  (HARMONIC PROTECTOR)</v>
          </cell>
          <cell r="E62">
            <v>95</v>
          </cell>
          <cell r="F62">
            <v>8</v>
          </cell>
          <cell r="G62" t="str">
            <v>M.</v>
          </cell>
        </row>
        <row r="63">
          <cell r="C63">
            <v>222</v>
          </cell>
          <cell r="D63" t="str">
            <v>-  10  KVAR DRY TYPE CAPACITOR</v>
          </cell>
          <cell r="E63">
            <v>3250</v>
          </cell>
          <cell r="F63">
            <v>0</v>
          </cell>
          <cell r="G63" t="str">
            <v>SET</v>
          </cell>
        </row>
        <row r="64">
          <cell r="C64">
            <v>223</v>
          </cell>
          <cell r="D64" t="str">
            <v>-  15  KVAR DRY TYPE CAPACITOR</v>
          </cell>
          <cell r="E64">
            <v>4550</v>
          </cell>
          <cell r="F64">
            <v>0</v>
          </cell>
          <cell r="G64" t="str">
            <v>SET</v>
          </cell>
        </row>
        <row r="65">
          <cell r="C65">
            <v>224</v>
          </cell>
          <cell r="D65" t="str">
            <v>-  20  KVAR DRY TYPE CAPACITOR</v>
          </cell>
          <cell r="E65">
            <v>5500</v>
          </cell>
          <cell r="F65">
            <v>0</v>
          </cell>
          <cell r="G65" t="str">
            <v>SET</v>
          </cell>
        </row>
        <row r="66">
          <cell r="C66">
            <v>225</v>
          </cell>
          <cell r="D66" t="str">
            <v>-  25  KVAR DRY TYPE CAPACITOR</v>
          </cell>
          <cell r="E66">
            <v>6175</v>
          </cell>
          <cell r="F66">
            <v>0</v>
          </cell>
          <cell r="G66" t="str">
            <v>SET</v>
          </cell>
        </row>
        <row r="67">
          <cell r="C67">
            <v>226</v>
          </cell>
          <cell r="D67" t="str">
            <v>-  30  KVAR DRY TYPE CAPACITOR</v>
          </cell>
          <cell r="E67">
            <v>7020</v>
          </cell>
          <cell r="F67">
            <v>0</v>
          </cell>
          <cell r="G67" t="str">
            <v>SET</v>
          </cell>
        </row>
        <row r="68">
          <cell r="C68">
            <v>227</v>
          </cell>
          <cell r="D68" t="str">
            <v>-  40  KVAR DRY TYPE CAPACITOR</v>
          </cell>
          <cell r="E68">
            <v>9000</v>
          </cell>
          <cell r="F68">
            <v>0</v>
          </cell>
          <cell r="G68" t="str">
            <v>SET</v>
          </cell>
        </row>
        <row r="69">
          <cell r="C69">
            <v>228</v>
          </cell>
          <cell r="D69" t="str">
            <v>-  50  KVAR DRY TYPE CAPACITOR</v>
          </cell>
          <cell r="E69">
            <v>10000</v>
          </cell>
          <cell r="F69">
            <v>0</v>
          </cell>
          <cell r="G69" t="str">
            <v>SET</v>
          </cell>
        </row>
        <row r="70">
          <cell r="C70">
            <v>229</v>
          </cell>
          <cell r="D70" t="str">
            <v>-  60  KVAR DRY TYPE CAPACITOR</v>
          </cell>
          <cell r="E70">
            <v>13000</v>
          </cell>
          <cell r="F70">
            <v>0</v>
          </cell>
          <cell r="G70" t="str">
            <v>SET</v>
          </cell>
        </row>
        <row r="71">
          <cell r="C71">
            <v>230</v>
          </cell>
          <cell r="D71" t="str">
            <v>-  75  KVAR DRY TYPE CAPACITOR</v>
          </cell>
          <cell r="E71">
            <v>17000</v>
          </cell>
          <cell r="F71">
            <v>0</v>
          </cell>
          <cell r="G71" t="str">
            <v>SET</v>
          </cell>
        </row>
        <row r="72">
          <cell r="C72">
            <v>231</v>
          </cell>
          <cell r="D72" t="str">
            <v>-  80  KVAR DRY TYPE CAPACITOR</v>
          </cell>
          <cell r="E72">
            <v>17500</v>
          </cell>
          <cell r="F72">
            <v>0</v>
          </cell>
          <cell r="G72" t="str">
            <v>SET</v>
          </cell>
        </row>
        <row r="73">
          <cell r="C73">
            <v>232</v>
          </cell>
          <cell r="D73" t="str">
            <v>-  100  KVAR DRY TYPE CAPACITOR</v>
          </cell>
          <cell r="E73">
            <v>21500</v>
          </cell>
          <cell r="F73">
            <v>0</v>
          </cell>
          <cell r="G73" t="str">
            <v>SET</v>
          </cell>
        </row>
        <row r="74">
          <cell r="C74">
            <v>169</v>
          </cell>
          <cell r="D74" t="str">
            <v>SPACE</v>
          </cell>
          <cell r="E74">
            <v>590</v>
          </cell>
          <cell r="F74">
            <v>40</v>
          </cell>
          <cell r="G74" t="str">
            <v>M.</v>
          </cell>
        </row>
        <row r="75">
          <cell r="C75">
            <v>170</v>
          </cell>
          <cell r="D75" t="str">
            <v>-  200 PRS. - 0.65 MM. AP</v>
          </cell>
          <cell r="E75">
            <v>790</v>
          </cell>
          <cell r="F75">
            <v>60</v>
          </cell>
          <cell r="G75" t="str">
            <v>M.</v>
          </cell>
        </row>
        <row r="76">
          <cell r="C76">
            <v>3</v>
          </cell>
          <cell r="D76" t="str">
            <v>LIGHTNING PROTECTION AND GROUNDING</v>
          </cell>
          <cell r="E76">
            <v>495</v>
          </cell>
          <cell r="F76">
            <v>100</v>
          </cell>
          <cell r="G76" t="str">
            <v>SET</v>
          </cell>
        </row>
        <row r="77">
          <cell r="C77">
            <v>301</v>
          </cell>
          <cell r="D77" t="str">
            <v>-  MULTIPOINT, 5/8", 30 CM. LONG</v>
          </cell>
          <cell r="E77">
            <v>1150</v>
          </cell>
          <cell r="F77">
            <v>300</v>
          </cell>
          <cell r="G77" t="str">
            <v>SET</v>
          </cell>
        </row>
        <row r="78">
          <cell r="C78">
            <v>302</v>
          </cell>
          <cell r="D78" t="str">
            <v>-  MULTIPOINT, 5/8", 60 CM. LONG</v>
          </cell>
          <cell r="E78">
            <v>1300</v>
          </cell>
          <cell r="F78">
            <v>300</v>
          </cell>
          <cell r="G78" t="str">
            <v>SET</v>
          </cell>
        </row>
        <row r="79">
          <cell r="C79">
            <v>303</v>
          </cell>
          <cell r="D79" t="str">
            <v>-  MULTIPOINT, 5/8", 100 CM. LONG</v>
          </cell>
          <cell r="E79">
            <v>1600</v>
          </cell>
          <cell r="F79">
            <v>350</v>
          </cell>
          <cell r="G79" t="str">
            <v>SET</v>
          </cell>
        </row>
        <row r="80">
          <cell r="C80">
            <v>304</v>
          </cell>
          <cell r="D80" t="str">
            <v>-  MULITIPOINT, 5/8", 150 CM. LONG</v>
          </cell>
          <cell r="E80">
            <v>1850</v>
          </cell>
          <cell r="F80">
            <v>350</v>
          </cell>
          <cell r="G80" t="str">
            <v>SET</v>
          </cell>
        </row>
        <row r="81">
          <cell r="C81">
            <v>305</v>
          </cell>
          <cell r="D81" t="str">
            <v>-  MULITIPOINT, 5/8", 200 CM. LONG</v>
          </cell>
          <cell r="E81">
            <v>2250</v>
          </cell>
          <cell r="F81">
            <v>400</v>
          </cell>
          <cell r="G81" t="str">
            <v>SET</v>
          </cell>
        </row>
        <row r="82">
          <cell r="C82">
            <v>306</v>
          </cell>
          <cell r="D82" t="str">
            <v>-  MULITIPOINT, 3/4", 30 CM. LONG</v>
          </cell>
          <cell r="E82">
            <v>1450</v>
          </cell>
          <cell r="F82">
            <v>300</v>
          </cell>
          <cell r="G82" t="str">
            <v>SET</v>
          </cell>
        </row>
        <row r="83">
          <cell r="C83">
            <v>307</v>
          </cell>
          <cell r="D83" t="str">
            <v>-  MULITIPOINT, 3/4", 60 CM. LONG</v>
          </cell>
          <cell r="E83">
            <v>1600</v>
          </cell>
          <cell r="F83">
            <v>300</v>
          </cell>
          <cell r="G83" t="str">
            <v>SET</v>
          </cell>
        </row>
        <row r="84">
          <cell r="C84">
            <v>308</v>
          </cell>
          <cell r="D84" t="str">
            <v>-  MULITIPOINT, 3/4", 100 CM. LONG</v>
          </cell>
          <cell r="E84">
            <v>2000</v>
          </cell>
          <cell r="F84">
            <v>350</v>
          </cell>
          <cell r="G84" t="str">
            <v>SET</v>
          </cell>
        </row>
        <row r="85">
          <cell r="C85">
            <v>309</v>
          </cell>
          <cell r="D85" t="str">
            <v>-  MULITIPOINT, 3/4", 150 CM. LONG</v>
          </cell>
          <cell r="E85">
            <v>2650</v>
          </cell>
          <cell r="F85">
            <v>350</v>
          </cell>
          <cell r="G85" t="str">
            <v>SET</v>
          </cell>
        </row>
        <row r="86">
          <cell r="C86">
            <v>310</v>
          </cell>
          <cell r="D86" t="str">
            <v>-  MULITIPOINT, 3/4", 200 CM. LONG</v>
          </cell>
          <cell r="E86">
            <v>3250</v>
          </cell>
          <cell r="F86">
            <v>400</v>
          </cell>
          <cell r="G86" t="str">
            <v>SET</v>
          </cell>
        </row>
        <row r="87">
          <cell r="C87">
            <v>311</v>
          </cell>
          <cell r="D87" t="str">
            <v>-  COPPER AIR TERMINAL, 5/8", 30 CM. LONG</v>
          </cell>
          <cell r="E87">
            <v>650</v>
          </cell>
          <cell r="F87">
            <v>300</v>
          </cell>
          <cell r="G87" t="str">
            <v>SET</v>
          </cell>
        </row>
        <row r="88">
          <cell r="C88">
            <v>312</v>
          </cell>
          <cell r="D88" t="str">
            <v>-  COPPER AIR TERMINAL, 5/8", 60 CM. LONG</v>
          </cell>
          <cell r="E88">
            <v>800</v>
          </cell>
          <cell r="F88">
            <v>300</v>
          </cell>
          <cell r="G88" t="str">
            <v>SET</v>
          </cell>
        </row>
        <row r="89">
          <cell r="C89">
            <v>313</v>
          </cell>
          <cell r="D89" t="str">
            <v>-  COPPER AIR TERMINAL, 5/8", 100 CM. LONG</v>
          </cell>
          <cell r="E89">
            <v>1100</v>
          </cell>
          <cell r="F89">
            <v>350</v>
          </cell>
          <cell r="G89" t="str">
            <v>SET</v>
          </cell>
        </row>
        <row r="90">
          <cell r="C90">
            <v>314</v>
          </cell>
          <cell r="D90" t="str">
            <v>-  COPPER AIR TERMINAL, 5/8", 150 CM. LONG</v>
          </cell>
          <cell r="E90">
            <v>1350</v>
          </cell>
          <cell r="F90">
            <v>350</v>
          </cell>
          <cell r="G90" t="str">
            <v>SET</v>
          </cell>
        </row>
        <row r="91">
          <cell r="C91">
            <v>315</v>
          </cell>
          <cell r="D91" t="str">
            <v>-  COPPER AIR TERMINAL, 5/8", 200 CM. LONG</v>
          </cell>
          <cell r="E91">
            <v>1750</v>
          </cell>
          <cell r="F91">
            <v>400</v>
          </cell>
          <cell r="G91" t="str">
            <v>SET</v>
          </cell>
        </row>
        <row r="92">
          <cell r="C92">
            <v>316</v>
          </cell>
          <cell r="D92" t="str">
            <v>-  COPPER AIR TERMINAL, 3/4", 30 CM. LONG</v>
          </cell>
          <cell r="E92">
            <v>950</v>
          </cell>
          <cell r="F92">
            <v>300</v>
          </cell>
          <cell r="G92" t="str">
            <v>SET</v>
          </cell>
        </row>
        <row r="93">
          <cell r="C93">
            <v>317</v>
          </cell>
          <cell r="D93" t="str">
            <v>-  COPPER AIR TERMINAL, 3/4", 60 CM. LONG</v>
          </cell>
          <cell r="E93">
            <v>1100</v>
          </cell>
          <cell r="F93">
            <v>300</v>
          </cell>
          <cell r="G93" t="str">
            <v>SET</v>
          </cell>
        </row>
        <row r="94">
          <cell r="C94">
            <v>318</v>
          </cell>
          <cell r="D94" t="str">
            <v>-  COPPER AIR TERMINAL, 3/4", 100 CM. LONG</v>
          </cell>
          <cell r="E94">
            <v>1550</v>
          </cell>
          <cell r="F94">
            <v>350</v>
          </cell>
          <cell r="G94" t="str">
            <v>SET</v>
          </cell>
        </row>
        <row r="95">
          <cell r="C95">
            <v>319</v>
          </cell>
          <cell r="D95" t="str">
            <v>-  COPPER AIR TERMINAL, 3/4", 150 CM. LONG</v>
          </cell>
          <cell r="E95">
            <v>2150</v>
          </cell>
          <cell r="F95">
            <v>350</v>
          </cell>
          <cell r="G95" t="str">
            <v>SET</v>
          </cell>
        </row>
        <row r="96">
          <cell r="C96">
            <v>320</v>
          </cell>
          <cell r="D96" t="str">
            <v>-  COPPER AIR TERMINAL, 3/4", 200 CM. LONG</v>
          </cell>
          <cell r="E96">
            <v>2750</v>
          </cell>
          <cell r="F96">
            <v>400</v>
          </cell>
          <cell r="G96" t="str">
            <v>SET</v>
          </cell>
        </row>
        <row r="97">
          <cell r="C97">
            <v>206</v>
          </cell>
          <cell r="D97" t="str">
            <v>SPACE</v>
          </cell>
          <cell r="E97">
            <v>2400</v>
          </cell>
          <cell r="F97">
            <v>200</v>
          </cell>
          <cell r="G97" t="str">
            <v>M.</v>
          </cell>
        </row>
        <row r="98">
          <cell r="C98">
            <v>207</v>
          </cell>
          <cell r="D98" t="str">
            <v>ACCESSORIES</v>
          </cell>
          <cell r="E98">
            <v>2700</v>
          </cell>
          <cell r="F98">
            <v>250</v>
          </cell>
          <cell r="G98" t="str">
            <v>M.</v>
          </cell>
        </row>
        <row r="99">
          <cell r="C99">
            <v>326</v>
          </cell>
          <cell r="D99" t="str">
            <v>-  COPPER TAPE 25x3 MM.</v>
          </cell>
          <cell r="E99">
            <v>200</v>
          </cell>
          <cell r="F99">
            <v>50</v>
          </cell>
          <cell r="G99" t="str">
            <v>M.</v>
          </cell>
        </row>
        <row r="100">
          <cell r="C100">
            <v>327</v>
          </cell>
          <cell r="D100" t="str">
            <v>-  GROUND TEST BOX</v>
          </cell>
          <cell r="E100">
            <v>1200</v>
          </cell>
          <cell r="F100">
            <v>500</v>
          </cell>
          <cell r="G100" t="str">
            <v>EA.</v>
          </cell>
        </row>
        <row r="101">
          <cell r="C101">
            <v>328</v>
          </cell>
          <cell r="D101" t="str">
            <v>-  LIGHTNING PULSE COUNTER</v>
          </cell>
          <cell r="E101">
            <v>25000</v>
          </cell>
          <cell r="F101">
            <v>1000</v>
          </cell>
          <cell r="G101" t="str">
            <v>EA.</v>
          </cell>
        </row>
        <row r="102">
          <cell r="C102">
            <v>329</v>
          </cell>
          <cell r="D102" t="str">
            <v>-  6 POS. COPPER GROUND BAR</v>
          </cell>
          <cell r="E102">
            <v>1200</v>
          </cell>
          <cell r="F102">
            <v>500</v>
          </cell>
          <cell r="G102" t="str">
            <v>SET</v>
          </cell>
        </row>
        <row r="103">
          <cell r="C103">
            <v>330</v>
          </cell>
          <cell r="D103" t="str">
            <v>-  8 POS. COPPER GROUND BAR</v>
          </cell>
          <cell r="E103">
            <v>1400</v>
          </cell>
          <cell r="F103">
            <v>500</v>
          </cell>
          <cell r="G103" t="str">
            <v>SET</v>
          </cell>
        </row>
        <row r="104">
          <cell r="C104">
            <v>331</v>
          </cell>
          <cell r="D104" t="str">
            <v>-  12 POS. COPPER GROUND BAR</v>
          </cell>
          <cell r="E104">
            <v>1800</v>
          </cell>
          <cell r="F104">
            <v>600</v>
          </cell>
          <cell r="G104" t="str">
            <v>SET</v>
          </cell>
        </row>
        <row r="105">
          <cell r="C105">
            <v>332</v>
          </cell>
          <cell r="D105" t="str">
            <v>-  16 POS. COPPER GROUND BAR</v>
          </cell>
          <cell r="E105">
            <v>2200</v>
          </cell>
          <cell r="F105">
            <v>600</v>
          </cell>
          <cell r="G105" t="str">
            <v>SET</v>
          </cell>
        </row>
        <row r="106">
          <cell r="C106">
            <v>333</v>
          </cell>
          <cell r="D106" t="str">
            <v>-  24 POS. COPPER GROUND BAR</v>
          </cell>
          <cell r="E106">
            <v>3600</v>
          </cell>
          <cell r="F106">
            <v>700</v>
          </cell>
          <cell r="G106" t="str">
            <v>SET</v>
          </cell>
        </row>
        <row r="107">
          <cell r="C107">
            <v>216</v>
          </cell>
          <cell r="D107" t="str">
            <v>SPACE</v>
          </cell>
          <cell r="E107">
            <v>20000</v>
          </cell>
          <cell r="F107">
            <v>4200</v>
          </cell>
          <cell r="G107" t="str">
            <v>M.</v>
          </cell>
        </row>
        <row r="108">
          <cell r="C108">
            <v>217</v>
          </cell>
          <cell r="D108" t="str">
            <v>GROUND ROD</v>
          </cell>
          <cell r="E108">
            <v>25000</v>
          </cell>
          <cell r="F108">
            <v>5100</v>
          </cell>
          <cell r="G108" t="str">
            <v>M.</v>
          </cell>
        </row>
        <row r="109">
          <cell r="C109">
            <v>341</v>
          </cell>
          <cell r="D109" t="str">
            <v>-  GALVANIZED GROUND ROD, 1 M.</v>
          </cell>
          <cell r="E109">
            <v>60</v>
          </cell>
          <cell r="F109">
            <v>300</v>
          </cell>
          <cell r="G109" t="str">
            <v>SET</v>
          </cell>
        </row>
        <row r="110">
          <cell r="C110">
            <v>342</v>
          </cell>
          <cell r="D110" t="str">
            <v>-  GALVANIZED GROUND ROD, 1.5 M.</v>
          </cell>
          <cell r="E110">
            <v>65</v>
          </cell>
          <cell r="F110">
            <v>400</v>
          </cell>
          <cell r="G110" t="str">
            <v>SET</v>
          </cell>
        </row>
        <row r="111">
          <cell r="C111">
            <v>343</v>
          </cell>
          <cell r="D111" t="str">
            <v>-  GALVANIZED GROUND ROD, 2 M.</v>
          </cell>
          <cell r="E111">
            <v>120</v>
          </cell>
          <cell r="F111">
            <v>500</v>
          </cell>
          <cell r="G111" t="str">
            <v>SET</v>
          </cell>
        </row>
        <row r="112">
          <cell r="C112">
            <v>344</v>
          </cell>
          <cell r="D112" t="str">
            <v>-  GALVANIZED GROUND ROD, 3 M.</v>
          </cell>
          <cell r="E112">
            <v>130</v>
          </cell>
          <cell r="F112">
            <v>600</v>
          </cell>
          <cell r="G112" t="str">
            <v>SET</v>
          </cell>
        </row>
        <row r="113">
          <cell r="C113">
            <v>345</v>
          </cell>
          <cell r="D113" t="str">
            <v>-  COPPER CLAD SEEL GROUND ROD DIA 5/8", 5'</v>
          </cell>
          <cell r="E113">
            <v>240</v>
          </cell>
          <cell r="F113">
            <v>300</v>
          </cell>
          <cell r="G113" t="str">
            <v>SET</v>
          </cell>
        </row>
        <row r="114">
          <cell r="C114">
            <v>346</v>
          </cell>
          <cell r="D114" t="str">
            <v>-  COPPER CLAD SEEL GROUND ROD DIA 5/8", 6'</v>
          </cell>
          <cell r="E114">
            <v>290</v>
          </cell>
          <cell r="F114">
            <v>400</v>
          </cell>
          <cell r="G114" t="str">
            <v>SET</v>
          </cell>
        </row>
        <row r="115">
          <cell r="C115">
            <v>347</v>
          </cell>
          <cell r="D115" t="str">
            <v>-  COPPER CLAD SEEL GROUND ROD DIA 5/8", 8</v>
          </cell>
          <cell r="E115">
            <v>360</v>
          </cell>
          <cell r="F115">
            <v>500</v>
          </cell>
          <cell r="G115" t="str">
            <v>SET</v>
          </cell>
        </row>
        <row r="116">
          <cell r="C116">
            <v>348</v>
          </cell>
          <cell r="D116" t="str">
            <v>-  COPPER CLAD SEEL GROUND ROD DIA 5/8", 10'</v>
          </cell>
          <cell r="E116">
            <v>485</v>
          </cell>
          <cell r="F116">
            <v>600</v>
          </cell>
          <cell r="G116" t="str">
            <v>SET</v>
          </cell>
        </row>
        <row r="117">
          <cell r="C117">
            <v>349</v>
          </cell>
          <cell r="D117" t="str">
            <v>-  COPPER CLAD SEEL GROUND ROD DIA 3/4", 5'</v>
          </cell>
          <cell r="E117">
            <v>380</v>
          </cell>
          <cell r="F117">
            <v>300</v>
          </cell>
          <cell r="G117" t="str">
            <v>SET</v>
          </cell>
        </row>
        <row r="118">
          <cell r="C118">
            <v>350</v>
          </cell>
          <cell r="D118" t="str">
            <v>-  COPPER CLAD SEEL GROUND ROD DIA 3/4", 6'</v>
          </cell>
          <cell r="E118">
            <v>470</v>
          </cell>
          <cell r="F118">
            <v>400</v>
          </cell>
          <cell r="G118" t="str">
            <v>SET</v>
          </cell>
        </row>
        <row r="119">
          <cell r="C119">
            <v>351</v>
          </cell>
          <cell r="D119" t="str">
            <v>-  COPPER CLAD SEEL GROUND ROD DIA 3/4", 8'</v>
          </cell>
          <cell r="E119">
            <v>600</v>
          </cell>
          <cell r="F119">
            <v>500</v>
          </cell>
          <cell r="G119" t="str">
            <v>SET</v>
          </cell>
        </row>
        <row r="120">
          <cell r="C120">
            <v>352</v>
          </cell>
          <cell r="D120" t="str">
            <v>-  COPPER CLAD SEEL GROUND ROD DIA 3/4", 10'</v>
          </cell>
          <cell r="E120">
            <v>750</v>
          </cell>
          <cell r="F120">
            <v>600</v>
          </cell>
          <cell r="G120" t="str">
            <v>SET</v>
          </cell>
        </row>
        <row r="121">
          <cell r="C121">
            <v>230</v>
          </cell>
          <cell r="D121" t="str">
            <v>-  MDF 5,000 PRS.</v>
          </cell>
          <cell r="E121">
            <v>200000</v>
          </cell>
          <cell r="F121" t="str">
            <v/>
          </cell>
          <cell r="G121" t="str">
            <v>M.</v>
          </cell>
        </row>
        <row r="122">
          <cell r="C122">
            <v>239</v>
          </cell>
          <cell r="D122" t="str">
            <v>PABX</v>
          </cell>
          <cell r="E122">
            <v>100000</v>
          </cell>
          <cell r="F122">
            <v>1000</v>
          </cell>
          <cell r="G122" t="str">
            <v>EA.</v>
          </cell>
        </row>
        <row r="123">
          <cell r="C123">
            <v>231</v>
          </cell>
          <cell r="D123" t="str">
            <v>-  10/40 LINE PABX</v>
          </cell>
          <cell r="E123">
            <v>450000</v>
          </cell>
          <cell r="F123">
            <v>0</v>
          </cell>
          <cell r="G123" t="str">
            <v>M.</v>
          </cell>
        </row>
        <row r="124">
          <cell r="C124">
            <v>232</v>
          </cell>
          <cell r="D124" t="str">
            <v>-  20/80 LINE PABX</v>
          </cell>
          <cell r="E124">
            <v>800000</v>
          </cell>
          <cell r="F124">
            <v>0</v>
          </cell>
          <cell r="G124" t="str">
            <v>M.</v>
          </cell>
        </row>
        <row r="125">
          <cell r="C125">
            <v>233</v>
          </cell>
          <cell r="D125" t="str">
            <v>-  30/120 LINE PABX</v>
          </cell>
          <cell r="E125">
            <v>950000</v>
          </cell>
          <cell r="F125">
            <v>0</v>
          </cell>
          <cell r="G125" t="str">
            <v>M.</v>
          </cell>
        </row>
        <row r="126">
          <cell r="C126">
            <v>234</v>
          </cell>
          <cell r="D126" t="str">
            <v>-  40/1600 LINE PABX</v>
          </cell>
          <cell r="E126">
            <v>1050000</v>
          </cell>
          <cell r="F126">
            <v>0</v>
          </cell>
          <cell r="G126" t="str">
            <v>M.</v>
          </cell>
        </row>
        <row r="127">
          <cell r="C127">
            <v>235</v>
          </cell>
          <cell r="D127" t="str">
            <v>-  50/200 LINE PABX</v>
          </cell>
          <cell r="E127">
            <v>1200000</v>
          </cell>
          <cell r="F127">
            <v>0</v>
          </cell>
          <cell r="G127" t="str">
            <v>M.</v>
          </cell>
        </row>
        <row r="128">
          <cell r="C128">
            <v>236</v>
          </cell>
          <cell r="D128" t="str">
            <v>-  60/240 LINE PABX</v>
          </cell>
          <cell r="E128">
            <v>1250000</v>
          </cell>
          <cell r="F128">
            <v>0</v>
          </cell>
          <cell r="G128" t="str">
            <v>M.</v>
          </cell>
        </row>
        <row r="129">
          <cell r="C129">
            <v>237</v>
          </cell>
          <cell r="D129" t="str">
            <v>-  70/280 LINE PABX</v>
          </cell>
          <cell r="E129">
            <v>1300000</v>
          </cell>
          <cell r="F129">
            <v>0</v>
          </cell>
          <cell r="G129" t="str">
            <v>M.</v>
          </cell>
        </row>
        <row r="130">
          <cell r="C130">
            <v>238</v>
          </cell>
          <cell r="D130" t="str">
            <v>-  80/320 LINE PABX</v>
          </cell>
          <cell r="E130">
            <v>1500000</v>
          </cell>
          <cell r="F130">
            <v>0</v>
          </cell>
          <cell r="G130" t="str">
            <v>M.</v>
          </cell>
        </row>
        <row r="131">
          <cell r="C131">
            <v>239</v>
          </cell>
          <cell r="D131" t="str">
            <v>-  90/360 LINE PABX</v>
          </cell>
          <cell r="E131">
            <v>1700000</v>
          </cell>
          <cell r="F131">
            <v>0</v>
          </cell>
          <cell r="G131" t="str">
            <v>M.</v>
          </cell>
        </row>
        <row r="132">
          <cell r="C132">
            <v>240</v>
          </cell>
          <cell r="D132" t="str">
            <v>-  100/400 LINE PABX</v>
          </cell>
          <cell r="E132">
            <v>1900000</v>
          </cell>
          <cell r="F132">
            <v>0</v>
          </cell>
          <cell r="G132" t="str">
            <v>M.</v>
          </cell>
        </row>
        <row r="133">
          <cell r="C133">
            <v>253</v>
          </cell>
          <cell r="D133" t="str">
            <v>SPACE</v>
          </cell>
          <cell r="E133">
            <v>410</v>
          </cell>
          <cell r="F133">
            <v>100</v>
          </cell>
          <cell r="G133" t="str">
            <v>EA.</v>
          </cell>
        </row>
        <row r="134">
          <cell r="C134">
            <v>246</v>
          </cell>
          <cell r="D134" t="str">
            <v>-  10/100 LINE PABX</v>
          </cell>
          <cell r="E134">
            <v>600000</v>
          </cell>
          <cell r="F134">
            <v>0</v>
          </cell>
          <cell r="G134" t="str">
            <v>M.</v>
          </cell>
        </row>
        <row r="135">
          <cell r="C135">
            <v>247</v>
          </cell>
          <cell r="D135" t="str">
            <v>-  20/200 LINE PABX</v>
          </cell>
          <cell r="E135">
            <v>1000000</v>
          </cell>
          <cell r="F135">
            <v>0</v>
          </cell>
          <cell r="G135" t="str">
            <v>M.</v>
          </cell>
        </row>
        <row r="136">
          <cell r="C136">
            <v>248</v>
          </cell>
          <cell r="D136" t="str">
            <v>-  30/300 LINE PABX</v>
          </cell>
          <cell r="E136">
            <v>1250000</v>
          </cell>
          <cell r="F136">
            <v>0</v>
          </cell>
          <cell r="G136" t="str">
            <v>M.</v>
          </cell>
        </row>
        <row r="137">
          <cell r="C137">
            <v>249</v>
          </cell>
          <cell r="D137" t="str">
            <v>-  40/400 LINE PABX</v>
          </cell>
          <cell r="E137">
            <v>1650000</v>
          </cell>
          <cell r="F137">
            <v>0</v>
          </cell>
          <cell r="G137" t="str">
            <v>M.</v>
          </cell>
        </row>
        <row r="138">
          <cell r="C138">
            <v>250</v>
          </cell>
          <cell r="D138" t="str">
            <v>-  50/500 LINE PABX</v>
          </cell>
          <cell r="E138">
            <v>1900000</v>
          </cell>
          <cell r="F138">
            <v>0</v>
          </cell>
          <cell r="G138" t="str">
            <v>M.</v>
          </cell>
        </row>
        <row r="139">
          <cell r="C139">
            <v>251</v>
          </cell>
          <cell r="D139" t="str">
            <v>-  60/600 LINE PABX</v>
          </cell>
          <cell r="E139">
            <v>2100000</v>
          </cell>
          <cell r="F139">
            <v>0</v>
          </cell>
          <cell r="G139" t="str">
            <v>M.</v>
          </cell>
        </row>
        <row r="140">
          <cell r="C140">
            <v>252</v>
          </cell>
          <cell r="D140" t="str">
            <v>-  70/700 LINE PABX</v>
          </cell>
          <cell r="E140">
            <v>2400000</v>
          </cell>
          <cell r="F140">
            <v>0</v>
          </cell>
          <cell r="G140" t="str">
            <v>M.</v>
          </cell>
        </row>
        <row r="141">
          <cell r="C141">
            <v>253</v>
          </cell>
          <cell r="D141" t="str">
            <v>-  80/800 LINE PABX</v>
          </cell>
          <cell r="E141">
            <v>0</v>
          </cell>
          <cell r="F141">
            <v>0</v>
          </cell>
          <cell r="G141" t="str">
            <v>M.</v>
          </cell>
        </row>
        <row r="142">
          <cell r="C142">
            <v>254</v>
          </cell>
          <cell r="D142" t="str">
            <v>-  90/900 LINE PABX</v>
          </cell>
          <cell r="E142">
            <v>0</v>
          </cell>
          <cell r="F142">
            <v>0</v>
          </cell>
          <cell r="G142" t="str">
            <v>M.</v>
          </cell>
        </row>
        <row r="143">
          <cell r="C143">
            <v>255</v>
          </cell>
          <cell r="D143" t="str">
            <v>-  100/1,000 LINE PABX</v>
          </cell>
          <cell r="E143">
            <v>0</v>
          </cell>
          <cell r="F143">
            <v>0</v>
          </cell>
          <cell r="G143" t="str">
            <v>M.</v>
          </cell>
        </row>
        <row r="144">
          <cell r="C144">
            <v>264</v>
          </cell>
          <cell r="D144" t="str">
            <v>SPACE</v>
          </cell>
          <cell r="E144">
            <v>1780</v>
          </cell>
          <cell r="F144">
            <v>150</v>
          </cell>
          <cell r="G144" t="str">
            <v>EA.</v>
          </cell>
        </row>
        <row r="145">
          <cell r="C145">
            <v>265</v>
          </cell>
          <cell r="D145" t="str">
            <v>ACCESSORIES</v>
          </cell>
          <cell r="E145">
            <v>2680</v>
          </cell>
          <cell r="F145">
            <v>150</v>
          </cell>
          <cell r="G145" t="str">
            <v>EA.</v>
          </cell>
        </row>
        <row r="146">
          <cell r="C146">
            <v>261</v>
          </cell>
          <cell r="D146" t="str">
            <v>-  LIGHTNING ARRESTER</v>
          </cell>
          <cell r="E146">
            <v>105</v>
          </cell>
          <cell r="F146">
            <v>20</v>
          </cell>
          <cell r="G146" t="str">
            <v>SET</v>
          </cell>
        </row>
        <row r="147">
          <cell r="C147">
            <v>262</v>
          </cell>
          <cell r="D147" t="str">
            <v>-  OPERATER CONSOLE</v>
          </cell>
          <cell r="E147">
            <v>28000</v>
          </cell>
          <cell r="F147">
            <v>0</v>
          </cell>
          <cell r="G147" t="str">
            <v>SET</v>
          </cell>
        </row>
        <row r="148">
          <cell r="C148">
            <v>263</v>
          </cell>
          <cell r="D148" t="str">
            <v>-  TELEPHONE OUTLET (PLASTIC PLATE)</v>
          </cell>
          <cell r="E148">
            <v>160</v>
          </cell>
          <cell r="F148">
            <v>50</v>
          </cell>
          <cell r="G148" t="str">
            <v>SET</v>
          </cell>
        </row>
        <row r="149">
          <cell r="C149">
            <v>264</v>
          </cell>
          <cell r="D149" t="str">
            <v>-  TELEPHONE OUTLET (ALUMINIUM PLATE)</v>
          </cell>
          <cell r="E149">
            <v>190</v>
          </cell>
          <cell r="F149">
            <v>50</v>
          </cell>
          <cell r="G149" t="str">
            <v>SET</v>
          </cell>
        </row>
        <row r="150">
          <cell r="C150">
            <v>265</v>
          </cell>
          <cell r="D150" t="str">
            <v>-  TELEPHONE OUTLET (STAINLESS PLATE)</v>
          </cell>
          <cell r="E150">
            <v>210</v>
          </cell>
          <cell r="F150">
            <v>50</v>
          </cell>
          <cell r="G150" t="str">
            <v>SET</v>
          </cell>
        </row>
        <row r="151">
          <cell r="C151">
            <v>266</v>
          </cell>
          <cell r="D151" t="str">
            <v>-  TELEPHONE OUTLET (ALUMINIUM PLATE, LIVING STYLE)</v>
          </cell>
          <cell r="E151">
            <v>600</v>
          </cell>
          <cell r="F151">
            <v>100</v>
          </cell>
          <cell r="G151" t="str">
            <v>SET</v>
          </cell>
        </row>
        <row r="152">
          <cell r="C152">
            <v>267</v>
          </cell>
          <cell r="D152" t="str">
            <v>-  TELEPHONE OUTLET (CHROMIUM PLATE PLATE, LIVING STYLE)</v>
          </cell>
          <cell r="E152">
            <v>870</v>
          </cell>
          <cell r="F152">
            <v>100</v>
          </cell>
          <cell r="G152" t="str">
            <v>SET</v>
          </cell>
        </row>
        <row r="153">
          <cell r="C153">
            <v>273</v>
          </cell>
          <cell r="D153" t="str">
            <v xml:space="preserve">   SPACE</v>
          </cell>
          <cell r="E153">
            <v>660</v>
          </cell>
          <cell r="F153">
            <v>100</v>
          </cell>
          <cell r="G153" t="str">
            <v>EA.</v>
          </cell>
        </row>
        <row r="154">
          <cell r="C154">
            <v>3</v>
          </cell>
          <cell r="D154" t="str">
            <v>TELECOMMUNICATION</v>
          </cell>
          <cell r="E154">
            <v>930</v>
          </cell>
          <cell r="F154">
            <v>100</v>
          </cell>
          <cell r="G154" t="str">
            <v>EA.</v>
          </cell>
        </row>
        <row r="155">
          <cell r="C155">
            <v>275</v>
          </cell>
          <cell r="D155" t="str">
            <v>MODULE &amp; ACCESSORIES</v>
          </cell>
          <cell r="E155">
            <v>1150</v>
          </cell>
          <cell r="F155">
            <v>100</v>
          </cell>
          <cell r="G155" t="str">
            <v>EA.</v>
          </cell>
        </row>
        <row r="156">
          <cell r="C156">
            <v>301</v>
          </cell>
          <cell r="D156" t="str">
            <v>-  24 PORTS-CAT5 PATCH PANEL</v>
          </cell>
          <cell r="E156">
            <v>5500</v>
          </cell>
          <cell r="F156">
            <v>300</v>
          </cell>
          <cell r="G156" t="str">
            <v>LOT</v>
          </cell>
        </row>
        <row r="157">
          <cell r="C157">
            <v>302</v>
          </cell>
          <cell r="D157" t="str">
            <v>-  32 PORTS-CAT5 PATCH PANEL</v>
          </cell>
          <cell r="E157">
            <v>8500</v>
          </cell>
          <cell r="F157">
            <v>450</v>
          </cell>
          <cell r="G157" t="str">
            <v>LOT</v>
          </cell>
        </row>
        <row r="158">
          <cell r="C158">
            <v>303</v>
          </cell>
          <cell r="D158" t="str">
            <v>-  48 PORTS-CAT5 PATCH PANEL</v>
          </cell>
          <cell r="E158">
            <v>11000</v>
          </cell>
          <cell r="F158">
            <v>600</v>
          </cell>
          <cell r="G158" t="str">
            <v>LOT</v>
          </cell>
        </row>
        <row r="159">
          <cell r="C159">
            <v>304</v>
          </cell>
          <cell r="D159" t="str">
            <v>-  64 PORTS-CAT5 PATCH PANEL</v>
          </cell>
          <cell r="E159">
            <v>16500</v>
          </cell>
          <cell r="F159">
            <v>900</v>
          </cell>
          <cell r="G159" t="str">
            <v>LOT</v>
          </cell>
        </row>
        <row r="160">
          <cell r="C160">
            <v>305</v>
          </cell>
          <cell r="D160" t="str">
            <v>-  96 PORTS-CAT5 PATCH PANEL</v>
          </cell>
          <cell r="E160">
            <v>21000</v>
          </cell>
          <cell r="F160">
            <v>1000</v>
          </cell>
          <cell r="G160" t="str">
            <v>LOT</v>
          </cell>
        </row>
        <row r="161">
          <cell r="C161">
            <v>281</v>
          </cell>
          <cell r="D161" t="str">
            <v>SPACE</v>
          </cell>
          <cell r="E161">
            <v>4480</v>
          </cell>
          <cell r="F161">
            <v>200</v>
          </cell>
          <cell r="G161" t="str">
            <v>EA.</v>
          </cell>
        </row>
        <row r="162">
          <cell r="C162">
            <v>311</v>
          </cell>
          <cell r="D162" t="str">
            <v>-  1xRJ45 MODULAR JACK</v>
          </cell>
          <cell r="E162">
            <v>280</v>
          </cell>
          <cell r="F162">
            <v>70</v>
          </cell>
          <cell r="G162" t="str">
            <v>SET</v>
          </cell>
        </row>
        <row r="163">
          <cell r="C163">
            <v>312</v>
          </cell>
          <cell r="D163" t="str">
            <v>-  2xRJ45 MODULAR JACK</v>
          </cell>
          <cell r="E163">
            <v>440</v>
          </cell>
          <cell r="F163">
            <v>100</v>
          </cell>
          <cell r="G163" t="str">
            <v>SET</v>
          </cell>
        </row>
        <row r="164">
          <cell r="C164">
            <v>313</v>
          </cell>
          <cell r="D164" t="str">
            <v>-  1xRJ45+1xRJ11 MODULAR JACK</v>
          </cell>
          <cell r="E164">
            <v>350</v>
          </cell>
          <cell r="F164">
            <v>100</v>
          </cell>
          <cell r="G164" t="str">
            <v>SET</v>
          </cell>
        </row>
        <row r="165">
          <cell r="C165">
            <v>314</v>
          </cell>
          <cell r="D165" t="str">
            <v>-  4xRJ45 MODULAR JACK</v>
          </cell>
          <cell r="E165">
            <v>760</v>
          </cell>
          <cell r="F165">
            <v>200</v>
          </cell>
          <cell r="G165" t="str">
            <v>SET</v>
          </cell>
        </row>
        <row r="166">
          <cell r="C166">
            <v>315</v>
          </cell>
          <cell r="D166" t="str">
            <v>-  3xRJ45+1xRJ11 MODULAR JACK</v>
          </cell>
          <cell r="E166">
            <v>670</v>
          </cell>
          <cell r="F166">
            <v>200</v>
          </cell>
          <cell r="G166" t="str">
            <v>SET</v>
          </cell>
        </row>
        <row r="167">
          <cell r="C167">
            <v>316</v>
          </cell>
          <cell r="D167" t="str">
            <v>-  2xRJ45+1xRJ11 MODULAR JACK</v>
          </cell>
          <cell r="E167">
            <v>580</v>
          </cell>
          <cell r="F167">
            <v>200</v>
          </cell>
          <cell r="G167" t="str">
            <v>SET</v>
          </cell>
        </row>
        <row r="168">
          <cell r="C168">
            <v>317</v>
          </cell>
          <cell r="D168" t="str">
            <v>-  6xRJ45 MODULAR JACK</v>
          </cell>
          <cell r="E168">
            <v>1140</v>
          </cell>
          <cell r="F168">
            <v>300</v>
          </cell>
          <cell r="G168" t="str">
            <v>SET</v>
          </cell>
        </row>
        <row r="169">
          <cell r="C169">
            <v>318</v>
          </cell>
          <cell r="D169" t="str">
            <v>-  5xRJ45+1xRJ11 MODULAR JACK</v>
          </cell>
          <cell r="E169">
            <v>1050</v>
          </cell>
          <cell r="F169">
            <v>300</v>
          </cell>
          <cell r="G169" t="str">
            <v>SET</v>
          </cell>
        </row>
        <row r="170">
          <cell r="C170">
            <v>319</v>
          </cell>
          <cell r="D170" t="str">
            <v>-  4xRJ45+2xRJ11 MODULAR JACK</v>
          </cell>
          <cell r="E170">
            <v>960</v>
          </cell>
          <cell r="F170">
            <v>300</v>
          </cell>
          <cell r="G170" t="str">
            <v>SET</v>
          </cell>
        </row>
        <row r="171">
          <cell r="C171">
            <v>320</v>
          </cell>
          <cell r="D171" t="str">
            <v>-  3xRJ45+3xRJ11 MODULAR JACK</v>
          </cell>
          <cell r="E171">
            <v>870</v>
          </cell>
          <cell r="F171">
            <v>300</v>
          </cell>
          <cell r="G171" t="str">
            <v>SET</v>
          </cell>
        </row>
        <row r="172">
          <cell r="C172">
            <v>321</v>
          </cell>
          <cell r="D172" t="str">
            <v>-  2xRJ45+4xRJ11 MODULAR JACK</v>
          </cell>
          <cell r="E172">
            <v>780</v>
          </cell>
          <cell r="F172">
            <v>300</v>
          </cell>
          <cell r="G172" t="str">
            <v>SET</v>
          </cell>
        </row>
        <row r="173">
          <cell r="C173">
            <v>836</v>
          </cell>
          <cell r="D173" t="str">
            <v>SPACE</v>
          </cell>
          <cell r="E173">
            <v>18000</v>
          </cell>
          <cell r="F173">
            <v>500</v>
          </cell>
          <cell r="G173" t="str">
            <v>M.</v>
          </cell>
        </row>
        <row r="174">
          <cell r="C174">
            <v>296</v>
          </cell>
          <cell r="D174" t="str">
            <v>COMMUNICATION CABLE</v>
          </cell>
          <cell r="E174">
            <v>1000</v>
          </cell>
          <cell r="F174">
            <v>100</v>
          </cell>
          <cell r="G174" t="str">
            <v>EA.</v>
          </cell>
        </row>
        <row r="175">
          <cell r="C175">
            <v>326</v>
          </cell>
          <cell r="D175" t="str">
            <v>-  3 PRS-CAT3 UTP</v>
          </cell>
          <cell r="E175">
            <v>9</v>
          </cell>
          <cell r="F175">
            <v>2</v>
          </cell>
          <cell r="G175" t="str">
            <v>M.</v>
          </cell>
        </row>
        <row r="176">
          <cell r="C176">
            <v>327</v>
          </cell>
          <cell r="D176" t="str">
            <v>-  4 PRS-CAT3 UTP</v>
          </cell>
          <cell r="E176">
            <v>10</v>
          </cell>
          <cell r="F176">
            <v>2</v>
          </cell>
          <cell r="G176" t="str">
            <v>M.</v>
          </cell>
        </row>
        <row r="177">
          <cell r="C177">
            <v>328</v>
          </cell>
          <cell r="D177" t="str">
            <v>-  25 PRS-CAT3 UTP</v>
          </cell>
          <cell r="E177">
            <v>55</v>
          </cell>
          <cell r="F177">
            <v>5</v>
          </cell>
          <cell r="G177" t="str">
            <v>M.</v>
          </cell>
        </row>
        <row r="178">
          <cell r="C178">
            <v>329</v>
          </cell>
          <cell r="D178" t="str">
            <v>-  4 PRS-CAT5 UTP</v>
          </cell>
          <cell r="E178">
            <v>20</v>
          </cell>
          <cell r="F178">
            <v>2</v>
          </cell>
          <cell r="G178" t="str">
            <v>M.</v>
          </cell>
        </row>
        <row r="179">
          <cell r="C179">
            <v>330</v>
          </cell>
          <cell r="D179" t="str">
            <v>-  4 PRS-CAT4 STP</v>
          </cell>
          <cell r="E179">
            <v>25</v>
          </cell>
          <cell r="F179">
            <v>2</v>
          </cell>
          <cell r="G179" t="str">
            <v>M.</v>
          </cell>
        </row>
        <row r="180">
          <cell r="C180">
            <v>331</v>
          </cell>
          <cell r="D180" t="str">
            <v>-  15 PRS-CAT5 STP</v>
          </cell>
          <cell r="E180">
            <v>30</v>
          </cell>
          <cell r="F180">
            <v>4</v>
          </cell>
          <cell r="G180" t="str">
            <v>M.</v>
          </cell>
        </row>
        <row r="181">
          <cell r="C181">
            <v>332</v>
          </cell>
          <cell r="D181" t="str">
            <v>-  1/C - 62.5/125 FIBER OPTIC</v>
          </cell>
          <cell r="E181">
            <v>25</v>
          </cell>
          <cell r="F181">
            <v>3</v>
          </cell>
          <cell r="G181" t="str">
            <v>M.</v>
          </cell>
        </row>
        <row r="182">
          <cell r="C182">
            <v>333</v>
          </cell>
          <cell r="D182" t="str">
            <v>-  2/C - 62.5/125 FIBER OPTIC</v>
          </cell>
          <cell r="E182">
            <v>50</v>
          </cell>
          <cell r="F182">
            <v>4</v>
          </cell>
          <cell r="G182" t="str">
            <v>M.</v>
          </cell>
        </row>
        <row r="183">
          <cell r="C183">
            <v>334</v>
          </cell>
          <cell r="D183" t="str">
            <v>-  2/C - 62.5/125 FIBER OPTIC, TIGHT BUFFER</v>
          </cell>
          <cell r="E183">
            <v>61</v>
          </cell>
          <cell r="F183">
            <v>4</v>
          </cell>
          <cell r="G183" t="str">
            <v>M.</v>
          </cell>
        </row>
        <row r="184">
          <cell r="C184">
            <v>335</v>
          </cell>
          <cell r="D184" t="str">
            <v>-  4/C - 62.5/125 FIBER OPTIC, TIGHT BUFFER</v>
          </cell>
          <cell r="E184">
            <v>100</v>
          </cell>
          <cell r="F184">
            <v>6</v>
          </cell>
          <cell r="G184" t="str">
            <v>M.</v>
          </cell>
        </row>
        <row r="185">
          <cell r="C185">
            <v>336</v>
          </cell>
          <cell r="D185" t="str">
            <v>-  6/C - 62.5/125 FIBER OPTIC, TIGHT BUFFER</v>
          </cell>
          <cell r="E185">
            <v>140</v>
          </cell>
          <cell r="F185">
            <v>8</v>
          </cell>
          <cell r="G185" t="str">
            <v>M.</v>
          </cell>
        </row>
        <row r="186">
          <cell r="C186">
            <v>337</v>
          </cell>
          <cell r="D186" t="str">
            <v>-  8/C - 62.5/125 FIBER OPTIC, TIGHT BUFFER</v>
          </cell>
          <cell r="E186">
            <v>186</v>
          </cell>
          <cell r="F186">
            <v>10</v>
          </cell>
          <cell r="G186" t="str">
            <v>M.</v>
          </cell>
        </row>
        <row r="187">
          <cell r="C187">
            <v>338</v>
          </cell>
          <cell r="D187" t="str">
            <v>-  12/C - 62.5/125 FIBER OPTIC, TIGHT BUFFER</v>
          </cell>
          <cell r="E187">
            <v>259</v>
          </cell>
          <cell r="F187">
            <v>15</v>
          </cell>
          <cell r="G187" t="str">
            <v>M.</v>
          </cell>
        </row>
        <row r="188">
          <cell r="C188">
            <v>339</v>
          </cell>
          <cell r="D188" t="str">
            <v>-  18/C - 62.5/125 FIBER OPTIC, TIGHT BUFFER</v>
          </cell>
          <cell r="E188">
            <v>478</v>
          </cell>
          <cell r="F188">
            <v>20</v>
          </cell>
          <cell r="G188" t="str">
            <v>M.</v>
          </cell>
        </row>
        <row r="189">
          <cell r="C189">
            <v>340</v>
          </cell>
          <cell r="D189" t="str">
            <v>-  24/C - 62.5/125 FIBER OPTIC, TIGHT BUFFER</v>
          </cell>
          <cell r="E189">
            <v>637</v>
          </cell>
          <cell r="F189">
            <v>25</v>
          </cell>
          <cell r="G189" t="str">
            <v>M.</v>
          </cell>
        </row>
        <row r="190">
          <cell r="C190">
            <v>341</v>
          </cell>
          <cell r="D190" t="str">
            <v>-  36/C - 62.5/125 FIBER OPTIC, TIGHT BUFFER</v>
          </cell>
          <cell r="E190">
            <v>960</v>
          </cell>
          <cell r="F190">
            <v>30</v>
          </cell>
          <cell r="G190" t="str">
            <v>M.</v>
          </cell>
        </row>
        <row r="191">
          <cell r="C191">
            <v>342</v>
          </cell>
          <cell r="D191" t="str">
            <v>-  2/C - 62.5/125 FIBER OPTIC, LOOSE BUFFER, SINGLE JACKET</v>
          </cell>
          <cell r="E191">
            <v>100</v>
          </cell>
          <cell r="F191">
            <v>10</v>
          </cell>
          <cell r="G191" t="str">
            <v>M.</v>
          </cell>
        </row>
        <row r="192">
          <cell r="C192">
            <v>343</v>
          </cell>
          <cell r="D192" t="str">
            <v>-  4/C - 62.5/125 FIBER OPTIC, LOOSE BUFFER, SINGLE JACKET</v>
          </cell>
          <cell r="E192">
            <v>130</v>
          </cell>
          <cell r="F192">
            <v>13</v>
          </cell>
          <cell r="G192" t="str">
            <v>M.</v>
          </cell>
        </row>
        <row r="193">
          <cell r="C193">
            <v>344</v>
          </cell>
          <cell r="D193" t="str">
            <v>-  6/C - 62.5/125 FIBER OPTIC, LOOSE BUFFER, SINGLE JACKET</v>
          </cell>
          <cell r="E193">
            <v>165</v>
          </cell>
          <cell r="F193">
            <v>16</v>
          </cell>
          <cell r="G193" t="str">
            <v>M.</v>
          </cell>
        </row>
        <row r="194">
          <cell r="C194">
            <v>345</v>
          </cell>
          <cell r="D194" t="str">
            <v>-  8/C - 62.5/125 FIBER OPTIC, LOOSE BUFFER, SINGLE JACKET</v>
          </cell>
          <cell r="E194">
            <v>203</v>
          </cell>
          <cell r="F194">
            <v>20</v>
          </cell>
          <cell r="G194" t="str">
            <v>M.</v>
          </cell>
        </row>
        <row r="195">
          <cell r="C195">
            <v>346</v>
          </cell>
          <cell r="D195" t="str">
            <v>-  10/C - 62.5/125 FIBER OPTIC, LOOSE BUFFER, SINGLE JACKET</v>
          </cell>
          <cell r="E195">
            <v>250</v>
          </cell>
          <cell r="F195">
            <v>25</v>
          </cell>
          <cell r="G195" t="str">
            <v>M.</v>
          </cell>
        </row>
        <row r="196">
          <cell r="C196">
            <v>347</v>
          </cell>
          <cell r="D196" t="str">
            <v>-  12/C - 62.5/125 FIBER OPTIC, LOOSE BUFFER, SINGLE JACKET</v>
          </cell>
          <cell r="E196">
            <v>273</v>
          </cell>
          <cell r="F196">
            <v>27</v>
          </cell>
          <cell r="G196" t="str">
            <v>M.</v>
          </cell>
        </row>
        <row r="197">
          <cell r="C197">
            <v>348</v>
          </cell>
          <cell r="D197" t="str">
            <v>-  18/C - 62.5/125 FIBER OPTIC, LOOSE BUFFER, SINGLE JACKET</v>
          </cell>
          <cell r="E197">
            <v>390</v>
          </cell>
          <cell r="F197">
            <v>35</v>
          </cell>
          <cell r="G197" t="str">
            <v>M.</v>
          </cell>
        </row>
        <row r="198">
          <cell r="C198">
            <v>349</v>
          </cell>
          <cell r="D198" t="str">
            <v>-  24/C - 62.5/125 FIBER OPTIC, LOOSE BUFFER, SINGLE JACKET</v>
          </cell>
          <cell r="E198">
            <v>500</v>
          </cell>
          <cell r="F198">
            <v>40</v>
          </cell>
          <cell r="G198" t="str">
            <v>M.</v>
          </cell>
        </row>
        <row r="199">
          <cell r="C199">
            <v>350</v>
          </cell>
          <cell r="D199" t="str">
            <v>-  36/C - 62.5/125 FIBER OPTIC, LOOSE BUFFER, SINGLE JACKET</v>
          </cell>
          <cell r="E199">
            <v>760</v>
          </cell>
          <cell r="F199">
            <v>55</v>
          </cell>
          <cell r="G199" t="str">
            <v>M.</v>
          </cell>
        </row>
        <row r="200">
          <cell r="C200">
            <v>351</v>
          </cell>
          <cell r="D200" t="str">
            <v>-  48/C - 62.5/125 FIBER OPTIC, LOOSE BUFFER, SINGLE JACKET</v>
          </cell>
          <cell r="E200">
            <v>1005</v>
          </cell>
          <cell r="F200">
            <v>70</v>
          </cell>
          <cell r="G200" t="str">
            <v>M.</v>
          </cell>
        </row>
        <row r="201">
          <cell r="C201">
            <v>352</v>
          </cell>
          <cell r="D201" t="str">
            <v>-  60/C - 62.5/125 FIBER OPTIC, LOOSE BUFFER, SINGLE JACKET</v>
          </cell>
          <cell r="E201">
            <v>1256</v>
          </cell>
          <cell r="F201">
            <v>80</v>
          </cell>
          <cell r="G201" t="str">
            <v>M.</v>
          </cell>
        </row>
        <row r="202">
          <cell r="C202">
            <v>353</v>
          </cell>
          <cell r="D202" t="str">
            <v>-  72/C - 62.5/125 FIBER OPTIC, LOOSE BUFFER, SINGLE JACKET</v>
          </cell>
          <cell r="E202">
            <v>1503</v>
          </cell>
          <cell r="F202">
            <v>90</v>
          </cell>
          <cell r="G202" t="str">
            <v>M.</v>
          </cell>
        </row>
        <row r="203">
          <cell r="C203">
            <v>354</v>
          </cell>
          <cell r="D203" t="str">
            <v>-  2/C - 62.5/125 FIBER OPTIC, LOOSE BUFFER, DOUBLE JACKET</v>
          </cell>
          <cell r="E203">
            <v>105</v>
          </cell>
          <cell r="F203">
            <v>12</v>
          </cell>
          <cell r="G203" t="str">
            <v>M.</v>
          </cell>
        </row>
        <row r="204">
          <cell r="C204">
            <v>355</v>
          </cell>
          <cell r="D204" t="str">
            <v>-  4/C - 62.5/125 FIBER OPTIC, LOOSE BUFFER, DOUBLE JACKET</v>
          </cell>
          <cell r="E204">
            <v>145</v>
          </cell>
          <cell r="F204">
            <v>15</v>
          </cell>
          <cell r="G204" t="str">
            <v>M.</v>
          </cell>
        </row>
        <row r="205">
          <cell r="C205">
            <v>356</v>
          </cell>
          <cell r="D205" t="str">
            <v>-  6/C - 62.5/125 FIBER OPTIC, LOOSE BUFFER, DOUBLE JACKET</v>
          </cell>
          <cell r="E205">
            <v>225</v>
          </cell>
          <cell r="F205">
            <v>18</v>
          </cell>
          <cell r="G205" t="str">
            <v>M.</v>
          </cell>
        </row>
        <row r="206">
          <cell r="C206">
            <v>357</v>
          </cell>
          <cell r="D206" t="str">
            <v>-  8/C - 62.5/125 FIBER OPTIC, LOOSE BUFFER, DOUBLE JACKET</v>
          </cell>
          <cell r="E206">
            <v>230</v>
          </cell>
          <cell r="F206">
            <v>22</v>
          </cell>
          <cell r="G206" t="str">
            <v>M.</v>
          </cell>
        </row>
        <row r="207">
          <cell r="C207">
            <v>358</v>
          </cell>
          <cell r="D207" t="str">
            <v>-  10/C - 62.5/125 FIBER OPTIC, LOOSE BUFFER, DOUBLE JACKET</v>
          </cell>
          <cell r="E207">
            <v>261</v>
          </cell>
          <cell r="F207">
            <v>27</v>
          </cell>
          <cell r="G207" t="str">
            <v>M.</v>
          </cell>
        </row>
        <row r="208">
          <cell r="C208">
            <v>359</v>
          </cell>
          <cell r="D208" t="str">
            <v>-  12/C - 62.5/125 FIBER OPTIC, LOOSE BUFFER, DOUBLE JACKET</v>
          </cell>
          <cell r="E208">
            <v>290</v>
          </cell>
          <cell r="F208">
            <v>30</v>
          </cell>
          <cell r="G208" t="str">
            <v>M.</v>
          </cell>
        </row>
        <row r="209">
          <cell r="C209">
            <v>360</v>
          </cell>
          <cell r="D209" t="str">
            <v>-  18/C - 62.5/125 FIBER OPTIC, LOOSE BUFFER, DOUBLE JACKET</v>
          </cell>
          <cell r="E209">
            <v>402</v>
          </cell>
          <cell r="F209">
            <v>38</v>
          </cell>
          <cell r="G209" t="str">
            <v>M.</v>
          </cell>
        </row>
        <row r="210">
          <cell r="C210">
            <v>361</v>
          </cell>
          <cell r="D210" t="str">
            <v>-  24/C - 62.5/125 FIBER OPTIC, LOOSE BUFFER, DOUBLE JACKET</v>
          </cell>
          <cell r="E210">
            <v>511</v>
          </cell>
          <cell r="F210">
            <v>43</v>
          </cell>
          <cell r="G210" t="str">
            <v>M.</v>
          </cell>
        </row>
        <row r="211">
          <cell r="C211">
            <v>362</v>
          </cell>
          <cell r="D211" t="str">
            <v>-  36/C - 62.5/125 FIBER OPTIC, LOOSE BUFFER, DOUBLE JACKET</v>
          </cell>
          <cell r="E211">
            <v>771</v>
          </cell>
          <cell r="F211">
            <v>58</v>
          </cell>
          <cell r="G211" t="str">
            <v>M.</v>
          </cell>
        </row>
        <row r="212">
          <cell r="C212">
            <v>363</v>
          </cell>
          <cell r="D212" t="str">
            <v>-  48/C - 62.5/125 FIBER OPTIC, LOOSE BUFFER, DOUBLE JACKET</v>
          </cell>
          <cell r="E212">
            <v>1032</v>
          </cell>
          <cell r="F212">
            <v>75</v>
          </cell>
          <cell r="G212" t="str">
            <v>M.</v>
          </cell>
        </row>
        <row r="213">
          <cell r="C213">
            <v>364</v>
          </cell>
          <cell r="D213" t="str">
            <v>-  60/C - 62.5/125 FIBER OPTIC, LOOSE BUFFER, DOUBLE JACKET</v>
          </cell>
          <cell r="E213">
            <v>1312</v>
          </cell>
          <cell r="F213">
            <v>85</v>
          </cell>
          <cell r="G213" t="str">
            <v>M.</v>
          </cell>
        </row>
        <row r="214">
          <cell r="C214">
            <v>365</v>
          </cell>
          <cell r="D214" t="str">
            <v>-  72/C - 62.5/125 FIBER OPTIC, LOOSE BUFFER, DOUBLE JACKET</v>
          </cell>
          <cell r="E214">
            <v>1526</v>
          </cell>
          <cell r="F214">
            <v>95</v>
          </cell>
          <cell r="G214" t="str">
            <v>M.</v>
          </cell>
        </row>
        <row r="215">
          <cell r="C215">
            <v>366</v>
          </cell>
          <cell r="D215" t="str">
            <v>-  2/C - 62.5/125 FIBER OPTIC, LOOSE BUFFER, ARMORED</v>
          </cell>
          <cell r="E215">
            <v>154</v>
          </cell>
          <cell r="F215">
            <v>15</v>
          </cell>
          <cell r="G215" t="str">
            <v>M.</v>
          </cell>
        </row>
        <row r="216">
          <cell r="C216">
            <v>367</v>
          </cell>
          <cell r="D216" t="str">
            <v>-  4/C - 62.5/125 FIBER OPTIC, LOOSE BUFFER, ARMORED</v>
          </cell>
          <cell r="E216">
            <v>187</v>
          </cell>
          <cell r="F216">
            <v>18</v>
          </cell>
          <cell r="G216" t="str">
            <v>M.</v>
          </cell>
        </row>
        <row r="217">
          <cell r="C217">
            <v>368</v>
          </cell>
          <cell r="D217" t="str">
            <v>-  6/C - 62.5/125 FIBER OPTIC, LOOSE BUFFER, ARMORED</v>
          </cell>
          <cell r="E217">
            <v>218</v>
          </cell>
          <cell r="F217">
            <v>21</v>
          </cell>
          <cell r="G217" t="str">
            <v>M.</v>
          </cell>
        </row>
        <row r="218">
          <cell r="C218">
            <v>369</v>
          </cell>
          <cell r="D218" t="str">
            <v>-  8/C - 62.5/125 FIBER OPTIC, LOOSE BUFFER, ARMORED</v>
          </cell>
          <cell r="E218">
            <v>330</v>
          </cell>
          <cell r="F218">
            <v>25</v>
          </cell>
          <cell r="G218" t="str">
            <v>M.</v>
          </cell>
        </row>
        <row r="219">
          <cell r="C219">
            <v>370</v>
          </cell>
          <cell r="D219" t="str">
            <v>-  10/C - 62.5/125 FIBER OPTIC, LOOSE BUFFER, ARMORED</v>
          </cell>
          <cell r="E219">
            <v>414</v>
          </cell>
          <cell r="F219">
            <v>30</v>
          </cell>
          <cell r="G219" t="str">
            <v>M.</v>
          </cell>
        </row>
        <row r="220">
          <cell r="C220">
            <v>371</v>
          </cell>
          <cell r="D220" t="str">
            <v>-  12/C - 62.5/125 FIBER OPTIC, LOOSE BUFFER, ARMORED</v>
          </cell>
          <cell r="E220">
            <v>457</v>
          </cell>
          <cell r="F220">
            <v>33</v>
          </cell>
          <cell r="G220" t="str">
            <v>M.</v>
          </cell>
        </row>
        <row r="221">
          <cell r="C221">
            <v>372</v>
          </cell>
          <cell r="D221" t="str">
            <v>-  18/C - 62.5/125 FIBER OPTIC, LOOSE BUFFER, ARMORED</v>
          </cell>
          <cell r="E221">
            <v>600</v>
          </cell>
          <cell r="F221">
            <v>41</v>
          </cell>
          <cell r="G221" t="str">
            <v>M.</v>
          </cell>
        </row>
        <row r="222">
          <cell r="C222">
            <v>373</v>
          </cell>
          <cell r="D222" t="str">
            <v>-  24/C - 62.5/125 FIBER OPTIC, LOOSE BUFFER, ARMORED</v>
          </cell>
          <cell r="E222">
            <v>716</v>
          </cell>
          <cell r="F222">
            <v>46</v>
          </cell>
          <cell r="G222" t="str">
            <v>M.</v>
          </cell>
        </row>
        <row r="223">
          <cell r="C223">
            <v>374</v>
          </cell>
          <cell r="D223" t="str">
            <v>-  36/C - 62.5/125 FIBER OPTIC, LOOSE BUFFER, ARMORED</v>
          </cell>
          <cell r="E223">
            <v>991</v>
          </cell>
          <cell r="F223">
            <v>51</v>
          </cell>
          <cell r="G223" t="str">
            <v>M.</v>
          </cell>
        </row>
        <row r="224">
          <cell r="C224">
            <v>375</v>
          </cell>
          <cell r="D224" t="str">
            <v>-  48/C - 62.5/125 FIBER OPTIC, LOOSE BUFFER, ARMORED</v>
          </cell>
          <cell r="E224">
            <v>1210</v>
          </cell>
          <cell r="F224">
            <v>80</v>
          </cell>
          <cell r="G224" t="str">
            <v>M.</v>
          </cell>
        </row>
        <row r="225">
          <cell r="C225">
            <v>376</v>
          </cell>
          <cell r="D225" t="str">
            <v>-  60/C - 62.5/125 FIBER OPTIC, LOOSE BUFFER, ARMORED</v>
          </cell>
          <cell r="E225">
            <v>1513</v>
          </cell>
          <cell r="F225">
            <v>90</v>
          </cell>
          <cell r="G225" t="str">
            <v>M.</v>
          </cell>
        </row>
        <row r="226">
          <cell r="C226">
            <v>377</v>
          </cell>
          <cell r="D226" t="str">
            <v>-  72/C - 62.5/125 FIBER OPTIC, LOOSE BUFFER, ARMORED</v>
          </cell>
          <cell r="E226">
            <v>1745</v>
          </cell>
          <cell r="F226">
            <v>100</v>
          </cell>
          <cell r="G226" t="str">
            <v>M.</v>
          </cell>
        </row>
        <row r="227">
          <cell r="C227">
            <v>326</v>
          </cell>
          <cell r="D227" t="str">
            <v>SPACE</v>
          </cell>
          <cell r="E227">
            <v>1832</v>
          </cell>
          <cell r="F227">
            <v>130</v>
          </cell>
          <cell r="G227" t="str">
            <v>M.</v>
          </cell>
        </row>
        <row r="228">
          <cell r="C228">
            <v>4</v>
          </cell>
          <cell r="D228" t="str">
            <v>FIRE ALARM SYSTEM</v>
          </cell>
          <cell r="E228">
            <v>2131</v>
          </cell>
          <cell r="F228">
            <v>140</v>
          </cell>
          <cell r="G228" t="str">
            <v>M.</v>
          </cell>
        </row>
        <row r="229">
          <cell r="C229">
            <v>401</v>
          </cell>
          <cell r="D229" t="str">
            <v>-  COMBINATION DETECTOR</v>
          </cell>
          <cell r="E229">
            <v>1200</v>
          </cell>
          <cell r="F229">
            <v>100</v>
          </cell>
          <cell r="G229" t="str">
            <v>EA.</v>
          </cell>
        </row>
        <row r="230">
          <cell r="C230">
            <v>402</v>
          </cell>
          <cell r="D230" t="str">
            <v>-  RATE OR RISE DETECTOR</v>
          </cell>
          <cell r="E230">
            <v>700</v>
          </cell>
          <cell r="F230">
            <v>100</v>
          </cell>
          <cell r="G230" t="str">
            <v>EA.</v>
          </cell>
        </row>
        <row r="231">
          <cell r="C231">
            <v>403</v>
          </cell>
          <cell r="D231" t="str">
            <v>-  FIXED TEMP DETECTOR</v>
          </cell>
          <cell r="E231">
            <v>700</v>
          </cell>
          <cell r="F231">
            <v>100</v>
          </cell>
          <cell r="G231" t="str">
            <v>EA.</v>
          </cell>
        </row>
        <row r="232">
          <cell r="C232">
            <v>404</v>
          </cell>
          <cell r="D232" t="str">
            <v>-  IONIZATION SMOKE DETECTOR</v>
          </cell>
          <cell r="E232">
            <v>2000</v>
          </cell>
          <cell r="F232">
            <v>100</v>
          </cell>
          <cell r="G232" t="str">
            <v>EA.</v>
          </cell>
        </row>
        <row r="233">
          <cell r="C233">
            <v>405</v>
          </cell>
          <cell r="D233" t="str">
            <v>-  PHOTO ELECTRIC SMOKE DETECTOR</v>
          </cell>
          <cell r="E233">
            <v>2500</v>
          </cell>
          <cell r="F233">
            <v>100</v>
          </cell>
          <cell r="G233" t="str">
            <v>EA.</v>
          </cell>
        </row>
        <row r="234">
          <cell r="C234">
            <v>406</v>
          </cell>
          <cell r="D234" t="str">
            <v>-  BEAM SMOKE DETECTOR</v>
          </cell>
          <cell r="E234">
            <v>30000</v>
          </cell>
          <cell r="F234">
            <v>500</v>
          </cell>
          <cell r="G234" t="str">
            <v>EA.</v>
          </cell>
        </row>
        <row r="235">
          <cell r="C235">
            <v>407</v>
          </cell>
          <cell r="D235" t="str">
            <v>-  MANUAL STATION</v>
          </cell>
          <cell r="E235">
            <v>2000</v>
          </cell>
          <cell r="F235">
            <v>100</v>
          </cell>
          <cell r="G235" t="str">
            <v>EA.</v>
          </cell>
        </row>
        <row r="236">
          <cell r="C236">
            <v>408</v>
          </cell>
          <cell r="D236" t="str">
            <v>-  MANUAL STATION W./KEY OPERATE</v>
          </cell>
          <cell r="E236">
            <v>2500</v>
          </cell>
          <cell r="F236">
            <v>100</v>
          </cell>
          <cell r="G236" t="str">
            <v>EA.</v>
          </cell>
        </row>
        <row r="237">
          <cell r="C237">
            <v>409</v>
          </cell>
          <cell r="D237" t="str">
            <v>-  TELEPHONE STATION</v>
          </cell>
          <cell r="E237">
            <v>400</v>
          </cell>
          <cell r="F237">
            <v>100</v>
          </cell>
          <cell r="G237" t="str">
            <v>EA.</v>
          </cell>
        </row>
        <row r="238">
          <cell r="C238">
            <v>410</v>
          </cell>
          <cell r="D238" t="str">
            <v>-  6" ELECTRIC BELL</v>
          </cell>
          <cell r="E238">
            <v>2200</v>
          </cell>
          <cell r="F238">
            <v>100</v>
          </cell>
          <cell r="G238" t="str">
            <v>EA.</v>
          </cell>
        </row>
        <row r="239">
          <cell r="C239">
            <v>411</v>
          </cell>
          <cell r="D239" t="str">
            <v>-  STROBE LIGHT</v>
          </cell>
          <cell r="E239">
            <v>3000</v>
          </cell>
          <cell r="F239">
            <v>100</v>
          </cell>
          <cell r="G239" t="str">
            <v>EA.</v>
          </cell>
        </row>
        <row r="240">
          <cell r="C240">
            <v>412</v>
          </cell>
          <cell r="D240" t="str">
            <v>-  STROBE LIGHT W./SPEAKER</v>
          </cell>
          <cell r="E240">
            <v>5500</v>
          </cell>
          <cell r="F240">
            <v>100</v>
          </cell>
          <cell r="G240" t="str">
            <v>EA.</v>
          </cell>
        </row>
        <row r="241">
          <cell r="C241">
            <v>340</v>
          </cell>
          <cell r="D241" t="str">
            <v>SPACE</v>
          </cell>
          <cell r="E241">
            <v>1158</v>
          </cell>
          <cell r="F241">
            <v>150</v>
          </cell>
          <cell r="G241" t="str">
            <v>M.</v>
          </cell>
        </row>
        <row r="242">
          <cell r="C242">
            <v>421</v>
          </cell>
          <cell r="D242" t="str">
            <v>-  16 ZONE TELEPHONE MODULE</v>
          </cell>
          <cell r="E242">
            <v>100000</v>
          </cell>
          <cell r="F242">
            <v>5000</v>
          </cell>
          <cell r="G242" t="str">
            <v>SET</v>
          </cell>
        </row>
        <row r="243">
          <cell r="C243">
            <v>422</v>
          </cell>
          <cell r="D243" t="str">
            <v>-  2 LOOP MULTIPLEX FCP</v>
          </cell>
          <cell r="E243">
            <v>150000</v>
          </cell>
          <cell r="F243">
            <v>20000</v>
          </cell>
          <cell r="G243" t="str">
            <v>SET</v>
          </cell>
        </row>
        <row r="244">
          <cell r="C244">
            <v>423</v>
          </cell>
          <cell r="D244" t="str">
            <v>-  10 LOOP MULTIPLEX FCP</v>
          </cell>
          <cell r="E244">
            <v>400000</v>
          </cell>
          <cell r="F244">
            <v>40000</v>
          </cell>
          <cell r="G244" t="str">
            <v>SET</v>
          </cell>
        </row>
        <row r="245">
          <cell r="C245">
            <v>424</v>
          </cell>
          <cell r="D245" t="str">
            <v>-  8 ZONE HARD-WIRE FCP</v>
          </cell>
          <cell r="E245">
            <v>50000</v>
          </cell>
          <cell r="F245">
            <v>5000</v>
          </cell>
          <cell r="G245" t="str">
            <v>SET</v>
          </cell>
        </row>
        <row r="246">
          <cell r="C246">
            <v>425</v>
          </cell>
          <cell r="D246" t="str">
            <v>-  12 ZONE HARD-WIRE FCP</v>
          </cell>
          <cell r="E246">
            <v>70000</v>
          </cell>
          <cell r="F246">
            <v>8000</v>
          </cell>
          <cell r="G246" t="str">
            <v>SET</v>
          </cell>
        </row>
        <row r="247">
          <cell r="C247">
            <v>426</v>
          </cell>
          <cell r="D247" t="str">
            <v>-  36 ZONE HARD-WIRE FCP</v>
          </cell>
          <cell r="E247">
            <v>105000</v>
          </cell>
          <cell r="F247">
            <v>15000</v>
          </cell>
          <cell r="G247" t="str">
            <v>SET</v>
          </cell>
        </row>
        <row r="248">
          <cell r="C248">
            <v>427</v>
          </cell>
          <cell r="D248" t="str">
            <v>-  52 ZONE HARD-WIRE FCP</v>
          </cell>
          <cell r="E248">
            <v>300000</v>
          </cell>
          <cell r="F248">
            <v>30000</v>
          </cell>
          <cell r="G248" t="str">
            <v>SET</v>
          </cell>
        </row>
        <row r="249">
          <cell r="C249">
            <v>348</v>
          </cell>
          <cell r="D249" t="str">
            <v>SPACE</v>
          </cell>
          <cell r="E249">
            <v>3166</v>
          </cell>
          <cell r="F249">
            <v>220</v>
          </cell>
          <cell r="G249" t="str">
            <v>M.</v>
          </cell>
        </row>
        <row r="250">
          <cell r="C250">
            <v>5</v>
          </cell>
          <cell r="D250" t="str">
            <v>BURGLAR ALARM</v>
          </cell>
          <cell r="E250">
            <v>3709</v>
          </cell>
          <cell r="F250">
            <v>240</v>
          </cell>
          <cell r="G250" t="str">
            <v>M.</v>
          </cell>
        </row>
        <row r="251">
          <cell r="C251">
            <v>501</v>
          </cell>
          <cell r="D251" t="str">
            <v>-  16 ZONE BURGLAR ALARM CONTROL CENTER</v>
          </cell>
          <cell r="E251">
            <v>23000</v>
          </cell>
          <cell r="F251">
            <v>2000</v>
          </cell>
          <cell r="G251" t="str">
            <v>SET</v>
          </cell>
        </row>
        <row r="252">
          <cell r="C252">
            <v>502</v>
          </cell>
          <cell r="D252" t="str">
            <v>-  32 ZONE BURGLAR ALARM CONTROL CENTER</v>
          </cell>
          <cell r="E252">
            <v>32000</v>
          </cell>
          <cell r="F252">
            <v>3000</v>
          </cell>
          <cell r="G252" t="str">
            <v>SET</v>
          </cell>
        </row>
        <row r="253">
          <cell r="C253">
            <v>503</v>
          </cell>
          <cell r="D253" t="str">
            <v>-  6  ZONE BURGLAR ALARM</v>
          </cell>
          <cell r="E253">
            <v>12600</v>
          </cell>
          <cell r="F253">
            <v>1000</v>
          </cell>
          <cell r="G253" t="str">
            <v>SET</v>
          </cell>
        </row>
        <row r="254">
          <cell r="C254">
            <v>504</v>
          </cell>
          <cell r="D254" t="str">
            <v>-  16 ZONE BURGLAR ALARM</v>
          </cell>
          <cell r="E254">
            <v>17000</v>
          </cell>
          <cell r="F254">
            <v>1500</v>
          </cell>
          <cell r="G254" t="str">
            <v>SET</v>
          </cell>
        </row>
        <row r="255">
          <cell r="C255">
            <v>505</v>
          </cell>
          <cell r="D255" t="str">
            <v>-  INFRARED MOTION DETECTOR</v>
          </cell>
          <cell r="E255">
            <v>4250</v>
          </cell>
          <cell r="F255">
            <v>200</v>
          </cell>
          <cell r="G255" t="str">
            <v>EA.</v>
          </cell>
        </row>
        <row r="256">
          <cell r="C256">
            <v>506</v>
          </cell>
          <cell r="D256" t="str">
            <v>-  DUAL MODE MOTION DETECTOR</v>
          </cell>
          <cell r="E256">
            <v>9500</v>
          </cell>
          <cell r="F256">
            <v>500</v>
          </cell>
          <cell r="G256" t="str">
            <v>EA.</v>
          </cell>
        </row>
        <row r="257">
          <cell r="C257">
            <v>507</v>
          </cell>
          <cell r="D257" t="str">
            <v>-  DUAL BEAM MOTION DETECTOR</v>
          </cell>
          <cell r="E257">
            <v>35000</v>
          </cell>
          <cell r="F257">
            <v>500</v>
          </cell>
          <cell r="G257" t="str">
            <v>EA.</v>
          </cell>
        </row>
        <row r="258">
          <cell r="C258">
            <v>508</v>
          </cell>
          <cell r="D258" t="str">
            <v>-  DUAL BEAM MOTION DETECTOR</v>
          </cell>
          <cell r="E258">
            <v>23000</v>
          </cell>
          <cell r="F258">
            <v>500</v>
          </cell>
          <cell r="G258" t="str">
            <v>EA.</v>
          </cell>
        </row>
        <row r="259">
          <cell r="C259">
            <v>509</v>
          </cell>
          <cell r="D259" t="str">
            <v>-  BRAKE GLASS DETECTOR</v>
          </cell>
          <cell r="E259">
            <v>7200</v>
          </cell>
          <cell r="F259">
            <v>200</v>
          </cell>
          <cell r="G259" t="str">
            <v>EA.</v>
          </cell>
        </row>
        <row r="260">
          <cell r="C260">
            <v>510</v>
          </cell>
          <cell r="D260" t="str">
            <v>-  MAGNETIC CONTACTOR</v>
          </cell>
          <cell r="E260">
            <v>580</v>
          </cell>
          <cell r="F260">
            <v>300</v>
          </cell>
          <cell r="G260" t="str">
            <v>EA.</v>
          </cell>
        </row>
        <row r="261">
          <cell r="C261">
            <v>511</v>
          </cell>
          <cell r="D261" t="str">
            <v>-  INITIATING PUSH DUTION</v>
          </cell>
          <cell r="E261">
            <v>710</v>
          </cell>
          <cell r="F261">
            <v>100</v>
          </cell>
          <cell r="G261" t="str">
            <v>EA.</v>
          </cell>
        </row>
        <row r="262">
          <cell r="C262">
            <v>512</v>
          </cell>
          <cell r="D262" t="str">
            <v>-  KEY PAD 8 ZONE</v>
          </cell>
          <cell r="E262">
            <v>4500</v>
          </cell>
          <cell r="F262">
            <v>100</v>
          </cell>
          <cell r="G262" t="str">
            <v>EA.</v>
          </cell>
        </row>
        <row r="263">
          <cell r="C263">
            <v>513</v>
          </cell>
          <cell r="D263" t="str">
            <v>-  KEY PAD 16 ZONE</v>
          </cell>
          <cell r="E263">
            <v>6200</v>
          </cell>
          <cell r="F263">
            <v>200</v>
          </cell>
          <cell r="G263" t="str">
            <v>EA.</v>
          </cell>
        </row>
        <row r="264">
          <cell r="C264">
            <v>514</v>
          </cell>
          <cell r="D264" t="str">
            <v>-  KEY PAD 16 ZONE</v>
          </cell>
          <cell r="E264">
            <v>19000</v>
          </cell>
          <cell r="F264">
            <v>200</v>
          </cell>
          <cell r="G264" t="str">
            <v>EA.</v>
          </cell>
        </row>
        <row r="265">
          <cell r="C265">
            <v>515</v>
          </cell>
          <cell r="D265" t="str">
            <v>-  KEY CARD ACCESS</v>
          </cell>
          <cell r="E265">
            <v>15000</v>
          </cell>
          <cell r="F265">
            <v>200</v>
          </cell>
          <cell r="G265" t="str">
            <v>EA.</v>
          </cell>
        </row>
        <row r="266">
          <cell r="C266">
            <v>365</v>
          </cell>
          <cell r="D266" t="str">
            <v>-  1/C - 150 SQ.MM. 35 KV.XLPE</v>
          </cell>
          <cell r="E266">
            <v>0</v>
          </cell>
          <cell r="F266">
            <v>90</v>
          </cell>
          <cell r="G266" t="str">
            <v>M.</v>
          </cell>
        </row>
        <row r="267">
          <cell r="C267">
            <v>366</v>
          </cell>
          <cell r="D267" t="str">
            <v>-  1/C - 185 SQ.MM. 35 KV.XLPE</v>
          </cell>
          <cell r="E267">
            <v>0</v>
          </cell>
          <cell r="F267">
            <v>100</v>
          </cell>
          <cell r="G267" t="str">
            <v>M.</v>
          </cell>
        </row>
        <row r="268">
          <cell r="C268">
            <v>367</v>
          </cell>
          <cell r="D268" t="str">
            <v>-  1/C - 240 SQ.MM. 35 KV.XLPE</v>
          </cell>
          <cell r="E268">
            <v>0</v>
          </cell>
          <cell r="F268">
            <v>110</v>
          </cell>
          <cell r="G268" t="str">
            <v>M.</v>
          </cell>
        </row>
        <row r="269">
          <cell r="D269" t="str">
            <v>SPACE</v>
          </cell>
        </row>
        <row r="270">
          <cell r="C270">
            <v>369</v>
          </cell>
          <cell r="D270" t="str">
            <v>-  1/C - 35 SQ.MM. 25 KV.PIC</v>
          </cell>
          <cell r="E270">
            <v>108</v>
          </cell>
          <cell r="F270">
            <v>20</v>
          </cell>
          <cell r="G270" t="str">
            <v>M.</v>
          </cell>
        </row>
        <row r="271">
          <cell r="C271">
            <v>370</v>
          </cell>
          <cell r="D271" t="str">
            <v>-  1/C - 50 SQ.MM. 25 KV.PIC</v>
          </cell>
          <cell r="E271">
            <v>128</v>
          </cell>
          <cell r="F271">
            <v>25</v>
          </cell>
          <cell r="G271" t="str">
            <v>M.</v>
          </cell>
        </row>
        <row r="272">
          <cell r="C272">
            <v>371</v>
          </cell>
          <cell r="D272" t="str">
            <v>-  1/C - 70 SQ.MM. 25 KV.PIC</v>
          </cell>
          <cell r="E272">
            <v>148</v>
          </cell>
          <cell r="F272">
            <v>30</v>
          </cell>
          <cell r="G272" t="str">
            <v>M.</v>
          </cell>
        </row>
        <row r="273">
          <cell r="C273">
            <v>372</v>
          </cell>
          <cell r="D273" t="str">
            <v>-  1/C - 95 SQ.MM. 25 KV.PIC</v>
          </cell>
          <cell r="E273">
            <v>178</v>
          </cell>
          <cell r="F273">
            <v>35</v>
          </cell>
          <cell r="G273" t="str">
            <v>M.</v>
          </cell>
        </row>
        <row r="274">
          <cell r="C274">
            <v>373</v>
          </cell>
          <cell r="D274" t="str">
            <v>-  1/C - 120 SQ.MM. 25 KV.PIC</v>
          </cell>
          <cell r="E274">
            <v>208</v>
          </cell>
          <cell r="F274">
            <v>40</v>
          </cell>
          <cell r="G274" t="str">
            <v>M.</v>
          </cell>
        </row>
        <row r="275">
          <cell r="C275">
            <v>374</v>
          </cell>
          <cell r="D275" t="str">
            <v>-  1/C - 150 SQ.MM. 25 KV.PIC</v>
          </cell>
          <cell r="E275">
            <v>248</v>
          </cell>
          <cell r="F275">
            <v>60</v>
          </cell>
          <cell r="G275" t="str">
            <v>M.</v>
          </cell>
        </row>
        <row r="276">
          <cell r="C276">
            <v>375</v>
          </cell>
          <cell r="D276" t="str">
            <v>-  1/C - 185 SQ.MM. 25 KV.PIC</v>
          </cell>
          <cell r="E276">
            <v>288</v>
          </cell>
          <cell r="F276">
            <v>70</v>
          </cell>
          <cell r="G276" t="str">
            <v>M.</v>
          </cell>
        </row>
        <row r="277">
          <cell r="C277">
            <v>376</v>
          </cell>
          <cell r="D277" t="str">
            <v>-  1/C - 240 SQ.MM. 25 KV.PIC</v>
          </cell>
          <cell r="E277">
            <v>348</v>
          </cell>
          <cell r="F277">
            <v>75</v>
          </cell>
          <cell r="G277" t="str">
            <v>M.</v>
          </cell>
        </row>
        <row r="278">
          <cell r="C278">
            <v>377</v>
          </cell>
          <cell r="D278" t="str">
            <v>-  1/C - 35 SQ.MM. 35 KV.PIC</v>
          </cell>
          <cell r="E278">
            <v>0</v>
          </cell>
          <cell r="F278">
            <v>30</v>
          </cell>
          <cell r="G278" t="str">
            <v>M.</v>
          </cell>
        </row>
        <row r="279">
          <cell r="C279">
            <v>378</v>
          </cell>
          <cell r="D279" t="str">
            <v>-  1/C - 50 SQ.MM. 35 KV.PIC</v>
          </cell>
          <cell r="E279">
            <v>0</v>
          </cell>
          <cell r="F279">
            <v>35</v>
          </cell>
          <cell r="G279" t="str">
            <v>M.</v>
          </cell>
        </row>
        <row r="280">
          <cell r="C280">
            <v>379</v>
          </cell>
          <cell r="D280" t="str">
            <v>-  1/C - 70 SQ.MM. 35 KV.PIC</v>
          </cell>
          <cell r="E280">
            <v>0</v>
          </cell>
          <cell r="F280">
            <v>40</v>
          </cell>
          <cell r="G280" t="str">
            <v>M.</v>
          </cell>
        </row>
        <row r="281">
          <cell r="C281">
            <v>380</v>
          </cell>
          <cell r="D281" t="str">
            <v>-  1/C - 95 SQ.MM. 35 KV.PIC</v>
          </cell>
          <cell r="E281">
            <v>0</v>
          </cell>
          <cell r="F281">
            <v>60</v>
          </cell>
          <cell r="G281" t="str">
            <v>M.</v>
          </cell>
        </row>
        <row r="282">
          <cell r="C282">
            <v>381</v>
          </cell>
          <cell r="D282" t="str">
            <v>-  1/C - 120 SQ.MM. 35 KV.PIC</v>
          </cell>
          <cell r="E282">
            <v>0</v>
          </cell>
          <cell r="F282">
            <v>70</v>
          </cell>
          <cell r="G282" t="str">
            <v>M.</v>
          </cell>
        </row>
        <row r="283">
          <cell r="C283">
            <v>382</v>
          </cell>
          <cell r="D283" t="str">
            <v>-  1/C - 150 SQ.MM. 35 KV.PIC</v>
          </cell>
          <cell r="E283">
            <v>0</v>
          </cell>
          <cell r="F283">
            <v>75</v>
          </cell>
          <cell r="G283" t="str">
            <v>M.</v>
          </cell>
        </row>
        <row r="284">
          <cell r="C284">
            <v>383</v>
          </cell>
          <cell r="D284" t="str">
            <v>-  1/C - 185 SQ.MM. 35 KV.PIC</v>
          </cell>
          <cell r="E284">
            <v>0</v>
          </cell>
          <cell r="F284">
            <v>80</v>
          </cell>
          <cell r="G284" t="str">
            <v>M.</v>
          </cell>
        </row>
        <row r="285">
          <cell r="C285">
            <v>384</v>
          </cell>
          <cell r="D285" t="str">
            <v>-  1/C - 240 SQ.MM. 35 KV.PIC</v>
          </cell>
          <cell r="E285">
            <v>0</v>
          </cell>
          <cell r="F285">
            <v>85</v>
          </cell>
          <cell r="G285" t="str">
            <v>M.</v>
          </cell>
        </row>
        <row r="286">
          <cell r="D286" t="str">
            <v>SPACE</v>
          </cell>
        </row>
        <row r="287">
          <cell r="C287">
            <v>386</v>
          </cell>
          <cell r="D287" t="str">
            <v>-  1/C - 35 SQ.MM. 25 KV.SPACED AERIAL</v>
          </cell>
          <cell r="E287">
            <v>160</v>
          </cell>
          <cell r="F287">
            <v>25</v>
          </cell>
          <cell r="G287" t="str">
            <v>M.</v>
          </cell>
        </row>
        <row r="288">
          <cell r="C288">
            <v>387</v>
          </cell>
          <cell r="D288" t="str">
            <v>-  1/C - 50 SQ.MM. 25 KV.SPACED AERIAL</v>
          </cell>
          <cell r="E288">
            <v>190</v>
          </cell>
          <cell r="F288">
            <v>30</v>
          </cell>
          <cell r="G288" t="str">
            <v>M.</v>
          </cell>
        </row>
        <row r="289">
          <cell r="C289">
            <v>388</v>
          </cell>
          <cell r="D289" t="str">
            <v>-  1/C - 70 SQ.MM. 25 KV.SPACED AERIAL</v>
          </cell>
          <cell r="E289">
            <v>220</v>
          </cell>
          <cell r="F289">
            <v>35</v>
          </cell>
          <cell r="G289" t="str">
            <v>M.</v>
          </cell>
        </row>
        <row r="290">
          <cell r="C290">
            <v>389</v>
          </cell>
          <cell r="D290" t="str">
            <v>-  1/C - 95 SQ.MM. 25 KV.SPACED AERIAL</v>
          </cell>
          <cell r="E290">
            <v>260</v>
          </cell>
          <cell r="F290">
            <v>40</v>
          </cell>
          <cell r="G290" t="str">
            <v>M.</v>
          </cell>
        </row>
        <row r="291">
          <cell r="C291">
            <v>390</v>
          </cell>
          <cell r="D291" t="str">
            <v>-  1/C - 120 SQ.MM. 25 KV.SPACED AERIAL</v>
          </cell>
          <cell r="E291">
            <v>300</v>
          </cell>
          <cell r="F291">
            <v>60</v>
          </cell>
          <cell r="G291" t="str">
            <v>M.</v>
          </cell>
        </row>
        <row r="292">
          <cell r="C292">
            <v>391</v>
          </cell>
          <cell r="D292" t="str">
            <v>-  1/C - 150 SQ.MM. 25 KV.SPACED AERIAL</v>
          </cell>
          <cell r="E292">
            <v>340</v>
          </cell>
          <cell r="F292">
            <v>70</v>
          </cell>
          <cell r="G292" t="str">
            <v>M.</v>
          </cell>
        </row>
        <row r="293">
          <cell r="C293">
            <v>392</v>
          </cell>
          <cell r="D293" t="str">
            <v>-  1/C - 185 SQ.MM. 25 KV.SPACED AERIAL</v>
          </cell>
          <cell r="E293">
            <v>390</v>
          </cell>
          <cell r="F293">
            <v>75</v>
          </cell>
          <cell r="G293" t="str">
            <v>M.</v>
          </cell>
        </row>
        <row r="294">
          <cell r="C294">
            <v>393</v>
          </cell>
          <cell r="D294" t="str">
            <v>-  1/C - 240 SQ.MM. 25 KV.SPACED AERIAL</v>
          </cell>
          <cell r="E294">
            <v>470</v>
          </cell>
          <cell r="F294">
            <v>80</v>
          </cell>
          <cell r="G294" t="str">
            <v>M.</v>
          </cell>
        </row>
        <row r="295">
          <cell r="C295">
            <v>394</v>
          </cell>
          <cell r="D295" t="str">
            <v>-  1/C - 35 SQ.MM. 35 KV.SPACED AERIAL</v>
          </cell>
          <cell r="E295">
            <v>0</v>
          </cell>
          <cell r="F295">
            <v>75</v>
          </cell>
          <cell r="G295" t="str">
            <v>M.</v>
          </cell>
        </row>
        <row r="296">
          <cell r="C296">
            <v>395</v>
          </cell>
          <cell r="D296" t="str">
            <v>-  1/C - 50 SQ.MM. 35 KV.SPACED AERIAL</v>
          </cell>
          <cell r="E296">
            <v>0</v>
          </cell>
          <cell r="F296">
            <v>89</v>
          </cell>
          <cell r="G296" t="str">
            <v>M.</v>
          </cell>
        </row>
        <row r="297">
          <cell r="C297">
            <v>396</v>
          </cell>
          <cell r="D297" t="str">
            <v>-  1/C - 70 SQ.MM. 35 KV.SPACED AERIAL</v>
          </cell>
          <cell r="E297">
            <v>0</v>
          </cell>
          <cell r="F297">
            <v>85</v>
          </cell>
          <cell r="G297" t="str">
            <v>M.</v>
          </cell>
        </row>
        <row r="298">
          <cell r="C298">
            <v>397</v>
          </cell>
          <cell r="D298" t="str">
            <v>-  1/C - 95 SQ.MM. 35 KV.SPACED AERIAL</v>
          </cell>
          <cell r="E298">
            <v>0</v>
          </cell>
          <cell r="F298">
            <v>90</v>
          </cell>
          <cell r="G298" t="str">
            <v>M.</v>
          </cell>
        </row>
        <row r="299">
          <cell r="C299">
            <v>398</v>
          </cell>
          <cell r="D299" t="str">
            <v>-  1/C - 120 SQ.MM. 35 KV.SPACED AERIAL</v>
          </cell>
          <cell r="E299">
            <v>0</v>
          </cell>
          <cell r="F299">
            <v>100</v>
          </cell>
          <cell r="G299" t="str">
            <v>M.</v>
          </cell>
        </row>
        <row r="300">
          <cell r="C300">
            <v>399</v>
          </cell>
          <cell r="D300" t="str">
            <v>-  1/C - 150 SQ.MM. 35 KV.SPACED AERIAL</v>
          </cell>
          <cell r="E300">
            <v>0</v>
          </cell>
          <cell r="F300">
            <v>110</v>
          </cell>
          <cell r="G300" t="str">
            <v>M.</v>
          </cell>
        </row>
        <row r="301">
          <cell r="C301">
            <v>400</v>
          </cell>
          <cell r="D301" t="str">
            <v>-  1/C - 185 SQ.MM. 35 KV.SPACED AERIAL</v>
          </cell>
          <cell r="E301">
            <v>0</v>
          </cell>
          <cell r="F301">
            <v>120</v>
          </cell>
          <cell r="G301" t="str">
            <v>M.</v>
          </cell>
        </row>
        <row r="302">
          <cell r="C302">
            <v>401</v>
          </cell>
          <cell r="D302" t="str">
            <v>-  1/C - 240 SQ.MM. 35 KV.SPACED AERIAL</v>
          </cell>
          <cell r="E302">
            <v>0</v>
          </cell>
          <cell r="F302">
            <v>140</v>
          </cell>
          <cell r="G302" t="str">
            <v>M.</v>
          </cell>
        </row>
        <row r="303">
          <cell r="C303">
            <v>402</v>
          </cell>
          <cell r="D303" t="str">
            <v>-  25 SQ.MM. ALL ALUMINIUM CABLE</v>
          </cell>
          <cell r="E303">
            <v>9</v>
          </cell>
          <cell r="F303">
            <v>5</v>
          </cell>
          <cell r="G303" t="str">
            <v>M.</v>
          </cell>
        </row>
        <row r="304">
          <cell r="C304">
            <v>403</v>
          </cell>
          <cell r="D304" t="str">
            <v>-  35 SQ.MM. ALL ALUMINIUM CABLE</v>
          </cell>
          <cell r="E304">
            <v>13</v>
          </cell>
          <cell r="F304">
            <v>6</v>
          </cell>
          <cell r="G304" t="str">
            <v>M.</v>
          </cell>
        </row>
        <row r="305">
          <cell r="C305">
            <v>404</v>
          </cell>
          <cell r="D305" t="str">
            <v>-  50 SQ.MM. ALL ALUMINIUM CABLE</v>
          </cell>
          <cell r="E305">
            <v>18</v>
          </cell>
          <cell r="F305">
            <v>8</v>
          </cell>
          <cell r="G305" t="str">
            <v>M.</v>
          </cell>
        </row>
        <row r="306">
          <cell r="C306">
            <v>405</v>
          </cell>
          <cell r="D306" t="str">
            <v>-  70 SQ.MM. ALL ALUMINIUM CABLE</v>
          </cell>
          <cell r="E306">
            <v>26</v>
          </cell>
          <cell r="F306">
            <v>11</v>
          </cell>
          <cell r="G306" t="str">
            <v>M.</v>
          </cell>
        </row>
        <row r="307">
          <cell r="C307">
            <v>406</v>
          </cell>
          <cell r="D307" t="str">
            <v>-  95 SQ.MM. ALL ALUMINIUM CABLE</v>
          </cell>
          <cell r="E307">
            <v>36</v>
          </cell>
          <cell r="F307">
            <v>16</v>
          </cell>
          <cell r="G307" t="str">
            <v>M.</v>
          </cell>
        </row>
        <row r="308">
          <cell r="C308">
            <v>407</v>
          </cell>
          <cell r="D308" t="str">
            <v>-  120 SQ.MM. ALL ALUMINIUM CABLE</v>
          </cell>
          <cell r="E308">
            <v>46</v>
          </cell>
          <cell r="F308">
            <v>20</v>
          </cell>
          <cell r="G308" t="str">
            <v>M.</v>
          </cell>
        </row>
        <row r="309">
          <cell r="C309">
            <v>408</v>
          </cell>
          <cell r="D309" t="str">
            <v>-  150 SQ.MM. ALL ALUMINIUM CABLE</v>
          </cell>
          <cell r="E309">
            <v>56</v>
          </cell>
          <cell r="F309">
            <v>25</v>
          </cell>
          <cell r="G309" t="str">
            <v>M.</v>
          </cell>
        </row>
        <row r="310">
          <cell r="C310">
            <v>409</v>
          </cell>
          <cell r="D310" t="str">
            <v>-  185 SQ.MM. ALL ALUMINIUM CABLE</v>
          </cell>
          <cell r="E310">
            <v>64</v>
          </cell>
          <cell r="F310">
            <v>30</v>
          </cell>
          <cell r="G310" t="str">
            <v>M.</v>
          </cell>
        </row>
        <row r="311">
          <cell r="C311">
            <v>410</v>
          </cell>
          <cell r="D311" t="str">
            <v>-  25 SQ.MM. ACSR</v>
          </cell>
          <cell r="E311">
            <v>11</v>
          </cell>
          <cell r="F311">
            <v>5</v>
          </cell>
          <cell r="G311" t="str">
            <v>M.</v>
          </cell>
        </row>
        <row r="312">
          <cell r="C312">
            <v>411</v>
          </cell>
          <cell r="D312" t="str">
            <v>-  35 SQ.MM. ACSR</v>
          </cell>
          <cell r="E312">
            <v>15</v>
          </cell>
          <cell r="F312">
            <v>6</v>
          </cell>
          <cell r="G312" t="str">
            <v>M.</v>
          </cell>
        </row>
        <row r="313">
          <cell r="C313">
            <v>412</v>
          </cell>
          <cell r="D313" t="str">
            <v>-  50 SQ.MM. ACSR</v>
          </cell>
          <cell r="E313">
            <v>21</v>
          </cell>
          <cell r="F313">
            <v>8</v>
          </cell>
          <cell r="G313" t="str">
            <v>M.</v>
          </cell>
        </row>
        <row r="314">
          <cell r="C314">
            <v>413</v>
          </cell>
          <cell r="D314" t="str">
            <v>-  70 SQ.MM. ACSR</v>
          </cell>
          <cell r="E314">
            <v>30</v>
          </cell>
          <cell r="F314">
            <v>11</v>
          </cell>
          <cell r="G314" t="str">
            <v>M.</v>
          </cell>
        </row>
        <row r="315">
          <cell r="C315">
            <v>414</v>
          </cell>
          <cell r="D315" t="str">
            <v>-  95 SQ.MM. ACSR</v>
          </cell>
          <cell r="E315">
            <v>42</v>
          </cell>
          <cell r="F315">
            <v>16</v>
          </cell>
          <cell r="G315" t="str">
            <v>M.</v>
          </cell>
        </row>
        <row r="316">
          <cell r="C316">
            <v>415</v>
          </cell>
          <cell r="D316" t="str">
            <v>-  120 SQ.MM. ACSR</v>
          </cell>
          <cell r="E316">
            <v>54</v>
          </cell>
          <cell r="F316">
            <v>20</v>
          </cell>
          <cell r="G316" t="str">
            <v>M.</v>
          </cell>
        </row>
        <row r="317">
          <cell r="C317">
            <v>416</v>
          </cell>
          <cell r="D317" t="str">
            <v>-  150 SQ.MM. ACSR</v>
          </cell>
          <cell r="E317">
            <v>83</v>
          </cell>
          <cell r="F317">
            <v>25</v>
          </cell>
          <cell r="G317" t="str">
            <v>M.</v>
          </cell>
        </row>
        <row r="318">
          <cell r="C318">
            <v>417</v>
          </cell>
          <cell r="D318" t="str">
            <v>-  185 SQ.MM. ACSR</v>
          </cell>
          <cell r="E318">
            <v>0</v>
          </cell>
          <cell r="F318">
            <v>0</v>
          </cell>
          <cell r="G318" t="str">
            <v>M.</v>
          </cell>
        </row>
        <row r="319">
          <cell r="D319" t="str">
            <v>SPACE</v>
          </cell>
        </row>
        <row r="320">
          <cell r="C320">
            <v>45</v>
          </cell>
          <cell r="D320" t="str">
            <v>FIRE - RESISTANT CABLE</v>
          </cell>
        </row>
        <row r="321">
          <cell r="C321">
            <v>451</v>
          </cell>
          <cell r="D321" t="str">
            <v>-  1/C - 0.75 SQ.MM. FR.</v>
          </cell>
          <cell r="E321">
            <v>17</v>
          </cell>
          <cell r="F321">
            <v>1</v>
          </cell>
          <cell r="G321" t="str">
            <v>M.</v>
          </cell>
        </row>
        <row r="322">
          <cell r="C322">
            <v>452</v>
          </cell>
          <cell r="D322" t="str">
            <v>-  1/C - 1.0 SQ.MM. FR.</v>
          </cell>
          <cell r="E322">
            <v>19</v>
          </cell>
          <cell r="F322">
            <v>1</v>
          </cell>
          <cell r="G322" t="str">
            <v>M.</v>
          </cell>
        </row>
        <row r="323">
          <cell r="C323">
            <v>453</v>
          </cell>
          <cell r="D323" t="str">
            <v>-  1/C - 1.5 SQ.MM. FR.</v>
          </cell>
          <cell r="E323">
            <v>20</v>
          </cell>
          <cell r="F323">
            <v>1</v>
          </cell>
          <cell r="G323" t="str">
            <v>M.</v>
          </cell>
        </row>
        <row r="324">
          <cell r="C324">
            <v>454</v>
          </cell>
          <cell r="D324" t="str">
            <v>-  1/C - 2.5 SQ.MM. FR.</v>
          </cell>
          <cell r="E324">
            <v>26</v>
          </cell>
          <cell r="F324">
            <v>2</v>
          </cell>
          <cell r="G324" t="str">
            <v>M.</v>
          </cell>
        </row>
        <row r="325">
          <cell r="C325">
            <v>455</v>
          </cell>
          <cell r="D325" t="str">
            <v>-  1/C - 4 SQ.MM. FR.</v>
          </cell>
          <cell r="E325">
            <v>36</v>
          </cell>
          <cell r="F325">
            <v>2</v>
          </cell>
          <cell r="G325" t="str">
            <v>M.</v>
          </cell>
        </row>
        <row r="326">
          <cell r="C326">
            <v>456</v>
          </cell>
          <cell r="D326" t="str">
            <v>-  1/C - 6 SQ.MM. FR.</v>
          </cell>
          <cell r="E326">
            <v>60</v>
          </cell>
          <cell r="F326">
            <v>3</v>
          </cell>
          <cell r="G326" t="str">
            <v>M.</v>
          </cell>
        </row>
        <row r="327">
          <cell r="C327">
            <v>457</v>
          </cell>
          <cell r="D327" t="str">
            <v>-  1/C - 10 SQ.MM. FR.</v>
          </cell>
          <cell r="E327">
            <v>82</v>
          </cell>
          <cell r="F327">
            <v>5</v>
          </cell>
          <cell r="G327" t="str">
            <v>M.</v>
          </cell>
        </row>
        <row r="328">
          <cell r="C328">
            <v>458</v>
          </cell>
          <cell r="D328" t="str">
            <v>-  1/C - 16 SQ.MM. FR.</v>
          </cell>
          <cell r="E328">
            <v>96</v>
          </cell>
          <cell r="F328">
            <v>6</v>
          </cell>
          <cell r="G328" t="str">
            <v>M.</v>
          </cell>
        </row>
        <row r="329">
          <cell r="C329">
            <v>459</v>
          </cell>
          <cell r="D329" t="str">
            <v>-  1/C - 25 SQ.MM. FR.</v>
          </cell>
          <cell r="E329">
            <v>130</v>
          </cell>
          <cell r="F329">
            <v>8</v>
          </cell>
          <cell r="G329" t="str">
            <v>M.</v>
          </cell>
        </row>
        <row r="330">
          <cell r="C330">
            <v>460</v>
          </cell>
          <cell r="D330" t="str">
            <v>-  1/C - 35 SQ.MM. FR.</v>
          </cell>
          <cell r="E330">
            <v>184</v>
          </cell>
          <cell r="F330">
            <v>11</v>
          </cell>
          <cell r="G330" t="str">
            <v>M.</v>
          </cell>
        </row>
        <row r="331">
          <cell r="C331">
            <v>461</v>
          </cell>
          <cell r="D331" t="str">
            <v>-  1/C - 50 SQ.MM. FR.</v>
          </cell>
          <cell r="E331">
            <v>264</v>
          </cell>
          <cell r="F331">
            <v>16</v>
          </cell>
          <cell r="G331" t="str">
            <v>M.</v>
          </cell>
        </row>
        <row r="332">
          <cell r="C332">
            <v>462</v>
          </cell>
          <cell r="D332" t="str">
            <v>-  1/C - 70 SQ.MM. FR.</v>
          </cell>
          <cell r="E332">
            <v>330</v>
          </cell>
          <cell r="F332">
            <v>20</v>
          </cell>
          <cell r="G332" t="str">
            <v>M.</v>
          </cell>
        </row>
        <row r="333">
          <cell r="C333">
            <v>463</v>
          </cell>
          <cell r="D333" t="str">
            <v>-  1/C - 95 SQ.MM. FR.</v>
          </cell>
          <cell r="E333">
            <v>396</v>
          </cell>
          <cell r="F333">
            <v>25</v>
          </cell>
          <cell r="G333" t="str">
            <v>M.</v>
          </cell>
        </row>
        <row r="334">
          <cell r="C334">
            <v>464</v>
          </cell>
          <cell r="D334" t="str">
            <v>-  1/C - 120 SQ.MM. FR.</v>
          </cell>
          <cell r="E334">
            <v>488</v>
          </cell>
          <cell r="F334">
            <v>30</v>
          </cell>
          <cell r="G334" t="str">
            <v>M.</v>
          </cell>
        </row>
        <row r="335">
          <cell r="C335">
            <v>465</v>
          </cell>
          <cell r="D335" t="str">
            <v>-  1/C - 150 SQ.MM. FR.</v>
          </cell>
          <cell r="E335">
            <v>589</v>
          </cell>
          <cell r="F335">
            <v>35</v>
          </cell>
          <cell r="G335" t="str">
            <v>M.</v>
          </cell>
        </row>
        <row r="336">
          <cell r="C336">
            <v>466</v>
          </cell>
          <cell r="D336" t="str">
            <v>-  1/C - 185 SQ.MM. FR.</v>
          </cell>
          <cell r="E336">
            <v>688</v>
          </cell>
          <cell r="F336">
            <v>40</v>
          </cell>
          <cell r="G336" t="str">
            <v>M.</v>
          </cell>
        </row>
        <row r="337">
          <cell r="C337">
            <v>467</v>
          </cell>
          <cell r="D337" t="str">
            <v>-  1/C - 240 SQ.MM. FR.</v>
          </cell>
          <cell r="E337">
            <v>852</v>
          </cell>
          <cell r="F337">
            <v>50</v>
          </cell>
          <cell r="G337" t="str">
            <v>M.</v>
          </cell>
        </row>
        <row r="338">
          <cell r="C338">
            <v>468</v>
          </cell>
          <cell r="D338" t="str">
            <v>-  1/C - 300 SQ.MM. FR.</v>
          </cell>
          <cell r="E338">
            <v>1088</v>
          </cell>
          <cell r="F338">
            <v>60</v>
          </cell>
          <cell r="G338" t="str">
            <v>M.</v>
          </cell>
        </row>
        <row r="339">
          <cell r="C339">
            <v>469</v>
          </cell>
          <cell r="D339" t="str">
            <v>-  1/C - 400 SQ.MM. FR.</v>
          </cell>
          <cell r="E339">
            <v>1308</v>
          </cell>
          <cell r="F339">
            <v>70</v>
          </cell>
          <cell r="G339" t="str">
            <v>M.</v>
          </cell>
        </row>
        <row r="340">
          <cell r="C340">
            <v>470</v>
          </cell>
          <cell r="D340" t="str">
            <v>-  1/C - 500 SQ.MM. FR.</v>
          </cell>
          <cell r="E340">
            <v>1548</v>
          </cell>
          <cell r="F340">
            <v>90</v>
          </cell>
          <cell r="G340" t="str">
            <v>M.</v>
          </cell>
        </row>
        <row r="341">
          <cell r="C341">
            <v>471</v>
          </cell>
          <cell r="D341" t="str">
            <v>-  1/C - 630 SQ.MM. FR.</v>
          </cell>
          <cell r="E341">
            <v>1904</v>
          </cell>
          <cell r="F341">
            <v>105</v>
          </cell>
          <cell r="G341" t="str">
            <v>M.</v>
          </cell>
        </row>
        <row r="342">
          <cell r="C342">
            <v>472</v>
          </cell>
          <cell r="D342" t="str">
            <v>-  1/C - 2.5 SQ.MM. FR. W./SHEET</v>
          </cell>
          <cell r="E342">
            <v>44</v>
          </cell>
          <cell r="F342">
            <v>2</v>
          </cell>
          <cell r="G342" t="str">
            <v>M.</v>
          </cell>
        </row>
        <row r="343">
          <cell r="C343">
            <v>473</v>
          </cell>
          <cell r="D343" t="str">
            <v>-  1/C - 4 SQ.MM. FR. W./SHEET</v>
          </cell>
          <cell r="E343">
            <v>58</v>
          </cell>
          <cell r="F343">
            <v>3</v>
          </cell>
          <cell r="G343" t="str">
            <v>M.</v>
          </cell>
        </row>
        <row r="344">
          <cell r="C344">
            <v>474</v>
          </cell>
          <cell r="D344" t="str">
            <v>-  1/C - 6 SQ.MM. FR. W./SHEET</v>
          </cell>
          <cell r="E344">
            <v>71</v>
          </cell>
          <cell r="F344">
            <v>5</v>
          </cell>
          <cell r="G344" t="str">
            <v>M.</v>
          </cell>
        </row>
        <row r="345">
          <cell r="C345">
            <v>475</v>
          </cell>
          <cell r="D345" t="str">
            <v>-  1/C - 10 SQ.MM. FR. W./SHEET</v>
          </cell>
          <cell r="E345">
            <v>97</v>
          </cell>
          <cell r="F345">
            <v>6</v>
          </cell>
          <cell r="G345" t="str">
            <v>M.</v>
          </cell>
        </row>
        <row r="346">
          <cell r="C346">
            <v>476</v>
          </cell>
          <cell r="D346" t="str">
            <v>-  1/C - 16 SQ.MM. FR. W./SHEET</v>
          </cell>
          <cell r="E346">
            <v>112</v>
          </cell>
          <cell r="F346">
            <v>8</v>
          </cell>
          <cell r="G346" t="str">
            <v>M.</v>
          </cell>
        </row>
        <row r="347">
          <cell r="C347">
            <v>477</v>
          </cell>
          <cell r="D347" t="str">
            <v>-  1/C - 25 SQ.MM. FR. W./SHEET</v>
          </cell>
          <cell r="E347">
            <v>154</v>
          </cell>
          <cell r="F347">
            <v>11</v>
          </cell>
          <cell r="G347" t="str">
            <v>M.</v>
          </cell>
        </row>
        <row r="348">
          <cell r="C348">
            <v>478</v>
          </cell>
          <cell r="D348" t="str">
            <v>-  1/C - 35 SQ.MM. FR. W./SHEET</v>
          </cell>
          <cell r="E348">
            <v>211</v>
          </cell>
          <cell r="F348">
            <v>16</v>
          </cell>
          <cell r="G348" t="str">
            <v>M.</v>
          </cell>
        </row>
        <row r="349">
          <cell r="C349">
            <v>479</v>
          </cell>
          <cell r="D349" t="str">
            <v>-  1/C - 50 SQ.MM. FR. W./SHEET</v>
          </cell>
          <cell r="E349">
            <v>303</v>
          </cell>
          <cell r="F349">
            <v>20</v>
          </cell>
          <cell r="G349" t="str">
            <v>M.</v>
          </cell>
        </row>
        <row r="350">
          <cell r="C350">
            <v>480</v>
          </cell>
          <cell r="D350" t="str">
            <v>-  1/C - 70 SQ.MM. FR. W./SHEET</v>
          </cell>
          <cell r="E350">
            <v>389</v>
          </cell>
          <cell r="F350">
            <v>25</v>
          </cell>
          <cell r="G350" t="str">
            <v>M.</v>
          </cell>
        </row>
        <row r="351">
          <cell r="C351">
            <v>481</v>
          </cell>
          <cell r="D351" t="str">
            <v>-  1/C - 95 SQ.MM. FR. W./SHEET</v>
          </cell>
          <cell r="E351">
            <v>470</v>
          </cell>
          <cell r="F351">
            <v>30</v>
          </cell>
          <cell r="G351" t="str">
            <v>M.</v>
          </cell>
        </row>
        <row r="352">
          <cell r="C352">
            <v>482</v>
          </cell>
          <cell r="D352" t="str">
            <v>-  1/C - 120 SQ.MM. FR. W./SHEET</v>
          </cell>
          <cell r="E352">
            <v>570</v>
          </cell>
          <cell r="F352">
            <v>35</v>
          </cell>
          <cell r="G352" t="str">
            <v>M.</v>
          </cell>
        </row>
        <row r="353">
          <cell r="C353">
            <v>483</v>
          </cell>
          <cell r="D353" t="str">
            <v>-  1/C - 150 SQ.MM. FR. W./SHEET</v>
          </cell>
          <cell r="E353">
            <v>716</v>
          </cell>
          <cell r="F353">
            <v>40</v>
          </cell>
          <cell r="G353" t="str">
            <v>M.</v>
          </cell>
        </row>
        <row r="354">
          <cell r="C354">
            <v>484</v>
          </cell>
          <cell r="D354" t="str">
            <v>-  1/C - 185 SQ.MM. FR. W./SHEET</v>
          </cell>
          <cell r="E354">
            <v>835</v>
          </cell>
          <cell r="F354">
            <v>50</v>
          </cell>
          <cell r="G354" t="str">
            <v>M.</v>
          </cell>
        </row>
        <row r="355">
          <cell r="C355">
            <v>485</v>
          </cell>
          <cell r="D355" t="str">
            <v>-  1/C - 240 SQ.MM. FR. W./SHEET</v>
          </cell>
          <cell r="E355">
            <v>1051</v>
          </cell>
          <cell r="F355">
            <v>60</v>
          </cell>
          <cell r="G355" t="str">
            <v>M.</v>
          </cell>
        </row>
        <row r="356">
          <cell r="C356">
            <v>486</v>
          </cell>
          <cell r="D356" t="str">
            <v>-  1/C - 300 SQ.MM. FR. W./SHEET</v>
          </cell>
          <cell r="E356">
            <v>1390</v>
          </cell>
          <cell r="F356">
            <v>70</v>
          </cell>
          <cell r="G356" t="str">
            <v>M.</v>
          </cell>
        </row>
        <row r="357">
          <cell r="C357">
            <v>487</v>
          </cell>
          <cell r="D357" t="str">
            <v>-  1/C - 400 SQ.MM. FR. W./SHEET</v>
          </cell>
          <cell r="E357">
            <v>1679</v>
          </cell>
          <cell r="F357">
            <v>90</v>
          </cell>
          <cell r="G357" t="str">
            <v>M.</v>
          </cell>
        </row>
        <row r="358">
          <cell r="C358">
            <v>488</v>
          </cell>
          <cell r="D358" t="str">
            <v>-  1/C - 500 SQ.MM. FR. W./SHEET</v>
          </cell>
          <cell r="E358">
            <v>1818</v>
          </cell>
          <cell r="F358">
            <v>105</v>
          </cell>
          <cell r="G358" t="str">
            <v>M.</v>
          </cell>
        </row>
        <row r="359">
          <cell r="C359">
            <v>489</v>
          </cell>
          <cell r="D359" t="str">
            <v>-  1/C - 630 SQ.MM. FR. W./SHEET</v>
          </cell>
          <cell r="E359">
            <v>2183</v>
          </cell>
          <cell r="F359">
            <v>120</v>
          </cell>
          <cell r="G359" t="str">
            <v>M.</v>
          </cell>
        </row>
        <row r="360">
          <cell r="C360">
            <v>5</v>
          </cell>
          <cell r="D360" t="str">
            <v>CABLE RACEWAY</v>
          </cell>
        </row>
        <row r="361">
          <cell r="C361">
            <v>501</v>
          </cell>
          <cell r="D361" t="str">
            <v>-  DIA. 1/2" EMT</v>
          </cell>
          <cell r="E361">
            <v>23</v>
          </cell>
          <cell r="F361">
            <v>10</v>
          </cell>
          <cell r="G361" t="str">
            <v>M.</v>
          </cell>
        </row>
        <row r="362">
          <cell r="C362">
            <v>502</v>
          </cell>
          <cell r="D362" t="str">
            <v>-  DIA. 3/4" EMT</v>
          </cell>
          <cell r="E362">
            <v>34</v>
          </cell>
          <cell r="F362">
            <v>15</v>
          </cell>
          <cell r="G362" t="str">
            <v>M.</v>
          </cell>
        </row>
        <row r="363">
          <cell r="C363">
            <v>503</v>
          </cell>
          <cell r="D363" t="str">
            <v>-  DIA. 1" EMT</v>
          </cell>
          <cell r="E363">
            <v>48</v>
          </cell>
          <cell r="F363">
            <v>18</v>
          </cell>
          <cell r="G363" t="str">
            <v>M.</v>
          </cell>
        </row>
        <row r="364">
          <cell r="C364">
            <v>504</v>
          </cell>
          <cell r="D364" t="str">
            <v>-  DIA. 1 1/4" EMT</v>
          </cell>
          <cell r="E364">
            <v>79</v>
          </cell>
          <cell r="F364">
            <v>25</v>
          </cell>
          <cell r="G364" t="str">
            <v>M.</v>
          </cell>
        </row>
        <row r="365">
          <cell r="C365">
            <v>505</v>
          </cell>
          <cell r="D365" t="str">
            <v>-  DIA. 1 1/2" EMT</v>
          </cell>
          <cell r="E365">
            <v>92</v>
          </cell>
          <cell r="F365">
            <v>30</v>
          </cell>
          <cell r="G365" t="str">
            <v>M.</v>
          </cell>
        </row>
        <row r="366">
          <cell r="C366">
            <v>506</v>
          </cell>
          <cell r="D366" t="str">
            <v>-  DIA. 2" EMT</v>
          </cell>
          <cell r="E366">
            <v>114</v>
          </cell>
          <cell r="F366">
            <v>40</v>
          </cell>
          <cell r="G366" t="str">
            <v>M.</v>
          </cell>
        </row>
        <row r="367">
          <cell r="C367">
            <v>507</v>
          </cell>
          <cell r="D367" t="str">
            <v>-  DIA. 1/2" IMC</v>
          </cell>
          <cell r="E367">
            <v>45</v>
          </cell>
          <cell r="F367">
            <v>13</v>
          </cell>
          <cell r="G367" t="str">
            <v>M.</v>
          </cell>
        </row>
        <row r="368">
          <cell r="C368">
            <v>508</v>
          </cell>
          <cell r="D368" t="str">
            <v>-  DIA. 3/4" IMC</v>
          </cell>
          <cell r="E368">
            <v>61</v>
          </cell>
          <cell r="F368">
            <v>15</v>
          </cell>
          <cell r="G368" t="str">
            <v>M.</v>
          </cell>
        </row>
        <row r="369">
          <cell r="C369">
            <v>509</v>
          </cell>
          <cell r="D369" t="str">
            <v>-  DIA. 1" IMC</v>
          </cell>
          <cell r="E369">
            <v>82</v>
          </cell>
          <cell r="F369">
            <v>20</v>
          </cell>
          <cell r="G369" t="str">
            <v>M.</v>
          </cell>
        </row>
        <row r="370">
          <cell r="C370">
            <v>510</v>
          </cell>
          <cell r="D370" t="str">
            <v>-  DIA. 1 1/4" IMC</v>
          </cell>
          <cell r="E370">
            <v>105</v>
          </cell>
          <cell r="F370">
            <v>25</v>
          </cell>
          <cell r="G370" t="str">
            <v>M.</v>
          </cell>
        </row>
        <row r="371">
          <cell r="C371">
            <v>511</v>
          </cell>
          <cell r="D371" t="str">
            <v>-  DIA. 1 1/2" IMC</v>
          </cell>
          <cell r="E371">
            <v>130</v>
          </cell>
          <cell r="F371">
            <v>30</v>
          </cell>
          <cell r="G371" t="str">
            <v>M.</v>
          </cell>
        </row>
        <row r="372">
          <cell r="C372">
            <v>512</v>
          </cell>
          <cell r="D372" t="str">
            <v>-  DIA. 2" IMC</v>
          </cell>
          <cell r="E372">
            <v>174</v>
          </cell>
          <cell r="F372">
            <v>35</v>
          </cell>
          <cell r="G372" t="str">
            <v>M.</v>
          </cell>
        </row>
        <row r="373">
          <cell r="C373">
            <v>513</v>
          </cell>
          <cell r="D373" t="str">
            <v>-  DIA. 2 1/2" IMC</v>
          </cell>
          <cell r="E373">
            <v>282</v>
          </cell>
          <cell r="F373">
            <v>45</v>
          </cell>
          <cell r="G373" t="str">
            <v>M.</v>
          </cell>
        </row>
        <row r="374">
          <cell r="C374">
            <v>514</v>
          </cell>
          <cell r="D374" t="str">
            <v>-  DIA. 3" IMC</v>
          </cell>
          <cell r="E374">
            <v>342</v>
          </cell>
          <cell r="F374">
            <v>50</v>
          </cell>
          <cell r="G374" t="str">
            <v>M.</v>
          </cell>
        </row>
        <row r="375">
          <cell r="C375">
            <v>515</v>
          </cell>
          <cell r="D375" t="str">
            <v>-  DIA. 3 1/2" IMC</v>
          </cell>
          <cell r="E375">
            <v>397</v>
          </cell>
          <cell r="F375">
            <v>55</v>
          </cell>
          <cell r="G375" t="str">
            <v>M.</v>
          </cell>
        </row>
        <row r="376">
          <cell r="C376">
            <v>516</v>
          </cell>
          <cell r="D376" t="str">
            <v>-  DIA. 4" IMC</v>
          </cell>
          <cell r="E376">
            <v>433</v>
          </cell>
          <cell r="F376">
            <v>60</v>
          </cell>
          <cell r="G376" t="str">
            <v>M.</v>
          </cell>
        </row>
        <row r="377">
          <cell r="C377">
            <v>517</v>
          </cell>
          <cell r="D377" t="str">
            <v>-  DIA. 5" IMC</v>
          </cell>
          <cell r="E377">
            <v>747</v>
          </cell>
          <cell r="F377">
            <v>70</v>
          </cell>
          <cell r="G377" t="str">
            <v>M.</v>
          </cell>
        </row>
        <row r="378">
          <cell r="C378">
            <v>518</v>
          </cell>
          <cell r="D378" t="str">
            <v>-  DIA. 1/2" RSC</v>
          </cell>
          <cell r="E378">
            <v>64</v>
          </cell>
          <cell r="F378">
            <v>15</v>
          </cell>
          <cell r="G378" t="str">
            <v>M.</v>
          </cell>
        </row>
        <row r="379">
          <cell r="C379">
            <v>519</v>
          </cell>
          <cell r="D379" t="str">
            <v>-  DIA. 3/4" RSC</v>
          </cell>
          <cell r="E379">
            <v>82</v>
          </cell>
          <cell r="F379">
            <v>20</v>
          </cell>
          <cell r="G379" t="str">
            <v>M.</v>
          </cell>
        </row>
        <row r="380">
          <cell r="C380">
            <v>520</v>
          </cell>
          <cell r="D380" t="str">
            <v>-  DIA. 1" RSC</v>
          </cell>
          <cell r="E380">
            <v>120</v>
          </cell>
          <cell r="F380">
            <v>25</v>
          </cell>
          <cell r="G380" t="str">
            <v>M.</v>
          </cell>
        </row>
        <row r="381">
          <cell r="C381">
            <v>521</v>
          </cell>
          <cell r="D381" t="str">
            <v>-  DIA. 1 1/4" RSC</v>
          </cell>
          <cell r="E381">
            <v>153</v>
          </cell>
          <cell r="F381">
            <v>35</v>
          </cell>
          <cell r="G381" t="str">
            <v>M.</v>
          </cell>
        </row>
        <row r="382">
          <cell r="C382">
            <v>522</v>
          </cell>
          <cell r="D382" t="str">
            <v>-  DIA. 1 1/2" RSC</v>
          </cell>
          <cell r="E382">
            <v>182</v>
          </cell>
          <cell r="F382">
            <v>45</v>
          </cell>
          <cell r="G382" t="str">
            <v>M.</v>
          </cell>
        </row>
        <row r="383">
          <cell r="C383">
            <v>523</v>
          </cell>
          <cell r="D383" t="str">
            <v>-  DIA. 2" RSC</v>
          </cell>
          <cell r="E383">
            <v>243</v>
          </cell>
          <cell r="F383">
            <v>55</v>
          </cell>
          <cell r="G383" t="str">
            <v>M.</v>
          </cell>
        </row>
        <row r="384">
          <cell r="C384">
            <v>524</v>
          </cell>
          <cell r="D384" t="str">
            <v>-  DIA. 2 1/2" RSC</v>
          </cell>
          <cell r="E384">
            <v>373</v>
          </cell>
          <cell r="F384">
            <v>80</v>
          </cell>
          <cell r="G384" t="str">
            <v>M.</v>
          </cell>
        </row>
        <row r="385">
          <cell r="C385">
            <v>525</v>
          </cell>
          <cell r="D385" t="str">
            <v>-  DIA. 3" RSC</v>
          </cell>
          <cell r="E385">
            <v>480</v>
          </cell>
          <cell r="F385">
            <v>90</v>
          </cell>
          <cell r="G385" t="str">
            <v>M.</v>
          </cell>
        </row>
        <row r="386">
          <cell r="C386">
            <v>526</v>
          </cell>
          <cell r="D386" t="str">
            <v>-  DIA. 3 1/2" RSC</v>
          </cell>
          <cell r="E386">
            <v>606</v>
          </cell>
          <cell r="F386">
            <v>100</v>
          </cell>
          <cell r="G386" t="str">
            <v>M.</v>
          </cell>
        </row>
        <row r="387">
          <cell r="C387">
            <v>527</v>
          </cell>
          <cell r="D387" t="str">
            <v>-  DIA. 4" RSC</v>
          </cell>
          <cell r="E387">
            <v>706</v>
          </cell>
          <cell r="F387">
            <v>125</v>
          </cell>
          <cell r="G387" t="str">
            <v>M.</v>
          </cell>
        </row>
        <row r="388">
          <cell r="C388">
            <v>528</v>
          </cell>
          <cell r="D388" t="str">
            <v>-  DIA. 5" RSC</v>
          </cell>
          <cell r="E388">
            <v>1016</v>
          </cell>
          <cell r="F388">
            <v>140</v>
          </cell>
          <cell r="G388" t="str">
            <v>M.</v>
          </cell>
        </row>
        <row r="389">
          <cell r="D389" t="str">
            <v>SPACE</v>
          </cell>
        </row>
        <row r="390">
          <cell r="C390">
            <v>530</v>
          </cell>
          <cell r="D390" t="str">
            <v>-  DIA. 25 MM. HDPE-PN4</v>
          </cell>
          <cell r="E390">
            <v>20</v>
          </cell>
          <cell r="F390">
            <v>10</v>
          </cell>
          <cell r="G390" t="str">
            <v>M.</v>
          </cell>
        </row>
        <row r="391">
          <cell r="C391">
            <v>531</v>
          </cell>
          <cell r="D391" t="str">
            <v>-  DIA. 32 MM. HDPE-PN4</v>
          </cell>
          <cell r="E391">
            <v>25</v>
          </cell>
          <cell r="F391">
            <v>15</v>
          </cell>
          <cell r="G391" t="str">
            <v>M.</v>
          </cell>
        </row>
        <row r="392">
          <cell r="C392">
            <v>532</v>
          </cell>
          <cell r="D392" t="str">
            <v>-  DIA. 40 MM. HDPE-PN4</v>
          </cell>
          <cell r="E392">
            <v>34</v>
          </cell>
          <cell r="F392">
            <v>18</v>
          </cell>
          <cell r="G392" t="str">
            <v>M.</v>
          </cell>
        </row>
        <row r="393">
          <cell r="C393">
            <v>533</v>
          </cell>
          <cell r="D393" t="str">
            <v>-  DIA. 50 MM. HDPE-PN4</v>
          </cell>
          <cell r="E393">
            <v>38</v>
          </cell>
          <cell r="F393">
            <v>25</v>
          </cell>
          <cell r="G393" t="str">
            <v>M.</v>
          </cell>
        </row>
        <row r="394">
          <cell r="C394">
            <v>534</v>
          </cell>
          <cell r="D394" t="str">
            <v>-  DIA. 63 MM. HDPE-PN4</v>
          </cell>
          <cell r="E394">
            <v>56</v>
          </cell>
          <cell r="F394">
            <v>30</v>
          </cell>
          <cell r="G394" t="str">
            <v>M.</v>
          </cell>
        </row>
        <row r="395">
          <cell r="C395">
            <v>535</v>
          </cell>
          <cell r="D395" t="str">
            <v>-  DIA. 75 MM. HDPE-PN4</v>
          </cell>
          <cell r="E395">
            <v>81</v>
          </cell>
          <cell r="F395">
            <v>40</v>
          </cell>
          <cell r="G395" t="str">
            <v>M.</v>
          </cell>
        </row>
        <row r="396">
          <cell r="C396">
            <v>536</v>
          </cell>
          <cell r="D396" t="str">
            <v>-  DIA. 90 MM. HDPE-PN4</v>
          </cell>
          <cell r="E396">
            <v>116</v>
          </cell>
          <cell r="F396">
            <v>47</v>
          </cell>
          <cell r="G396" t="str">
            <v>M.</v>
          </cell>
        </row>
        <row r="397">
          <cell r="C397">
            <v>537</v>
          </cell>
          <cell r="D397" t="str">
            <v>-  DIA. 110 MM. HDPE-PN4</v>
          </cell>
          <cell r="E397">
            <v>170</v>
          </cell>
          <cell r="F397">
            <v>55</v>
          </cell>
          <cell r="G397" t="str">
            <v>M.</v>
          </cell>
        </row>
        <row r="398">
          <cell r="C398">
            <v>538</v>
          </cell>
          <cell r="D398" t="str">
            <v>-  DIA. 125 MM. HDPE-PN4</v>
          </cell>
          <cell r="E398">
            <v>220</v>
          </cell>
          <cell r="F398">
            <v>65</v>
          </cell>
          <cell r="G398" t="str">
            <v>M.</v>
          </cell>
        </row>
        <row r="399">
          <cell r="C399">
            <v>539</v>
          </cell>
          <cell r="D399" t="str">
            <v>-  DIA. 140 MM. HDPE-PN4</v>
          </cell>
          <cell r="E399">
            <v>278</v>
          </cell>
          <cell r="F399">
            <v>70</v>
          </cell>
          <cell r="G399" t="str">
            <v>M.</v>
          </cell>
        </row>
        <row r="400">
          <cell r="C400">
            <v>540</v>
          </cell>
          <cell r="D400" t="str">
            <v>-  DIA. 160 MM. HDPE-PN4</v>
          </cell>
          <cell r="E400">
            <v>363</v>
          </cell>
          <cell r="F400">
            <v>75</v>
          </cell>
          <cell r="G400" t="str">
            <v>M.</v>
          </cell>
        </row>
        <row r="401">
          <cell r="C401">
            <v>541</v>
          </cell>
          <cell r="D401" t="str">
            <v>-  DIA. 180 MM. HDPE-PN4</v>
          </cell>
          <cell r="E401">
            <v>462</v>
          </cell>
          <cell r="F401">
            <v>80</v>
          </cell>
          <cell r="G401" t="str">
            <v>M.</v>
          </cell>
        </row>
        <row r="402">
          <cell r="D402" t="str">
            <v>SPACE</v>
          </cell>
        </row>
        <row r="403">
          <cell r="C403">
            <v>546</v>
          </cell>
          <cell r="D403" t="str">
            <v>-  DIA. 25 MM. HDPE-PN6</v>
          </cell>
          <cell r="E403">
            <v>20</v>
          </cell>
          <cell r="F403">
            <v>10</v>
          </cell>
          <cell r="G403" t="str">
            <v>M.</v>
          </cell>
        </row>
        <row r="404">
          <cell r="C404">
            <v>547</v>
          </cell>
          <cell r="D404" t="str">
            <v>-  DIA. 32 MM. HDPE-PN6</v>
          </cell>
          <cell r="E404">
            <v>25</v>
          </cell>
          <cell r="F404">
            <v>15</v>
          </cell>
          <cell r="G404" t="str">
            <v>M.</v>
          </cell>
        </row>
        <row r="405">
          <cell r="C405">
            <v>548</v>
          </cell>
          <cell r="D405" t="str">
            <v>-  DIA. 40 MM. HDPE-PN6</v>
          </cell>
          <cell r="E405">
            <v>34</v>
          </cell>
          <cell r="F405">
            <v>18</v>
          </cell>
          <cell r="G405" t="str">
            <v>M.</v>
          </cell>
        </row>
        <row r="406">
          <cell r="C406">
            <v>549</v>
          </cell>
          <cell r="D406" t="str">
            <v>-  DIA. 50 MM. HDPE-PN6</v>
          </cell>
          <cell r="E406">
            <v>53</v>
          </cell>
          <cell r="F406">
            <v>25</v>
          </cell>
          <cell r="G406" t="str">
            <v>M.</v>
          </cell>
        </row>
        <row r="407">
          <cell r="C407">
            <v>550</v>
          </cell>
          <cell r="D407" t="str">
            <v>-  DIA. 63 MM. HDPE-PN6</v>
          </cell>
          <cell r="E407">
            <v>83</v>
          </cell>
          <cell r="F407">
            <v>30</v>
          </cell>
          <cell r="G407" t="str">
            <v>M.</v>
          </cell>
        </row>
        <row r="408">
          <cell r="C408">
            <v>551</v>
          </cell>
          <cell r="D408" t="str">
            <v>-  DIA. 75 MM. HDPE-PN6</v>
          </cell>
          <cell r="E408">
            <v>116</v>
          </cell>
          <cell r="F408">
            <v>40</v>
          </cell>
          <cell r="G408" t="str">
            <v>M.</v>
          </cell>
        </row>
        <row r="409">
          <cell r="C409">
            <v>552</v>
          </cell>
          <cell r="D409" t="str">
            <v>-  DIA. 90 MM. HDPE-PN6</v>
          </cell>
          <cell r="E409">
            <v>166</v>
          </cell>
          <cell r="F409">
            <v>47</v>
          </cell>
          <cell r="G409" t="str">
            <v>M.</v>
          </cell>
        </row>
        <row r="410">
          <cell r="C410">
            <v>553</v>
          </cell>
          <cell r="D410" t="str">
            <v>-  DIA. 110 MM. HDPE-PN6</v>
          </cell>
          <cell r="E410">
            <v>248</v>
          </cell>
          <cell r="F410">
            <v>55</v>
          </cell>
          <cell r="G410" t="str">
            <v>M.</v>
          </cell>
        </row>
        <row r="411">
          <cell r="C411">
            <v>554</v>
          </cell>
          <cell r="D411" t="str">
            <v>-  DIA. 125 MM. HDPE-PN6</v>
          </cell>
          <cell r="E411">
            <v>318</v>
          </cell>
          <cell r="F411">
            <v>65</v>
          </cell>
          <cell r="G411" t="str">
            <v>M.</v>
          </cell>
        </row>
        <row r="412">
          <cell r="C412">
            <v>555</v>
          </cell>
          <cell r="D412" t="str">
            <v>-  DIA. 140 MM. HDPE-PN6</v>
          </cell>
          <cell r="E412">
            <v>399</v>
          </cell>
          <cell r="F412">
            <v>70</v>
          </cell>
          <cell r="G412" t="str">
            <v>M.</v>
          </cell>
        </row>
        <row r="413">
          <cell r="C413">
            <v>556</v>
          </cell>
          <cell r="D413" t="str">
            <v>-  DIA. 160 MM. HDPE-PN6</v>
          </cell>
          <cell r="E413">
            <v>520</v>
          </cell>
          <cell r="F413">
            <v>75</v>
          </cell>
          <cell r="G413" t="str">
            <v>M.</v>
          </cell>
        </row>
        <row r="414">
          <cell r="C414">
            <v>557</v>
          </cell>
          <cell r="D414" t="str">
            <v>-  DIA. 180 MM. HDPE-PN6</v>
          </cell>
          <cell r="E414">
            <v>655</v>
          </cell>
          <cell r="F414">
            <v>80</v>
          </cell>
          <cell r="G414" t="str">
            <v>M.</v>
          </cell>
        </row>
        <row r="415">
          <cell r="D415" t="str">
            <v>SPACE</v>
          </cell>
        </row>
        <row r="416">
          <cell r="C416">
            <v>561</v>
          </cell>
          <cell r="D416" t="str">
            <v>-  DIA. 2" FRE</v>
          </cell>
          <cell r="E416">
            <v>380</v>
          </cell>
          <cell r="F416">
            <v>50</v>
          </cell>
          <cell r="G416" t="str">
            <v>M.</v>
          </cell>
        </row>
        <row r="417">
          <cell r="C417">
            <v>562</v>
          </cell>
          <cell r="D417" t="str">
            <v>-  DIA. 2 1/2" FRE</v>
          </cell>
          <cell r="E417">
            <v>430</v>
          </cell>
          <cell r="F417">
            <v>60</v>
          </cell>
          <cell r="G417" t="str">
            <v>M.</v>
          </cell>
        </row>
        <row r="418">
          <cell r="C418">
            <v>563</v>
          </cell>
          <cell r="D418" t="str">
            <v>-  DIA. 3" FRE</v>
          </cell>
          <cell r="E418">
            <v>490</v>
          </cell>
          <cell r="F418">
            <v>70</v>
          </cell>
          <cell r="G418" t="str">
            <v>M.</v>
          </cell>
        </row>
        <row r="419">
          <cell r="C419">
            <v>564</v>
          </cell>
          <cell r="D419" t="str">
            <v>-  DIA. 4" FRE</v>
          </cell>
          <cell r="E419">
            <v>550</v>
          </cell>
          <cell r="F419">
            <v>70</v>
          </cell>
          <cell r="G419" t="str">
            <v>M.</v>
          </cell>
        </row>
        <row r="420">
          <cell r="C420">
            <v>565</v>
          </cell>
          <cell r="D420" t="str">
            <v>-  DIA. 5" FRE</v>
          </cell>
          <cell r="E420">
            <v>830</v>
          </cell>
          <cell r="F420">
            <v>100</v>
          </cell>
          <cell r="G420" t="str">
            <v>M.</v>
          </cell>
        </row>
        <row r="421">
          <cell r="C421">
            <v>566</v>
          </cell>
          <cell r="D421" t="str">
            <v>-  DIA. 6" FRE</v>
          </cell>
          <cell r="E421">
            <v>1330</v>
          </cell>
          <cell r="F421">
            <v>150</v>
          </cell>
          <cell r="G421" t="str">
            <v>M.</v>
          </cell>
        </row>
        <row r="422">
          <cell r="D422" t="str">
            <v>SPACE</v>
          </cell>
        </row>
        <row r="423">
          <cell r="D423" t="str">
            <v>5"CONDUIT IN DUCT BANK</v>
          </cell>
        </row>
        <row r="424">
          <cell r="C424">
            <v>571</v>
          </cell>
          <cell r="D424" t="str">
            <v xml:space="preserve">-  DIA. 125 MM. HDPE-PN6 (2x1) DUCT BANK </v>
          </cell>
          <cell r="E424">
            <v>1480</v>
          </cell>
          <cell r="F424">
            <v>600</v>
          </cell>
          <cell r="G424" t="str">
            <v>M.</v>
          </cell>
        </row>
        <row r="425">
          <cell r="C425">
            <v>572</v>
          </cell>
          <cell r="D425" t="str">
            <v xml:space="preserve">-  DIA. 125 MM. HDPE-PN6 (2x2) DUCT BANK </v>
          </cell>
          <cell r="E425">
            <v>2420</v>
          </cell>
          <cell r="F425">
            <v>800</v>
          </cell>
          <cell r="G425" t="str">
            <v>M.</v>
          </cell>
        </row>
        <row r="426">
          <cell r="C426">
            <v>573</v>
          </cell>
          <cell r="D426" t="str">
            <v xml:space="preserve">-  DIA. 125 MM. HDPE-PN6 (2x3) DUCT BANK </v>
          </cell>
          <cell r="E426">
            <v>3400</v>
          </cell>
          <cell r="F426">
            <v>1000</v>
          </cell>
          <cell r="G426" t="str">
            <v>M.</v>
          </cell>
        </row>
        <row r="427">
          <cell r="D427" t="str">
            <v>SPACE</v>
          </cell>
        </row>
        <row r="428">
          <cell r="C428">
            <v>576</v>
          </cell>
          <cell r="D428" t="str">
            <v xml:space="preserve">-  DIA. 5" FRE (2x1) CONDUIT </v>
          </cell>
          <cell r="E428">
            <v>1480</v>
          </cell>
          <cell r="F428">
            <v>300</v>
          </cell>
          <cell r="G428" t="str">
            <v>M.</v>
          </cell>
        </row>
        <row r="429">
          <cell r="C429">
            <v>577</v>
          </cell>
          <cell r="D429" t="str">
            <v xml:space="preserve">-  DIA. 5" FRE (2x2) CONDUIT </v>
          </cell>
          <cell r="E429">
            <v>2830</v>
          </cell>
          <cell r="F429">
            <v>400</v>
          </cell>
          <cell r="G429" t="str">
            <v>M.</v>
          </cell>
        </row>
        <row r="430">
          <cell r="C430">
            <v>578</v>
          </cell>
          <cell r="D430" t="str">
            <v xml:space="preserve">-  DIA. 5" FRE (2x3) CONDUIT </v>
          </cell>
          <cell r="E430">
            <v>3970</v>
          </cell>
          <cell r="F430">
            <v>600</v>
          </cell>
          <cell r="G430" t="str">
            <v>M.</v>
          </cell>
        </row>
        <row r="431">
          <cell r="D431" t="str">
            <v>SPACE</v>
          </cell>
        </row>
        <row r="432">
          <cell r="C432">
            <v>591</v>
          </cell>
          <cell r="D432" t="str">
            <v>-  DIA. 1/2" PVC-CLASS2</v>
          </cell>
          <cell r="E432">
            <v>11</v>
          </cell>
          <cell r="F432">
            <v>5</v>
          </cell>
          <cell r="G432" t="str">
            <v>M.</v>
          </cell>
        </row>
        <row r="433">
          <cell r="C433">
            <v>592</v>
          </cell>
          <cell r="D433" t="str">
            <v>-  DIA. 3/4" PVC-CLASS2</v>
          </cell>
          <cell r="E433">
            <v>13</v>
          </cell>
          <cell r="F433">
            <v>8</v>
          </cell>
          <cell r="G433" t="str">
            <v>M.</v>
          </cell>
        </row>
        <row r="434">
          <cell r="C434">
            <v>593</v>
          </cell>
          <cell r="D434" t="str">
            <v>-  DIA. 1" PVC-CLASS2</v>
          </cell>
          <cell r="E434">
            <v>24</v>
          </cell>
          <cell r="F434">
            <v>12</v>
          </cell>
          <cell r="G434" t="str">
            <v>M.</v>
          </cell>
        </row>
        <row r="435">
          <cell r="C435">
            <v>594</v>
          </cell>
          <cell r="D435" t="str">
            <v>-  DIA. 1 1/4" PVC-CLASS2</v>
          </cell>
          <cell r="E435">
            <v>34</v>
          </cell>
          <cell r="F435">
            <v>18</v>
          </cell>
          <cell r="G435" t="str">
            <v>M.</v>
          </cell>
        </row>
        <row r="436">
          <cell r="C436">
            <v>595</v>
          </cell>
          <cell r="D436" t="str">
            <v>-  DIA. 1 1/2" PVC-CLASS2</v>
          </cell>
          <cell r="E436">
            <v>44</v>
          </cell>
          <cell r="F436">
            <v>20</v>
          </cell>
          <cell r="G436" t="str">
            <v>M.</v>
          </cell>
        </row>
        <row r="437">
          <cell r="C437">
            <v>596</v>
          </cell>
          <cell r="D437" t="str">
            <v>-  DIA. 2" PVC-CLASS2</v>
          </cell>
          <cell r="E437">
            <v>62</v>
          </cell>
          <cell r="F437">
            <v>24</v>
          </cell>
          <cell r="G437" t="str">
            <v>M.</v>
          </cell>
        </row>
        <row r="438">
          <cell r="C438">
            <v>597</v>
          </cell>
          <cell r="D438" t="str">
            <v>-  DIA. 2 1/2" PVC-CLASS3</v>
          </cell>
          <cell r="E438">
            <v>80</v>
          </cell>
          <cell r="F438">
            <v>30</v>
          </cell>
          <cell r="G438" t="str">
            <v>M.</v>
          </cell>
        </row>
        <row r="439">
          <cell r="C439">
            <v>598</v>
          </cell>
          <cell r="D439" t="str">
            <v>-  DIA. 3" PVC-CLASS2</v>
          </cell>
          <cell r="E439">
            <v>126</v>
          </cell>
          <cell r="F439">
            <v>35</v>
          </cell>
          <cell r="G439" t="str">
            <v>M.</v>
          </cell>
        </row>
        <row r="440">
          <cell r="C440">
            <v>599</v>
          </cell>
          <cell r="D440" t="str">
            <v>-  DIA. 4" PVC-CLASS2</v>
          </cell>
          <cell r="E440">
            <v>192</v>
          </cell>
          <cell r="F440">
            <v>40</v>
          </cell>
          <cell r="G440" t="str">
            <v>M.</v>
          </cell>
        </row>
        <row r="441">
          <cell r="D441" t="str">
            <v>SPACE</v>
          </cell>
        </row>
        <row r="442">
          <cell r="C442">
            <v>6</v>
          </cell>
          <cell r="D442" t="str">
            <v>WIRE WAY (1.6 mm.THICK)</v>
          </cell>
        </row>
        <row r="443">
          <cell r="C443">
            <v>601</v>
          </cell>
          <cell r="D443" t="str">
            <v>-  50 mm.x50 mm. WIRE WAY</v>
          </cell>
          <cell r="E443">
            <v>192</v>
          </cell>
          <cell r="F443">
            <v>11</v>
          </cell>
          <cell r="G443" t="str">
            <v>M.</v>
          </cell>
        </row>
        <row r="444">
          <cell r="C444">
            <v>602</v>
          </cell>
          <cell r="D444" t="str">
            <v>-  50 mm.x75 mm. WIRE WAY</v>
          </cell>
          <cell r="E444">
            <v>230</v>
          </cell>
          <cell r="F444">
            <v>14</v>
          </cell>
          <cell r="G444" t="str">
            <v>M.</v>
          </cell>
        </row>
        <row r="445">
          <cell r="C445">
            <v>603</v>
          </cell>
          <cell r="D445" t="str">
            <v>-  50 mm.x100 mm. WIRE WAY</v>
          </cell>
          <cell r="E445">
            <v>263</v>
          </cell>
          <cell r="F445">
            <v>17</v>
          </cell>
          <cell r="G445" t="str">
            <v>M.</v>
          </cell>
        </row>
        <row r="446">
          <cell r="C446">
            <v>604</v>
          </cell>
          <cell r="D446" t="str">
            <v>-  50 mm.x125 mm. WIRE WAY</v>
          </cell>
          <cell r="E446">
            <v>300</v>
          </cell>
          <cell r="F446">
            <v>20</v>
          </cell>
          <cell r="G446" t="str">
            <v>M.</v>
          </cell>
        </row>
        <row r="447">
          <cell r="C447">
            <v>605</v>
          </cell>
          <cell r="D447" t="str">
            <v>-  50 mm.x150 mm. WIRE WAY</v>
          </cell>
          <cell r="E447">
            <v>340</v>
          </cell>
          <cell r="F447">
            <v>23</v>
          </cell>
          <cell r="G447" t="str">
            <v>M.</v>
          </cell>
        </row>
        <row r="448">
          <cell r="C448">
            <v>606</v>
          </cell>
          <cell r="D448" t="str">
            <v>-  50 mm.x200 mm. WIRE WAY</v>
          </cell>
          <cell r="E448">
            <v>400</v>
          </cell>
          <cell r="F448">
            <v>26</v>
          </cell>
          <cell r="G448" t="str">
            <v>M.</v>
          </cell>
        </row>
        <row r="449">
          <cell r="C449">
            <v>607</v>
          </cell>
          <cell r="D449" t="str">
            <v>-  50 mm.x250 mm. WIRE WAY</v>
          </cell>
          <cell r="E449">
            <v>483</v>
          </cell>
          <cell r="F449">
            <v>29</v>
          </cell>
          <cell r="G449" t="str">
            <v>M.</v>
          </cell>
        </row>
        <row r="450">
          <cell r="C450">
            <v>608</v>
          </cell>
          <cell r="D450" t="str">
            <v>-  75 mm.x100 mm. WIRE WAY</v>
          </cell>
          <cell r="E450">
            <v>300</v>
          </cell>
          <cell r="F450">
            <v>20</v>
          </cell>
          <cell r="G450" t="str">
            <v>M.</v>
          </cell>
        </row>
        <row r="451">
          <cell r="C451">
            <v>609</v>
          </cell>
          <cell r="D451" t="str">
            <v>-  75 mm.x150 mm. WIRE WAY</v>
          </cell>
          <cell r="E451">
            <v>375</v>
          </cell>
          <cell r="F451">
            <v>25</v>
          </cell>
          <cell r="G451" t="str">
            <v>M.</v>
          </cell>
        </row>
        <row r="452">
          <cell r="C452">
            <v>610</v>
          </cell>
          <cell r="D452" t="str">
            <v>-  75 mm.x200 mm. WIRE WAY</v>
          </cell>
          <cell r="E452">
            <v>446</v>
          </cell>
          <cell r="F452">
            <v>28</v>
          </cell>
          <cell r="G452" t="str">
            <v>M.</v>
          </cell>
        </row>
        <row r="453">
          <cell r="C453">
            <v>611</v>
          </cell>
          <cell r="D453" t="str">
            <v>-  75 mm.x250 mm. WIRE WAY</v>
          </cell>
          <cell r="E453">
            <v>520</v>
          </cell>
          <cell r="F453">
            <v>32</v>
          </cell>
          <cell r="G453" t="str">
            <v>M.</v>
          </cell>
        </row>
        <row r="454">
          <cell r="C454">
            <v>612</v>
          </cell>
          <cell r="D454" t="str">
            <v>-  75 mm.x300 mm. WIRE WAY</v>
          </cell>
          <cell r="E454">
            <v>590</v>
          </cell>
          <cell r="F454">
            <v>35</v>
          </cell>
          <cell r="G454" t="str">
            <v>M.</v>
          </cell>
        </row>
        <row r="455">
          <cell r="C455">
            <v>613</v>
          </cell>
          <cell r="D455" t="str">
            <v>-  100 mm.x100 mm. WIRE WAY</v>
          </cell>
          <cell r="E455">
            <v>340</v>
          </cell>
          <cell r="F455">
            <v>23</v>
          </cell>
          <cell r="G455" t="str">
            <v>M.</v>
          </cell>
        </row>
        <row r="456">
          <cell r="C456">
            <v>614</v>
          </cell>
          <cell r="D456" t="str">
            <v>-  100 mm.x150 mm. WIRE WAY</v>
          </cell>
          <cell r="E456">
            <v>400</v>
          </cell>
          <cell r="F456">
            <v>26</v>
          </cell>
          <cell r="G456" t="str">
            <v>M.</v>
          </cell>
        </row>
        <row r="457">
          <cell r="C457">
            <v>615</v>
          </cell>
          <cell r="D457" t="str">
            <v>-  100 mm.x200 mm. WIRE WAY</v>
          </cell>
          <cell r="E457">
            <v>483</v>
          </cell>
          <cell r="F457">
            <v>29</v>
          </cell>
          <cell r="G457" t="str">
            <v>M.</v>
          </cell>
        </row>
        <row r="458">
          <cell r="C458">
            <v>616</v>
          </cell>
          <cell r="D458" t="str">
            <v>-  100 mm.x250 mm. WIRE WAY</v>
          </cell>
          <cell r="E458">
            <v>550</v>
          </cell>
          <cell r="F458">
            <v>34</v>
          </cell>
          <cell r="G458" t="str">
            <v>M.</v>
          </cell>
        </row>
        <row r="459">
          <cell r="C459">
            <v>617</v>
          </cell>
          <cell r="D459" t="str">
            <v>-  100 mm.x300 mm. WIRE WAY</v>
          </cell>
          <cell r="E459">
            <v>630</v>
          </cell>
          <cell r="F459">
            <v>37</v>
          </cell>
          <cell r="G459" t="str">
            <v>M.</v>
          </cell>
        </row>
        <row r="460">
          <cell r="C460">
            <v>618</v>
          </cell>
          <cell r="D460" t="str">
            <v>-  100 mm.x350 mm. WIRE WAY</v>
          </cell>
          <cell r="E460">
            <v>700</v>
          </cell>
          <cell r="F460">
            <v>40</v>
          </cell>
          <cell r="G460" t="str">
            <v>M.</v>
          </cell>
        </row>
        <row r="461">
          <cell r="C461">
            <v>619</v>
          </cell>
          <cell r="D461" t="str">
            <v>-  150 mm.x150 mm. WIRE WAY</v>
          </cell>
          <cell r="E461">
            <v>483</v>
          </cell>
          <cell r="F461">
            <v>29</v>
          </cell>
          <cell r="G461" t="str">
            <v>M.</v>
          </cell>
        </row>
        <row r="462">
          <cell r="C462">
            <v>620</v>
          </cell>
          <cell r="D462" t="str">
            <v>-  150 mm.x200 mm. WIRE WAY</v>
          </cell>
          <cell r="E462">
            <v>550</v>
          </cell>
          <cell r="F462">
            <v>34</v>
          </cell>
          <cell r="G462" t="str">
            <v>M.</v>
          </cell>
        </row>
        <row r="463">
          <cell r="C463">
            <v>621</v>
          </cell>
          <cell r="D463" t="str">
            <v>-  150 mm.x250 mm. WIRE WAY</v>
          </cell>
          <cell r="E463">
            <v>630</v>
          </cell>
          <cell r="F463">
            <v>37</v>
          </cell>
          <cell r="G463" t="str">
            <v>M.</v>
          </cell>
        </row>
        <row r="464">
          <cell r="C464">
            <v>622</v>
          </cell>
          <cell r="D464" t="str">
            <v>-  150 mm.x300 mm. WIRE WAY</v>
          </cell>
          <cell r="E464">
            <v>700</v>
          </cell>
          <cell r="F464">
            <v>40</v>
          </cell>
          <cell r="G464" t="str">
            <v>M.</v>
          </cell>
        </row>
        <row r="465">
          <cell r="C465">
            <v>623</v>
          </cell>
          <cell r="D465" t="str">
            <v>-  150 mm.x350 mm. WIRE WAY</v>
          </cell>
          <cell r="E465">
            <v>775</v>
          </cell>
          <cell r="F465">
            <v>45</v>
          </cell>
          <cell r="G465" t="str">
            <v>M.</v>
          </cell>
        </row>
        <row r="466">
          <cell r="C466">
            <v>624</v>
          </cell>
          <cell r="D466" t="str">
            <v>-  150 mm.x400 mm. WIRE WAY</v>
          </cell>
          <cell r="E466">
            <v>846</v>
          </cell>
          <cell r="F466">
            <v>48</v>
          </cell>
          <cell r="G466" t="str">
            <v>M.</v>
          </cell>
        </row>
        <row r="467">
          <cell r="C467">
            <v>625</v>
          </cell>
          <cell r="D467" t="str">
            <v>-  200 mm.x200 mm. WIRE WAY</v>
          </cell>
          <cell r="E467">
            <v>500</v>
          </cell>
          <cell r="F467">
            <v>31</v>
          </cell>
          <cell r="G467" t="str">
            <v>M.</v>
          </cell>
        </row>
        <row r="468">
          <cell r="C468">
            <v>626</v>
          </cell>
          <cell r="D468" t="str">
            <v>-  200 mm.x250 mm. WIRE WAY</v>
          </cell>
          <cell r="E468">
            <v>575</v>
          </cell>
          <cell r="F468">
            <v>35</v>
          </cell>
          <cell r="G468" t="str">
            <v>M.</v>
          </cell>
        </row>
        <row r="469">
          <cell r="C469">
            <v>627</v>
          </cell>
          <cell r="D469" t="str">
            <v>-  200 mm.x300 mm. WIRE WAY</v>
          </cell>
          <cell r="E469">
            <v>775</v>
          </cell>
          <cell r="F469">
            <v>45</v>
          </cell>
          <cell r="G469" t="str">
            <v>M.</v>
          </cell>
        </row>
        <row r="470">
          <cell r="C470">
            <v>628</v>
          </cell>
          <cell r="D470" t="str">
            <v>-  200 mm.x350 mm. WIRE WAY</v>
          </cell>
          <cell r="E470">
            <v>846</v>
          </cell>
          <cell r="F470">
            <v>48</v>
          </cell>
          <cell r="G470" t="str">
            <v>M.</v>
          </cell>
        </row>
        <row r="471">
          <cell r="C471">
            <v>629</v>
          </cell>
          <cell r="D471" t="str">
            <v>-  200 mm.x400 mm. WIRE WAY</v>
          </cell>
          <cell r="E471">
            <v>920</v>
          </cell>
          <cell r="F471">
            <v>53</v>
          </cell>
          <cell r="G471" t="str">
            <v>M.</v>
          </cell>
        </row>
        <row r="472">
          <cell r="C472">
            <v>630</v>
          </cell>
          <cell r="D472" t="str">
            <v>-  200 mm.x450 mm. WIRE WAY</v>
          </cell>
          <cell r="E472">
            <v>990</v>
          </cell>
          <cell r="F472">
            <v>56</v>
          </cell>
          <cell r="G472" t="str">
            <v>M.</v>
          </cell>
        </row>
        <row r="473">
          <cell r="C473">
            <v>631</v>
          </cell>
          <cell r="D473" t="str">
            <v>-  250 mm.x250 mm. WIRE WAY</v>
          </cell>
          <cell r="E473">
            <v>775</v>
          </cell>
          <cell r="F473">
            <v>45</v>
          </cell>
          <cell r="G473" t="str">
            <v>M.</v>
          </cell>
        </row>
        <row r="474">
          <cell r="C474">
            <v>632</v>
          </cell>
          <cell r="D474" t="str">
            <v>-  250 mm.x300 mm. WIRE WAY</v>
          </cell>
          <cell r="E474">
            <v>846</v>
          </cell>
          <cell r="F474">
            <v>48</v>
          </cell>
          <cell r="G474" t="str">
            <v>M.</v>
          </cell>
        </row>
        <row r="475">
          <cell r="C475">
            <v>633</v>
          </cell>
          <cell r="D475" t="str">
            <v>-  250 mm.x350 mm. WIRE WAY</v>
          </cell>
          <cell r="E475">
            <v>920</v>
          </cell>
          <cell r="F475">
            <v>53</v>
          </cell>
          <cell r="G475" t="str">
            <v>M.</v>
          </cell>
        </row>
        <row r="476">
          <cell r="C476">
            <v>634</v>
          </cell>
          <cell r="D476" t="str">
            <v>-  250 mm.x400 mm. WIRE WAY</v>
          </cell>
          <cell r="E476">
            <v>990</v>
          </cell>
          <cell r="F476">
            <v>56</v>
          </cell>
          <cell r="G476" t="str">
            <v>M.</v>
          </cell>
        </row>
        <row r="477">
          <cell r="C477">
            <v>635</v>
          </cell>
          <cell r="D477" t="str">
            <v>-  250 mm.x450 mm. WIRE WAY</v>
          </cell>
          <cell r="E477">
            <v>1066</v>
          </cell>
          <cell r="F477">
            <v>60</v>
          </cell>
          <cell r="G477" t="str">
            <v>M.</v>
          </cell>
        </row>
        <row r="478">
          <cell r="C478">
            <v>636</v>
          </cell>
          <cell r="D478" t="str">
            <v>-  250 mm.x500 mm. WIRE WAY</v>
          </cell>
          <cell r="E478">
            <v>1138</v>
          </cell>
          <cell r="F478">
            <v>64</v>
          </cell>
          <cell r="G478" t="str">
            <v>M.</v>
          </cell>
        </row>
        <row r="479">
          <cell r="C479">
            <v>637</v>
          </cell>
          <cell r="D479" t="str">
            <v>-  250 mm.x550 mm. WIRE WAY</v>
          </cell>
          <cell r="E479">
            <v>1213</v>
          </cell>
          <cell r="F479">
            <v>70</v>
          </cell>
          <cell r="G479" t="str">
            <v>M.</v>
          </cell>
        </row>
        <row r="480">
          <cell r="D480" t="str">
            <v xml:space="preserve">     </v>
          </cell>
        </row>
        <row r="481">
          <cell r="C481">
            <v>64</v>
          </cell>
          <cell r="D481" t="str">
            <v>CABLE TRAY ; ( 2.0 mm. THICK)</v>
          </cell>
        </row>
        <row r="482">
          <cell r="C482">
            <v>641</v>
          </cell>
          <cell r="D482" t="str">
            <v>-  100 mm. CABLE TRAY</v>
          </cell>
          <cell r="E482">
            <v>423</v>
          </cell>
          <cell r="F482">
            <v>29</v>
          </cell>
          <cell r="G482" t="str">
            <v>M.</v>
          </cell>
        </row>
      </sheetData>
      <sheetData sheetId="2" refreshError="1">
        <row r="1">
          <cell r="C1">
            <v>0</v>
          </cell>
          <cell r="D1">
            <v>0</v>
          </cell>
          <cell r="E1">
            <v>0</v>
          </cell>
          <cell r="F1">
            <v>0</v>
          </cell>
          <cell r="G1">
            <v>0</v>
          </cell>
        </row>
        <row r="2">
          <cell r="C2">
            <v>0</v>
          </cell>
          <cell r="D2">
            <v>0</v>
          </cell>
          <cell r="E2">
            <v>0</v>
          </cell>
          <cell r="F2">
            <v>0</v>
          </cell>
          <cell r="G2">
            <v>0</v>
          </cell>
        </row>
        <row r="3">
          <cell r="C3" t="str">
            <v>N0.</v>
          </cell>
          <cell r="D3" t="str">
            <v>DESCRIPTION</v>
          </cell>
          <cell r="E3" t="str">
            <v xml:space="preserve">UNIT  </v>
          </cell>
          <cell r="F3" t="str">
            <v xml:space="preserve">LABOUR </v>
          </cell>
          <cell r="G3" t="str">
            <v>UNIT</v>
          </cell>
        </row>
        <row r="4">
          <cell r="C4" t="str">
            <v>:</v>
          </cell>
          <cell r="D4" t="str">
            <v>MECHANICAL AND ELECTRICAL SYSTEM</v>
          </cell>
          <cell r="E4" t="str">
            <v>COST</v>
          </cell>
          <cell r="F4" t="str">
            <v>COST</v>
          </cell>
          <cell r="G4">
            <v>0</v>
          </cell>
        </row>
        <row r="5">
          <cell r="C5" t="str">
            <v/>
          </cell>
          <cell r="D5" t="str">
            <v>CIRCUIT BREAKER &amp; BUSDUCT</v>
          </cell>
          <cell r="E5">
            <v>0</v>
          </cell>
          <cell r="F5">
            <v>0</v>
          </cell>
          <cell r="G5">
            <v>0</v>
          </cell>
        </row>
        <row r="6">
          <cell r="C6">
            <v>1</v>
          </cell>
          <cell r="D6" t="str">
            <v>MOLDED CASE CIRCUIT BREAKER</v>
          </cell>
          <cell r="E6">
            <v>0</v>
          </cell>
          <cell r="F6">
            <v>0</v>
          </cell>
          <cell r="G6">
            <v>0</v>
          </cell>
        </row>
        <row r="7">
          <cell r="C7">
            <v>101</v>
          </cell>
          <cell r="D7" t="str">
            <v>-  CB 1P 100 AF ; IC 10 KA.</v>
          </cell>
          <cell r="E7">
            <v>1200</v>
          </cell>
          <cell r="F7">
            <v>0</v>
          </cell>
          <cell r="G7" t="str">
            <v>EA.</v>
          </cell>
        </row>
        <row r="8">
          <cell r="C8">
            <v>102</v>
          </cell>
          <cell r="D8" t="str">
            <v>-  CB 1P 100 AF ; IC 18 KA.</v>
          </cell>
          <cell r="E8">
            <v>1500</v>
          </cell>
          <cell r="F8">
            <v>0</v>
          </cell>
          <cell r="G8" t="str">
            <v>EA.</v>
          </cell>
        </row>
        <row r="9">
          <cell r="C9">
            <v>103</v>
          </cell>
          <cell r="D9" t="str">
            <v>-  CB 1P 100 AF ; IC 25 KA.</v>
          </cell>
          <cell r="E9">
            <v>1600</v>
          </cell>
          <cell r="F9">
            <v>0</v>
          </cell>
          <cell r="G9" t="str">
            <v>EA.</v>
          </cell>
        </row>
        <row r="10">
          <cell r="C10">
            <v>103</v>
          </cell>
          <cell r="D10" t="str">
            <v>SPACE</v>
          </cell>
          <cell r="E10">
            <v>3000</v>
          </cell>
          <cell r="F10">
            <v>0</v>
          </cell>
          <cell r="G10" t="str">
            <v>EA.</v>
          </cell>
        </row>
        <row r="11">
          <cell r="C11">
            <v>111</v>
          </cell>
          <cell r="D11" t="str">
            <v>-  CB 2P 100 AF ; IC 10 KA.</v>
          </cell>
          <cell r="E11">
            <v>2200</v>
          </cell>
          <cell r="F11">
            <v>0</v>
          </cell>
          <cell r="G11" t="str">
            <v>EA.</v>
          </cell>
        </row>
        <row r="12">
          <cell r="C12">
            <v>112</v>
          </cell>
          <cell r="D12" t="str">
            <v>-  CB 2P 100 AF ; IC 18 KA.</v>
          </cell>
          <cell r="E12">
            <v>2200</v>
          </cell>
          <cell r="F12">
            <v>0</v>
          </cell>
          <cell r="G12" t="str">
            <v>EA.</v>
          </cell>
        </row>
        <row r="13">
          <cell r="C13">
            <v>113</v>
          </cell>
          <cell r="D13" t="str">
            <v>-  CB 2P 100 AF ; IC 25 KA.</v>
          </cell>
          <cell r="E13">
            <v>2500</v>
          </cell>
          <cell r="F13">
            <v>0</v>
          </cell>
          <cell r="G13" t="str">
            <v>EA.</v>
          </cell>
        </row>
        <row r="14">
          <cell r="C14">
            <v>114</v>
          </cell>
          <cell r="D14" t="str">
            <v>-  CB 2P 100 AF ; IC 50 KA.</v>
          </cell>
          <cell r="E14">
            <v>3900</v>
          </cell>
          <cell r="F14">
            <v>0</v>
          </cell>
          <cell r="G14" t="str">
            <v>EA.</v>
          </cell>
        </row>
        <row r="15">
          <cell r="C15">
            <v>115</v>
          </cell>
          <cell r="D15" t="str">
            <v>-  CB 2P 250 AF ; IC 25 KA.</v>
          </cell>
          <cell r="E15">
            <v>6000</v>
          </cell>
          <cell r="F15">
            <v>0</v>
          </cell>
          <cell r="G15" t="str">
            <v>EA.</v>
          </cell>
        </row>
        <row r="16">
          <cell r="C16">
            <v>116</v>
          </cell>
          <cell r="D16" t="str">
            <v>-  CB 2P 250 AF ; IC 35 KA.</v>
          </cell>
          <cell r="E16">
            <v>7000</v>
          </cell>
          <cell r="F16">
            <v>0</v>
          </cell>
          <cell r="G16" t="str">
            <v>EA.</v>
          </cell>
        </row>
        <row r="17">
          <cell r="C17">
            <v>117</v>
          </cell>
          <cell r="D17" t="str">
            <v>-  CB 2P 250 AF ; IC 50 KA.</v>
          </cell>
          <cell r="E17">
            <v>11000</v>
          </cell>
          <cell r="F17">
            <v>0</v>
          </cell>
          <cell r="G17" t="str">
            <v>EA.</v>
          </cell>
        </row>
        <row r="18">
          <cell r="C18">
            <v>118</v>
          </cell>
          <cell r="D18" t="str">
            <v>-  CB 2P 400 AF ; IC 30 KA.</v>
          </cell>
          <cell r="E18">
            <v>12000</v>
          </cell>
          <cell r="F18">
            <v>0</v>
          </cell>
          <cell r="G18" t="str">
            <v>EA.</v>
          </cell>
        </row>
        <row r="19">
          <cell r="C19">
            <v>119</v>
          </cell>
          <cell r="D19" t="str">
            <v>-  CB 2P 400 AF ; IC 35 KA.</v>
          </cell>
          <cell r="E19">
            <v>13000</v>
          </cell>
          <cell r="F19">
            <v>0</v>
          </cell>
          <cell r="G19" t="str">
            <v>EA.</v>
          </cell>
        </row>
        <row r="20">
          <cell r="C20">
            <v>120</v>
          </cell>
          <cell r="D20" t="str">
            <v>-  CB 2P 600 AF ; IC 50 KA.</v>
          </cell>
          <cell r="E20">
            <v>27000</v>
          </cell>
          <cell r="F20">
            <v>0</v>
          </cell>
          <cell r="G20" t="str">
            <v>EA.</v>
          </cell>
        </row>
        <row r="21">
          <cell r="C21">
            <v>121</v>
          </cell>
          <cell r="D21" t="str">
            <v>-  CB 2P 1,000 AF ; IC 30 KA.</v>
          </cell>
          <cell r="E21">
            <v>34000</v>
          </cell>
          <cell r="F21">
            <v>0</v>
          </cell>
          <cell r="G21" t="str">
            <v>EA.</v>
          </cell>
        </row>
        <row r="22">
          <cell r="C22">
            <v>122</v>
          </cell>
          <cell r="D22" t="str">
            <v>-  CB 2P 1,000 AF ; IC 50 KA.</v>
          </cell>
          <cell r="E22">
            <v>38000</v>
          </cell>
          <cell r="F22">
            <v>0</v>
          </cell>
          <cell r="G22" t="str">
            <v>EA.</v>
          </cell>
        </row>
        <row r="23">
          <cell r="C23">
            <v>123</v>
          </cell>
          <cell r="D23" t="str">
            <v>-  CB 2P 1,200 AF ; IC 50 KA.</v>
          </cell>
          <cell r="E23">
            <v>70000</v>
          </cell>
          <cell r="F23">
            <v>0</v>
          </cell>
          <cell r="G23" t="str">
            <v>EA.</v>
          </cell>
        </row>
        <row r="24">
          <cell r="C24">
            <v>122</v>
          </cell>
          <cell r="D24" t="str">
            <v>SPACE</v>
          </cell>
          <cell r="E24">
            <v>16000</v>
          </cell>
          <cell r="F24">
            <v>0</v>
          </cell>
          <cell r="G24" t="str">
            <v>SET</v>
          </cell>
        </row>
        <row r="25">
          <cell r="C25">
            <v>131</v>
          </cell>
          <cell r="D25" t="str">
            <v>-  CB 3P 100 AF ; IC 10 KA.</v>
          </cell>
          <cell r="E25">
            <v>2500</v>
          </cell>
          <cell r="F25">
            <v>0</v>
          </cell>
          <cell r="G25" t="str">
            <v>EA.</v>
          </cell>
        </row>
        <row r="26">
          <cell r="C26">
            <v>132</v>
          </cell>
          <cell r="D26" t="str">
            <v>-  CB 3P 100 AF ; IC 18 KA.</v>
          </cell>
          <cell r="E26">
            <v>2500</v>
          </cell>
          <cell r="F26">
            <v>0</v>
          </cell>
          <cell r="G26" t="str">
            <v>EA.</v>
          </cell>
        </row>
        <row r="27">
          <cell r="C27">
            <v>133</v>
          </cell>
          <cell r="D27" t="str">
            <v>-  CB 3P 100 AF ; IC 25 KA.</v>
          </cell>
          <cell r="E27">
            <v>2900</v>
          </cell>
          <cell r="F27">
            <v>0</v>
          </cell>
          <cell r="G27" t="str">
            <v>EA.</v>
          </cell>
        </row>
        <row r="28">
          <cell r="C28">
            <v>134</v>
          </cell>
          <cell r="D28" t="str">
            <v>-  CB 3P 100 AF ; IC 50 KA.</v>
          </cell>
          <cell r="E28">
            <v>5200</v>
          </cell>
          <cell r="F28">
            <v>0</v>
          </cell>
          <cell r="G28" t="str">
            <v>EA.</v>
          </cell>
        </row>
        <row r="29">
          <cell r="C29">
            <v>135</v>
          </cell>
          <cell r="D29" t="str">
            <v>-  CB 3P 250 AF ; IC 25 KA.</v>
          </cell>
          <cell r="E29">
            <v>7000</v>
          </cell>
          <cell r="F29">
            <v>0</v>
          </cell>
          <cell r="G29" t="str">
            <v>EA.</v>
          </cell>
        </row>
        <row r="30">
          <cell r="C30">
            <v>136</v>
          </cell>
          <cell r="D30" t="str">
            <v>-  CB 3P 250 AF ; IC 35 KA.</v>
          </cell>
          <cell r="E30">
            <v>8000</v>
          </cell>
          <cell r="F30">
            <v>0</v>
          </cell>
          <cell r="G30" t="str">
            <v>EA.</v>
          </cell>
        </row>
        <row r="31">
          <cell r="C31">
            <v>137</v>
          </cell>
          <cell r="D31" t="str">
            <v>-  CB 3P 250 AF ; IC 50 KA.</v>
          </cell>
          <cell r="E31">
            <v>13000</v>
          </cell>
          <cell r="F31">
            <v>0</v>
          </cell>
          <cell r="G31" t="str">
            <v>EA.</v>
          </cell>
        </row>
        <row r="32">
          <cell r="C32">
            <v>138</v>
          </cell>
          <cell r="D32" t="str">
            <v>-  CB 3P 400 AF ; IC 30 KA.</v>
          </cell>
          <cell r="E32">
            <v>12000</v>
          </cell>
          <cell r="F32">
            <v>0</v>
          </cell>
          <cell r="G32" t="str">
            <v>EA.</v>
          </cell>
        </row>
        <row r="33">
          <cell r="C33">
            <v>139</v>
          </cell>
          <cell r="D33" t="str">
            <v>-  CB 3P 400 AF ; IC 35 KA.</v>
          </cell>
          <cell r="E33">
            <v>13000</v>
          </cell>
          <cell r="F33">
            <v>0</v>
          </cell>
          <cell r="G33" t="str">
            <v>EA.</v>
          </cell>
        </row>
        <row r="34">
          <cell r="C34">
            <v>140</v>
          </cell>
          <cell r="D34" t="str">
            <v>-  CB 3P 600 AF ; IC 50 KA.</v>
          </cell>
          <cell r="E34">
            <v>27000</v>
          </cell>
          <cell r="F34">
            <v>0</v>
          </cell>
          <cell r="G34" t="str">
            <v>EA.</v>
          </cell>
        </row>
        <row r="35">
          <cell r="C35">
            <v>141</v>
          </cell>
          <cell r="D35" t="str">
            <v>-  CB 3P 1,000 AF ; IC 30 KA.</v>
          </cell>
          <cell r="E35">
            <v>34000</v>
          </cell>
          <cell r="F35">
            <v>0</v>
          </cell>
          <cell r="G35" t="str">
            <v>EA.</v>
          </cell>
        </row>
        <row r="36">
          <cell r="C36">
            <v>142</v>
          </cell>
          <cell r="D36" t="str">
            <v>-  CB 3P 1,000 AF ; IC 50 KA.</v>
          </cell>
          <cell r="E36">
            <v>38000</v>
          </cell>
          <cell r="F36">
            <v>0</v>
          </cell>
          <cell r="G36" t="str">
            <v>EA.</v>
          </cell>
        </row>
        <row r="37">
          <cell r="C37">
            <v>143</v>
          </cell>
          <cell r="D37" t="str">
            <v>-  CB 3P 1,200 AF ; IC 50 KA.</v>
          </cell>
          <cell r="E37">
            <v>70000</v>
          </cell>
          <cell r="F37">
            <v>0</v>
          </cell>
          <cell r="G37" t="str">
            <v>EA.</v>
          </cell>
        </row>
        <row r="38">
          <cell r="C38">
            <v>144</v>
          </cell>
          <cell r="D38" t="str">
            <v>-  CB 3P 2,000 AF ; IC 50 KA.</v>
          </cell>
          <cell r="E38">
            <v>70000</v>
          </cell>
          <cell r="F38">
            <v>0</v>
          </cell>
          <cell r="G38" t="str">
            <v>EA.</v>
          </cell>
        </row>
        <row r="39">
          <cell r="C39">
            <v>145</v>
          </cell>
          <cell r="D39" t="str">
            <v>-  CB 3P 2,000 AF ; IC 100 KA.</v>
          </cell>
          <cell r="E39">
            <v>80000</v>
          </cell>
          <cell r="F39">
            <v>0</v>
          </cell>
          <cell r="G39" t="str">
            <v>EA.</v>
          </cell>
        </row>
        <row r="40">
          <cell r="C40">
            <v>146</v>
          </cell>
          <cell r="D40" t="str">
            <v>-  CB 3P 2,500 AF ; IC 50 KA.</v>
          </cell>
          <cell r="E40">
            <v>100000</v>
          </cell>
          <cell r="F40">
            <v>0</v>
          </cell>
          <cell r="G40" t="str">
            <v>EA.</v>
          </cell>
        </row>
        <row r="41">
          <cell r="C41">
            <v>141</v>
          </cell>
          <cell r="D41" t="str">
            <v>SPACE</v>
          </cell>
          <cell r="E41">
            <v>13</v>
          </cell>
          <cell r="F41">
            <v>2</v>
          </cell>
          <cell r="G41" t="str">
            <v>M.</v>
          </cell>
        </row>
        <row r="42">
          <cell r="C42">
            <v>2</v>
          </cell>
          <cell r="D42" t="str">
            <v>ELECTRONIC TRIP MCCB</v>
          </cell>
          <cell r="E42">
            <v>15</v>
          </cell>
          <cell r="F42">
            <v>3</v>
          </cell>
          <cell r="G42" t="str">
            <v>M.</v>
          </cell>
        </row>
        <row r="43">
          <cell r="C43">
            <v>201</v>
          </cell>
          <cell r="D43" t="str">
            <v>-  ECB 3P 800 AF ; IC 65 KA.</v>
          </cell>
          <cell r="E43">
            <v>75000</v>
          </cell>
          <cell r="F43">
            <v>0</v>
          </cell>
          <cell r="G43" t="str">
            <v>EA.</v>
          </cell>
        </row>
        <row r="44">
          <cell r="C44">
            <v>202</v>
          </cell>
          <cell r="D44" t="str">
            <v>-  ECB 3P 1,200 AF ; IC 100 KA.</v>
          </cell>
          <cell r="E44">
            <v>110000</v>
          </cell>
          <cell r="F44">
            <v>0</v>
          </cell>
          <cell r="G44" t="str">
            <v>EA.</v>
          </cell>
        </row>
        <row r="45">
          <cell r="C45">
            <v>203</v>
          </cell>
          <cell r="D45" t="str">
            <v>-  ECB 3P 2,500 AF ; IC 100 KA.</v>
          </cell>
          <cell r="E45">
            <v>130000</v>
          </cell>
          <cell r="F45">
            <v>0</v>
          </cell>
          <cell r="G45" t="str">
            <v>EA.</v>
          </cell>
        </row>
        <row r="46">
          <cell r="C46">
            <v>146</v>
          </cell>
          <cell r="D46" t="str">
            <v>SPACE</v>
          </cell>
          <cell r="E46">
            <v>33</v>
          </cell>
          <cell r="F46">
            <v>4</v>
          </cell>
          <cell r="G46" t="str">
            <v>M.</v>
          </cell>
        </row>
        <row r="47">
          <cell r="C47">
            <v>3</v>
          </cell>
          <cell r="D47" t="str">
            <v>POWER AIR CIRCUIT BREAKER</v>
          </cell>
          <cell r="E47">
            <v>80</v>
          </cell>
          <cell r="F47">
            <v>50</v>
          </cell>
          <cell r="G47" t="str">
            <v>SET</v>
          </cell>
        </row>
        <row r="48">
          <cell r="C48">
            <v>301</v>
          </cell>
          <cell r="D48" t="str">
            <v>-  ACB 3P 200/800 AF ; IC 65 KA.</v>
          </cell>
          <cell r="E48">
            <v>167000</v>
          </cell>
          <cell r="F48">
            <v>0</v>
          </cell>
          <cell r="G48" t="str">
            <v>EA.</v>
          </cell>
        </row>
        <row r="49">
          <cell r="C49">
            <v>302</v>
          </cell>
          <cell r="D49" t="str">
            <v>-  ACB 3P 400/800 AF ; IC 65 KA.</v>
          </cell>
          <cell r="E49">
            <v>167000</v>
          </cell>
          <cell r="F49">
            <v>0</v>
          </cell>
          <cell r="G49" t="str">
            <v>EA.</v>
          </cell>
        </row>
        <row r="50">
          <cell r="C50">
            <v>303</v>
          </cell>
          <cell r="D50" t="str">
            <v>-  ACB 3P 800/800 AF ; IC 65 KA.</v>
          </cell>
          <cell r="E50">
            <v>167000</v>
          </cell>
          <cell r="F50">
            <v>0</v>
          </cell>
          <cell r="G50" t="str">
            <v>EA.</v>
          </cell>
        </row>
        <row r="51">
          <cell r="C51">
            <v>304</v>
          </cell>
          <cell r="D51" t="str">
            <v>-  ACB 3P 1,000/1,600 AF ; IC 65 KA.</v>
          </cell>
          <cell r="E51">
            <v>200000</v>
          </cell>
          <cell r="F51">
            <v>0</v>
          </cell>
          <cell r="G51" t="str">
            <v>EA.</v>
          </cell>
        </row>
        <row r="52">
          <cell r="C52">
            <v>305</v>
          </cell>
          <cell r="D52" t="str">
            <v>-  ACB 3P 1,600/1,600 AF ; IC 65 KA.</v>
          </cell>
          <cell r="E52">
            <v>200000</v>
          </cell>
          <cell r="F52">
            <v>0</v>
          </cell>
          <cell r="G52" t="str">
            <v>EA.</v>
          </cell>
        </row>
        <row r="53">
          <cell r="C53">
            <v>306</v>
          </cell>
          <cell r="D53" t="str">
            <v>-  ACB 3P 2,000/2,000 AF ; IC 65 KA.</v>
          </cell>
          <cell r="E53">
            <v>240000</v>
          </cell>
          <cell r="F53">
            <v>0</v>
          </cell>
          <cell r="G53" t="str">
            <v>EA.</v>
          </cell>
        </row>
        <row r="54">
          <cell r="C54">
            <v>307</v>
          </cell>
          <cell r="D54" t="str">
            <v>-  ACB 3P 1,000/2,500 AF ; IC 65 KA.</v>
          </cell>
          <cell r="E54">
            <v>300000</v>
          </cell>
          <cell r="F54">
            <v>0</v>
          </cell>
          <cell r="G54" t="str">
            <v>EA.</v>
          </cell>
        </row>
        <row r="55">
          <cell r="C55">
            <v>308</v>
          </cell>
          <cell r="D55" t="str">
            <v>-  ACB 3P 2,000/2,500 AF ; IC 65 KA.</v>
          </cell>
          <cell r="E55">
            <v>300000</v>
          </cell>
          <cell r="F55">
            <v>0</v>
          </cell>
          <cell r="G55" t="str">
            <v>EA.</v>
          </cell>
        </row>
        <row r="56">
          <cell r="C56">
            <v>309</v>
          </cell>
          <cell r="D56" t="str">
            <v>-  ACB 3P 2,500/2,500 AF ; IC 65 KA.</v>
          </cell>
          <cell r="E56">
            <v>300000</v>
          </cell>
          <cell r="F56">
            <v>0</v>
          </cell>
          <cell r="G56" t="str">
            <v>EA.</v>
          </cell>
        </row>
        <row r="57">
          <cell r="C57">
            <v>310</v>
          </cell>
          <cell r="D57" t="str">
            <v>-  ACB 3P 3,000/3,000 AF ; IC 65 KA.</v>
          </cell>
          <cell r="E57">
            <v>340000</v>
          </cell>
          <cell r="F57">
            <v>0</v>
          </cell>
          <cell r="G57" t="str">
            <v>EA.</v>
          </cell>
        </row>
        <row r="58">
          <cell r="C58">
            <v>311</v>
          </cell>
          <cell r="D58" t="str">
            <v>-  ACB 3P 4,000/4,000 AF ; IC 65 KA.</v>
          </cell>
          <cell r="E58">
            <v>440000</v>
          </cell>
          <cell r="F58">
            <v>0</v>
          </cell>
          <cell r="G58" t="str">
            <v>EA.</v>
          </cell>
        </row>
        <row r="59">
          <cell r="C59">
            <v>215</v>
          </cell>
          <cell r="D59" t="str">
            <v>SPACE</v>
          </cell>
          <cell r="E59">
            <v>40000</v>
          </cell>
          <cell r="F59">
            <v>1000</v>
          </cell>
          <cell r="G59" t="str">
            <v>SET</v>
          </cell>
        </row>
        <row r="60">
          <cell r="C60">
            <v>321</v>
          </cell>
          <cell r="D60" t="str">
            <v>-  ACB 3P 800/1,200 AF ; IC 65 KA.</v>
          </cell>
          <cell r="E60">
            <v>180000</v>
          </cell>
          <cell r="F60">
            <v>0</v>
          </cell>
          <cell r="G60" t="str">
            <v>EA.</v>
          </cell>
        </row>
        <row r="61">
          <cell r="C61">
            <v>322</v>
          </cell>
          <cell r="D61" t="str">
            <v>-  ACB 3P 1,200/1,200 AF ; IC 65 KA.</v>
          </cell>
          <cell r="E61">
            <v>180000</v>
          </cell>
          <cell r="F61">
            <v>0</v>
          </cell>
          <cell r="G61" t="str">
            <v>EA.</v>
          </cell>
        </row>
        <row r="62">
          <cell r="C62">
            <v>323</v>
          </cell>
          <cell r="D62" t="str">
            <v>-  ACB 3P 1,200/1,600 AF ; IC 65 KA.</v>
          </cell>
          <cell r="E62">
            <v>200000</v>
          </cell>
          <cell r="F62">
            <v>0</v>
          </cell>
          <cell r="G62" t="str">
            <v>EA.</v>
          </cell>
        </row>
        <row r="63">
          <cell r="C63">
            <v>324</v>
          </cell>
          <cell r="D63" t="str">
            <v>-  ACB 3P 1,600/1,600 AF ; IC 65 KA.</v>
          </cell>
          <cell r="E63">
            <v>200000</v>
          </cell>
          <cell r="F63">
            <v>0</v>
          </cell>
          <cell r="G63" t="str">
            <v>EA.</v>
          </cell>
        </row>
        <row r="64">
          <cell r="C64">
            <v>325</v>
          </cell>
          <cell r="D64" t="str">
            <v>-  ACB 3P 1,600/2,000 AF ; IC 65 KA.</v>
          </cell>
          <cell r="E64">
            <v>240000</v>
          </cell>
          <cell r="F64">
            <v>0</v>
          </cell>
          <cell r="G64" t="str">
            <v>EA.</v>
          </cell>
        </row>
        <row r="65">
          <cell r="C65">
            <v>326</v>
          </cell>
          <cell r="D65" t="str">
            <v>-  ACB 3P 2,000/2,000 AF ; IC 65 KA.</v>
          </cell>
          <cell r="E65">
            <v>240000</v>
          </cell>
          <cell r="F65">
            <v>0</v>
          </cell>
          <cell r="G65" t="str">
            <v>EA.</v>
          </cell>
        </row>
        <row r="66">
          <cell r="C66">
            <v>327</v>
          </cell>
          <cell r="D66" t="str">
            <v>-  ACB 3P 2,000/2,500 AF ; IC 65 KA.</v>
          </cell>
          <cell r="E66">
            <v>300000</v>
          </cell>
          <cell r="F66">
            <v>0</v>
          </cell>
          <cell r="G66" t="str">
            <v>EA.</v>
          </cell>
        </row>
        <row r="67">
          <cell r="C67">
            <v>328</v>
          </cell>
          <cell r="D67" t="str">
            <v>-  ACB 3P 2,500/2,500 AF ; IC 65 KA.</v>
          </cell>
          <cell r="E67">
            <v>300000</v>
          </cell>
          <cell r="F67">
            <v>0</v>
          </cell>
          <cell r="G67" t="str">
            <v>EA.</v>
          </cell>
        </row>
        <row r="68">
          <cell r="C68">
            <v>329</v>
          </cell>
          <cell r="D68" t="str">
            <v>-  ACB 3P 2,500/3,000 AF ; IC 65 KA.</v>
          </cell>
          <cell r="E68">
            <v>340000</v>
          </cell>
          <cell r="F68">
            <v>0</v>
          </cell>
          <cell r="G68" t="str">
            <v>EA.</v>
          </cell>
        </row>
        <row r="69">
          <cell r="C69">
            <v>330</v>
          </cell>
          <cell r="D69" t="str">
            <v>-  ACB 3P 3,000/3,500 AF ; IC 65 KA.</v>
          </cell>
          <cell r="E69">
            <v>340000</v>
          </cell>
          <cell r="F69">
            <v>0</v>
          </cell>
          <cell r="G69" t="str">
            <v>EA.</v>
          </cell>
        </row>
        <row r="70">
          <cell r="C70">
            <v>331</v>
          </cell>
          <cell r="D70" t="str">
            <v>-  ACB 3P 3,500/4,000 AF ; IC 65 KA.</v>
          </cell>
          <cell r="E70">
            <v>440000</v>
          </cell>
          <cell r="F70">
            <v>0</v>
          </cell>
          <cell r="G70" t="str">
            <v>EA.</v>
          </cell>
        </row>
        <row r="71">
          <cell r="C71">
            <v>332</v>
          </cell>
          <cell r="D71" t="str">
            <v>-  ACB 3P 4,000/4,000 AF ; IC 65 KA.</v>
          </cell>
          <cell r="E71">
            <v>440000</v>
          </cell>
          <cell r="F71">
            <v>0</v>
          </cell>
          <cell r="G71" t="str">
            <v>EA.</v>
          </cell>
        </row>
        <row r="72">
          <cell r="C72">
            <v>333</v>
          </cell>
          <cell r="D72" t="str">
            <v>-  ACB 3P 4,000/5,000 AF ; IC 65 KA.</v>
          </cell>
          <cell r="E72">
            <v>1000000</v>
          </cell>
          <cell r="F72">
            <v>0</v>
          </cell>
          <cell r="G72" t="str">
            <v>EA.</v>
          </cell>
        </row>
        <row r="73">
          <cell r="C73">
            <v>334</v>
          </cell>
          <cell r="D73" t="str">
            <v>-  ACB 3P 5,000/5,000 AF ; IC 65 KA.</v>
          </cell>
          <cell r="E73">
            <v>1000000</v>
          </cell>
          <cell r="F73">
            <v>0</v>
          </cell>
          <cell r="G73" t="str">
            <v>EA.</v>
          </cell>
        </row>
        <row r="74">
          <cell r="C74">
            <v>335</v>
          </cell>
          <cell r="D74" t="str">
            <v>-  ACB 3P 5,000/6,300 AF ; IC 65 KA.</v>
          </cell>
          <cell r="E74">
            <v>1200000</v>
          </cell>
          <cell r="F74">
            <v>0</v>
          </cell>
          <cell r="G74" t="str">
            <v>EA.</v>
          </cell>
        </row>
        <row r="75">
          <cell r="C75">
            <v>336</v>
          </cell>
          <cell r="D75" t="str">
            <v>-  ACB 3P 6,300/6,300 AF ; IC 65 KA.</v>
          </cell>
          <cell r="E75">
            <v>1200000</v>
          </cell>
          <cell r="F75">
            <v>0</v>
          </cell>
          <cell r="G75" t="str">
            <v>EA.</v>
          </cell>
        </row>
        <row r="76">
          <cell r="C76">
            <v>316</v>
          </cell>
          <cell r="D76" t="str">
            <v>SPACE</v>
          </cell>
          <cell r="E76">
            <v>250000</v>
          </cell>
          <cell r="F76">
            <v>3000</v>
          </cell>
          <cell r="G76" t="str">
            <v>SET</v>
          </cell>
        </row>
        <row r="77">
          <cell r="C77">
            <v>4</v>
          </cell>
          <cell r="D77" t="str">
            <v>EARTH LEAKAGE CB</v>
          </cell>
          <cell r="E77">
            <v>32900</v>
          </cell>
          <cell r="F77">
            <v>1000</v>
          </cell>
          <cell r="G77" t="str">
            <v>SET</v>
          </cell>
        </row>
        <row r="78">
          <cell r="C78">
            <v>401</v>
          </cell>
          <cell r="D78" t="str">
            <v>-  RCD 1P 10 AT 10 mA. ; 5 KA.</v>
          </cell>
          <cell r="E78">
            <v>1500</v>
          </cell>
          <cell r="F78">
            <v>0</v>
          </cell>
          <cell r="G78" t="str">
            <v>EA.</v>
          </cell>
        </row>
        <row r="79">
          <cell r="C79">
            <v>402</v>
          </cell>
          <cell r="D79" t="str">
            <v>-  RCD 1P 16 AT 10 mA. ; 5 KA.</v>
          </cell>
          <cell r="E79">
            <v>1500</v>
          </cell>
          <cell r="F79">
            <v>0</v>
          </cell>
          <cell r="G79" t="str">
            <v>EA.</v>
          </cell>
        </row>
        <row r="80">
          <cell r="C80">
            <v>403</v>
          </cell>
          <cell r="D80" t="str">
            <v>-  RCD 1P 20 AT 10 mA. ; 5 KA.</v>
          </cell>
          <cell r="E80">
            <v>1500</v>
          </cell>
          <cell r="F80">
            <v>0</v>
          </cell>
          <cell r="G80" t="str">
            <v>EA.</v>
          </cell>
        </row>
        <row r="81">
          <cell r="C81">
            <v>404</v>
          </cell>
          <cell r="D81" t="str">
            <v>-  RCD 1P 32 AT 10 mA. ; 5 KA.</v>
          </cell>
          <cell r="E81">
            <v>1500</v>
          </cell>
          <cell r="F81">
            <v>0</v>
          </cell>
          <cell r="G81" t="str">
            <v>EA.</v>
          </cell>
        </row>
        <row r="82">
          <cell r="C82">
            <v>405</v>
          </cell>
          <cell r="D82" t="str">
            <v>-  RCD 1P 40 AT 10 mA. ; 10 KA.</v>
          </cell>
          <cell r="E82">
            <v>2400</v>
          </cell>
          <cell r="F82">
            <v>0</v>
          </cell>
          <cell r="G82" t="str">
            <v>EA.</v>
          </cell>
        </row>
        <row r="83">
          <cell r="C83">
            <v>406</v>
          </cell>
          <cell r="D83" t="str">
            <v>-  RCD 1P 16 AT 10 mA. ; 10 KA.</v>
          </cell>
          <cell r="E83">
            <v>2800</v>
          </cell>
          <cell r="F83">
            <v>0</v>
          </cell>
          <cell r="G83" t="str">
            <v>EA.</v>
          </cell>
        </row>
        <row r="84">
          <cell r="C84">
            <v>407</v>
          </cell>
          <cell r="D84" t="str">
            <v>-  RCD 1P 20 AT 10 mA. ; 10 KA.</v>
          </cell>
          <cell r="E84">
            <v>2800</v>
          </cell>
          <cell r="F84">
            <v>0</v>
          </cell>
          <cell r="G84" t="str">
            <v>EA.</v>
          </cell>
        </row>
        <row r="85">
          <cell r="C85">
            <v>408</v>
          </cell>
          <cell r="D85" t="str">
            <v>-  RCD 1P 32 AT 10 mA. ; 10 KA.</v>
          </cell>
          <cell r="E85">
            <v>2800</v>
          </cell>
          <cell r="F85">
            <v>0</v>
          </cell>
          <cell r="G85" t="str">
            <v>EA.</v>
          </cell>
        </row>
        <row r="86">
          <cell r="C86">
            <v>409</v>
          </cell>
          <cell r="D86" t="str">
            <v>-  RCD 1P 45 AT 10 mA. ; 10 KA.</v>
          </cell>
          <cell r="E86">
            <v>2800</v>
          </cell>
          <cell r="F86">
            <v>0</v>
          </cell>
          <cell r="G86" t="str">
            <v>EA.</v>
          </cell>
        </row>
        <row r="87">
          <cell r="C87">
            <v>410</v>
          </cell>
          <cell r="D87" t="str">
            <v>-  RCD 1P 63 AT 10 mA. ; 10 KA.</v>
          </cell>
          <cell r="E87">
            <v>2800</v>
          </cell>
          <cell r="F87">
            <v>0</v>
          </cell>
          <cell r="G87" t="str">
            <v>EA.</v>
          </cell>
        </row>
        <row r="88">
          <cell r="C88">
            <v>411</v>
          </cell>
          <cell r="D88" t="str">
            <v>-  RCD 4P 16 AT 10 mA. ; 5 KA.</v>
          </cell>
          <cell r="E88">
            <v>10000</v>
          </cell>
          <cell r="F88">
            <v>0</v>
          </cell>
          <cell r="G88" t="str">
            <v>EA.</v>
          </cell>
        </row>
        <row r="89">
          <cell r="C89">
            <v>412</v>
          </cell>
          <cell r="D89" t="str">
            <v>-  RCD 4P 20 AT 10 mA. ; 5 KA.</v>
          </cell>
          <cell r="E89">
            <v>10000</v>
          </cell>
          <cell r="F89">
            <v>0</v>
          </cell>
          <cell r="G89" t="str">
            <v>EA.</v>
          </cell>
        </row>
        <row r="90">
          <cell r="C90">
            <v>413</v>
          </cell>
          <cell r="D90" t="str">
            <v>-  RCD 4P 32 AT 10 mA. ; 5 KA.</v>
          </cell>
          <cell r="E90">
            <v>10000</v>
          </cell>
          <cell r="F90">
            <v>0</v>
          </cell>
          <cell r="G90" t="str">
            <v>EA.</v>
          </cell>
        </row>
        <row r="91">
          <cell r="C91">
            <v>414</v>
          </cell>
          <cell r="D91" t="str">
            <v>-  RCD 4P 40 AT 10 mA. ; 10 KA.</v>
          </cell>
          <cell r="E91">
            <v>10000</v>
          </cell>
          <cell r="F91">
            <v>0</v>
          </cell>
          <cell r="G91" t="str">
            <v>EA.</v>
          </cell>
        </row>
        <row r="92">
          <cell r="C92">
            <v>415</v>
          </cell>
          <cell r="D92" t="str">
            <v>-  RCD 4P 50 AT 10 mA. ; 10 KA.</v>
          </cell>
          <cell r="E92">
            <v>10000</v>
          </cell>
          <cell r="F92">
            <v>0</v>
          </cell>
          <cell r="G92" t="str">
            <v>EA.</v>
          </cell>
        </row>
        <row r="93">
          <cell r="C93">
            <v>416</v>
          </cell>
          <cell r="D93" t="str">
            <v>-  RCD 4P 63 AT 10 mA. ; 10 KA.</v>
          </cell>
          <cell r="E93">
            <v>10000</v>
          </cell>
          <cell r="F93">
            <v>0</v>
          </cell>
          <cell r="G93" t="str">
            <v>EA.</v>
          </cell>
        </row>
        <row r="94">
          <cell r="C94">
            <v>417</v>
          </cell>
          <cell r="D94" t="str">
            <v>-  RCD 4P 80 AT 10 mA. ; 10 KA.</v>
          </cell>
          <cell r="E94">
            <v>10000</v>
          </cell>
          <cell r="F94">
            <v>0</v>
          </cell>
          <cell r="G94" t="str">
            <v>EA.</v>
          </cell>
        </row>
        <row r="95">
          <cell r="C95">
            <v>418</v>
          </cell>
          <cell r="D95" t="str">
            <v>-  RCD 4P 100 AT 10 mA. ; 10 KA.</v>
          </cell>
          <cell r="E95">
            <v>10000</v>
          </cell>
          <cell r="F95">
            <v>0</v>
          </cell>
          <cell r="G95" t="str">
            <v>EA.</v>
          </cell>
        </row>
        <row r="96">
          <cell r="C96">
            <v>346</v>
          </cell>
          <cell r="D96" t="str">
            <v>SPACE</v>
          </cell>
          <cell r="E96">
            <v>24000</v>
          </cell>
          <cell r="F96">
            <v>500</v>
          </cell>
          <cell r="G96" t="str">
            <v>SET</v>
          </cell>
        </row>
        <row r="97">
          <cell r="C97">
            <v>5</v>
          </cell>
          <cell r="D97" t="str">
            <v>ACCESSORIES OF CB</v>
          </cell>
          <cell r="E97">
            <v>36000</v>
          </cell>
          <cell r="F97">
            <v>500</v>
          </cell>
          <cell r="G97" t="str">
            <v>SET</v>
          </cell>
        </row>
        <row r="98">
          <cell r="C98">
            <v>501</v>
          </cell>
          <cell r="D98" t="str">
            <v>-  GROUND FAULT RELAY</v>
          </cell>
          <cell r="E98">
            <v>12000</v>
          </cell>
          <cell r="F98">
            <v>0</v>
          </cell>
          <cell r="G98" t="str">
            <v>EA.</v>
          </cell>
        </row>
        <row r="99">
          <cell r="C99">
            <v>502</v>
          </cell>
          <cell r="D99" t="str">
            <v>-  SHUNT TRIP</v>
          </cell>
          <cell r="E99">
            <v>12000</v>
          </cell>
          <cell r="F99">
            <v>0</v>
          </cell>
          <cell r="G99" t="str">
            <v>EA.</v>
          </cell>
        </row>
        <row r="100">
          <cell r="C100">
            <v>503</v>
          </cell>
          <cell r="D100" t="str">
            <v>-  UNDER VOLTAGE RELAY</v>
          </cell>
          <cell r="E100">
            <v>6000</v>
          </cell>
          <cell r="F100">
            <v>0</v>
          </cell>
          <cell r="G100" t="str">
            <v>EA.</v>
          </cell>
        </row>
        <row r="101">
          <cell r="C101">
            <v>504</v>
          </cell>
          <cell r="D101" t="str">
            <v>-  PHASE SEQUENCE RELAY</v>
          </cell>
          <cell r="E101">
            <v>6000</v>
          </cell>
          <cell r="F101">
            <v>0</v>
          </cell>
          <cell r="G101" t="str">
            <v>EA.</v>
          </cell>
        </row>
        <row r="102">
          <cell r="C102">
            <v>505</v>
          </cell>
          <cell r="D102" t="str">
            <v>-  AUXILIARY SWITCHES</v>
          </cell>
          <cell r="E102">
            <v>3400</v>
          </cell>
          <cell r="F102">
            <v>0</v>
          </cell>
          <cell r="G102" t="str">
            <v>EA.</v>
          </cell>
        </row>
        <row r="103">
          <cell r="C103">
            <v>506</v>
          </cell>
          <cell r="D103" t="str">
            <v>-  SPRING CHARGING MOTOR</v>
          </cell>
          <cell r="E103">
            <v>30000</v>
          </cell>
          <cell r="F103">
            <v>0</v>
          </cell>
          <cell r="G103" t="str">
            <v>EA.</v>
          </cell>
        </row>
        <row r="104">
          <cell r="C104">
            <v>507</v>
          </cell>
          <cell r="D104" t="str">
            <v>-  KEY INTERLOCK</v>
          </cell>
          <cell r="E104">
            <v>15000</v>
          </cell>
          <cell r="F104">
            <v>0</v>
          </cell>
          <cell r="G104" t="str">
            <v>EA.</v>
          </cell>
        </row>
        <row r="105">
          <cell r="C105">
            <v>356</v>
          </cell>
          <cell r="D105" t="str">
            <v>SPACE</v>
          </cell>
          <cell r="E105">
            <v>3570</v>
          </cell>
          <cell r="F105">
            <v>100</v>
          </cell>
          <cell r="G105" t="str">
            <v>SET</v>
          </cell>
        </row>
        <row r="106">
          <cell r="C106">
            <v>6</v>
          </cell>
          <cell r="D106" t="str">
            <v>ATS</v>
          </cell>
          <cell r="E106">
            <v>2950</v>
          </cell>
          <cell r="F106">
            <v>100</v>
          </cell>
          <cell r="G106" t="str">
            <v>SET</v>
          </cell>
        </row>
        <row r="107">
          <cell r="C107">
            <v>601</v>
          </cell>
          <cell r="D107" t="str">
            <v>-  ATS 3P 100 AF 50 KA.</v>
          </cell>
          <cell r="E107">
            <v>87000</v>
          </cell>
          <cell r="F107">
            <v>0</v>
          </cell>
          <cell r="G107" t="str">
            <v>EA.</v>
          </cell>
        </row>
        <row r="108">
          <cell r="C108">
            <v>602</v>
          </cell>
          <cell r="D108" t="str">
            <v>-  ATS 3P 250 AF 35 KA.</v>
          </cell>
          <cell r="E108">
            <v>92000</v>
          </cell>
          <cell r="F108">
            <v>0</v>
          </cell>
          <cell r="G108" t="str">
            <v>EA.</v>
          </cell>
        </row>
        <row r="109">
          <cell r="C109">
            <v>603</v>
          </cell>
          <cell r="D109" t="str">
            <v>-  ATS 3P 250 AF 50 KA.</v>
          </cell>
          <cell r="E109">
            <v>102000</v>
          </cell>
          <cell r="F109">
            <v>0</v>
          </cell>
          <cell r="G109" t="str">
            <v>EA.</v>
          </cell>
        </row>
        <row r="110">
          <cell r="C110">
            <v>604</v>
          </cell>
          <cell r="D110" t="str">
            <v>-  ATS 3P 400 AF 35 KA.</v>
          </cell>
          <cell r="E110">
            <v>102000</v>
          </cell>
          <cell r="F110">
            <v>0</v>
          </cell>
          <cell r="G110" t="str">
            <v>EA.</v>
          </cell>
        </row>
        <row r="111">
          <cell r="C111">
            <v>605</v>
          </cell>
          <cell r="D111" t="str">
            <v>-  ATS 3P 600 AF 50 KA.</v>
          </cell>
          <cell r="E111">
            <v>130000</v>
          </cell>
          <cell r="F111">
            <v>0</v>
          </cell>
          <cell r="G111" t="str">
            <v>EA.</v>
          </cell>
        </row>
        <row r="112">
          <cell r="C112">
            <v>606</v>
          </cell>
          <cell r="D112" t="str">
            <v>-  ATS 3P 1,000 AF 50 KA.</v>
          </cell>
          <cell r="E112">
            <v>152000</v>
          </cell>
          <cell r="F112">
            <v>0</v>
          </cell>
          <cell r="G112" t="str">
            <v>EA.</v>
          </cell>
        </row>
        <row r="113">
          <cell r="C113">
            <v>607</v>
          </cell>
          <cell r="D113" t="str">
            <v>-  ATS 3P 1,600 AF 65 KA.</v>
          </cell>
          <cell r="E113">
            <v>467000</v>
          </cell>
          <cell r="F113">
            <v>0</v>
          </cell>
          <cell r="G113" t="str">
            <v>EA.</v>
          </cell>
        </row>
        <row r="114">
          <cell r="C114">
            <v>608</v>
          </cell>
          <cell r="D114" t="str">
            <v>-  ATS 3P 2,000 AF 65 KA.</v>
          </cell>
          <cell r="E114">
            <v>547000</v>
          </cell>
          <cell r="F114">
            <v>0</v>
          </cell>
          <cell r="G114" t="str">
            <v>EA.</v>
          </cell>
        </row>
        <row r="115">
          <cell r="C115">
            <v>609</v>
          </cell>
          <cell r="D115" t="str">
            <v>-  ATS 3P 2,500 AF 65 KA.</v>
          </cell>
          <cell r="E115">
            <v>667000</v>
          </cell>
          <cell r="F115">
            <v>0</v>
          </cell>
          <cell r="G115" t="str">
            <v>EA.</v>
          </cell>
        </row>
        <row r="116">
          <cell r="C116">
            <v>610</v>
          </cell>
          <cell r="D116" t="str">
            <v>-  ATS 3P 3,000 AF 65 KA.</v>
          </cell>
          <cell r="E116">
            <v>747000</v>
          </cell>
          <cell r="F116">
            <v>0</v>
          </cell>
          <cell r="G116" t="str">
            <v>EA.</v>
          </cell>
        </row>
        <row r="117">
          <cell r="C117">
            <v>234</v>
          </cell>
          <cell r="D117" t="str">
            <v>SPACE</v>
          </cell>
          <cell r="E117">
            <v>6000</v>
          </cell>
          <cell r="F117">
            <v>300</v>
          </cell>
          <cell r="G117" t="str">
            <v>EA.</v>
          </cell>
        </row>
        <row r="118">
          <cell r="C118">
            <v>7</v>
          </cell>
          <cell r="D118" t="str">
            <v>PLUG IN CB</v>
          </cell>
          <cell r="E118">
            <v>10000</v>
          </cell>
          <cell r="F118">
            <v>400</v>
          </cell>
          <cell r="G118" t="str">
            <v>EA.</v>
          </cell>
        </row>
        <row r="119">
          <cell r="C119">
            <v>701</v>
          </cell>
          <cell r="D119" t="str">
            <v>-  CB 3P 100 AF 10 KA.  (PLUG-IN)</v>
          </cell>
          <cell r="E119">
            <v>10000</v>
          </cell>
          <cell r="F119">
            <v>500</v>
          </cell>
          <cell r="G119" t="str">
            <v>EA.</v>
          </cell>
        </row>
        <row r="120">
          <cell r="C120">
            <v>702</v>
          </cell>
          <cell r="D120" t="str">
            <v>-  CB 3P 100 AF 25 KA.  (PLUG-IN)</v>
          </cell>
          <cell r="E120">
            <v>11000</v>
          </cell>
          <cell r="F120">
            <v>500</v>
          </cell>
          <cell r="G120" t="str">
            <v>EA.</v>
          </cell>
        </row>
        <row r="121">
          <cell r="C121">
            <v>703</v>
          </cell>
          <cell r="D121" t="str">
            <v>-  CB 3P 100 AF 65 KA.  (PLUG-IN)</v>
          </cell>
          <cell r="E121">
            <v>14000</v>
          </cell>
          <cell r="F121">
            <v>500</v>
          </cell>
          <cell r="G121" t="str">
            <v>EA.</v>
          </cell>
        </row>
        <row r="122">
          <cell r="C122">
            <v>704</v>
          </cell>
          <cell r="D122" t="str">
            <v>-  CB 3P 250 AF 25 KA.  (PLUG-IN)</v>
          </cell>
          <cell r="E122">
            <v>15000</v>
          </cell>
          <cell r="F122">
            <v>500</v>
          </cell>
          <cell r="G122" t="str">
            <v>EA.</v>
          </cell>
        </row>
        <row r="123">
          <cell r="C123">
            <v>705</v>
          </cell>
          <cell r="D123" t="str">
            <v>-  CB 3P 250 AF 35 KA.  (PLUG-IN)</v>
          </cell>
          <cell r="E123">
            <v>16000</v>
          </cell>
          <cell r="F123">
            <v>500</v>
          </cell>
          <cell r="G123" t="str">
            <v>EA.</v>
          </cell>
        </row>
        <row r="124">
          <cell r="C124">
            <v>706</v>
          </cell>
          <cell r="D124" t="str">
            <v>-  CB 3P 250 AF 65 KA.  (PLUG-IN)</v>
          </cell>
          <cell r="E124">
            <v>22000</v>
          </cell>
          <cell r="F124">
            <v>500</v>
          </cell>
          <cell r="G124" t="str">
            <v>EA.</v>
          </cell>
        </row>
        <row r="125">
          <cell r="C125">
            <v>707</v>
          </cell>
          <cell r="D125" t="str">
            <v>-  CB 3P 400 AF 30 KA.  (PLUG-IN)</v>
          </cell>
          <cell r="E125">
            <v>38000</v>
          </cell>
          <cell r="F125">
            <v>500</v>
          </cell>
          <cell r="G125" t="str">
            <v>EA.</v>
          </cell>
        </row>
        <row r="126">
          <cell r="C126">
            <v>708</v>
          </cell>
          <cell r="D126" t="str">
            <v>-  CB 3P 400 AF 35 KA.  (PLUG-IN)</v>
          </cell>
          <cell r="E126">
            <v>40000</v>
          </cell>
          <cell r="F126">
            <v>500</v>
          </cell>
          <cell r="G126" t="str">
            <v>EA.</v>
          </cell>
        </row>
        <row r="127">
          <cell r="C127">
            <v>709</v>
          </cell>
          <cell r="D127" t="str">
            <v>-  CB 3P 600 AF 65 KA.  (PLUG-IN)</v>
          </cell>
          <cell r="E127">
            <v>120000</v>
          </cell>
          <cell r="F127">
            <v>600</v>
          </cell>
          <cell r="G127" t="str">
            <v>EA.</v>
          </cell>
        </row>
        <row r="128">
          <cell r="C128">
            <v>710</v>
          </cell>
          <cell r="D128" t="str">
            <v>-  CB 3P 800 AF 30 KA.  (PLUG-IN)</v>
          </cell>
          <cell r="E128">
            <v>92000</v>
          </cell>
          <cell r="F128">
            <v>600</v>
          </cell>
          <cell r="G128" t="str">
            <v>EA.</v>
          </cell>
        </row>
        <row r="129">
          <cell r="C129">
            <v>711</v>
          </cell>
          <cell r="D129" t="str">
            <v>-  CB 3P 800 AF 65 KA.  (PLUG-IN)</v>
          </cell>
          <cell r="E129">
            <v>94000</v>
          </cell>
          <cell r="F129">
            <v>600</v>
          </cell>
          <cell r="G129" t="str">
            <v>EA.</v>
          </cell>
        </row>
        <row r="130">
          <cell r="C130">
            <v>712</v>
          </cell>
          <cell r="D130" t="str">
            <v>-  CB 3P 1,000 AF 30 KA.  (PLUG-IN)</v>
          </cell>
          <cell r="E130">
            <v>100000</v>
          </cell>
          <cell r="F130">
            <v>600</v>
          </cell>
          <cell r="G130" t="str">
            <v>EA.</v>
          </cell>
        </row>
        <row r="131">
          <cell r="C131">
            <v>713</v>
          </cell>
          <cell r="D131" t="str">
            <v>-  CB 3P 1,00 AF 65 KA.  (PLUG-IN)</v>
          </cell>
          <cell r="E131">
            <v>120000</v>
          </cell>
          <cell r="F131">
            <v>600</v>
          </cell>
          <cell r="G131" t="str">
            <v>EA.</v>
          </cell>
        </row>
        <row r="132">
          <cell r="C132">
            <v>714</v>
          </cell>
          <cell r="D132" t="str">
            <v>-  CB 3P 1,600 AF 50 KA.  (PLUG-IN)</v>
          </cell>
          <cell r="E132">
            <v>160000</v>
          </cell>
          <cell r="F132">
            <v>600</v>
          </cell>
          <cell r="G132" t="str">
            <v>EA.</v>
          </cell>
        </row>
        <row r="133">
          <cell r="C133">
            <v>715</v>
          </cell>
          <cell r="D133" t="str">
            <v>-  CB 3P 1,600 AF 100 KA.  (PLUG-IN)</v>
          </cell>
          <cell r="E133">
            <v>170000</v>
          </cell>
          <cell r="F133">
            <v>600</v>
          </cell>
          <cell r="G133" t="str">
            <v>EA.</v>
          </cell>
        </row>
        <row r="134">
          <cell r="C134">
            <v>413</v>
          </cell>
          <cell r="D134" t="str">
            <v>SPACE</v>
          </cell>
          <cell r="E134">
            <v>4100</v>
          </cell>
          <cell r="F134">
            <v>200</v>
          </cell>
          <cell r="G134" t="str">
            <v>SET</v>
          </cell>
        </row>
        <row r="135">
          <cell r="C135">
            <v>8</v>
          </cell>
          <cell r="D135" t="str">
            <v>BUSDUCT</v>
          </cell>
          <cell r="E135">
            <v>2600</v>
          </cell>
          <cell r="F135">
            <v>200</v>
          </cell>
          <cell r="G135" t="str">
            <v>SET</v>
          </cell>
        </row>
        <row r="136">
          <cell r="C136">
            <v>415</v>
          </cell>
          <cell r="D136" t="str">
            <v>FEEDER BUSDUCT</v>
          </cell>
          <cell r="E136">
            <v>6350</v>
          </cell>
          <cell r="F136">
            <v>200</v>
          </cell>
          <cell r="G136" t="str">
            <v>SET</v>
          </cell>
        </row>
        <row r="137">
          <cell r="C137">
            <v>801</v>
          </cell>
          <cell r="D137" t="str">
            <v>-  AL. FEEDER BUSDUCT 800 A.</v>
          </cell>
          <cell r="E137">
            <v>10000</v>
          </cell>
          <cell r="F137">
            <v>500</v>
          </cell>
          <cell r="G137" t="str">
            <v>M.</v>
          </cell>
        </row>
        <row r="138">
          <cell r="C138">
            <v>802</v>
          </cell>
          <cell r="D138" t="str">
            <v>-  AL. FEEDER BUSDUCT 1,000 A.</v>
          </cell>
          <cell r="E138">
            <v>11000</v>
          </cell>
          <cell r="F138">
            <v>500</v>
          </cell>
          <cell r="G138" t="str">
            <v>M.</v>
          </cell>
        </row>
        <row r="139">
          <cell r="C139">
            <v>803</v>
          </cell>
          <cell r="D139" t="str">
            <v>-  AL. FEEDER BUSDUCT 1,200 A.</v>
          </cell>
          <cell r="E139">
            <v>12000</v>
          </cell>
          <cell r="F139">
            <v>700</v>
          </cell>
          <cell r="G139" t="str">
            <v>M.</v>
          </cell>
        </row>
        <row r="140">
          <cell r="C140">
            <v>804</v>
          </cell>
          <cell r="D140" t="str">
            <v>-  AL. FEEDER BUSDUCT 1,350 A.</v>
          </cell>
          <cell r="E140">
            <v>14000</v>
          </cell>
          <cell r="F140">
            <v>700</v>
          </cell>
          <cell r="G140" t="str">
            <v>M.</v>
          </cell>
        </row>
        <row r="141">
          <cell r="C141">
            <v>805</v>
          </cell>
          <cell r="D141" t="str">
            <v>-  AL. FEEDER BUSDUCT 1,600 A.</v>
          </cell>
          <cell r="E141">
            <v>15000</v>
          </cell>
          <cell r="F141">
            <v>800</v>
          </cell>
          <cell r="G141" t="str">
            <v>M.</v>
          </cell>
        </row>
        <row r="142">
          <cell r="C142">
            <v>806</v>
          </cell>
          <cell r="D142" t="str">
            <v>-  AL. FEEDER BUSDUCT 2,000 A.</v>
          </cell>
          <cell r="E142">
            <v>207000</v>
          </cell>
          <cell r="F142">
            <v>800</v>
          </cell>
          <cell r="G142" t="str">
            <v>M.</v>
          </cell>
        </row>
        <row r="143">
          <cell r="C143">
            <v>807</v>
          </cell>
          <cell r="D143" t="str">
            <v>-  AL. FEEDER BUSDUCT 2,500 A.</v>
          </cell>
          <cell r="E143">
            <v>23000</v>
          </cell>
          <cell r="F143">
            <v>1000</v>
          </cell>
          <cell r="G143" t="str">
            <v>M.</v>
          </cell>
        </row>
        <row r="144">
          <cell r="C144">
            <v>808</v>
          </cell>
          <cell r="D144" t="str">
            <v>-  AL. FEEDER BUSDUCT 3,000 A.</v>
          </cell>
          <cell r="E144">
            <v>27000</v>
          </cell>
          <cell r="F144">
            <v>1000</v>
          </cell>
          <cell r="G144" t="str">
            <v>M.</v>
          </cell>
        </row>
        <row r="145">
          <cell r="C145">
            <v>809</v>
          </cell>
          <cell r="D145" t="str">
            <v>-  AL. FEEDER BUSDUCT 4,000 A.</v>
          </cell>
          <cell r="E145">
            <v>34000</v>
          </cell>
          <cell r="F145">
            <v>1000</v>
          </cell>
          <cell r="G145" t="str">
            <v>M.</v>
          </cell>
        </row>
        <row r="146">
          <cell r="C146">
            <v>810</v>
          </cell>
          <cell r="D146" t="str">
            <v>-  CU. FEEDER BUSDUCT 800 A.</v>
          </cell>
          <cell r="E146">
            <v>14000</v>
          </cell>
          <cell r="F146">
            <v>500</v>
          </cell>
          <cell r="G146" t="str">
            <v>M.</v>
          </cell>
        </row>
        <row r="147">
          <cell r="C147">
            <v>811</v>
          </cell>
          <cell r="D147" t="str">
            <v>-  CU. FEEDER BUSDUCT 1,000 A.</v>
          </cell>
          <cell r="E147">
            <v>15000</v>
          </cell>
          <cell r="F147">
            <v>500</v>
          </cell>
          <cell r="G147" t="str">
            <v>M.</v>
          </cell>
        </row>
        <row r="148">
          <cell r="C148">
            <v>812</v>
          </cell>
          <cell r="D148" t="str">
            <v>-  CU. FEEDER BUSDUCT 1,200 A.</v>
          </cell>
          <cell r="E148">
            <v>18000</v>
          </cell>
          <cell r="F148">
            <v>700</v>
          </cell>
          <cell r="G148" t="str">
            <v>M.</v>
          </cell>
        </row>
        <row r="149">
          <cell r="C149">
            <v>813</v>
          </cell>
          <cell r="D149" t="str">
            <v>-  CU. FEEDER BUSDUCT 1,350 A.</v>
          </cell>
          <cell r="E149">
            <v>19000</v>
          </cell>
          <cell r="F149">
            <v>700</v>
          </cell>
          <cell r="G149" t="str">
            <v>M.</v>
          </cell>
        </row>
        <row r="150">
          <cell r="C150">
            <v>814</v>
          </cell>
          <cell r="D150" t="str">
            <v>-  CU. FEEDER BUSDUCT 1,600 A.</v>
          </cell>
          <cell r="E150">
            <v>21000</v>
          </cell>
          <cell r="F150">
            <v>800</v>
          </cell>
          <cell r="G150" t="str">
            <v>M.</v>
          </cell>
        </row>
        <row r="151">
          <cell r="C151">
            <v>815</v>
          </cell>
          <cell r="D151" t="str">
            <v>-  CU. FEEDER BUSDUCT 2,000 A.</v>
          </cell>
          <cell r="E151">
            <v>24000</v>
          </cell>
          <cell r="F151">
            <v>800</v>
          </cell>
          <cell r="G151" t="str">
            <v>M.</v>
          </cell>
        </row>
        <row r="152">
          <cell r="C152">
            <v>816</v>
          </cell>
          <cell r="D152" t="str">
            <v>-  CU. FEEDER BUSDUCT 2,500 A.</v>
          </cell>
          <cell r="E152">
            <v>34000</v>
          </cell>
          <cell r="F152">
            <v>1000</v>
          </cell>
          <cell r="G152" t="str">
            <v>M.</v>
          </cell>
        </row>
        <row r="153">
          <cell r="C153">
            <v>817</v>
          </cell>
          <cell r="D153" t="str">
            <v>-  CU. FEEDER BUSDUCT 3,000 A.</v>
          </cell>
          <cell r="E153">
            <v>40000</v>
          </cell>
          <cell r="F153">
            <v>1000</v>
          </cell>
          <cell r="G153" t="str">
            <v>M.</v>
          </cell>
        </row>
        <row r="154">
          <cell r="C154">
            <v>818</v>
          </cell>
          <cell r="D154" t="str">
            <v>-  CU. FEEDER BUSDUCT 4,000 A.</v>
          </cell>
          <cell r="E154">
            <v>50000</v>
          </cell>
          <cell r="F154">
            <v>1000</v>
          </cell>
          <cell r="G154" t="str">
            <v>M.</v>
          </cell>
        </row>
        <row r="155">
          <cell r="C155">
            <v>819</v>
          </cell>
          <cell r="D155" t="str">
            <v>-  CU. FEEDER BUSDUCT 5,000 A.</v>
          </cell>
          <cell r="E155">
            <v>60000</v>
          </cell>
          <cell r="F155">
            <v>1000</v>
          </cell>
          <cell r="G155" t="str">
            <v>M.</v>
          </cell>
        </row>
        <row r="156">
          <cell r="C156">
            <v>444</v>
          </cell>
          <cell r="D156" t="str">
            <v>SPACE</v>
          </cell>
          <cell r="E156">
            <v>0</v>
          </cell>
          <cell r="F156">
            <v>250</v>
          </cell>
          <cell r="G156" t="str">
            <v>SET</v>
          </cell>
        </row>
        <row r="157">
          <cell r="C157">
            <v>445</v>
          </cell>
          <cell r="D157" t="str">
            <v>PLUG-IN BUSDUCT</v>
          </cell>
          <cell r="E157">
            <v>0</v>
          </cell>
          <cell r="F157">
            <v>250</v>
          </cell>
          <cell r="G157" t="str">
            <v>SET</v>
          </cell>
        </row>
        <row r="158">
          <cell r="C158">
            <v>821</v>
          </cell>
          <cell r="D158" t="str">
            <v>-  AL. PLUG-IN BUSDUCT 225 A.</v>
          </cell>
          <cell r="E158">
            <v>8000</v>
          </cell>
          <cell r="F158">
            <v>500</v>
          </cell>
          <cell r="G158" t="str">
            <v>M.</v>
          </cell>
        </row>
        <row r="159">
          <cell r="C159">
            <v>822</v>
          </cell>
          <cell r="D159" t="str">
            <v>-  AL. PLUG-IN BUSDUCT 400 A.</v>
          </cell>
          <cell r="E159">
            <v>8800</v>
          </cell>
          <cell r="F159">
            <v>500</v>
          </cell>
          <cell r="G159" t="str">
            <v>M.</v>
          </cell>
        </row>
        <row r="160">
          <cell r="C160">
            <v>823</v>
          </cell>
          <cell r="D160" t="str">
            <v>-  AL. PLUG-IN BUSDUCT 600 A.</v>
          </cell>
          <cell r="E160">
            <v>10000</v>
          </cell>
          <cell r="F160">
            <v>500</v>
          </cell>
          <cell r="G160" t="str">
            <v>M.</v>
          </cell>
        </row>
        <row r="161">
          <cell r="C161">
            <v>824</v>
          </cell>
          <cell r="D161" t="str">
            <v>-  AL. PLUG-IN BUSDUCT 800 A.</v>
          </cell>
          <cell r="E161">
            <v>14000</v>
          </cell>
          <cell r="F161">
            <v>500</v>
          </cell>
          <cell r="G161" t="str">
            <v>M.</v>
          </cell>
        </row>
        <row r="162">
          <cell r="C162">
            <v>825</v>
          </cell>
          <cell r="D162" t="str">
            <v>-  AL. PLUG-IN BUSDUCT 1,000 A.</v>
          </cell>
          <cell r="E162">
            <v>14800</v>
          </cell>
          <cell r="F162">
            <v>500</v>
          </cell>
          <cell r="G162" t="str">
            <v>M.</v>
          </cell>
        </row>
        <row r="163">
          <cell r="C163">
            <v>826</v>
          </cell>
          <cell r="D163" t="str">
            <v>-  AL. PLUG-IN BUSDUCT 1,200 A.</v>
          </cell>
          <cell r="E163">
            <v>15500</v>
          </cell>
          <cell r="F163">
            <v>700</v>
          </cell>
          <cell r="G163" t="str">
            <v>M.</v>
          </cell>
        </row>
        <row r="164">
          <cell r="C164">
            <v>827</v>
          </cell>
          <cell r="D164" t="str">
            <v>-  AL. PLUG-IN BUSDUCT 1,350 A.</v>
          </cell>
          <cell r="E164">
            <v>17000</v>
          </cell>
          <cell r="F164">
            <v>700</v>
          </cell>
          <cell r="G164" t="str">
            <v>M.</v>
          </cell>
        </row>
        <row r="165">
          <cell r="C165">
            <v>828</v>
          </cell>
          <cell r="D165" t="str">
            <v>-  AL. PLUG-IN BUSDUCT 1,600 A.</v>
          </cell>
          <cell r="E165">
            <v>18000</v>
          </cell>
          <cell r="F165">
            <v>800</v>
          </cell>
          <cell r="G165" t="str">
            <v>M.</v>
          </cell>
        </row>
        <row r="166">
          <cell r="C166">
            <v>829</v>
          </cell>
          <cell r="D166" t="str">
            <v>-  AL. PLUG-IN BUSDUCT 2,000 A.</v>
          </cell>
          <cell r="E166">
            <v>28000</v>
          </cell>
          <cell r="F166">
            <v>800</v>
          </cell>
          <cell r="G166" t="str">
            <v>M.</v>
          </cell>
        </row>
        <row r="167">
          <cell r="C167">
            <v>830</v>
          </cell>
          <cell r="D167" t="str">
            <v>-  AL. PLUG-IN BUSDUCT 2,500 A.</v>
          </cell>
          <cell r="E167">
            <v>30000</v>
          </cell>
          <cell r="F167">
            <v>1000</v>
          </cell>
          <cell r="G167" t="str">
            <v>M.</v>
          </cell>
        </row>
        <row r="168">
          <cell r="C168">
            <v>831</v>
          </cell>
          <cell r="D168" t="str">
            <v>-  AL. PLUG-IN BUSDUCT 3,000 A.</v>
          </cell>
          <cell r="E168">
            <v>37000</v>
          </cell>
          <cell r="F168">
            <v>1000</v>
          </cell>
          <cell r="G168" t="str">
            <v>M.</v>
          </cell>
        </row>
        <row r="169">
          <cell r="C169">
            <v>832</v>
          </cell>
          <cell r="D169" t="str">
            <v>-  AL. PLUG-IN BUSDUCT 4,000 A.</v>
          </cell>
          <cell r="E169">
            <v>44000</v>
          </cell>
          <cell r="F169">
            <v>1000</v>
          </cell>
          <cell r="G169" t="str">
            <v>M.</v>
          </cell>
        </row>
        <row r="170">
          <cell r="C170">
            <v>833</v>
          </cell>
          <cell r="D170" t="str">
            <v>-  CU. PLUG-IN BUSDUCT 225 A.</v>
          </cell>
          <cell r="E170">
            <v>10000</v>
          </cell>
          <cell r="F170">
            <v>500</v>
          </cell>
          <cell r="G170" t="str">
            <v>M.</v>
          </cell>
        </row>
        <row r="171">
          <cell r="C171">
            <v>834</v>
          </cell>
          <cell r="D171" t="str">
            <v>-  CU PLUG-IN BUSDUCT 400 A.</v>
          </cell>
          <cell r="E171">
            <v>11000</v>
          </cell>
          <cell r="F171">
            <v>500</v>
          </cell>
          <cell r="G171" t="str">
            <v>M.</v>
          </cell>
        </row>
        <row r="172">
          <cell r="C172">
            <v>835</v>
          </cell>
          <cell r="D172" t="str">
            <v>-  CU. PLUG-IN BUSDUCT 600 A.</v>
          </cell>
          <cell r="E172">
            <v>12000</v>
          </cell>
          <cell r="F172">
            <v>500</v>
          </cell>
          <cell r="G172" t="str">
            <v>M.</v>
          </cell>
        </row>
        <row r="173">
          <cell r="C173">
            <v>836</v>
          </cell>
          <cell r="D173" t="str">
            <v>-  CU. PLUG-IN BUSDUCT 800 A.</v>
          </cell>
          <cell r="E173">
            <v>18000</v>
          </cell>
          <cell r="F173">
            <v>500</v>
          </cell>
          <cell r="G173" t="str">
            <v>M.</v>
          </cell>
        </row>
        <row r="174">
          <cell r="C174">
            <v>837</v>
          </cell>
          <cell r="D174" t="str">
            <v>-  CU. PLUG-IN BUSDUCT 1,000 A.</v>
          </cell>
          <cell r="E174">
            <v>19300</v>
          </cell>
          <cell r="F174">
            <v>500</v>
          </cell>
          <cell r="G174" t="str">
            <v>M.</v>
          </cell>
        </row>
        <row r="175">
          <cell r="C175">
            <v>838</v>
          </cell>
          <cell r="D175" t="str">
            <v>-  CU. PLUG-IN BUSDUCT 1,200 A.</v>
          </cell>
          <cell r="E175">
            <v>22000</v>
          </cell>
          <cell r="F175">
            <v>700</v>
          </cell>
          <cell r="G175" t="str">
            <v>M.</v>
          </cell>
        </row>
        <row r="176">
          <cell r="C176">
            <v>839</v>
          </cell>
          <cell r="D176" t="str">
            <v>-  CU. PLUG-IN BUSDUCT 1,350 A.</v>
          </cell>
          <cell r="E176">
            <v>23000</v>
          </cell>
          <cell r="F176">
            <v>700</v>
          </cell>
          <cell r="G176" t="str">
            <v>M.</v>
          </cell>
        </row>
        <row r="177">
          <cell r="C177">
            <v>840</v>
          </cell>
          <cell r="D177" t="str">
            <v>-  CU. PLUG-IN BUSDUCT 1,600 A.</v>
          </cell>
          <cell r="E177">
            <v>25000</v>
          </cell>
          <cell r="F177">
            <v>800</v>
          </cell>
          <cell r="G177" t="str">
            <v>M.</v>
          </cell>
        </row>
        <row r="178">
          <cell r="C178">
            <v>841</v>
          </cell>
          <cell r="D178" t="str">
            <v>-  CU. PLUG-IN BUSDUCT 2,000 A.</v>
          </cell>
          <cell r="E178">
            <v>28000</v>
          </cell>
          <cell r="F178">
            <v>800</v>
          </cell>
          <cell r="G178" t="str">
            <v>M.</v>
          </cell>
        </row>
        <row r="179">
          <cell r="C179">
            <v>842</v>
          </cell>
          <cell r="D179" t="str">
            <v>-  CU. PLUG-IN BUSDUCT 2,500 A.</v>
          </cell>
          <cell r="E179">
            <v>44000</v>
          </cell>
          <cell r="F179">
            <v>1000</v>
          </cell>
          <cell r="G179" t="str">
            <v>M.</v>
          </cell>
        </row>
        <row r="180">
          <cell r="C180">
            <v>843</v>
          </cell>
          <cell r="D180" t="str">
            <v>-  CU. PLUG-IN BUSDUCT 3,000 A.</v>
          </cell>
          <cell r="E180">
            <v>50000</v>
          </cell>
          <cell r="F180">
            <v>1000</v>
          </cell>
          <cell r="G180" t="str">
            <v>M.</v>
          </cell>
        </row>
        <row r="181">
          <cell r="C181">
            <v>844</v>
          </cell>
          <cell r="D181" t="str">
            <v>-  CU. PLUG-IN BUSDUCT 4,000 A.</v>
          </cell>
          <cell r="E181">
            <v>67000</v>
          </cell>
          <cell r="F181">
            <v>1000</v>
          </cell>
          <cell r="G181" t="str">
            <v>M.</v>
          </cell>
        </row>
        <row r="182">
          <cell r="C182">
            <v>845</v>
          </cell>
          <cell r="D182" t="str">
            <v>-  CU. PLUG-IN BUSDUCT 5,000 A.</v>
          </cell>
          <cell r="E182">
            <v>74000</v>
          </cell>
          <cell r="F182">
            <v>1000</v>
          </cell>
          <cell r="G182" t="str">
            <v>M.</v>
          </cell>
        </row>
        <row r="183">
          <cell r="C183">
            <v>527</v>
          </cell>
          <cell r="D183" t="str">
            <v>SPACE</v>
          </cell>
          <cell r="E183">
            <v>20000</v>
          </cell>
          <cell r="F183">
            <v>10000</v>
          </cell>
          <cell r="G183" t="str">
            <v>SET</v>
          </cell>
        </row>
        <row r="184">
          <cell r="C184">
            <v>528</v>
          </cell>
          <cell r="D184" t="str">
            <v>RISER BUSDUCT</v>
          </cell>
          <cell r="E184">
            <v>85000</v>
          </cell>
          <cell r="F184">
            <v>15000</v>
          </cell>
          <cell r="G184" t="str">
            <v>SET</v>
          </cell>
        </row>
        <row r="185">
          <cell r="C185">
            <v>851</v>
          </cell>
          <cell r="D185" t="str">
            <v>-  AL. RISER BUSDUCT 800 A.</v>
          </cell>
          <cell r="E185">
            <v>13000</v>
          </cell>
          <cell r="F185">
            <v>500</v>
          </cell>
          <cell r="G185" t="str">
            <v>M.</v>
          </cell>
        </row>
        <row r="186">
          <cell r="C186">
            <v>852</v>
          </cell>
          <cell r="D186" t="str">
            <v>-  AL. RISER BUSDUCT 1,000 A.</v>
          </cell>
          <cell r="E186">
            <v>14000</v>
          </cell>
          <cell r="F186">
            <v>500</v>
          </cell>
          <cell r="G186" t="str">
            <v>M.</v>
          </cell>
        </row>
        <row r="187">
          <cell r="C187">
            <v>853</v>
          </cell>
          <cell r="D187" t="str">
            <v>-  AL. RISER BUSDUCT 1,200 A.</v>
          </cell>
          <cell r="E187">
            <v>14000</v>
          </cell>
          <cell r="F187">
            <v>700</v>
          </cell>
          <cell r="G187" t="str">
            <v>M.</v>
          </cell>
        </row>
        <row r="188">
          <cell r="C188">
            <v>854</v>
          </cell>
          <cell r="D188" t="str">
            <v>-  AL. RISER BUSDUCT 1,350 A.</v>
          </cell>
          <cell r="E188">
            <v>15000</v>
          </cell>
          <cell r="F188">
            <v>700</v>
          </cell>
          <cell r="G188" t="str">
            <v>M.</v>
          </cell>
        </row>
        <row r="189">
          <cell r="C189">
            <v>855</v>
          </cell>
          <cell r="D189" t="str">
            <v>-  AL. RISER BUSDUCT 1,600 A.</v>
          </cell>
          <cell r="E189">
            <v>16000</v>
          </cell>
          <cell r="F189">
            <v>800</v>
          </cell>
          <cell r="G189" t="str">
            <v>M.</v>
          </cell>
        </row>
        <row r="190">
          <cell r="C190">
            <v>856</v>
          </cell>
          <cell r="D190" t="str">
            <v>-  AL. RISER BUSDUCT 2,000 A.</v>
          </cell>
          <cell r="E190">
            <v>25000</v>
          </cell>
          <cell r="F190">
            <v>800</v>
          </cell>
          <cell r="G190" t="str">
            <v>M.</v>
          </cell>
        </row>
        <row r="191">
          <cell r="C191">
            <v>857</v>
          </cell>
          <cell r="D191" t="str">
            <v>-  AL. RISER BUSDUCT 2,500 A.</v>
          </cell>
          <cell r="E191">
            <v>26600</v>
          </cell>
          <cell r="F191">
            <v>1000</v>
          </cell>
          <cell r="G191" t="str">
            <v>M.</v>
          </cell>
        </row>
        <row r="192">
          <cell r="C192">
            <v>858</v>
          </cell>
          <cell r="D192" t="str">
            <v>-  AL. RISER BUSDUCT 3,000 A.</v>
          </cell>
          <cell r="E192">
            <v>34000</v>
          </cell>
          <cell r="F192">
            <v>1000</v>
          </cell>
          <cell r="G192" t="str">
            <v>M.</v>
          </cell>
        </row>
        <row r="193">
          <cell r="C193">
            <v>859</v>
          </cell>
          <cell r="D193" t="str">
            <v>-  AL. RISER BUSDUCT 4,000 A.</v>
          </cell>
          <cell r="E193">
            <v>40000</v>
          </cell>
          <cell r="F193">
            <v>1000</v>
          </cell>
          <cell r="G193" t="str">
            <v>M.</v>
          </cell>
        </row>
        <row r="194">
          <cell r="C194">
            <v>860</v>
          </cell>
          <cell r="D194" t="str">
            <v>-  CU. RISER BUSDUCT 800 A.</v>
          </cell>
          <cell r="E194">
            <v>16000</v>
          </cell>
          <cell r="F194">
            <v>500</v>
          </cell>
          <cell r="G194" t="str">
            <v>M.</v>
          </cell>
        </row>
        <row r="195">
          <cell r="C195">
            <v>861</v>
          </cell>
          <cell r="D195" t="str">
            <v>-  CU. RISER BUSDUCT 1,000 A.</v>
          </cell>
          <cell r="E195">
            <v>17300</v>
          </cell>
          <cell r="F195">
            <v>500</v>
          </cell>
          <cell r="G195" t="str">
            <v>M.</v>
          </cell>
        </row>
        <row r="196">
          <cell r="C196">
            <v>862</v>
          </cell>
          <cell r="D196" t="str">
            <v>-  CU. RISER BUSDUCT 1,200 A.</v>
          </cell>
          <cell r="E196">
            <v>19300</v>
          </cell>
          <cell r="F196">
            <v>700</v>
          </cell>
          <cell r="G196" t="str">
            <v>M.</v>
          </cell>
        </row>
        <row r="197">
          <cell r="C197">
            <v>863</v>
          </cell>
          <cell r="D197" t="str">
            <v>-  CU. RISER BUSDUCT 1,350 A.</v>
          </cell>
          <cell r="E197">
            <v>21000</v>
          </cell>
          <cell r="F197">
            <v>700</v>
          </cell>
          <cell r="G197" t="str">
            <v>M.</v>
          </cell>
        </row>
        <row r="198">
          <cell r="C198">
            <v>864</v>
          </cell>
          <cell r="D198" t="str">
            <v>-  CU. RISER BUSDUCT 1,600 A.</v>
          </cell>
          <cell r="E198">
            <v>22000</v>
          </cell>
          <cell r="F198">
            <v>800</v>
          </cell>
          <cell r="G198" t="str">
            <v>M.</v>
          </cell>
        </row>
        <row r="199">
          <cell r="C199">
            <v>865</v>
          </cell>
          <cell r="D199" t="str">
            <v>-  CU. RISER BUSDUCT 2,000 A.</v>
          </cell>
          <cell r="E199">
            <v>26000</v>
          </cell>
          <cell r="F199">
            <v>800</v>
          </cell>
          <cell r="G199" t="str">
            <v>M.</v>
          </cell>
        </row>
        <row r="200">
          <cell r="C200">
            <v>866</v>
          </cell>
          <cell r="D200" t="str">
            <v>-  CU. RISER BUSDUCT 2,500 A.</v>
          </cell>
          <cell r="E200">
            <v>40000</v>
          </cell>
          <cell r="F200">
            <v>1000</v>
          </cell>
          <cell r="G200" t="str">
            <v>M.</v>
          </cell>
        </row>
        <row r="201">
          <cell r="C201">
            <v>867</v>
          </cell>
          <cell r="D201" t="str">
            <v>-  CU. RISER BUSDUCT 3,000 A.</v>
          </cell>
          <cell r="E201">
            <v>46600</v>
          </cell>
          <cell r="F201">
            <v>1000</v>
          </cell>
          <cell r="G201" t="str">
            <v>M.</v>
          </cell>
        </row>
        <row r="202">
          <cell r="C202">
            <v>868</v>
          </cell>
          <cell r="D202" t="str">
            <v>-  CU. RISER BUSDUCT 4,000 A.</v>
          </cell>
          <cell r="E202">
            <v>60000</v>
          </cell>
          <cell r="F202">
            <v>1000</v>
          </cell>
          <cell r="G202" t="str">
            <v>M.</v>
          </cell>
        </row>
        <row r="203">
          <cell r="C203">
            <v>869</v>
          </cell>
          <cell r="D203" t="str">
            <v>-  CU. RISER BUSDUCT 5,000 A.</v>
          </cell>
          <cell r="E203">
            <v>67000</v>
          </cell>
          <cell r="F203">
            <v>1000</v>
          </cell>
          <cell r="G203" t="str">
            <v>M.</v>
          </cell>
        </row>
        <row r="204">
          <cell r="C204">
            <v>298</v>
          </cell>
          <cell r="D204" t="str">
            <v>SPACE</v>
          </cell>
          <cell r="E204">
            <v>55</v>
          </cell>
          <cell r="F204">
            <v>8</v>
          </cell>
          <cell r="G204" t="str">
            <v>M.</v>
          </cell>
        </row>
        <row r="205">
          <cell r="C205">
            <v>299</v>
          </cell>
          <cell r="D205" t="str">
            <v>OUTDOOR BUSDUCT</v>
          </cell>
          <cell r="E205">
            <v>74</v>
          </cell>
          <cell r="F205">
            <v>11</v>
          </cell>
          <cell r="G205" t="str">
            <v>M.</v>
          </cell>
        </row>
        <row r="206">
          <cell r="C206">
            <v>871</v>
          </cell>
          <cell r="D206" t="str">
            <v>-  AL. BUSDUCT (OUTDOOR) 800 A.</v>
          </cell>
          <cell r="E206">
            <v>18000</v>
          </cell>
          <cell r="F206">
            <v>500</v>
          </cell>
          <cell r="G206" t="str">
            <v>M.</v>
          </cell>
        </row>
        <row r="207">
          <cell r="C207">
            <v>872</v>
          </cell>
          <cell r="D207" t="str">
            <v>-  AL. BUSDUCT (OUTDOOR) 1,000 A.</v>
          </cell>
          <cell r="E207">
            <v>20000</v>
          </cell>
          <cell r="F207">
            <v>500</v>
          </cell>
          <cell r="G207" t="str">
            <v>M.</v>
          </cell>
        </row>
        <row r="208">
          <cell r="C208">
            <v>873</v>
          </cell>
          <cell r="D208" t="str">
            <v>-  AL. BUSDUCT (OUTDOOR) 1,200 A.</v>
          </cell>
          <cell r="E208">
            <v>21000</v>
          </cell>
          <cell r="F208">
            <v>700</v>
          </cell>
          <cell r="G208" t="str">
            <v>M.</v>
          </cell>
        </row>
        <row r="209">
          <cell r="C209">
            <v>874</v>
          </cell>
          <cell r="D209" t="str">
            <v>-  AL. BUSDUCT (OUTDOOR) 1,350 A.</v>
          </cell>
          <cell r="E209">
            <v>22000</v>
          </cell>
          <cell r="F209">
            <v>700</v>
          </cell>
          <cell r="G209" t="str">
            <v>M.</v>
          </cell>
        </row>
        <row r="210">
          <cell r="C210">
            <v>875</v>
          </cell>
          <cell r="D210" t="str">
            <v>-  AL. BUSDUCT (OUTDOOR) 1,600 A.</v>
          </cell>
          <cell r="E210">
            <v>24000</v>
          </cell>
          <cell r="F210">
            <v>800</v>
          </cell>
          <cell r="G210" t="str">
            <v>M.</v>
          </cell>
        </row>
        <row r="211">
          <cell r="C211">
            <v>876</v>
          </cell>
          <cell r="D211" t="str">
            <v>-  AL. BUSDUCT (OUTDOOR) 2,000 A.</v>
          </cell>
          <cell r="E211">
            <v>30000</v>
          </cell>
          <cell r="F211">
            <v>800</v>
          </cell>
          <cell r="G211" t="str">
            <v>M.</v>
          </cell>
        </row>
        <row r="212">
          <cell r="C212">
            <v>877</v>
          </cell>
          <cell r="D212" t="str">
            <v>-  AL. BUSDUCT (OUTDOOR) 2,500 A.</v>
          </cell>
          <cell r="E212">
            <v>33000</v>
          </cell>
          <cell r="F212">
            <v>1000</v>
          </cell>
          <cell r="G212" t="str">
            <v>M.</v>
          </cell>
        </row>
        <row r="213">
          <cell r="C213">
            <v>878</v>
          </cell>
          <cell r="D213" t="str">
            <v>-  AL. BUSDUCT (OUTDOOR) 3,000 A.</v>
          </cell>
          <cell r="E213">
            <v>40000</v>
          </cell>
          <cell r="F213">
            <v>1000</v>
          </cell>
          <cell r="G213" t="str">
            <v>M.</v>
          </cell>
        </row>
        <row r="214">
          <cell r="C214">
            <v>879</v>
          </cell>
          <cell r="D214" t="str">
            <v>-  AL. BUSDUCT (OUTDOOR) 4,000 A.</v>
          </cell>
          <cell r="E214">
            <v>53000</v>
          </cell>
          <cell r="F214">
            <v>1000</v>
          </cell>
          <cell r="G214" t="str">
            <v>M.</v>
          </cell>
        </row>
        <row r="215">
          <cell r="C215">
            <v>880</v>
          </cell>
          <cell r="D215" t="str">
            <v>-  CU BUSDUCT (OUTDOOR) 800 A.</v>
          </cell>
          <cell r="E215">
            <v>22000</v>
          </cell>
          <cell r="F215">
            <v>500</v>
          </cell>
          <cell r="G215" t="str">
            <v>M.</v>
          </cell>
        </row>
        <row r="216">
          <cell r="C216">
            <v>881</v>
          </cell>
          <cell r="D216" t="str">
            <v>-  CU. BUSDUCT (OUTDOOR) 1,000 A.</v>
          </cell>
          <cell r="E216">
            <v>24000</v>
          </cell>
          <cell r="F216">
            <v>500</v>
          </cell>
          <cell r="G216" t="str">
            <v>M.</v>
          </cell>
        </row>
        <row r="217">
          <cell r="C217">
            <v>882</v>
          </cell>
          <cell r="D217" t="str">
            <v>-  CU. BUSDUCT (OUTDOOR) 1,200 A.</v>
          </cell>
          <cell r="E217">
            <v>28000</v>
          </cell>
          <cell r="F217">
            <v>700</v>
          </cell>
          <cell r="G217" t="str">
            <v>M.</v>
          </cell>
        </row>
        <row r="218">
          <cell r="C218">
            <v>883</v>
          </cell>
          <cell r="D218" t="str">
            <v>-  CU. BUSDUCT (OUTDOOR) 1,350 A.</v>
          </cell>
          <cell r="E218">
            <v>30000</v>
          </cell>
          <cell r="F218">
            <v>700</v>
          </cell>
          <cell r="G218" t="str">
            <v>M.</v>
          </cell>
        </row>
        <row r="219">
          <cell r="C219">
            <v>884</v>
          </cell>
          <cell r="D219" t="str">
            <v>-  CU. BUSDUCT (OUTDOOR) 1,600 A.</v>
          </cell>
          <cell r="E219">
            <v>32000</v>
          </cell>
          <cell r="F219">
            <v>800</v>
          </cell>
          <cell r="G219" t="str">
            <v>M.</v>
          </cell>
        </row>
        <row r="220">
          <cell r="C220">
            <v>885</v>
          </cell>
          <cell r="D220" t="str">
            <v>-  CU. BUSDUCT (OUTDOOR) 2,000 A.</v>
          </cell>
          <cell r="E220">
            <v>33000</v>
          </cell>
          <cell r="F220">
            <v>800</v>
          </cell>
          <cell r="G220" t="str">
            <v>M.</v>
          </cell>
        </row>
        <row r="221">
          <cell r="C221">
            <v>886</v>
          </cell>
          <cell r="D221" t="str">
            <v>-  CU. BUSDUCT (OUTDOOR) 2,500 A.</v>
          </cell>
          <cell r="E221">
            <v>50000</v>
          </cell>
          <cell r="F221">
            <v>1000</v>
          </cell>
          <cell r="G221" t="str">
            <v>M.</v>
          </cell>
        </row>
        <row r="222">
          <cell r="C222">
            <v>887</v>
          </cell>
          <cell r="D222" t="str">
            <v>-  CU. BUSDUCT (OUTDOOR) 3,000 A.</v>
          </cell>
          <cell r="E222">
            <v>58000</v>
          </cell>
          <cell r="F222">
            <v>1000</v>
          </cell>
          <cell r="G222" t="str">
            <v>M.</v>
          </cell>
        </row>
        <row r="223">
          <cell r="C223">
            <v>888</v>
          </cell>
          <cell r="D223" t="str">
            <v>-  CU. BUSDUCT (OUTDOOR) 4,000 A.</v>
          </cell>
          <cell r="E223">
            <v>67000</v>
          </cell>
          <cell r="F223">
            <v>1000</v>
          </cell>
          <cell r="G223" t="str">
            <v>M.</v>
          </cell>
        </row>
        <row r="224">
          <cell r="C224">
            <v>889</v>
          </cell>
          <cell r="D224" t="str">
            <v>-  CU. BUSDUCT (OUTDOOR) 5,000 A.</v>
          </cell>
          <cell r="E224">
            <v>80000</v>
          </cell>
          <cell r="F224">
            <v>1000</v>
          </cell>
          <cell r="G224" t="str">
            <v>M.</v>
          </cell>
        </row>
        <row r="225">
          <cell r="C225">
            <v>324</v>
          </cell>
          <cell r="D225" t="str">
            <v>SPACE</v>
          </cell>
          <cell r="E225">
            <v>1258</v>
          </cell>
          <cell r="F225">
            <v>110</v>
          </cell>
          <cell r="G225" t="str">
            <v>M.</v>
          </cell>
        </row>
        <row r="226">
          <cell r="C226">
            <v>325</v>
          </cell>
          <cell r="D226" t="str">
            <v>-  3/C - 120 SQ.MM. 12/20(24) KVCV</v>
          </cell>
          <cell r="E226">
            <v>1613</v>
          </cell>
          <cell r="F226">
            <v>120</v>
          </cell>
          <cell r="G226" t="str">
            <v>M.</v>
          </cell>
        </row>
        <row r="227">
          <cell r="C227">
            <v>326</v>
          </cell>
          <cell r="D227" t="str">
            <v>-  3/C - 150 SQ.MM. 12/20(24) KVCV</v>
          </cell>
          <cell r="E227">
            <v>1832</v>
          </cell>
          <cell r="F227">
            <v>130</v>
          </cell>
          <cell r="G227" t="str">
            <v>M.</v>
          </cell>
        </row>
        <row r="228">
          <cell r="C228">
            <v>327</v>
          </cell>
          <cell r="D228" t="str">
            <v>-  3/C - 185 SQ.MM. 12/20(24) KVCV</v>
          </cell>
          <cell r="E228">
            <v>2131</v>
          </cell>
          <cell r="F228">
            <v>140</v>
          </cell>
          <cell r="G228" t="str">
            <v>M.</v>
          </cell>
        </row>
        <row r="229">
          <cell r="C229">
            <v>328</v>
          </cell>
          <cell r="D229" t="str">
            <v>-  3/C - 240 SQ.MM. 12/20(24) KVCV</v>
          </cell>
          <cell r="E229">
            <v>2566</v>
          </cell>
          <cell r="F229">
            <v>160</v>
          </cell>
          <cell r="G229" t="str">
            <v>M.</v>
          </cell>
        </row>
        <row r="230">
          <cell r="C230">
            <v>329</v>
          </cell>
          <cell r="D230" t="str">
            <v>-  3/C - 300 SQ.MM. 12/20(24) KVCV</v>
          </cell>
          <cell r="E230">
            <v>3084</v>
          </cell>
          <cell r="F230">
            <v>180</v>
          </cell>
          <cell r="G230" t="str">
            <v>M.</v>
          </cell>
        </row>
        <row r="231">
          <cell r="C231">
            <v>330</v>
          </cell>
          <cell r="D231" t="str">
            <v>-  3/C - 400 SQ.MM. 12/20(24) KVCV</v>
          </cell>
          <cell r="E231">
            <v>3712</v>
          </cell>
          <cell r="F231">
            <v>200</v>
          </cell>
          <cell r="G231" t="str">
            <v>M.</v>
          </cell>
        </row>
        <row r="232">
          <cell r="C232">
            <v>331</v>
          </cell>
          <cell r="D232" t="str">
            <v>-  1/C - 35 SQ.MM. 18/30(36) KVCV</v>
          </cell>
          <cell r="E232">
            <v>260</v>
          </cell>
          <cell r="F232">
            <v>60</v>
          </cell>
          <cell r="G232" t="str">
            <v>M.</v>
          </cell>
        </row>
        <row r="233">
          <cell r="C233">
            <v>332</v>
          </cell>
          <cell r="D233" t="str">
            <v>-  1/C - 50 SQ.MM. 18/30(36) KVCV</v>
          </cell>
          <cell r="E233">
            <v>281</v>
          </cell>
          <cell r="F233">
            <v>70</v>
          </cell>
          <cell r="G233" t="str">
            <v>M.</v>
          </cell>
        </row>
        <row r="234">
          <cell r="C234">
            <v>333</v>
          </cell>
          <cell r="D234" t="str">
            <v>-  1/C - 70 SQ.MM. 18/30(36) KVCV</v>
          </cell>
          <cell r="E234">
            <v>325</v>
          </cell>
          <cell r="F234">
            <v>75</v>
          </cell>
          <cell r="G234" t="str">
            <v>M.</v>
          </cell>
        </row>
        <row r="235">
          <cell r="C235">
            <v>334</v>
          </cell>
          <cell r="D235" t="str">
            <v>-  1/C - 95 SQ.MM. 18/30(36) KVCV</v>
          </cell>
          <cell r="E235">
            <v>396</v>
          </cell>
          <cell r="F235">
            <v>80</v>
          </cell>
          <cell r="G235" t="str">
            <v>M.</v>
          </cell>
        </row>
        <row r="236">
          <cell r="C236">
            <v>335</v>
          </cell>
          <cell r="D236" t="str">
            <v>-  1/C - 120 SQ.MM. 18/30(36) KVCV</v>
          </cell>
          <cell r="E236">
            <v>490</v>
          </cell>
          <cell r="F236">
            <v>85</v>
          </cell>
          <cell r="G236" t="str">
            <v>M.</v>
          </cell>
        </row>
        <row r="237">
          <cell r="C237">
            <v>336</v>
          </cell>
          <cell r="D237" t="str">
            <v>-  1/C - 150 SQ.MM. 18/30(36) KVCV</v>
          </cell>
          <cell r="E237">
            <v>560</v>
          </cell>
          <cell r="F237">
            <v>90</v>
          </cell>
          <cell r="G237" t="str">
            <v>M.</v>
          </cell>
        </row>
        <row r="238">
          <cell r="C238">
            <v>337</v>
          </cell>
          <cell r="D238" t="str">
            <v>-  1/C - 185 SQ.MM. 18/30(36) KVCV</v>
          </cell>
          <cell r="E238">
            <v>654</v>
          </cell>
          <cell r="F238">
            <v>100</v>
          </cell>
          <cell r="G238" t="str">
            <v>M.</v>
          </cell>
        </row>
        <row r="239">
          <cell r="C239">
            <v>338</v>
          </cell>
          <cell r="D239" t="str">
            <v>-  1/C - 240 SQ.MM. 18/30(36) KVCV</v>
          </cell>
          <cell r="E239">
            <v>802</v>
          </cell>
          <cell r="F239">
            <v>110</v>
          </cell>
          <cell r="G239" t="str">
            <v>M.</v>
          </cell>
        </row>
        <row r="240">
          <cell r="C240">
            <v>339</v>
          </cell>
          <cell r="D240" t="str">
            <v>-  1/C - 300 SQ.MM. 18/30(36) KVCV</v>
          </cell>
          <cell r="E240">
            <v>962</v>
          </cell>
          <cell r="F240">
            <v>130</v>
          </cell>
          <cell r="G240" t="str">
            <v>M.</v>
          </cell>
        </row>
        <row r="241">
          <cell r="C241">
            <v>340</v>
          </cell>
          <cell r="D241" t="str">
            <v>-  1/C - 400 SQ.MM. 18/30(36) KVCV</v>
          </cell>
          <cell r="E241">
            <v>1158</v>
          </cell>
          <cell r="F241">
            <v>150</v>
          </cell>
          <cell r="G241" t="str">
            <v>M.</v>
          </cell>
        </row>
        <row r="242">
          <cell r="C242">
            <v>341</v>
          </cell>
          <cell r="D242" t="str">
            <v>-  3/C - 50 SQ.MM. 18/30(36) KVCV</v>
          </cell>
          <cell r="E242">
            <v>930</v>
          </cell>
          <cell r="F242">
            <v>100</v>
          </cell>
          <cell r="G242" t="str">
            <v>M.</v>
          </cell>
        </row>
        <row r="243">
          <cell r="C243">
            <v>342</v>
          </cell>
          <cell r="D243" t="str">
            <v>-  3/C - 70 SQ.MM. 18/30(36) KVCV</v>
          </cell>
          <cell r="E243">
            <v>1088</v>
          </cell>
          <cell r="F243">
            <v>110</v>
          </cell>
          <cell r="G243" t="str">
            <v>M.</v>
          </cell>
        </row>
        <row r="244">
          <cell r="C244">
            <v>343</v>
          </cell>
          <cell r="D244" t="str">
            <v>-  3/C - 95 SQ.MM. 18/30(36) KVCV</v>
          </cell>
          <cell r="E244">
            <v>1303</v>
          </cell>
          <cell r="F244">
            <v>130</v>
          </cell>
          <cell r="G244" t="str">
            <v>M.</v>
          </cell>
        </row>
        <row r="245">
          <cell r="C245">
            <v>344</v>
          </cell>
          <cell r="D245" t="str">
            <v>-  3/C - 120 SQ.MM. 18/30(36) KVCV</v>
          </cell>
          <cell r="E245">
            <v>1670</v>
          </cell>
          <cell r="F245">
            <v>150</v>
          </cell>
          <cell r="G245" t="str">
            <v>M.</v>
          </cell>
        </row>
        <row r="246">
          <cell r="C246">
            <v>345</v>
          </cell>
          <cell r="D246" t="str">
            <v>-  3/C - 150 SQ.MM. 18/30(36) KVCV</v>
          </cell>
          <cell r="E246">
            <v>1897</v>
          </cell>
          <cell r="F246">
            <v>170</v>
          </cell>
          <cell r="G246" t="str">
            <v>M.</v>
          </cell>
        </row>
        <row r="247">
          <cell r="C247">
            <v>346</v>
          </cell>
          <cell r="D247" t="str">
            <v>-  3/C - 185 SQ.MM. 18/30(36) KVCV</v>
          </cell>
          <cell r="E247">
            <v>2206</v>
          </cell>
          <cell r="F247">
            <v>180</v>
          </cell>
          <cell r="G247" t="str">
            <v>M.</v>
          </cell>
        </row>
        <row r="248">
          <cell r="C248">
            <v>347</v>
          </cell>
          <cell r="D248" t="str">
            <v>-  3/C - 240 SQ.MM. 18/30(36) KVCV</v>
          </cell>
          <cell r="E248">
            <v>2660</v>
          </cell>
          <cell r="F248">
            <v>200</v>
          </cell>
          <cell r="G248" t="str">
            <v>M.</v>
          </cell>
        </row>
        <row r="249">
          <cell r="C249">
            <v>348</v>
          </cell>
          <cell r="D249" t="str">
            <v>-  3/C - 300 SQ.MM. 18/30(36) KVCV</v>
          </cell>
          <cell r="E249">
            <v>3166</v>
          </cell>
          <cell r="F249">
            <v>220</v>
          </cell>
          <cell r="G249" t="str">
            <v>M.</v>
          </cell>
        </row>
        <row r="250">
          <cell r="C250">
            <v>349</v>
          </cell>
          <cell r="D250" t="str">
            <v>-  3/C - 400 SQ.MM. 18/30(36) KVCV</v>
          </cell>
          <cell r="E250">
            <v>3709</v>
          </cell>
          <cell r="F250">
            <v>240</v>
          </cell>
          <cell r="G250" t="str">
            <v>M.</v>
          </cell>
        </row>
        <row r="251">
          <cell r="C251">
            <v>501</v>
          </cell>
          <cell r="D251" t="str">
            <v>SPACE</v>
          </cell>
          <cell r="E251">
            <v>23000</v>
          </cell>
          <cell r="F251">
            <v>2000</v>
          </cell>
          <cell r="G251" t="str">
            <v>SET</v>
          </cell>
        </row>
        <row r="252">
          <cell r="C252">
            <v>351</v>
          </cell>
          <cell r="D252" t="str">
            <v>-  1/C - 25 SQ.MM. 25 KV.XLPE</v>
          </cell>
          <cell r="E252">
            <v>0</v>
          </cell>
          <cell r="F252">
            <v>0</v>
          </cell>
          <cell r="G252" t="str">
            <v>M.</v>
          </cell>
        </row>
        <row r="253">
          <cell r="C253">
            <v>352</v>
          </cell>
          <cell r="D253" t="str">
            <v>-  1/C - 35 SQ.MM. 25 KV.XLPE</v>
          </cell>
          <cell r="E253">
            <v>305</v>
          </cell>
          <cell r="F253">
            <v>35</v>
          </cell>
          <cell r="G253" t="str">
            <v>M.</v>
          </cell>
        </row>
        <row r="254">
          <cell r="C254">
            <v>353</v>
          </cell>
          <cell r="D254" t="str">
            <v>-  1/C - 50 SQ.MM. 25 KV.XLPE</v>
          </cell>
          <cell r="E254">
            <v>345</v>
          </cell>
          <cell r="F254">
            <v>40</v>
          </cell>
          <cell r="G254" t="str">
            <v>M.</v>
          </cell>
        </row>
        <row r="255">
          <cell r="C255">
            <v>354</v>
          </cell>
          <cell r="D255" t="str">
            <v>-  1/C - 70 SQ.MM. 25 KV.XLPE</v>
          </cell>
          <cell r="E255">
            <v>415</v>
          </cell>
          <cell r="F255">
            <v>60</v>
          </cell>
          <cell r="G255" t="str">
            <v>M.</v>
          </cell>
        </row>
        <row r="256">
          <cell r="C256">
            <v>355</v>
          </cell>
          <cell r="D256" t="str">
            <v>-  1/C - 95 SQ.MM. 25 KV.XLPE</v>
          </cell>
          <cell r="E256">
            <v>515</v>
          </cell>
          <cell r="F256">
            <v>70</v>
          </cell>
          <cell r="G256" t="str">
            <v>M.</v>
          </cell>
        </row>
        <row r="257">
          <cell r="C257">
            <v>356</v>
          </cell>
          <cell r="D257" t="str">
            <v>-  1/C - 120 SQ.MM. 25 KV.XLPE</v>
          </cell>
          <cell r="E257">
            <v>605</v>
          </cell>
          <cell r="F257">
            <v>75</v>
          </cell>
          <cell r="G257" t="str">
            <v>M.</v>
          </cell>
        </row>
        <row r="258">
          <cell r="C258">
            <v>357</v>
          </cell>
          <cell r="D258" t="str">
            <v>-  1/C - 150 SQ.MM. 25 KV.XLPE</v>
          </cell>
          <cell r="E258">
            <v>705</v>
          </cell>
          <cell r="F258">
            <v>80</v>
          </cell>
          <cell r="G258" t="str">
            <v>M.</v>
          </cell>
        </row>
        <row r="259">
          <cell r="C259">
            <v>358</v>
          </cell>
          <cell r="D259" t="str">
            <v>-  1/C - 185 SQ.MM. 25 KV.XLPE</v>
          </cell>
          <cell r="E259">
            <v>835</v>
          </cell>
          <cell r="F259">
            <v>85</v>
          </cell>
          <cell r="G259" t="str">
            <v>M.</v>
          </cell>
        </row>
        <row r="260">
          <cell r="C260">
            <v>359</v>
          </cell>
          <cell r="D260" t="str">
            <v>-  1/C - 240 SQ.MM. 25 KV.XLPE</v>
          </cell>
          <cell r="E260">
            <v>995</v>
          </cell>
          <cell r="F260">
            <v>90</v>
          </cell>
          <cell r="G260" t="str">
            <v>M.</v>
          </cell>
        </row>
        <row r="261">
          <cell r="C261">
            <v>360</v>
          </cell>
          <cell r="D261" t="str">
            <v>-  1/C - 35 SQ.MM. 35 KV.XLPE</v>
          </cell>
          <cell r="E261">
            <v>0</v>
          </cell>
          <cell r="F261">
            <v>60</v>
          </cell>
          <cell r="G261" t="str">
            <v>M.</v>
          </cell>
        </row>
        <row r="262">
          <cell r="C262">
            <v>361</v>
          </cell>
          <cell r="D262" t="str">
            <v>-  1/C - 50 SQ.MM. 35 KV.XLPE</v>
          </cell>
          <cell r="E262">
            <v>0</v>
          </cell>
          <cell r="F262">
            <v>70</v>
          </cell>
          <cell r="G262" t="str">
            <v>M.</v>
          </cell>
        </row>
        <row r="263">
          <cell r="C263">
            <v>362</v>
          </cell>
          <cell r="D263" t="str">
            <v>-  1/C - 70 SQ.MM. 35 KV.XLPE</v>
          </cell>
          <cell r="E263">
            <v>0</v>
          </cell>
          <cell r="F263">
            <v>75</v>
          </cell>
          <cell r="G263" t="str">
            <v>M.</v>
          </cell>
        </row>
        <row r="264">
          <cell r="C264">
            <v>363</v>
          </cell>
          <cell r="D264" t="str">
            <v>-  1/C - 95 SQ.MM. 35 KV.XLPE</v>
          </cell>
          <cell r="E264">
            <v>0</v>
          </cell>
          <cell r="F264">
            <v>80</v>
          </cell>
          <cell r="G264" t="str">
            <v>M.</v>
          </cell>
        </row>
        <row r="265">
          <cell r="C265">
            <v>364</v>
          </cell>
          <cell r="D265" t="str">
            <v>-  1/C - 120 SQ.MM. 35 KV.XLPE</v>
          </cell>
          <cell r="E265">
            <v>0</v>
          </cell>
          <cell r="F265">
            <v>85</v>
          </cell>
          <cell r="G265" t="str">
            <v>M.</v>
          </cell>
        </row>
        <row r="266">
          <cell r="C266">
            <v>365</v>
          </cell>
          <cell r="D266" t="str">
            <v>-  1/C - 150 SQ.MM. 35 KV.XLPE</v>
          </cell>
          <cell r="E266">
            <v>0</v>
          </cell>
          <cell r="F266">
            <v>90</v>
          </cell>
          <cell r="G266" t="str">
            <v>M.</v>
          </cell>
        </row>
        <row r="267">
          <cell r="C267">
            <v>366</v>
          </cell>
          <cell r="D267" t="str">
            <v>-  1/C - 185 SQ.MM. 35 KV.XLPE</v>
          </cell>
          <cell r="E267">
            <v>0</v>
          </cell>
          <cell r="F267">
            <v>100</v>
          </cell>
          <cell r="G267" t="str">
            <v>M.</v>
          </cell>
        </row>
        <row r="268">
          <cell r="C268">
            <v>367</v>
          </cell>
          <cell r="D268" t="str">
            <v>-  1/C - 240 SQ.MM. 35 KV.XLPE</v>
          </cell>
          <cell r="E268">
            <v>0</v>
          </cell>
          <cell r="F268">
            <v>110</v>
          </cell>
          <cell r="G268" t="str">
            <v>M.</v>
          </cell>
        </row>
        <row r="269">
          <cell r="C269">
            <v>0</v>
          </cell>
          <cell r="D269" t="str">
            <v>SPACE</v>
          </cell>
          <cell r="E269">
            <v>0</v>
          </cell>
          <cell r="F269">
            <v>0</v>
          </cell>
          <cell r="G269">
            <v>0</v>
          </cell>
        </row>
        <row r="270">
          <cell r="C270">
            <v>369</v>
          </cell>
          <cell r="D270" t="str">
            <v>-  1/C - 35 SQ.MM. 25 KV.PIC</v>
          </cell>
          <cell r="E270">
            <v>108</v>
          </cell>
          <cell r="F270">
            <v>20</v>
          </cell>
          <cell r="G270" t="str">
            <v>M.</v>
          </cell>
        </row>
        <row r="271">
          <cell r="C271">
            <v>370</v>
          </cell>
          <cell r="D271" t="str">
            <v>-  1/C - 50 SQ.MM. 25 KV.PIC</v>
          </cell>
          <cell r="E271">
            <v>128</v>
          </cell>
          <cell r="F271">
            <v>25</v>
          </cell>
          <cell r="G271" t="str">
            <v>M.</v>
          </cell>
        </row>
        <row r="272">
          <cell r="C272">
            <v>371</v>
          </cell>
          <cell r="D272" t="str">
            <v>-  1/C - 70 SQ.MM. 25 KV.PIC</v>
          </cell>
          <cell r="E272">
            <v>148</v>
          </cell>
          <cell r="F272">
            <v>30</v>
          </cell>
          <cell r="G272" t="str">
            <v>M.</v>
          </cell>
        </row>
        <row r="273">
          <cell r="C273">
            <v>372</v>
          </cell>
          <cell r="D273" t="str">
            <v>-  1/C - 95 SQ.MM. 25 KV.PIC</v>
          </cell>
          <cell r="E273">
            <v>178</v>
          </cell>
          <cell r="F273">
            <v>35</v>
          </cell>
          <cell r="G273" t="str">
            <v>M.</v>
          </cell>
        </row>
        <row r="274">
          <cell r="C274">
            <v>373</v>
          </cell>
          <cell r="D274" t="str">
            <v>-  1/C - 120 SQ.MM. 25 KV.PIC</v>
          </cell>
          <cell r="E274">
            <v>208</v>
          </cell>
          <cell r="F274">
            <v>40</v>
          </cell>
          <cell r="G274" t="str">
            <v>M.</v>
          </cell>
        </row>
        <row r="275">
          <cell r="C275">
            <v>374</v>
          </cell>
          <cell r="D275" t="str">
            <v>-  1/C - 150 SQ.MM. 25 KV.PIC</v>
          </cell>
          <cell r="E275">
            <v>248</v>
          </cell>
          <cell r="F275">
            <v>60</v>
          </cell>
          <cell r="G275" t="str">
            <v>M.</v>
          </cell>
        </row>
        <row r="276">
          <cell r="C276">
            <v>375</v>
          </cell>
          <cell r="D276" t="str">
            <v>-  1/C - 185 SQ.MM. 25 KV.PIC</v>
          </cell>
          <cell r="E276">
            <v>288</v>
          </cell>
          <cell r="F276">
            <v>70</v>
          </cell>
          <cell r="G276" t="str">
            <v>M.</v>
          </cell>
        </row>
        <row r="277">
          <cell r="C277">
            <v>376</v>
          </cell>
          <cell r="D277" t="str">
            <v>-  1/C - 240 SQ.MM. 25 KV.PIC</v>
          </cell>
          <cell r="E277">
            <v>348</v>
          </cell>
          <cell r="F277">
            <v>75</v>
          </cell>
          <cell r="G277" t="str">
            <v>M.</v>
          </cell>
        </row>
        <row r="278">
          <cell r="C278">
            <v>377</v>
          </cell>
          <cell r="D278" t="str">
            <v>-  1/C - 35 SQ.MM. 35 KV.PIC</v>
          </cell>
          <cell r="E278">
            <v>0</v>
          </cell>
          <cell r="F278">
            <v>30</v>
          </cell>
          <cell r="G278" t="str">
            <v>M.</v>
          </cell>
        </row>
        <row r="279">
          <cell r="C279">
            <v>378</v>
          </cell>
          <cell r="D279" t="str">
            <v>-  1/C - 50 SQ.MM. 35 KV.PIC</v>
          </cell>
          <cell r="E279">
            <v>0</v>
          </cell>
          <cell r="F279">
            <v>35</v>
          </cell>
          <cell r="G279" t="str">
            <v>M.</v>
          </cell>
        </row>
        <row r="280">
          <cell r="C280">
            <v>379</v>
          </cell>
          <cell r="D280" t="str">
            <v>-  1/C - 70 SQ.MM. 35 KV.PIC</v>
          </cell>
          <cell r="E280">
            <v>0</v>
          </cell>
          <cell r="F280">
            <v>40</v>
          </cell>
          <cell r="G280" t="str">
            <v>M.</v>
          </cell>
        </row>
        <row r="281">
          <cell r="C281">
            <v>380</v>
          </cell>
          <cell r="D281" t="str">
            <v>-  1/C - 95 SQ.MM. 35 KV.PIC</v>
          </cell>
          <cell r="E281">
            <v>0</v>
          </cell>
          <cell r="F281">
            <v>60</v>
          </cell>
          <cell r="G281" t="str">
            <v>M.</v>
          </cell>
        </row>
        <row r="282">
          <cell r="C282">
            <v>381</v>
          </cell>
          <cell r="D282" t="str">
            <v>-  1/C - 120 SQ.MM. 35 KV.PIC</v>
          </cell>
          <cell r="E282">
            <v>0</v>
          </cell>
          <cell r="F282">
            <v>70</v>
          </cell>
          <cell r="G282" t="str">
            <v>M.</v>
          </cell>
        </row>
        <row r="283">
          <cell r="C283">
            <v>382</v>
          </cell>
          <cell r="D283" t="str">
            <v>-  1/C - 150 SQ.MM. 35 KV.PIC</v>
          </cell>
          <cell r="E283">
            <v>0</v>
          </cell>
          <cell r="F283">
            <v>75</v>
          </cell>
          <cell r="G283" t="str">
            <v>M.</v>
          </cell>
        </row>
        <row r="284">
          <cell r="C284">
            <v>383</v>
          </cell>
          <cell r="D284" t="str">
            <v>-  1/C - 185 SQ.MM. 35 KV.PIC</v>
          </cell>
          <cell r="E284">
            <v>0</v>
          </cell>
          <cell r="F284">
            <v>80</v>
          </cell>
          <cell r="G284" t="str">
            <v>M.</v>
          </cell>
        </row>
        <row r="285">
          <cell r="C285">
            <v>384</v>
          </cell>
          <cell r="D285" t="str">
            <v>-  1/C - 240 SQ.MM. 35 KV.PIC</v>
          </cell>
          <cell r="E285">
            <v>0</v>
          </cell>
          <cell r="F285">
            <v>85</v>
          </cell>
          <cell r="G285" t="str">
            <v>M.</v>
          </cell>
        </row>
        <row r="286">
          <cell r="C286">
            <v>0</v>
          </cell>
          <cell r="D286" t="str">
            <v>SPACE</v>
          </cell>
          <cell r="E286">
            <v>0</v>
          </cell>
          <cell r="F286">
            <v>0</v>
          </cell>
          <cell r="G286">
            <v>0</v>
          </cell>
        </row>
        <row r="287">
          <cell r="C287">
            <v>386</v>
          </cell>
          <cell r="D287" t="str">
            <v>-  1/C - 35 SQ.MM. 25 KV.SPACED AERIAL</v>
          </cell>
          <cell r="E287">
            <v>160</v>
          </cell>
          <cell r="F287">
            <v>25</v>
          </cell>
          <cell r="G287" t="str">
            <v>M.</v>
          </cell>
        </row>
        <row r="288">
          <cell r="C288">
            <v>387</v>
          </cell>
          <cell r="D288" t="str">
            <v>-  1/C - 50 SQ.MM. 25 KV.SPACED AERIAL</v>
          </cell>
          <cell r="E288">
            <v>190</v>
          </cell>
          <cell r="F288">
            <v>30</v>
          </cell>
          <cell r="G288" t="str">
            <v>M.</v>
          </cell>
        </row>
        <row r="289">
          <cell r="C289">
            <v>388</v>
          </cell>
          <cell r="D289" t="str">
            <v>-  1/C - 70 SQ.MM. 25 KV.SPACED AERIAL</v>
          </cell>
          <cell r="E289">
            <v>220</v>
          </cell>
          <cell r="F289">
            <v>35</v>
          </cell>
          <cell r="G289" t="str">
            <v>M.</v>
          </cell>
        </row>
        <row r="290">
          <cell r="C290">
            <v>389</v>
          </cell>
          <cell r="D290" t="str">
            <v>-  1/C - 95 SQ.MM. 25 KV.SPACED AERIAL</v>
          </cell>
          <cell r="E290">
            <v>260</v>
          </cell>
          <cell r="F290">
            <v>40</v>
          </cell>
          <cell r="G290" t="str">
            <v>M.</v>
          </cell>
        </row>
        <row r="291">
          <cell r="C291">
            <v>390</v>
          </cell>
          <cell r="D291" t="str">
            <v>-  1/C - 120 SQ.MM. 25 KV.SPACED AERIAL</v>
          </cell>
          <cell r="E291">
            <v>300</v>
          </cell>
          <cell r="F291">
            <v>60</v>
          </cell>
          <cell r="G291" t="str">
            <v>M.</v>
          </cell>
        </row>
        <row r="292">
          <cell r="C292">
            <v>391</v>
          </cell>
          <cell r="D292" t="str">
            <v>-  1/C - 150 SQ.MM. 25 KV.SPACED AERIAL</v>
          </cell>
          <cell r="E292">
            <v>340</v>
          </cell>
          <cell r="F292">
            <v>70</v>
          </cell>
          <cell r="G292" t="str">
            <v>M.</v>
          </cell>
        </row>
        <row r="293">
          <cell r="C293">
            <v>392</v>
          </cell>
          <cell r="D293" t="str">
            <v>-  1/C - 185 SQ.MM. 25 KV.SPACED AERIAL</v>
          </cell>
          <cell r="E293">
            <v>390</v>
          </cell>
          <cell r="F293">
            <v>75</v>
          </cell>
          <cell r="G293" t="str">
            <v>M.</v>
          </cell>
        </row>
        <row r="294">
          <cell r="C294">
            <v>393</v>
          </cell>
          <cell r="D294" t="str">
            <v>-  1/C - 240 SQ.MM. 25 KV.SPACED AERIAL</v>
          </cell>
          <cell r="E294">
            <v>470</v>
          </cell>
          <cell r="F294">
            <v>80</v>
          </cell>
          <cell r="G294" t="str">
            <v>M.</v>
          </cell>
        </row>
        <row r="295">
          <cell r="C295">
            <v>394</v>
          </cell>
          <cell r="D295" t="str">
            <v>-  1/C - 35 SQ.MM. 35 KV.SPACED AERIAL</v>
          </cell>
          <cell r="E295">
            <v>0</v>
          </cell>
          <cell r="F295">
            <v>75</v>
          </cell>
          <cell r="G295" t="str">
            <v>M.</v>
          </cell>
        </row>
        <row r="296">
          <cell r="C296">
            <v>395</v>
          </cell>
          <cell r="D296" t="str">
            <v>-  1/C - 50 SQ.MM. 35 KV.SPACED AERIAL</v>
          </cell>
          <cell r="E296">
            <v>0</v>
          </cell>
          <cell r="F296">
            <v>89</v>
          </cell>
          <cell r="G296" t="str">
            <v>M.</v>
          </cell>
        </row>
        <row r="297">
          <cell r="C297">
            <v>396</v>
          </cell>
          <cell r="D297" t="str">
            <v>-  1/C - 70 SQ.MM. 35 KV.SPACED AERIAL</v>
          </cell>
          <cell r="E297">
            <v>0</v>
          </cell>
          <cell r="F297">
            <v>85</v>
          </cell>
          <cell r="G297" t="str">
            <v>M.</v>
          </cell>
        </row>
        <row r="298">
          <cell r="C298">
            <v>397</v>
          </cell>
          <cell r="D298" t="str">
            <v>-  1/C - 95 SQ.MM. 35 KV.SPACED AERIAL</v>
          </cell>
          <cell r="E298">
            <v>0</v>
          </cell>
          <cell r="F298">
            <v>90</v>
          </cell>
          <cell r="G298" t="str">
            <v>M.</v>
          </cell>
        </row>
        <row r="299">
          <cell r="C299">
            <v>398</v>
          </cell>
          <cell r="D299" t="str">
            <v>-  1/C - 120 SQ.MM. 35 KV.SPACED AERIAL</v>
          </cell>
          <cell r="E299">
            <v>0</v>
          </cell>
          <cell r="F299">
            <v>100</v>
          </cell>
          <cell r="G299" t="str">
            <v>M.</v>
          </cell>
        </row>
        <row r="300">
          <cell r="C300">
            <v>399</v>
          </cell>
          <cell r="D300" t="str">
            <v>-  1/C - 150 SQ.MM. 35 KV.SPACED AERIAL</v>
          </cell>
          <cell r="E300">
            <v>0</v>
          </cell>
          <cell r="F300">
            <v>110</v>
          </cell>
          <cell r="G300" t="str">
            <v>M.</v>
          </cell>
        </row>
        <row r="301">
          <cell r="C301">
            <v>400</v>
          </cell>
          <cell r="D301" t="str">
            <v>-  1/C - 185 SQ.MM. 35 KV.SPACED AERIAL</v>
          </cell>
          <cell r="E301">
            <v>0</v>
          </cell>
          <cell r="F301">
            <v>120</v>
          </cell>
          <cell r="G301" t="str">
            <v>M.</v>
          </cell>
        </row>
        <row r="302">
          <cell r="C302">
            <v>401</v>
          </cell>
          <cell r="D302" t="str">
            <v>-  1/C - 240 SQ.MM. 35 KV.SPACED AERIAL</v>
          </cell>
          <cell r="E302">
            <v>0</v>
          </cell>
          <cell r="F302">
            <v>140</v>
          </cell>
          <cell r="G302" t="str">
            <v>M.</v>
          </cell>
        </row>
        <row r="303">
          <cell r="C303">
            <v>402</v>
          </cell>
          <cell r="D303" t="str">
            <v>-  25 SQ.MM. ALL ALUMINIUM CABLE</v>
          </cell>
          <cell r="E303">
            <v>9</v>
          </cell>
          <cell r="F303">
            <v>5</v>
          </cell>
          <cell r="G303" t="str">
            <v>M.</v>
          </cell>
        </row>
        <row r="304">
          <cell r="C304">
            <v>403</v>
          </cell>
          <cell r="D304" t="str">
            <v>-  35 SQ.MM. ALL ALUMINIUM CABLE</v>
          </cell>
          <cell r="E304">
            <v>13</v>
          </cell>
          <cell r="F304">
            <v>6</v>
          </cell>
          <cell r="G304" t="str">
            <v>M.</v>
          </cell>
        </row>
        <row r="305">
          <cell r="C305">
            <v>404</v>
          </cell>
          <cell r="D305" t="str">
            <v>-  50 SQ.MM. ALL ALUMINIUM CABLE</v>
          </cell>
          <cell r="E305">
            <v>18</v>
          </cell>
          <cell r="F305">
            <v>8</v>
          </cell>
          <cell r="G305" t="str">
            <v>M.</v>
          </cell>
        </row>
        <row r="306">
          <cell r="C306">
            <v>405</v>
          </cell>
          <cell r="D306" t="str">
            <v>-  70 SQ.MM. ALL ALUMINIUM CABLE</v>
          </cell>
          <cell r="E306">
            <v>26</v>
          </cell>
          <cell r="F306">
            <v>11</v>
          </cell>
          <cell r="G306" t="str">
            <v>M.</v>
          </cell>
        </row>
        <row r="307">
          <cell r="C307">
            <v>406</v>
          </cell>
          <cell r="D307" t="str">
            <v>-  95 SQ.MM. ALL ALUMINIUM CABLE</v>
          </cell>
          <cell r="E307">
            <v>36</v>
          </cell>
          <cell r="F307">
            <v>16</v>
          </cell>
          <cell r="G307" t="str">
            <v>M.</v>
          </cell>
        </row>
        <row r="308">
          <cell r="C308">
            <v>407</v>
          </cell>
          <cell r="D308" t="str">
            <v>-  120 SQ.MM. ALL ALUMINIUM CABLE</v>
          </cell>
          <cell r="E308">
            <v>46</v>
          </cell>
          <cell r="F308">
            <v>20</v>
          </cell>
          <cell r="G308" t="str">
            <v>M.</v>
          </cell>
        </row>
        <row r="309">
          <cell r="C309">
            <v>408</v>
          </cell>
          <cell r="D309" t="str">
            <v>-  150 SQ.MM. ALL ALUMINIUM CABLE</v>
          </cell>
          <cell r="E309">
            <v>56</v>
          </cell>
          <cell r="F309">
            <v>25</v>
          </cell>
          <cell r="G309" t="str">
            <v>M.</v>
          </cell>
        </row>
        <row r="310">
          <cell r="C310">
            <v>409</v>
          </cell>
          <cell r="D310" t="str">
            <v>-  185 SQ.MM. ALL ALUMINIUM CABLE</v>
          </cell>
          <cell r="E310">
            <v>64</v>
          </cell>
          <cell r="F310">
            <v>30</v>
          </cell>
          <cell r="G310" t="str">
            <v>M.</v>
          </cell>
        </row>
        <row r="311">
          <cell r="C311">
            <v>410</v>
          </cell>
          <cell r="D311" t="str">
            <v>-  25 SQ.MM. ACSR</v>
          </cell>
          <cell r="E311">
            <v>11</v>
          </cell>
          <cell r="F311">
            <v>5</v>
          </cell>
          <cell r="G311" t="str">
            <v>M.</v>
          </cell>
        </row>
        <row r="312">
          <cell r="C312">
            <v>411</v>
          </cell>
          <cell r="D312" t="str">
            <v>-  35 SQ.MM. ACSR</v>
          </cell>
          <cell r="E312">
            <v>15</v>
          </cell>
          <cell r="F312">
            <v>6</v>
          </cell>
          <cell r="G312" t="str">
            <v>M.</v>
          </cell>
        </row>
        <row r="313">
          <cell r="C313">
            <v>412</v>
          </cell>
          <cell r="D313" t="str">
            <v>-  50 SQ.MM. ACSR</v>
          </cell>
          <cell r="E313">
            <v>21</v>
          </cell>
          <cell r="F313">
            <v>8</v>
          </cell>
          <cell r="G313" t="str">
            <v>M.</v>
          </cell>
        </row>
        <row r="314">
          <cell r="C314">
            <v>413</v>
          </cell>
          <cell r="D314" t="str">
            <v>-  70 SQ.MM. ACSR</v>
          </cell>
          <cell r="E314">
            <v>30</v>
          </cell>
          <cell r="F314">
            <v>11</v>
          </cell>
          <cell r="G314" t="str">
            <v>M.</v>
          </cell>
        </row>
        <row r="315">
          <cell r="C315">
            <v>414</v>
          </cell>
          <cell r="D315" t="str">
            <v>-  95 SQ.MM. ACSR</v>
          </cell>
          <cell r="E315">
            <v>42</v>
          </cell>
          <cell r="F315">
            <v>16</v>
          </cell>
          <cell r="G315" t="str">
            <v>M.</v>
          </cell>
        </row>
        <row r="316">
          <cell r="C316">
            <v>415</v>
          </cell>
          <cell r="D316" t="str">
            <v>-  120 SQ.MM. ACSR</v>
          </cell>
          <cell r="E316">
            <v>54</v>
          </cell>
          <cell r="F316">
            <v>20</v>
          </cell>
          <cell r="G316" t="str">
            <v>M.</v>
          </cell>
        </row>
        <row r="317">
          <cell r="C317">
            <v>416</v>
          </cell>
          <cell r="D317" t="str">
            <v>-  150 SQ.MM. ACSR</v>
          </cell>
          <cell r="E317">
            <v>83</v>
          </cell>
          <cell r="F317">
            <v>25</v>
          </cell>
          <cell r="G317" t="str">
            <v>M.</v>
          </cell>
        </row>
        <row r="318">
          <cell r="C318">
            <v>417</v>
          </cell>
          <cell r="D318" t="str">
            <v>-  185 SQ.MM. ACSR</v>
          </cell>
          <cell r="E318">
            <v>0</v>
          </cell>
          <cell r="F318">
            <v>0</v>
          </cell>
          <cell r="G318" t="str">
            <v>M.</v>
          </cell>
        </row>
        <row r="319">
          <cell r="C319">
            <v>0</v>
          </cell>
          <cell r="D319" t="str">
            <v>SPACE</v>
          </cell>
          <cell r="E319">
            <v>0</v>
          </cell>
          <cell r="F319">
            <v>0</v>
          </cell>
          <cell r="G319">
            <v>0</v>
          </cell>
        </row>
        <row r="320">
          <cell r="C320">
            <v>45</v>
          </cell>
          <cell r="D320" t="str">
            <v>FIRE - RESISTANT CABLE</v>
          </cell>
          <cell r="E320">
            <v>0</v>
          </cell>
          <cell r="F320">
            <v>0</v>
          </cell>
          <cell r="G320">
            <v>0</v>
          </cell>
        </row>
        <row r="321">
          <cell r="C321">
            <v>451</v>
          </cell>
          <cell r="D321" t="str">
            <v>-  1/C - 0.75 SQ.MM. FR.</v>
          </cell>
          <cell r="E321">
            <v>17</v>
          </cell>
          <cell r="F321">
            <v>1</v>
          </cell>
          <cell r="G321" t="str">
            <v>M.</v>
          </cell>
        </row>
        <row r="322">
          <cell r="C322">
            <v>452</v>
          </cell>
          <cell r="D322" t="str">
            <v>-  1/C - 1.0 SQ.MM. FR.</v>
          </cell>
          <cell r="E322">
            <v>19</v>
          </cell>
          <cell r="F322">
            <v>1</v>
          </cell>
          <cell r="G322" t="str">
            <v>M.</v>
          </cell>
        </row>
        <row r="323">
          <cell r="C323">
            <v>453</v>
          </cell>
          <cell r="D323" t="str">
            <v>-  1/C - 1.5 SQ.MM. FR.</v>
          </cell>
          <cell r="E323">
            <v>20</v>
          </cell>
          <cell r="F323">
            <v>1</v>
          </cell>
          <cell r="G323" t="str">
            <v>M.</v>
          </cell>
        </row>
        <row r="324">
          <cell r="C324">
            <v>454</v>
          </cell>
          <cell r="D324" t="str">
            <v>-  1/C - 2.5 SQ.MM. FR.</v>
          </cell>
          <cell r="E324">
            <v>26</v>
          </cell>
          <cell r="F324">
            <v>2</v>
          </cell>
          <cell r="G324" t="str">
            <v>M.</v>
          </cell>
        </row>
        <row r="325">
          <cell r="C325">
            <v>455</v>
          </cell>
          <cell r="D325" t="str">
            <v>-  1/C - 4 SQ.MM. FR.</v>
          </cell>
          <cell r="E325">
            <v>36</v>
          </cell>
          <cell r="F325">
            <v>2</v>
          </cell>
          <cell r="G325" t="str">
            <v>M.</v>
          </cell>
        </row>
        <row r="326">
          <cell r="C326">
            <v>456</v>
          </cell>
          <cell r="D326" t="str">
            <v>-  1/C - 6 SQ.MM. FR.</v>
          </cell>
          <cell r="E326">
            <v>60</v>
          </cell>
          <cell r="F326">
            <v>3</v>
          </cell>
          <cell r="G326" t="str">
            <v>M.</v>
          </cell>
        </row>
        <row r="327">
          <cell r="C327">
            <v>457</v>
          </cell>
          <cell r="D327" t="str">
            <v>-  1/C - 10 SQ.MM. FR.</v>
          </cell>
          <cell r="E327">
            <v>82</v>
          </cell>
          <cell r="F327">
            <v>5</v>
          </cell>
          <cell r="G327" t="str">
            <v>M.</v>
          </cell>
        </row>
        <row r="328">
          <cell r="C328">
            <v>458</v>
          </cell>
          <cell r="D328" t="str">
            <v>-  1/C - 16 SQ.MM. FR.</v>
          </cell>
          <cell r="E328">
            <v>96</v>
          </cell>
          <cell r="F328">
            <v>6</v>
          </cell>
          <cell r="G328" t="str">
            <v>M.</v>
          </cell>
        </row>
        <row r="329">
          <cell r="C329">
            <v>459</v>
          </cell>
          <cell r="D329" t="str">
            <v>-  1/C - 25 SQ.MM. FR.</v>
          </cell>
          <cell r="E329">
            <v>130</v>
          </cell>
          <cell r="F329">
            <v>8</v>
          </cell>
          <cell r="G329" t="str">
            <v>M.</v>
          </cell>
        </row>
        <row r="330">
          <cell r="C330">
            <v>460</v>
          </cell>
          <cell r="D330" t="str">
            <v>-  1/C - 35 SQ.MM. FR.</v>
          </cell>
          <cell r="E330">
            <v>184</v>
          </cell>
          <cell r="F330">
            <v>11</v>
          </cell>
          <cell r="G330" t="str">
            <v>M.</v>
          </cell>
        </row>
        <row r="331">
          <cell r="C331">
            <v>461</v>
          </cell>
          <cell r="D331" t="str">
            <v>-  1/C - 50 SQ.MM. FR.</v>
          </cell>
          <cell r="E331">
            <v>264</v>
          </cell>
          <cell r="F331">
            <v>16</v>
          </cell>
          <cell r="G331" t="str">
            <v>M.</v>
          </cell>
        </row>
        <row r="332">
          <cell r="C332">
            <v>462</v>
          </cell>
          <cell r="D332" t="str">
            <v>-  1/C - 70 SQ.MM. FR.</v>
          </cell>
          <cell r="E332">
            <v>330</v>
          </cell>
          <cell r="F332">
            <v>20</v>
          </cell>
          <cell r="G332" t="str">
            <v>M.</v>
          </cell>
        </row>
        <row r="333">
          <cell r="C333">
            <v>463</v>
          </cell>
          <cell r="D333" t="str">
            <v>-  1/C - 95 SQ.MM. FR.</v>
          </cell>
          <cell r="E333">
            <v>396</v>
          </cell>
          <cell r="F333">
            <v>25</v>
          </cell>
          <cell r="G333" t="str">
            <v>M.</v>
          </cell>
        </row>
        <row r="334">
          <cell r="C334">
            <v>464</v>
          </cell>
          <cell r="D334" t="str">
            <v>-  1/C - 120 SQ.MM. FR.</v>
          </cell>
          <cell r="E334">
            <v>488</v>
          </cell>
          <cell r="F334">
            <v>30</v>
          </cell>
          <cell r="G334" t="str">
            <v>M.</v>
          </cell>
        </row>
        <row r="335">
          <cell r="C335">
            <v>465</v>
          </cell>
          <cell r="D335" t="str">
            <v>-  1/C - 150 SQ.MM. FR.</v>
          </cell>
          <cell r="E335">
            <v>589</v>
          </cell>
          <cell r="F335">
            <v>35</v>
          </cell>
          <cell r="G335" t="str">
            <v>M.</v>
          </cell>
        </row>
        <row r="336">
          <cell r="C336">
            <v>466</v>
          </cell>
          <cell r="D336" t="str">
            <v>-  1/C - 185 SQ.MM. FR.</v>
          </cell>
          <cell r="E336">
            <v>688</v>
          </cell>
          <cell r="F336">
            <v>40</v>
          </cell>
          <cell r="G336" t="str">
            <v>M.</v>
          </cell>
        </row>
        <row r="337">
          <cell r="C337">
            <v>467</v>
          </cell>
          <cell r="D337" t="str">
            <v>-  1/C - 240 SQ.MM. FR.</v>
          </cell>
          <cell r="E337">
            <v>852</v>
          </cell>
          <cell r="F337">
            <v>50</v>
          </cell>
          <cell r="G337" t="str">
            <v>M.</v>
          </cell>
        </row>
        <row r="338">
          <cell r="C338">
            <v>468</v>
          </cell>
          <cell r="D338" t="str">
            <v>-  1/C - 300 SQ.MM. FR.</v>
          </cell>
          <cell r="E338">
            <v>1088</v>
          </cell>
          <cell r="F338">
            <v>60</v>
          </cell>
          <cell r="G338" t="str">
            <v>M.</v>
          </cell>
        </row>
        <row r="339">
          <cell r="C339">
            <v>469</v>
          </cell>
          <cell r="D339" t="str">
            <v>-  1/C - 400 SQ.MM. FR.</v>
          </cell>
          <cell r="E339">
            <v>1308</v>
          </cell>
          <cell r="F339">
            <v>70</v>
          </cell>
          <cell r="G339" t="str">
            <v>M.</v>
          </cell>
        </row>
        <row r="340">
          <cell r="C340">
            <v>470</v>
          </cell>
          <cell r="D340" t="str">
            <v>-  1/C - 500 SQ.MM. FR.</v>
          </cell>
          <cell r="E340">
            <v>1548</v>
          </cell>
          <cell r="F340">
            <v>90</v>
          </cell>
          <cell r="G340" t="str">
            <v>M.</v>
          </cell>
        </row>
        <row r="341">
          <cell r="C341">
            <v>471</v>
          </cell>
          <cell r="D341" t="str">
            <v>-  1/C - 630 SQ.MM. FR.</v>
          </cell>
          <cell r="E341">
            <v>1904</v>
          </cell>
          <cell r="F341">
            <v>105</v>
          </cell>
          <cell r="G341" t="str">
            <v>M.</v>
          </cell>
        </row>
        <row r="342">
          <cell r="C342">
            <v>472</v>
          </cell>
          <cell r="D342" t="str">
            <v>-  1/C - 2.5 SQ.MM. FR. W./SHEET</v>
          </cell>
          <cell r="E342">
            <v>44</v>
          </cell>
          <cell r="F342">
            <v>2</v>
          </cell>
          <cell r="G342" t="str">
            <v>M.</v>
          </cell>
        </row>
        <row r="343">
          <cell r="C343">
            <v>473</v>
          </cell>
          <cell r="D343" t="str">
            <v>-  1/C - 4 SQ.MM. FR. W./SHEET</v>
          </cell>
          <cell r="E343">
            <v>58</v>
          </cell>
          <cell r="F343">
            <v>3</v>
          </cell>
          <cell r="G343" t="str">
            <v>M.</v>
          </cell>
        </row>
        <row r="344">
          <cell r="C344">
            <v>474</v>
          </cell>
          <cell r="D344" t="str">
            <v>-  1/C - 6 SQ.MM. FR. W./SHEET</v>
          </cell>
          <cell r="E344">
            <v>71</v>
          </cell>
          <cell r="F344">
            <v>5</v>
          </cell>
          <cell r="G344" t="str">
            <v>M.</v>
          </cell>
        </row>
        <row r="345">
          <cell r="C345">
            <v>475</v>
          </cell>
          <cell r="D345" t="str">
            <v>-  1/C - 10 SQ.MM. FR. W./SHEET</v>
          </cell>
          <cell r="E345">
            <v>97</v>
          </cell>
          <cell r="F345">
            <v>6</v>
          </cell>
          <cell r="G345" t="str">
            <v>M.</v>
          </cell>
        </row>
        <row r="346">
          <cell r="C346">
            <v>476</v>
          </cell>
          <cell r="D346" t="str">
            <v>-  1/C - 16 SQ.MM. FR. W./SHEET</v>
          </cell>
          <cell r="E346">
            <v>112</v>
          </cell>
          <cell r="F346">
            <v>8</v>
          </cell>
          <cell r="G346" t="str">
            <v>M.</v>
          </cell>
        </row>
        <row r="347">
          <cell r="C347">
            <v>477</v>
          </cell>
          <cell r="D347" t="str">
            <v>-  1/C - 25 SQ.MM. FR. W./SHEET</v>
          </cell>
          <cell r="E347">
            <v>154</v>
          </cell>
          <cell r="F347">
            <v>11</v>
          </cell>
          <cell r="G347" t="str">
            <v>M.</v>
          </cell>
        </row>
        <row r="348">
          <cell r="C348">
            <v>478</v>
          </cell>
          <cell r="D348" t="str">
            <v>-  1/C - 35 SQ.MM. FR. W./SHEET</v>
          </cell>
          <cell r="E348">
            <v>211</v>
          </cell>
          <cell r="F348">
            <v>16</v>
          </cell>
          <cell r="G348" t="str">
            <v>M.</v>
          </cell>
        </row>
        <row r="349">
          <cell r="C349">
            <v>479</v>
          </cell>
          <cell r="D349" t="str">
            <v>-  1/C - 50 SQ.MM. FR. W./SHEET</v>
          </cell>
          <cell r="E349">
            <v>303</v>
          </cell>
          <cell r="F349">
            <v>20</v>
          </cell>
          <cell r="G349" t="str">
            <v>M.</v>
          </cell>
        </row>
        <row r="350">
          <cell r="C350">
            <v>480</v>
          </cell>
          <cell r="D350" t="str">
            <v>-  1/C - 70 SQ.MM. FR. W./SHEET</v>
          </cell>
          <cell r="E350">
            <v>389</v>
          </cell>
          <cell r="F350">
            <v>25</v>
          </cell>
          <cell r="G350" t="str">
            <v>M.</v>
          </cell>
        </row>
        <row r="351">
          <cell r="C351">
            <v>481</v>
          </cell>
          <cell r="D351" t="str">
            <v>-  1/C - 95 SQ.MM. FR. W./SHEET</v>
          </cell>
          <cell r="E351">
            <v>470</v>
          </cell>
          <cell r="F351">
            <v>30</v>
          </cell>
          <cell r="G351" t="str">
            <v>M.</v>
          </cell>
        </row>
        <row r="352">
          <cell r="C352">
            <v>482</v>
          </cell>
          <cell r="D352" t="str">
            <v>-  1/C - 120 SQ.MM. FR. W./SHEET</v>
          </cell>
          <cell r="E352">
            <v>570</v>
          </cell>
          <cell r="F352">
            <v>35</v>
          </cell>
          <cell r="G352" t="str">
            <v>M.</v>
          </cell>
        </row>
        <row r="353">
          <cell r="C353">
            <v>483</v>
          </cell>
          <cell r="D353" t="str">
            <v>-  1/C - 150 SQ.MM. FR. W./SHEET</v>
          </cell>
          <cell r="E353">
            <v>716</v>
          </cell>
          <cell r="F353">
            <v>40</v>
          </cell>
          <cell r="G353" t="str">
            <v>M.</v>
          </cell>
        </row>
        <row r="354">
          <cell r="C354">
            <v>484</v>
          </cell>
          <cell r="D354" t="str">
            <v>-  1/C - 185 SQ.MM. FR. W./SHEET</v>
          </cell>
          <cell r="E354">
            <v>835</v>
          </cell>
          <cell r="F354">
            <v>50</v>
          </cell>
          <cell r="G354" t="str">
            <v>M.</v>
          </cell>
        </row>
        <row r="355">
          <cell r="C355">
            <v>485</v>
          </cell>
          <cell r="D355" t="str">
            <v>-  1/C - 240 SQ.MM. FR. W./SHEET</v>
          </cell>
          <cell r="E355">
            <v>1051</v>
          </cell>
          <cell r="F355">
            <v>60</v>
          </cell>
          <cell r="G355" t="str">
            <v>M.</v>
          </cell>
        </row>
        <row r="356">
          <cell r="C356">
            <v>486</v>
          </cell>
          <cell r="D356" t="str">
            <v>-  1/C - 300 SQ.MM. FR. W./SHEET</v>
          </cell>
          <cell r="E356">
            <v>1390</v>
          </cell>
          <cell r="F356">
            <v>70</v>
          </cell>
          <cell r="G356" t="str">
            <v>M.</v>
          </cell>
        </row>
        <row r="357">
          <cell r="C357">
            <v>487</v>
          </cell>
          <cell r="D357" t="str">
            <v>-  1/C - 400 SQ.MM. FR. W./SHEET</v>
          </cell>
          <cell r="E357">
            <v>1679</v>
          </cell>
          <cell r="F357">
            <v>90</v>
          </cell>
          <cell r="G357" t="str">
            <v>M.</v>
          </cell>
        </row>
        <row r="358">
          <cell r="C358">
            <v>488</v>
          </cell>
          <cell r="D358" t="str">
            <v>-  1/C - 500 SQ.MM. FR. W./SHEET</v>
          </cell>
          <cell r="E358">
            <v>1818</v>
          </cell>
          <cell r="F358">
            <v>105</v>
          </cell>
          <cell r="G358" t="str">
            <v>M.</v>
          </cell>
        </row>
        <row r="359">
          <cell r="C359">
            <v>489</v>
          </cell>
          <cell r="D359" t="str">
            <v>-  1/C - 630 SQ.MM. FR. W./SHEET</v>
          </cell>
          <cell r="E359">
            <v>2183</v>
          </cell>
          <cell r="F359">
            <v>120</v>
          </cell>
          <cell r="G359" t="str">
            <v>M.</v>
          </cell>
        </row>
        <row r="360">
          <cell r="C360">
            <v>5</v>
          </cell>
          <cell r="D360" t="str">
            <v>CABLE RACEWAY</v>
          </cell>
          <cell r="E360">
            <v>0</v>
          </cell>
          <cell r="F360">
            <v>0</v>
          </cell>
          <cell r="G360">
            <v>0</v>
          </cell>
        </row>
        <row r="361">
          <cell r="C361">
            <v>501</v>
          </cell>
          <cell r="D361" t="str">
            <v>-  DIA. 1/2" EMT</v>
          </cell>
          <cell r="E361">
            <v>23</v>
          </cell>
          <cell r="F361">
            <v>10</v>
          </cell>
          <cell r="G361" t="str">
            <v>M.</v>
          </cell>
        </row>
        <row r="362">
          <cell r="C362">
            <v>502</v>
          </cell>
          <cell r="D362" t="str">
            <v>-  DIA. 3/4" EMT</v>
          </cell>
          <cell r="E362">
            <v>34</v>
          </cell>
          <cell r="F362">
            <v>15</v>
          </cell>
          <cell r="G362" t="str">
            <v>M.</v>
          </cell>
        </row>
        <row r="363">
          <cell r="C363">
            <v>503</v>
          </cell>
          <cell r="D363" t="str">
            <v>-  DIA. 1" EMT</v>
          </cell>
          <cell r="E363">
            <v>48</v>
          </cell>
          <cell r="F363">
            <v>18</v>
          </cell>
          <cell r="G363" t="str">
            <v>M.</v>
          </cell>
        </row>
        <row r="364">
          <cell r="C364">
            <v>504</v>
          </cell>
          <cell r="D364" t="str">
            <v>-  DIA. 1 1/4" EMT</v>
          </cell>
          <cell r="E364">
            <v>79</v>
          </cell>
          <cell r="F364">
            <v>25</v>
          </cell>
          <cell r="G364" t="str">
            <v>M.</v>
          </cell>
        </row>
        <row r="365">
          <cell r="C365">
            <v>505</v>
          </cell>
          <cell r="D365" t="str">
            <v>-  DIA. 1 1/2" EMT</v>
          </cell>
          <cell r="E365">
            <v>92</v>
          </cell>
          <cell r="F365">
            <v>30</v>
          </cell>
          <cell r="G365" t="str">
            <v>M.</v>
          </cell>
        </row>
        <row r="366">
          <cell r="C366">
            <v>506</v>
          </cell>
          <cell r="D366" t="str">
            <v>-  DIA. 2" EMT</v>
          </cell>
          <cell r="E366">
            <v>114</v>
          </cell>
          <cell r="F366">
            <v>40</v>
          </cell>
          <cell r="G366" t="str">
            <v>M.</v>
          </cell>
        </row>
        <row r="367">
          <cell r="C367">
            <v>507</v>
          </cell>
          <cell r="D367" t="str">
            <v>-  DIA. 1/2" IMC</v>
          </cell>
          <cell r="E367">
            <v>45</v>
          </cell>
          <cell r="F367">
            <v>13</v>
          </cell>
          <cell r="G367" t="str">
            <v>M.</v>
          </cell>
        </row>
        <row r="368">
          <cell r="C368">
            <v>508</v>
          </cell>
          <cell r="D368" t="str">
            <v>-  DIA. 3/4" IMC</v>
          </cell>
          <cell r="E368">
            <v>61</v>
          </cell>
          <cell r="F368">
            <v>15</v>
          </cell>
          <cell r="G368" t="str">
            <v>M.</v>
          </cell>
        </row>
        <row r="369">
          <cell r="C369">
            <v>509</v>
          </cell>
          <cell r="D369" t="str">
            <v>-  DIA. 1" IMC</v>
          </cell>
          <cell r="E369">
            <v>82</v>
          </cell>
          <cell r="F369">
            <v>20</v>
          </cell>
          <cell r="G369" t="str">
            <v>M.</v>
          </cell>
        </row>
        <row r="370">
          <cell r="C370">
            <v>510</v>
          </cell>
          <cell r="D370" t="str">
            <v>-  DIA. 1 1/4" IMC</v>
          </cell>
          <cell r="E370">
            <v>105</v>
          </cell>
          <cell r="F370">
            <v>25</v>
          </cell>
          <cell r="G370" t="str">
            <v>M.</v>
          </cell>
        </row>
        <row r="371">
          <cell r="C371">
            <v>511</v>
          </cell>
          <cell r="D371" t="str">
            <v>-  DIA. 1 1/2" IMC</v>
          </cell>
          <cell r="E371">
            <v>130</v>
          </cell>
          <cell r="F371">
            <v>30</v>
          </cell>
          <cell r="G371" t="str">
            <v>M.</v>
          </cell>
        </row>
        <row r="372">
          <cell r="C372">
            <v>512</v>
          </cell>
          <cell r="D372" t="str">
            <v>-  DIA. 2" IMC</v>
          </cell>
          <cell r="E372">
            <v>174</v>
          </cell>
          <cell r="F372">
            <v>35</v>
          </cell>
          <cell r="G372" t="str">
            <v>M.</v>
          </cell>
        </row>
        <row r="373">
          <cell r="C373">
            <v>513</v>
          </cell>
          <cell r="D373" t="str">
            <v>-  DIA. 2 1/2" IMC</v>
          </cell>
          <cell r="E373">
            <v>282</v>
          </cell>
          <cell r="F373">
            <v>45</v>
          </cell>
          <cell r="G373" t="str">
            <v>M.</v>
          </cell>
        </row>
        <row r="374">
          <cell r="C374">
            <v>514</v>
          </cell>
          <cell r="D374" t="str">
            <v>-  DIA. 3" IMC</v>
          </cell>
          <cell r="E374">
            <v>342</v>
          </cell>
          <cell r="F374">
            <v>50</v>
          </cell>
          <cell r="G374" t="str">
            <v>M.</v>
          </cell>
        </row>
        <row r="375">
          <cell r="C375">
            <v>515</v>
          </cell>
          <cell r="D375" t="str">
            <v>-  DIA. 3 1/2" IMC</v>
          </cell>
          <cell r="E375">
            <v>397</v>
          </cell>
          <cell r="F375">
            <v>55</v>
          </cell>
          <cell r="G375" t="str">
            <v>M.</v>
          </cell>
        </row>
        <row r="376">
          <cell r="C376">
            <v>516</v>
          </cell>
          <cell r="D376" t="str">
            <v>-  DIA. 4" IMC</v>
          </cell>
          <cell r="E376">
            <v>433</v>
          </cell>
          <cell r="F376">
            <v>60</v>
          </cell>
          <cell r="G376" t="str">
            <v>M.</v>
          </cell>
        </row>
        <row r="377">
          <cell r="C377">
            <v>517</v>
          </cell>
          <cell r="D377" t="str">
            <v>-  DIA. 5" IMC</v>
          </cell>
          <cell r="E377">
            <v>747</v>
          </cell>
          <cell r="F377">
            <v>70</v>
          </cell>
          <cell r="G377" t="str">
            <v>M.</v>
          </cell>
        </row>
        <row r="378">
          <cell r="C378">
            <v>518</v>
          </cell>
          <cell r="D378" t="str">
            <v>-  DIA. 1/2" RSC</v>
          </cell>
          <cell r="E378">
            <v>64</v>
          </cell>
          <cell r="F378">
            <v>15</v>
          </cell>
          <cell r="G378" t="str">
            <v>M.</v>
          </cell>
        </row>
        <row r="379">
          <cell r="C379">
            <v>519</v>
          </cell>
          <cell r="D379" t="str">
            <v>-  DIA. 3/4" RSC</v>
          </cell>
          <cell r="E379">
            <v>82</v>
          </cell>
          <cell r="F379">
            <v>20</v>
          </cell>
          <cell r="G379" t="str">
            <v>M.</v>
          </cell>
        </row>
        <row r="380">
          <cell r="C380">
            <v>520</v>
          </cell>
          <cell r="D380" t="str">
            <v>-  DIA. 1" RSC</v>
          </cell>
          <cell r="E380">
            <v>120</v>
          </cell>
          <cell r="F380">
            <v>25</v>
          </cell>
          <cell r="G380" t="str">
            <v>M.</v>
          </cell>
        </row>
        <row r="381">
          <cell r="C381">
            <v>521</v>
          </cell>
          <cell r="D381" t="str">
            <v>-  DIA. 1 1/4" RSC</v>
          </cell>
          <cell r="E381">
            <v>153</v>
          </cell>
          <cell r="F381">
            <v>35</v>
          </cell>
          <cell r="G381" t="str">
            <v>M.</v>
          </cell>
        </row>
        <row r="382">
          <cell r="C382">
            <v>522</v>
          </cell>
          <cell r="D382" t="str">
            <v>-  DIA. 1 1/2" RSC</v>
          </cell>
          <cell r="E382">
            <v>182</v>
          </cell>
          <cell r="F382">
            <v>45</v>
          </cell>
          <cell r="G382" t="str">
            <v>M.</v>
          </cell>
        </row>
        <row r="383">
          <cell r="C383">
            <v>523</v>
          </cell>
          <cell r="D383" t="str">
            <v>-  DIA. 2" RSC</v>
          </cell>
          <cell r="E383">
            <v>243</v>
          </cell>
          <cell r="F383">
            <v>55</v>
          </cell>
          <cell r="G383" t="str">
            <v>M.</v>
          </cell>
        </row>
        <row r="384">
          <cell r="C384">
            <v>524</v>
          </cell>
          <cell r="D384" t="str">
            <v>-  DIA. 2 1/2" RSC</v>
          </cell>
          <cell r="E384">
            <v>373</v>
          </cell>
          <cell r="F384">
            <v>80</v>
          </cell>
          <cell r="G384" t="str">
            <v>M.</v>
          </cell>
        </row>
        <row r="385">
          <cell r="C385">
            <v>525</v>
          </cell>
          <cell r="D385" t="str">
            <v>-  DIA. 3" RSC</v>
          </cell>
          <cell r="E385">
            <v>480</v>
          </cell>
          <cell r="F385">
            <v>90</v>
          </cell>
          <cell r="G385" t="str">
            <v>M.</v>
          </cell>
        </row>
        <row r="386">
          <cell r="C386">
            <v>526</v>
          </cell>
          <cell r="D386" t="str">
            <v>-  DIA. 3 1/2" RSC</v>
          </cell>
          <cell r="E386">
            <v>606</v>
          </cell>
          <cell r="F386">
            <v>100</v>
          </cell>
          <cell r="G386" t="str">
            <v>M.</v>
          </cell>
        </row>
        <row r="387">
          <cell r="C387">
            <v>527</v>
          </cell>
          <cell r="D387" t="str">
            <v>-  DIA. 4" RSC</v>
          </cell>
          <cell r="E387">
            <v>706</v>
          </cell>
          <cell r="F387">
            <v>125</v>
          </cell>
          <cell r="G387" t="str">
            <v>M.</v>
          </cell>
        </row>
        <row r="388">
          <cell r="C388">
            <v>528</v>
          </cell>
          <cell r="D388" t="str">
            <v>-  DIA. 5" RSC</v>
          </cell>
          <cell r="E388">
            <v>1016</v>
          </cell>
          <cell r="F388">
            <v>140</v>
          </cell>
          <cell r="G388" t="str">
            <v>M.</v>
          </cell>
        </row>
        <row r="389">
          <cell r="C389">
            <v>0</v>
          </cell>
          <cell r="D389" t="str">
            <v>SPACE</v>
          </cell>
          <cell r="E389">
            <v>0</v>
          </cell>
          <cell r="F389">
            <v>0.75</v>
          </cell>
          <cell r="G389">
            <v>0.6</v>
          </cell>
        </row>
        <row r="390">
          <cell r="C390">
            <v>530</v>
          </cell>
          <cell r="D390" t="str">
            <v>-  DIA. 25 MM. HDPE-PN4</v>
          </cell>
          <cell r="E390">
            <v>20</v>
          </cell>
          <cell r="F390">
            <v>10</v>
          </cell>
          <cell r="G390" t="str">
            <v>M.</v>
          </cell>
        </row>
        <row r="391">
          <cell r="C391">
            <v>531</v>
          </cell>
          <cell r="D391" t="str">
            <v>-  DIA. 32 MM. HDPE-PN4</v>
          </cell>
          <cell r="E391">
            <v>25</v>
          </cell>
          <cell r="F391">
            <v>15</v>
          </cell>
          <cell r="G391" t="str">
            <v>M.</v>
          </cell>
        </row>
        <row r="392">
          <cell r="C392">
            <v>532</v>
          </cell>
          <cell r="D392" t="str">
            <v>-  DIA. 40 MM. HDPE-PN4</v>
          </cell>
          <cell r="E392">
            <v>34</v>
          </cell>
          <cell r="F392">
            <v>18</v>
          </cell>
          <cell r="G392" t="str">
            <v>M.</v>
          </cell>
        </row>
        <row r="393">
          <cell r="C393">
            <v>533</v>
          </cell>
          <cell r="D393" t="str">
            <v>-  DIA. 50 MM. HDPE-PN4</v>
          </cell>
          <cell r="E393">
            <v>38</v>
          </cell>
          <cell r="F393">
            <v>25</v>
          </cell>
          <cell r="G393" t="str">
            <v>M.</v>
          </cell>
        </row>
        <row r="394">
          <cell r="C394">
            <v>534</v>
          </cell>
          <cell r="D394" t="str">
            <v>-  DIA. 63 MM. HDPE-PN4</v>
          </cell>
          <cell r="E394">
            <v>56</v>
          </cell>
          <cell r="F394">
            <v>30</v>
          </cell>
          <cell r="G394" t="str">
            <v>M.</v>
          </cell>
        </row>
        <row r="395">
          <cell r="C395">
            <v>535</v>
          </cell>
          <cell r="D395" t="str">
            <v>-  DIA. 75 MM. HDPE-PN4</v>
          </cell>
          <cell r="E395">
            <v>81</v>
          </cell>
          <cell r="F395">
            <v>40</v>
          </cell>
          <cell r="G395" t="str">
            <v>M.</v>
          </cell>
        </row>
        <row r="396">
          <cell r="C396">
            <v>536</v>
          </cell>
          <cell r="D396" t="str">
            <v>-  DIA. 90 MM. HDPE-PN4</v>
          </cell>
          <cell r="E396">
            <v>116</v>
          </cell>
          <cell r="F396">
            <v>47</v>
          </cell>
          <cell r="G396" t="str">
            <v>M.</v>
          </cell>
        </row>
        <row r="397">
          <cell r="C397">
            <v>537</v>
          </cell>
          <cell r="D397" t="str">
            <v>-  DIA. 110 MM. HDPE-PN4</v>
          </cell>
          <cell r="E397">
            <v>170</v>
          </cell>
          <cell r="F397">
            <v>55</v>
          </cell>
          <cell r="G397" t="str">
            <v>M.</v>
          </cell>
        </row>
        <row r="398">
          <cell r="C398">
            <v>538</v>
          </cell>
          <cell r="D398" t="str">
            <v>-  DIA. 125 MM. HDPE-PN4</v>
          </cell>
          <cell r="E398">
            <v>220</v>
          </cell>
          <cell r="F398">
            <v>65</v>
          </cell>
          <cell r="G398" t="str">
            <v>M.</v>
          </cell>
        </row>
        <row r="399">
          <cell r="C399">
            <v>539</v>
          </cell>
          <cell r="D399" t="str">
            <v>-  DIA. 140 MM. HDPE-PN4</v>
          </cell>
          <cell r="E399">
            <v>278</v>
          </cell>
          <cell r="F399">
            <v>70</v>
          </cell>
          <cell r="G399" t="str">
            <v>M.</v>
          </cell>
        </row>
        <row r="400">
          <cell r="C400">
            <v>540</v>
          </cell>
          <cell r="D400" t="str">
            <v>-  DIA. 160 MM. HDPE-PN4</v>
          </cell>
          <cell r="E400">
            <v>363</v>
          </cell>
          <cell r="F400">
            <v>75</v>
          </cell>
          <cell r="G400" t="str">
            <v>M.</v>
          </cell>
        </row>
        <row r="401">
          <cell r="C401">
            <v>541</v>
          </cell>
          <cell r="D401" t="str">
            <v>-  DIA. 180 MM. HDPE-PN4</v>
          </cell>
          <cell r="E401">
            <v>462</v>
          </cell>
          <cell r="F401">
            <v>80</v>
          </cell>
          <cell r="G401" t="str">
            <v>M.</v>
          </cell>
        </row>
        <row r="402">
          <cell r="C402">
            <v>0</v>
          </cell>
          <cell r="D402" t="str">
            <v>SPACE</v>
          </cell>
          <cell r="E402">
            <v>0</v>
          </cell>
          <cell r="F402">
            <v>0</v>
          </cell>
          <cell r="G402">
            <v>0</v>
          </cell>
        </row>
        <row r="403">
          <cell r="C403">
            <v>546</v>
          </cell>
          <cell r="D403" t="str">
            <v>-  DIA. 25 MM. HDPE-PN6</v>
          </cell>
          <cell r="E403">
            <v>20</v>
          </cell>
          <cell r="F403">
            <v>10</v>
          </cell>
          <cell r="G403" t="str">
            <v>M.</v>
          </cell>
        </row>
        <row r="404">
          <cell r="C404">
            <v>547</v>
          </cell>
          <cell r="D404" t="str">
            <v>-  DIA. 32 MM. HDPE-PN6</v>
          </cell>
          <cell r="E404">
            <v>25</v>
          </cell>
          <cell r="F404">
            <v>15</v>
          </cell>
          <cell r="G404" t="str">
            <v>M.</v>
          </cell>
        </row>
        <row r="405">
          <cell r="C405">
            <v>548</v>
          </cell>
          <cell r="D405" t="str">
            <v>-  DIA. 40 MM. HDPE-PN6</v>
          </cell>
          <cell r="E405">
            <v>34</v>
          </cell>
          <cell r="F405">
            <v>18</v>
          </cell>
          <cell r="G405" t="str">
            <v>M.</v>
          </cell>
        </row>
        <row r="406">
          <cell r="C406">
            <v>549</v>
          </cell>
          <cell r="D406" t="str">
            <v>-  DIA. 50 MM. HDPE-PN6</v>
          </cell>
          <cell r="E406">
            <v>53</v>
          </cell>
          <cell r="F406">
            <v>25</v>
          </cell>
          <cell r="G406" t="str">
            <v>M.</v>
          </cell>
        </row>
        <row r="407">
          <cell r="C407">
            <v>550</v>
          </cell>
          <cell r="D407" t="str">
            <v>-  DIA. 63 MM. HDPE-PN6</v>
          </cell>
          <cell r="E407">
            <v>83</v>
          </cell>
          <cell r="F407">
            <v>30</v>
          </cell>
          <cell r="G407" t="str">
            <v>M.</v>
          </cell>
        </row>
        <row r="408">
          <cell r="C408">
            <v>551</v>
          </cell>
          <cell r="D408" t="str">
            <v>-  DIA. 75 MM. HDPE-PN6</v>
          </cell>
          <cell r="E408">
            <v>116</v>
          </cell>
          <cell r="F408">
            <v>40</v>
          </cell>
          <cell r="G408" t="str">
            <v>M.</v>
          </cell>
        </row>
        <row r="409">
          <cell r="C409">
            <v>552</v>
          </cell>
          <cell r="D409" t="str">
            <v>-  DIA. 90 MM. HDPE-PN6</v>
          </cell>
          <cell r="E409">
            <v>166</v>
          </cell>
          <cell r="F409">
            <v>47</v>
          </cell>
          <cell r="G409" t="str">
            <v>M.</v>
          </cell>
        </row>
        <row r="410">
          <cell r="C410">
            <v>553</v>
          </cell>
          <cell r="D410" t="str">
            <v>-  DIA. 110 MM. HDPE-PN6</v>
          </cell>
          <cell r="E410">
            <v>248</v>
          </cell>
          <cell r="F410">
            <v>55</v>
          </cell>
          <cell r="G410" t="str">
            <v>M.</v>
          </cell>
        </row>
        <row r="411">
          <cell r="C411">
            <v>554</v>
          </cell>
          <cell r="D411" t="str">
            <v>-  DIA. 125 MM. HDPE-PN6</v>
          </cell>
          <cell r="E411">
            <v>318</v>
          </cell>
          <cell r="F411">
            <v>65</v>
          </cell>
          <cell r="G411" t="str">
            <v>M.</v>
          </cell>
        </row>
        <row r="412">
          <cell r="C412">
            <v>555</v>
          </cell>
          <cell r="D412" t="str">
            <v>-  DIA. 140 MM. HDPE-PN6</v>
          </cell>
          <cell r="E412">
            <v>399</v>
          </cell>
          <cell r="F412">
            <v>70</v>
          </cell>
          <cell r="G412" t="str">
            <v>M.</v>
          </cell>
        </row>
        <row r="413">
          <cell r="C413">
            <v>556</v>
          </cell>
          <cell r="D413" t="str">
            <v>-  DIA. 160 MM. HDPE-PN6</v>
          </cell>
          <cell r="E413">
            <v>520</v>
          </cell>
          <cell r="F413">
            <v>75</v>
          </cell>
          <cell r="G413" t="str">
            <v>M.</v>
          </cell>
        </row>
        <row r="414">
          <cell r="C414">
            <v>557</v>
          </cell>
          <cell r="D414" t="str">
            <v>-  DIA. 180 MM. HDPE-PN6</v>
          </cell>
          <cell r="E414">
            <v>655</v>
          </cell>
          <cell r="F414">
            <v>80</v>
          </cell>
          <cell r="G414" t="str">
            <v>M.</v>
          </cell>
        </row>
        <row r="415">
          <cell r="C415">
            <v>0</v>
          </cell>
          <cell r="D415" t="str">
            <v>SPACE</v>
          </cell>
          <cell r="E415">
            <v>0</v>
          </cell>
          <cell r="F415">
            <v>0</v>
          </cell>
          <cell r="G415">
            <v>0</v>
          </cell>
        </row>
        <row r="416">
          <cell r="C416">
            <v>561</v>
          </cell>
          <cell r="D416" t="str">
            <v>-  DIA. 2" FRE</v>
          </cell>
          <cell r="E416">
            <v>380</v>
          </cell>
          <cell r="F416">
            <v>50</v>
          </cell>
          <cell r="G416" t="str">
            <v>M.</v>
          </cell>
        </row>
        <row r="417">
          <cell r="C417">
            <v>562</v>
          </cell>
          <cell r="D417" t="str">
            <v>-  DIA. 2 1/2" FRE</v>
          </cell>
          <cell r="E417">
            <v>430</v>
          </cell>
          <cell r="F417">
            <v>60</v>
          </cell>
          <cell r="G417" t="str">
            <v>M.</v>
          </cell>
        </row>
        <row r="418">
          <cell r="C418">
            <v>563</v>
          </cell>
          <cell r="D418" t="str">
            <v>-  DIA. 3" FRE</v>
          </cell>
          <cell r="E418">
            <v>490</v>
          </cell>
          <cell r="F418">
            <v>70</v>
          </cell>
          <cell r="G418" t="str">
            <v>M.</v>
          </cell>
        </row>
        <row r="419">
          <cell r="C419">
            <v>564</v>
          </cell>
          <cell r="D419" t="str">
            <v>-  DIA. 4" FRE</v>
          </cell>
          <cell r="E419">
            <v>550</v>
          </cell>
          <cell r="F419">
            <v>70</v>
          </cell>
          <cell r="G419" t="str">
            <v>M.</v>
          </cell>
        </row>
        <row r="420">
          <cell r="C420">
            <v>565</v>
          </cell>
          <cell r="D420" t="str">
            <v>-  DIA. 5" FRE</v>
          </cell>
          <cell r="E420">
            <v>830</v>
          </cell>
          <cell r="F420">
            <v>100</v>
          </cell>
          <cell r="G420" t="str">
            <v>M.</v>
          </cell>
        </row>
        <row r="421">
          <cell r="C421">
            <v>566</v>
          </cell>
          <cell r="D421" t="str">
            <v>-  DIA. 6" FRE</v>
          </cell>
          <cell r="E421">
            <v>1330</v>
          </cell>
          <cell r="F421">
            <v>150</v>
          </cell>
          <cell r="G421" t="str">
            <v>M.</v>
          </cell>
        </row>
        <row r="422">
          <cell r="C422">
            <v>0</v>
          </cell>
          <cell r="D422" t="str">
            <v>SPACE</v>
          </cell>
          <cell r="E422">
            <v>0</v>
          </cell>
          <cell r="F422">
            <v>0</v>
          </cell>
          <cell r="G422">
            <v>0</v>
          </cell>
        </row>
        <row r="423">
          <cell r="C423">
            <v>0</v>
          </cell>
          <cell r="D423" t="str">
            <v>5"CONDUIT IN DUCT BANK</v>
          </cell>
          <cell r="E423">
            <v>0</v>
          </cell>
          <cell r="F423">
            <v>0</v>
          </cell>
          <cell r="G423">
            <v>0</v>
          </cell>
        </row>
        <row r="424">
          <cell r="C424">
            <v>571</v>
          </cell>
          <cell r="D424" t="str">
            <v xml:space="preserve">-  DIA. 125 MM. HDPE-PN6 (2x1) DUCT BANK </v>
          </cell>
          <cell r="E424">
            <v>1480</v>
          </cell>
          <cell r="F424">
            <v>600</v>
          </cell>
          <cell r="G424" t="str">
            <v>M.</v>
          </cell>
        </row>
        <row r="425">
          <cell r="C425">
            <v>572</v>
          </cell>
          <cell r="D425" t="str">
            <v xml:space="preserve">-  DIA. 125 MM. HDPE-PN6 (2x2) DUCT BANK </v>
          </cell>
          <cell r="E425">
            <v>2420</v>
          </cell>
          <cell r="F425">
            <v>800</v>
          </cell>
          <cell r="G425" t="str">
            <v>M.</v>
          </cell>
        </row>
        <row r="426">
          <cell r="C426">
            <v>573</v>
          </cell>
          <cell r="D426" t="str">
            <v xml:space="preserve">-  DIA. 125 MM. HDPE-PN6 (2x3) DUCT BANK </v>
          </cell>
          <cell r="E426">
            <v>3400</v>
          </cell>
          <cell r="F426">
            <v>1000</v>
          </cell>
          <cell r="G426" t="str">
            <v>M.</v>
          </cell>
        </row>
        <row r="427">
          <cell r="C427">
            <v>0</v>
          </cell>
          <cell r="D427" t="str">
            <v>SPACE</v>
          </cell>
          <cell r="E427">
            <v>0</v>
          </cell>
          <cell r="F427">
            <v>0</v>
          </cell>
          <cell r="G427">
            <v>0</v>
          </cell>
        </row>
        <row r="428">
          <cell r="C428">
            <v>576</v>
          </cell>
          <cell r="D428" t="str">
            <v xml:space="preserve">-  DIA. 5" FRE (2x1) CONDUIT </v>
          </cell>
          <cell r="E428">
            <v>1480</v>
          </cell>
          <cell r="F428">
            <v>300</v>
          </cell>
          <cell r="G428" t="str">
            <v>M.</v>
          </cell>
        </row>
        <row r="429">
          <cell r="C429">
            <v>577</v>
          </cell>
          <cell r="D429" t="str">
            <v xml:space="preserve">-  DIA. 5" FRE (2x2) CONDUIT </v>
          </cell>
          <cell r="E429">
            <v>2830</v>
          </cell>
          <cell r="F429">
            <v>400</v>
          </cell>
          <cell r="G429" t="str">
            <v>M.</v>
          </cell>
        </row>
        <row r="430">
          <cell r="C430">
            <v>578</v>
          </cell>
          <cell r="D430" t="str">
            <v xml:space="preserve">-  DIA. 5" FRE (2x3) CONDUIT </v>
          </cell>
          <cell r="E430">
            <v>3970</v>
          </cell>
          <cell r="F430">
            <v>600</v>
          </cell>
          <cell r="G430" t="str">
            <v>M.</v>
          </cell>
        </row>
        <row r="431">
          <cell r="C431">
            <v>0</v>
          </cell>
          <cell r="D431" t="str">
            <v>SPACE</v>
          </cell>
          <cell r="E431">
            <v>0</v>
          </cell>
          <cell r="F431">
            <v>0</v>
          </cell>
          <cell r="G431">
            <v>0</v>
          </cell>
        </row>
        <row r="432">
          <cell r="C432">
            <v>591</v>
          </cell>
          <cell r="D432" t="str">
            <v>-  DIA. 1/2" PVC-CLASS2</v>
          </cell>
          <cell r="E432">
            <v>11</v>
          </cell>
          <cell r="F432">
            <v>5</v>
          </cell>
          <cell r="G432" t="str">
            <v>M.</v>
          </cell>
        </row>
        <row r="433">
          <cell r="C433">
            <v>592</v>
          </cell>
          <cell r="D433" t="str">
            <v>-  DIA. 3/4" PVC-CLASS2</v>
          </cell>
          <cell r="E433">
            <v>13</v>
          </cell>
          <cell r="F433">
            <v>8</v>
          </cell>
          <cell r="G433" t="str">
            <v>M.</v>
          </cell>
        </row>
        <row r="434">
          <cell r="C434">
            <v>593</v>
          </cell>
          <cell r="D434" t="str">
            <v>-  DIA. 1" PVC-CLASS2</v>
          </cell>
          <cell r="E434">
            <v>24</v>
          </cell>
          <cell r="F434">
            <v>12</v>
          </cell>
          <cell r="G434" t="str">
            <v>M.</v>
          </cell>
        </row>
        <row r="435">
          <cell r="C435">
            <v>594</v>
          </cell>
          <cell r="D435" t="str">
            <v>-  DIA. 1 1/4" PVC-CLASS2</v>
          </cell>
          <cell r="E435">
            <v>34</v>
          </cell>
          <cell r="F435">
            <v>18</v>
          </cell>
          <cell r="G435" t="str">
            <v>M.</v>
          </cell>
        </row>
        <row r="436">
          <cell r="C436">
            <v>595</v>
          </cell>
          <cell r="D436" t="str">
            <v>-  DIA. 1 1/2" PVC-CLASS2</v>
          </cell>
          <cell r="E436">
            <v>44</v>
          </cell>
          <cell r="F436">
            <v>20</v>
          </cell>
          <cell r="G436" t="str">
            <v>M.</v>
          </cell>
        </row>
        <row r="437">
          <cell r="C437">
            <v>596</v>
          </cell>
          <cell r="D437" t="str">
            <v>-  DIA. 2" PVC-CLASS2</v>
          </cell>
          <cell r="E437">
            <v>62</v>
          </cell>
          <cell r="F437">
            <v>24</v>
          </cell>
          <cell r="G437" t="str">
            <v>M.</v>
          </cell>
        </row>
        <row r="438">
          <cell r="C438">
            <v>597</v>
          </cell>
          <cell r="D438" t="str">
            <v>-  DIA. 2 1/2" PVC-CLASS3</v>
          </cell>
          <cell r="E438">
            <v>80</v>
          </cell>
          <cell r="F438">
            <v>30</v>
          </cell>
          <cell r="G438" t="str">
            <v>M.</v>
          </cell>
        </row>
        <row r="439">
          <cell r="C439">
            <v>598</v>
          </cell>
          <cell r="D439" t="str">
            <v>-  DIA. 3" PVC-CLASS2</v>
          </cell>
          <cell r="E439">
            <v>126</v>
          </cell>
          <cell r="F439">
            <v>35</v>
          </cell>
          <cell r="G439" t="str">
            <v>M.</v>
          </cell>
        </row>
        <row r="440">
          <cell r="C440">
            <v>599</v>
          </cell>
          <cell r="D440" t="str">
            <v>-  DIA. 4" PVC-CLASS2</v>
          </cell>
          <cell r="E440">
            <v>192</v>
          </cell>
          <cell r="F440">
            <v>40</v>
          </cell>
          <cell r="G440" t="str">
            <v>M.</v>
          </cell>
        </row>
        <row r="441">
          <cell r="C441">
            <v>0</v>
          </cell>
          <cell r="D441" t="str">
            <v>SPACE</v>
          </cell>
          <cell r="E441">
            <v>0</v>
          </cell>
          <cell r="F441">
            <v>0.85</v>
          </cell>
          <cell r="G441">
            <v>0.6</v>
          </cell>
        </row>
        <row r="442">
          <cell r="C442">
            <v>6</v>
          </cell>
          <cell r="D442" t="str">
            <v>WIRE WAY (1.6 mm.THICK)</v>
          </cell>
          <cell r="E442">
            <v>0</v>
          </cell>
          <cell r="F442">
            <v>0</v>
          </cell>
          <cell r="G442">
            <v>0</v>
          </cell>
        </row>
        <row r="443">
          <cell r="C443">
            <v>601</v>
          </cell>
          <cell r="D443" t="str">
            <v>-  50 mm.x50 mm. WIRE WAY</v>
          </cell>
          <cell r="E443">
            <v>192</v>
          </cell>
          <cell r="F443">
            <v>11</v>
          </cell>
          <cell r="G443" t="str">
            <v>M.</v>
          </cell>
        </row>
        <row r="444">
          <cell r="C444">
            <v>602</v>
          </cell>
          <cell r="D444" t="str">
            <v>-  50 mm.x75 mm. WIRE WAY</v>
          </cell>
          <cell r="E444">
            <v>230</v>
          </cell>
          <cell r="F444">
            <v>14</v>
          </cell>
          <cell r="G444" t="str">
            <v>M.</v>
          </cell>
        </row>
        <row r="445">
          <cell r="C445">
            <v>603</v>
          </cell>
          <cell r="D445" t="str">
            <v>-  50 mm.x100 mm. WIRE WAY</v>
          </cell>
          <cell r="E445">
            <v>263</v>
          </cell>
          <cell r="F445">
            <v>17</v>
          </cell>
          <cell r="G445" t="str">
            <v>M.</v>
          </cell>
        </row>
        <row r="446">
          <cell r="C446">
            <v>604</v>
          </cell>
          <cell r="D446" t="str">
            <v>-  50 mm.x125 mm. WIRE WAY</v>
          </cell>
          <cell r="E446">
            <v>300</v>
          </cell>
          <cell r="F446">
            <v>20</v>
          </cell>
          <cell r="G446" t="str">
            <v>M.</v>
          </cell>
        </row>
        <row r="447">
          <cell r="C447">
            <v>605</v>
          </cell>
          <cell r="D447" t="str">
            <v>-  50 mm.x150 mm. WIRE WAY</v>
          </cell>
          <cell r="E447">
            <v>340</v>
          </cell>
          <cell r="F447">
            <v>23</v>
          </cell>
          <cell r="G447" t="str">
            <v>M.</v>
          </cell>
        </row>
        <row r="448">
          <cell r="C448">
            <v>606</v>
          </cell>
          <cell r="D448" t="str">
            <v>-  50 mm.x200 mm. WIRE WAY</v>
          </cell>
          <cell r="E448">
            <v>400</v>
          </cell>
          <cell r="F448">
            <v>26</v>
          </cell>
          <cell r="G448" t="str">
            <v>M.</v>
          </cell>
        </row>
        <row r="449">
          <cell r="C449">
            <v>607</v>
          </cell>
          <cell r="D449" t="str">
            <v>-  50 mm.x250 mm. WIRE WAY</v>
          </cell>
          <cell r="E449">
            <v>483</v>
          </cell>
          <cell r="F449">
            <v>29</v>
          </cell>
          <cell r="G449" t="str">
            <v>M.</v>
          </cell>
        </row>
        <row r="450">
          <cell r="C450">
            <v>608</v>
          </cell>
          <cell r="D450" t="str">
            <v>-  75 mm.x100 mm. WIRE WAY</v>
          </cell>
          <cell r="E450">
            <v>300</v>
          </cell>
          <cell r="F450">
            <v>20</v>
          </cell>
          <cell r="G450" t="str">
            <v>M.</v>
          </cell>
        </row>
        <row r="451">
          <cell r="C451">
            <v>609</v>
          </cell>
          <cell r="D451" t="str">
            <v>-  75 mm.x150 mm. WIRE WAY</v>
          </cell>
          <cell r="E451">
            <v>375</v>
          </cell>
          <cell r="F451">
            <v>25</v>
          </cell>
          <cell r="G451" t="str">
            <v>M.</v>
          </cell>
        </row>
        <row r="452">
          <cell r="C452">
            <v>610</v>
          </cell>
          <cell r="D452" t="str">
            <v>-  75 mm.x200 mm. WIRE WAY</v>
          </cell>
          <cell r="E452">
            <v>446</v>
          </cell>
          <cell r="F452">
            <v>28</v>
          </cell>
          <cell r="G452" t="str">
            <v>M.</v>
          </cell>
        </row>
        <row r="453">
          <cell r="C453">
            <v>611</v>
          </cell>
          <cell r="D453" t="str">
            <v>-  75 mm.x250 mm. WIRE WAY</v>
          </cell>
          <cell r="E453">
            <v>520</v>
          </cell>
          <cell r="F453">
            <v>32</v>
          </cell>
          <cell r="G453" t="str">
            <v>M.</v>
          </cell>
        </row>
        <row r="454">
          <cell r="C454">
            <v>612</v>
          </cell>
          <cell r="D454" t="str">
            <v>-  75 mm.x300 mm. WIRE WAY</v>
          </cell>
          <cell r="E454">
            <v>590</v>
          </cell>
          <cell r="F454">
            <v>35</v>
          </cell>
          <cell r="G454" t="str">
            <v>M.</v>
          </cell>
        </row>
        <row r="455">
          <cell r="C455">
            <v>613</v>
          </cell>
          <cell r="D455" t="str">
            <v>-  100 mm.x100 mm. WIRE WAY</v>
          </cell>
          <cell r="E455">
            <v>340</v>
          </cell>
          <cell r="F455">
            <v>23</v>
          </cell>
          <cell r="G455" t="str">
            <v>M.</v>
          </cell>
        </row>
        <row r="456">
          <cell r="C456">
            <v>614</v>
          </cell>
          <cell r="D456" t="str">
            <v>-  100 mm.x150 mm. WIRE WAY</v>
          </cell>
          <cell r="E456">
            <v>400</v>
          </cell>
          <cell r="F456">
            <v>26</v>
          </cell>
          <cell r="G456" t="str">
            <v>M.</v>
          </cell>
        </row>
        <row r="457">
          <cell r="C457">
            <v>615</v>
          </cell>
          <cell r="D457" t="str">
            <v>-  100 mm.x200 mm. WIRE WAY</v>
          </cell>
          <cell r="E457">
            <v>483</v>
          </cell>
          <cell r="F457">
            <v>29</v>
          </cell>
          <cell r="G457" t="str">
            <v>M.</v>
          </cell>
        </row>
        <row r="458">
          <cell r="C458">
            <v>616</v>
          </cell>
          <cell r="D458" t="str">
            <v>-  100 mm.x250 mm. WIRE WAY</v>
          </cell>
          <cell r="E458">
            <v>550</v>
          </cell>
          <cell r="F458">
            <v>34</v>
          </cell>
          <cell r="G458" t="str">
            <v>M.</v>
          </cell>
        </row>
        <row r="459">
          <cell r="C459">
            <v>617</v>
          </cell>
          <cell r="D459" t="str">
            <v>-  100 mm.x300 mm. WIRE WAY</v>
          </cell>
          <cell r="E459">
            <v>630</v>
          </cell>
          <cell r="F459">
            <v>37</v>
          </cell>
          <cell r="G459" t="str">
            <v>M.</v>
          </cell>
        </row>
        <row r="460">
          <cell r="C460">
            <v>618</v>
          </cell>
          <cell r="D460" t="str">
            <v>-  100 mm.x350 mm. WIRE WAY</v>
          </cell>
          <cell r="E460">
            <v>700</v>
          </cell>
          <cell r="F460">
            <v>40</v>
          </cell>
          <cell r="G460" t="str">
            <v>M.</v>
          </cell>
        </row>
        <row r="461">
          <cell r="C461">
            <v>619</v>
          </cell>
          <cell r="D461" t="str">
            <v>-  150 mm.x150 mm. WIRE WAY</v>
          </cell>
          <cell r="E461">
            <v>483</v>
          </cell>
          <cell r="F461">
            <v>29</v>
          </cell>
          <cell r="G461" t="str">
            <v>M.</v>
          </cell>
        </row>
        <row r="462">
          <cell r="C462">
            <v>620</v>
          </cell>
          <cell r="D462" t="str">
            <v>-  150 mm.x200 mm. WIRE WAY</v>
          </cell>
          <cell r="E462">
            <v>550</v>
          </cell>
          <cell r="F462">
            <v>34</v>
          </cell>
          <cell r="G462" t="str">
            <v>M.</v>
          </cell>
        </row>
        <row r="463">
          <cell r="C463">
            <v>621</v>
          </cell>
          <cell r="D463" t="str">
            <v>-  150 mm.x250 mm. WIRE WAY</v>
          </cell>
          <cell r="E463">
            <v>630</v>
          </cell>
          <cell r="F463">
            <v>37</v>
          </cell>
          <cell r="G463" t="str">
            <v>M.</v>
          </cell>
        </row>
        <row r="464">
          <cell r="C464">
            <v>622</v>
          </cell>
          <cell r="D464" t="str">
            <v>-  150 mm.x300 mm. WIRE WAY</v>
          </cell>
          <cell r="E464">
            <v>700</v>
          </cell>
          <cell r="F464">
            <v>40</v>
          </cell>
          <cell r="G464" t="str">
            <v>M.</v>
          </cell>
        </row>
        <row r="465">
          <cell r="C465">
            <v>623</v>
          </cell>
          <cell r="D465" t="str">
            <v>-  150 mm.x350 mm. WIRE WAY</v>
          </cell>
          <cell r="E465">
            <v>775</v>
          </cell>
          <cell r="F465">
            <v>45</v>
          </cell>
          <cell r="G465" t="str">
            <v>M.</v>
          </cell>
        </row>
        <row r="466">
          <cell r="C466">
            <v>624</v>
          </cell>
          <cell r="D466" t="str">
            <v>-  150 mm.x400 mm. WIRE WAY</v>
          </cell>
          <cell r="E466">
            <v>846</v>
          </cell>
          <cell r="F466">
            <v>48</v>
          </cell>
          <cell r="G466" t="str">
            <v>M.</v>
          </cell>
        </row>
        <row r="467">
          <cell r="C467">
            <v>625</v>
          </cell>
          <cell r="D467" t="str">
            <v>-  200 mm.x200 mm. WIRE WAY</v>
          </cell>
          <cell r="E467">
            <v>500</v>
          </cell>
          <cell r="F467">
            <v>31</v>
          </cell>
          <cell r="G467" t="str">
            <v>M.</v>
          </cell>
        </row>
        <row r="468">
          <cell r="C468">
            <v>626</v>
          </cell>
          <cell r="D468" t="str">
            <v>-  200 mm.x250 mm. WIRE WAY</v>
          </cell>
          <cell r="E468">
            <v>575</v>
          </cell>
          <cell r="F468">
            <v>35</v>
          </cell>
          <cell r="G468" t="str">
            <v>M.</v>
          </cell>
        </row>
        <row r="469">
          <cell r="C469">
            <v>627</v>
          </cell>
          <cell r="D469" t="str">
            <v>-  200 mm.x300 mm. WIRE WAY</v>
          </cell>
          <cell r="E469">
            <v>775</v>
          </cell>
          <cell r="F469">
            <v>45</v>
          </cell>
          <cell r="G469" t="str">
            <v>M.</v>
          </cell>
        </row>
        <row r="470">
          <cell r="C470">
            <v>628</v>
          </cell>
          <cell r="D470" t="str">
            <v>-  200 mm.x350 mm. WIRE WAY</v>
          </cell>
          <cell r="E470">
            <v>846</v>
          </cell>
          <cell r="F470">
            <v>48</v>
          </cell>
          <cell r="G470" t="str">
            <v>M.</v>
          </cell>
        </row>
        <row r="471">
          <cell r="C471">
            <v>629</v>
          </cell>
          <cell r="D471" t="str">
            <v>-  200 mm.x400 mm. WIRE WAY</v>
          </cell>
          <cell r="E471">
            <v>920</v>
          </cell>
          <cell r="F471">
            <v>53</v>
          </cell>
          <cell r="G471" t="str">
            <v>M.</v>
          </cell>
        </row>
        <row r="472">
          <cell r="C472">
            <v>630</v>
          </cell>
          <cell r="D472" t="str">
            <v>-  200 mm.x450 mm. WIRE WAY</v>
          </cell>
          <cell r="E472">
            <v>990</v>
          </cell>
          <cell r="F472">
            <v>56</v>
          </cell>
          <cell r="G472" t="str">
            <v>M.</v>
          </cell>
        </row>
        <row r="473">
          <cell r="C473">
            <v>631</v>
          </cell>
          <cell r="D473" t="str">
            <v>-  250 mm.x250 mm. WIRE WAY</v>
          </cell>
          <cell r="E473">
            <v>775</v>
          </cell>
          <cell r="F473">
            <v>45</v>
          </cell>
          <cell r="G473" t="str">
            <v>M.</v>
          </cell>
        </row>
        <row r="474">
          <cell r="C474">
            <v>632</v>
          </cell>
          <cell r="D474" t="str">
            <v>-  250 mm.x300 mm. WIRE WAY</v>
          </cell>
          <cell r="E474">
            <v>846</v>
          </cell>
          <cell r="F474">
            <v>48</v>
          </cell>
          <cell r="G474" t="str">
            <v>M.</v>
          </cell>
        </row>
        <row r="475">
          <cell r="C475">
            <v>633</v>
          </cell>
          <cell r="D475" t="str">
            <v>-  250 mm.x350 mm. WIRE WAY</v>
          </cell>
          <cell r="E475">
            <v>920</v>
          </cell>
          <cell r="F475">
            <v>53</v>
          </cell>
          <cell r="G475" t="str">
            <v>M.</v>
          </cell>
        </row>
        <row r="476">
          <cell r="C476">
            <v>634</v>
          </cell>
          <cell r="D476" t="str">
            <v>-  250 mm.x400 mm. WIRE WAY</v>
          </cell>
          <cell r="E476">
            <v>990</v>
          </cell>
          <cell r="F476">
            <v>56</v>
          </cell>
          <cell r="G476" t="str">
            <v>M.</v>
          </cell>
        </row>
        <row r="477">
          <cell r="C477">
            <v>635</v>
          </cell>
          <cell r="D477" t="str">
            <v>-  250 mm.x450 mm. WIRE WAY</v>
          </cell>
          <cell r="E477">
            <v>1066</v>
          </cell>
          <cell r="F477">
            <v>60</v>
          </cell>
          <cell r="G477" t="str">
            <v>M.</v>
          </cell>
        </row>
        <row r="478">
          <cell r="C478">
            <v>636</v>
          </cell>
          <cell r="D478" t="str">
            <v>-  250 mm.x500 mm. WIRE WAY</v>
          </cell>
          <cell r="E478">
            <v>1138</v>
          </cell>
          <cell r="F478">
            <v>64</v>
          </cell>
          <cell r="G478" t="str">
            <v>M.</v>
          </cell>
        </row>
        <row r="479">
          <cell r="C479">
            <v>637</v>
          </cell>
          <cell r="D479" t="str">
            <v>-  250 mm.x550 mm. WIRE WAY</v>
          </cell>
          <cell r="E479">
            <v>1213</v>
          </cell>
          <cell r="F479">
            <v>70</v>
          </cell>
          <cell r="G479" t="str">
            <v>M.</v>
          </cell>
        </row>
        <row r="480">
          <cell r="C480">
            <v>0</v>
          </cell>
          <cell r="D480">
            <v>0</v>
          </cell>
          <cell r="E480">
            <v>0</v>
          </cell>
          <cell r="F480">
            <v>0</v>
          </cell>
          <cell r="G480">
            <v>0</v>
          </cell>
        </row>
        <row r="481">
          <cell r="C481">
            <v>64</v>
          </cell>
          <cell r="D481" t="str">
            <v>CABLE TRAY ; ( 2.0 mm. THICK)</v>
          </cell>
          <cell r="E481">
            <v>0</v>
          </cell>
          <cell r="F481">
            <v>0</v>
          </cell>
          <cell r="G481">
            <v>0</v>
          </cell>
        </row>
        <row r="482">
          <cell r="C482">
            <v>641</v>
          </cell>
          <cell r="D482" t="str">
            <v>-  100 mm. CABLE TRAY</v>
          </cell>
          <cell r="E482">
            <v>423</v>
          </cell>
          <cell r="F482">
            <v>29</v>
          </cell>
          <cell r="G482" t="str">
            <v>M.</v>
          </cell>
        </row>
        <row r="483">
          <cell r="C483">
            <v>642</v>
          </cell>
          <cell r="D483" t="str">
            <v>-  200 mm. CABLE TRAY</v>
          </cell>
          <cell r="E483">
            <v>533</v>
          </cell>
          <cell r="F483">
            <v>32</v>
          </cell>
          <cell r="G483" t="str">
            <v>M.</v>
          </cell>
        </row>
        <row r="484">
          <cell r="C484">
            <v>643</v>
          </cell>
          <cell r="D484" t="str">
            <v>-  300 mm. CABLE TRAY</v>
          </cell>
          <cell r="E484">
            <v>640</v>
          </cell>
          <cell r="F484">
            <v>35</v>
          </cell>
          <cell r="G484" t="str">
            <v>M.</v>
          </cell>
        </row>
        <row r="485">
          <cell r="C485">
            <v>644</v>
          </cell>
          <cell r="D485" t="str">
            <v>-  400 mm. CABLE TRAY</v>
          </cell>
          <cell r="E485">
            <v>747</v>
          </cell>
          <cell r="F485">
            <v>42</v>
          </cell>
          <cell r="G485" t="str">
            <v>M.</v>
          </cell>
        </row>
        <row r="486">
          <cell r="C486">
            <v>645</v>
          </cell>
          <cell r="D486" t="str">
            <v>-  500 mm. CABLE TRAY</v>
          </cell>
          <cell r="E486">
            <v>877</v>
          </cell>
          <cell r="F486">
            <v>50</v>
          </cell>
          <cell r="G486" t="str">
            <v>M.</v>
          </cell>
        </row>
        <row r="487">
          <cell r="C487">
            <v>646</v>
          </cell>
          <cell r="D487" t="str">
            <v>-  600 mm. CABLE TRAY</v>
          </cell>
          <cell r="E487">
            <v>986</v>
          </cell>
          <cell r="F487">
            <v>55</v>
          </cell>
          <cell r="G487" t="str">
            <v>M.</v>
          </cell>
        </row>
        <row r="488">
          <cell r="C488">
            <v>647</v>
          </cell>
          <cell r="D488" t="str">
            <v>-  700 mm. CABLE TRAY</v>
          </cell>
          <cell r="E488">
            <v>1094</v>
          </cell>
          <cell r="F488">
            <v>61</v>
          </cell>
          <cell r="G488" t="str">
            <v>M.</v>
          </cell>
        </row>
        <row r="489">
          <cell r="C489">
            <v>648</v>
          </cell>
          <cell r="D489" t="str">
            <v>-  800 mm. CABLE TRAY</v>
          </cell>
          <cell r="E489">
            <v>1200</v>
          </cell>
          <cell r="F489">
            <v>70</v>
          </cell>
          <cell r="G489" t="str">
            <v>M.</v>
          </cell>
        </row>
        <row r="490">
          <cell r="C490">
            <v>649</v>
          </cell>
          <cell r="D490" t="str">
            <v>-  900 mm. CABLE TRAY</v>
          </cell>
          <cell r="E490">
            <v>1320</v>
          </cell>
          <cell r="F490">
            <v>78</v>
          </cell>
          <cell r="G490" t="str">
            <v>M.</v>
          </cell>
        </row>
        <row r="491">
          <cell r="C491">
            <v>650</v>
          </cell>
          <cell r="D491" t="str">
            <v>-  1,000 mm. CABLE TRAY</v>
          </cell>
          <cell r="E491">
            <v>1440</v>
          </cell>
          <cell r="F491">
            <v>82</v>
          </cell>
          <cell r="G491" t="str">
            <v>M.</v>
          </cell>
        </row>
        <row r="492">
          <cell r="C492">
            <v>65</v>
          </cell>
          <cell r="D492" t="str">
            <v>CABLE LADDER ; ( 2.0 mm. THICK)</v>
          </cell>
          <cell r="E492" t="e">
            <v>#REF!</v>
          </cell>
          <cell r="F492" t="e">
            <v>#REF!</v>
          </cell>
          <cell r="G492" t="e">
            <v>#REF!</v>
          </cell>
        </row>
        <row r="493">
          <cell r="C493">
            <v>651</v>
          </cell>
          <cell r="D493" t="str">
            <v>-  100 mm. CABLE LADDER</v>
          </cell>
          <cell r="E493">
            <v>563</v>
          </cell>
          <cell r="F493">
            <v>34</v>
          </cell>
          <cell r="G493" t="str">
            <v>M.</v>
          </cell>
        </row>
        <row r="494">
          <cell r="C494">
            <v>652</v>
          </cell>
          <cell r="D494" t="str">
            <v>-  200 mm. CABLE LADDER</v>
          </cell>
          <cell r="E494">
            <v>600</v>
          </cell>
          <cell r="F494">
            <v>36</v>
          </cell>
          <cell r="G494" t="str">
            <v>M.</v>
          </cell>
        </row>
        <row r="495">
          <cell r="C495">
            <v>653</v>
          </cell>
          <cell r="D495" t="str">
            <v>-  300 mm. CABLE LADDER</v>
          </cell>
          <cell r="E495">
            <v>650</v>
          </cell>
          <cell r="F495">
            <v>39</v>
          </cell>
          <cell r="G495" t="str">
            <v>M.</v>
          </cell>
        </row>
        <row r="496">
          <cell r="C496">
            <v>654</v>
          </cell>
          <cell r="D496" t="str">
            <v>-  400 mm. CABLE LADDER</v>
          </cell>
          <cell r="E496">
            <v>690</v>
          </cell>
          <cell r="F496">
            <v>41</v>
          </cell>
          <cell r="G496" t="str">
            <v>M.</v>
          </cell>
        </row>
        <row r="497">
          <cell r="C497">
            <v>655</v>
          </cell>
          <cell r="D497" t="str">
            <v>-  500 mm. CABLE LADDER</v>
          </cell>
          <cell r="E497">
            <v>740</v>
          </cell>
          <cell r="F497">
            <v>43</v>
          </cell>
          <cell r="G497" t="str">
            <v>M.</v>
          </cell>
        </row>
        <row r="498">
          <cell r="C498">
            <v>656</v>
          </cell>
          <cell r="D498" t="str">
            <v>-  600 mm. CABLE LADDER</v>
          </cell>
          <cell r="E498">
            <v>785</v>
          </cell>
          <cell r="F498">
            <v>45</v>
          </cell>
          <cell r="G498" t="str">
            <v>M.</v>
          </cell>
        </row>
        <row r="499">
          <cell r="C499">
            <v>657</v>
          </cell>
          <cell r="D499" t="str">
            <v>-  700 mm. CABLE LADDER</v>
          </cell>
          <cell r="E499">
            <v>830</v>
          </cell>
          <cell r="F499">
            <v>48</v>
          </cell>
          <cell r="G499" t="str">
            <v>M.</v>
          </cell>
        </row>
        <row r="500">
          <cell r="C500">
            <v>658</v>
          </cell>
          <cell r="D500" t="str">
            <v>-  800 mm. CABLE LADDER</v>
          </cell>
          <cell r="E500">
            <v>877</v>
          </cell>
          <cell r="F500">
            <v>50</v>
          </cell>
          <cell r="G500" t="str">
            <v>M.</v>
          </cell>
        </row>
        <row r="501">
          <cell r="C501">
            <v>659</v>
          </cell>
          <cell r="D501" t="str">
            <v>-  900 mm. CABLE LADDER</v>
          </cell>
          <cell r="E501">
            <v>920</v>
          </cell>
          <cell r="F501">
            <v>53</v>
          </cell>
          <cell r="G501" t="str">
            <v>M.</v>
          </cell>
        </row>
        <row r="502">
          <cell r="C502">
            <v>660</v>
          </cell>
          <cell r="D502" t="str">
            <v>-  1,000 mm. CABLE LADDER</v>
          </cell>
          <cell r="E502">
            <v>963</v>
          </cell>
          <cell r="F502">
            <v>56</v>
          </cell>
          <cell r="G502" t="str">
            <v>M.</v>
          </cell>
        </row>
        <row r="503">
          <cell r="C503" t="e">
            <v>#REF!</v>
          </cell>
          <cell r="D503" t="e">
            <v>#REF!</v>
          </cell>
          <cell r="E503" t="e">
            <v>#REF!</v>
          </cell>
          <cell r="F503" t="e">
            <v>#REF!</v>
          </cell>
          <cell r="G503" t="e">
            <v>#REF!</v>
          </cell>
        </row>
        <row r="504">
          <cell r="C504" t="e">
            <v>#REF!</v>
          </cell>
          <cell r="D504" t="e">
            <v>#REF!</v>
          </cell>
          <cell r="E504" t="e">
            <v>#REF!</v>
          </cell>
          <cell r="F504" t="e">
            <v>#REF!</v>
          </cell>
          <cell r="G504" t="e">
            <v>#REF!</v>
          </cell>
        </row>
        <row r="505">
          <cell r="C505" t="e">
            <v>#REF!</v>
          </cell>
          <cell r="D505" t="e">
            <v>#REF!</v>
          </cell>
          <cell r="E505" t="e">
            <v>#REF!</v>
          </cell>
          <cell r="F505" t="e">
            <v>#REF!</v>
          </cell>
          <cell r="G505" t="e">
            <v>#REF!</v>
          </cell>
        </row>
        <row r="506">
          <cell r="C506" t="e">
            <v>#REF!</v>
          </cell>
          <cell r="D506" t="e">
            <v>#REF!</v>
          </cell>
          <cell r="E506" t="e">
            <v>#REF!</v>
          </cell>
          <cell r="F506" t="e">
            <v>#REF!</v>
          </cell>
          <cell r="G506" t="e">
            <v>#REF!</v>
          </cell>
        </row>
        <row r="507">
          <cell r="C507" t="e">
            <v>#REF!</v>
          </cell>
          <cell r="D507" t="e">
            <v>#REF!</v>
          </cell>
          <cell r="E507" t="e">
            <v>#REF!</v>
          </cell>
          <cell r="F507" t="e">
            <v>#REF!</v>
          </cell>
          <cell r="G507" t="e">
            <v>#REF!</v>
          </cell>
        </row>
        <row r="508">
          <cell r="C508" t="e">
            <v>#REF!</v>
          </cell>
          <cell r="D508" t="e">
            <v>#REF!</v>
          </cell>
          <cell r="E508" t="e">
            <v>#REF!</v>
          </cell>
          <cell r="F508" t="e">
            <v>#REF!</v>
          </cell>
          <cell r="G508" t="e">
            <v>#REF!</v>
          </cell>
        </row>
        <row r="509">
          <cell r="C509" t="e">
            <v>#REF!</v>
          </cell>
          <cell r="D509" t="e">
            <v>#REF!</v>
          </cell>
          <cell r="E509" t="e">
            <v>#REF!</v>
          </cell>
          <cell r="F509" t="e">
            <v>#REF!</v>
          </cell>
          <cell r="G509" t="e">
            <v>#REF!</v>
          </cell>
        </row>
        <row r="510">
          <cell r="C510" t="e">
            <v>#REF!</v>
          </cell>
          <cell r="D510" t="e">
            <v>#REF!</v>
          </cell>
          <cell r="E510" t="e">
            <v>#REF!</v>
          </cell>
          <cell r="F510" t="e">
            <v>#REF!</v>
          </cell>
          <cell r="G510" t="e">
            <v>#REF!</v>
          </cell>
        </row>
        <row r="511">
          <cell r="C511" t="e">
            <v>#REF!</v>
          </cell>
          <cell r="D511" t="e">
            <v>#REF!</v>
          </cell>
          <cell r="E511" t="e">
            <v>#REF!</v>
          </cell>
          <cell r="F511" t="e">
            <v>#REF!</v>
          </cell>
          <cell r="G511" t="e">
            <v>#REF!</v>
          </cell>
        </row>
        <row r="512">
          <cell r="C512" t="e">
            <v>#REF!</v>
          </cell>
          <cell r="D512" t="e">
            <v>#REF!</v>
          </cell>
          <cell r="E512" t="e">
            <v>#REF!</v>
          </cell>
          <cell r="F512" t="e">
            <v>#REF!</v>
          </cell>
          <cell r="G512" t="e">
            <v>#REF!</v>
          </cell>
        </row>
        <row r="513">
          <cell r="C513" t="e">
            <v>#REF!</v>
          </cell>
          <cell r="D513" t="e">
            <v>#REF!</v>
          </cell>
          <cell r="E513" t="e">
            <v>#REF!</v>
          </cell>
          <cell r="F513" t="e">
            <v>#REF!</v>
          </cell>
          <cell r="G513" t="e">
            <v>#REF!</v>
          </cell>
        </row>
        <row r="514">
          <cell r="C514" t="e">
            <v>#REF!</v>
          </cell>
          <cell r="D514" t="e">
            <v>#REF!</v>
          </cell>
          <cell r="E514" t="e">
            <v>#REF!</v>
          </cell>
          <cell r="F514" t="e">
            <v>#REF!</v>
          </cell>
          <cell r="G514" t="e">
            <v>#REF!</v>
          </cell>
        </row>
        <row r="515">
          <cell r="C515" t="e">
            <v>#REF!</v>
          </cell>
          <cell r="D515" t="e">
            <v>#REF!</v>
          </cell>
          <cell r="E515" t="e">
            <v>#REF!</v>
          </cell>
          <cell r="F515" t="e">
            <v>#REF!</v>
          </cell>
          <cell r="G515" t="e">
            <v>#REF!</v>
          </cell>
        </row>
        <row r="516">
          <cell r="C516" t="e">
            <v>#REF!</v>
          </cell>
          <cell r="D516" t="e">
            <v>#REF!</v>
          </cell>
          <cell r="E516" t="e">
            <v>#REF!</v>
          </cell>
          <cell r="F516" t="e">
            <v>#REF!</v>
          </cell>
          <cell r="G516" t="e">
            <v>#REF!</v>
          </cell>
        </row>
        <row r="517">
          <cell r="C517" t="e">
            <v>#REF!</v>
          </cell>
          <cell r="D517" t="e">
            <v>#REF!</v>
          </cell>
          <cell r="E517" t="e">
            <v>#REF!</v>
          </cell>
          <cell r="F517" t="e">
            <v>#REF!</v>
          </cell>
          <cell r="G517" t="e">
            <v>#REF!</v>
          </cell>
        </row>
        <row r="518">
          <cell r="C518" t="e">
            <v>#REF!</v>
          </cell>
          <cell r="D518" t="e">
            <v>#REF!</v>
          </cell>
          <cell r="E518" t="e">
            <v>#REF!</v>
          </cell>
          <cell r="F518" t="e">
            <v>#REF!</v>
          </cell>
          <cell r="G518" t="e">
            <v>#REF!</v>
          </cell>
        </row>
        <row r="519">
          <cell r="C519" t="e">
            <v>#REF!</v>
          </cell>
          <cell r="D519" t="e">
            <v>#REF!</v>
          </cell>
          <cell r="E519" t="e">
            <v>#REF!</v>
          </cell>
          <cell r="F519" t="e">
            <v>#REF!</v>
          </cell>
          <cell r="G519" t="e">
            <v>#REF!</v>
          </cell>
        </row>
        <row r="520">
          <cell r="C520" t="e">
            <v>#REF!</v>
          </cell>
          <cell r="D520" t="e">
            <v>#REF!</v>
          </cell>
          <cell r="E520" t="e">
            <v>#REF!</v>
          </cell>
          <cell r="F520" t="e">
            <v>#REF!</v>
          </cell>
          <cell r="G520" t="e">
            <v>#REF!</v>
          </cell>
        </row>
        <row r="521">
          <cell r="C521" t="e">
            <v>#REF!</v>
          </cell>
          <cell r="D521" t="e">
            <v>#REF!</v>
          </cell>
          <cell r="E521" t="e">
            <v>#REF!</v>
          </cell>
          <cell r="F521" t="e">
            <v>#REF!</v>
          </cell>
          <cell r="G521" t="e">
            <v>#REF!</v>
          </cell>
        </row>
        <row r="522">
          <cell r="C522" t="e">
            <v>#REF!</v>
          </cell>
          <cell r="D522" t="e">
            <v>#REF!</v>
          </cell>
          <cell r="E522" t="e">
            <v>#REF!</v>
          </cell>
          <cell r="F522" t="e">
            <v>#REF!</v>
          </cell>
          <cell r="G522" t="e">
            <v>#REF!</v>
          </cell>
        </row>
        <row r="523">
          <cell r="C523" t="e">
            <v>#REF!</v>
          </cell>
          <cell r="D523" t="e">
            <v>#REF!</v>
          </cell>
          <cell r="E523" t="e">
            <v>#REF!</v>
          </cell>
          <cell r="F523" t="e">
            <v>#REF!</v>
          </cell>
          <cell r="G523" t="e">
            <v>#REF!</v>
          </cell>
        </row>
        <row r="524">
          <cell r="C524" t="e">
            <v>#REF!</v>
          </cell>
          <cell r="D524" t="e">
            <v>#REF!</v>
          </cell>
          <cell r="E524" t="e">
            <v>#REF!</v>
          </cell>
          <cell r="F524" t="e">
            <v>#REF!</v>
          </cell>
          <cell r="G524" t="e">
            <v>#REF!</v>
          </cell>
        </row>
        <row r="525">
          <cell r="C525" t="e">
            <v>#REF!</v>
          </cell>
          <cell r="D525" t="e">
            <v>#REF!</v>
          </cell>
          <cell r="E525" t="e">
            <v>#REF!</v>
          </cell>
          <cell r="F525" t="e">
            <v>#REF!</v>
          </cell>
          <cell r="G525" t="e">
            <v>#REF!</v>
          </cell>
        </row>
        <row r="526">
          <cell r="C526" t="e">
            <v>#REF!</v>
          </cell>
          <cell r="D526" t="e">
            <v>#REF!</v>
          </cell>
          <cell r="E526" t="e">
            <v>#REF!</v>
          </cell>
          <cell r="F526" t="e">
            <v>#REF!</v>
          </cell>
          <cell r="G526" t="e">
            <v>#REF!</v>
          </cell>
        </row>
        <row r="527">
          <cell r="C527" t="e">
            <v>#REF!</v>
          </cell>
          <cell r="D527" t="e">
            <v>#REF!</v>
          </cell>
          <cell r="E527" t="e">
            <v>#REF!</v>
          </cell>
          <cell r="F527" t="e">
            <v>#REF!</v>
          </cell>
          <cell r="G527" t="e">
            <v>#REF!</v>
          </cell>
        </row>
        <row r="528">
          <cell r="C528" t="e">
            <v>#REF!</v>
          </cell>
          <cell r="D528" t="e">
            <v>#REF!</v>
          </cell>
          <cell r="E528" t="e">
            <v>#REF!</v>
          </cell>
          <cell r="F528" t="e">
            <v>#REF!</v>
          </cell>
          <cell r="G528" t="e">
            <v>#REF!</v>
          </cell>
        </row>
        <row r="529">
          <cell r="C529" t="e">
            <v>#REF!</v>
          </cell>
          <cell r="D529" t="e">
            <v>#REF!</v>
          </cell>
          <cell r="E529" t="e">
            <v>#REF!</v>
          </cell>
          <cell r="F529" t="e">
            <v>#REF!</v>
          </cell>
          <cell r="G529" t="e">
            <v>#REF!</v>
          </cell>
        </row>
        <row r="530">
          <cell r="C530" t="e">
            <v>#REF!</v>
          </cell>
          <cell r="D530" t="e">
            <v>#REF!</v>
          </cell>
          <cell r="E530" t="e">
            <v>#REF!</v>
          </cell>
          <cell r="F530" t="e">
            <v>#REF!</v>
          </cell>
          <cell r="G530" t="e">
            <v>#REF!</v>
          </cell>
        </row>
        <row r="531">
          <cell r="C531" t="e">
            <v>#REF!</v>
          </cell>
          <cell r="D531" t="e">
            <v>#REF!</v>
          </cell>
          <cell r="E531" t="e">
            <v>#REF!</v>
          </cell>
          <cell r="F531" t="e">
            <v>#REF!</v>
          </cell>
          <cell r="G531" t="e">
            <v>#REF!</v>
          </cell>
        </row>
        <row r="532">
          <cell r="C532" t="e">
            <v>#REF!</v>
          </cell>
          <cell r="D532" t="e">
            <v>#REF!</v>
          </cell>
          <cell r="E532" t="e">
            <v>#REF!</v>
          </cell>
          <cell r="F532" t="e">
            <v>#REF!</v>
          </cell>
          <cell r="G532" t="e">
            <v>#REF!</v>
          </cell>
        </row>
        <row r="533">
          <cell r="C533" t="e">
            <v>#REF!</v>
          </cell>
          <cell r="D533" t="e">
            <v>#REF!</v>
          </cell>
          <cell r="E533" t="e">
            <v>#REF!</v>
          </cell>
          <cell r="F533" t="e">
            <v>#REF!</v>
          </cell>
          <cell r="G533" t="e">
            <v>#REF!</v>
          </cell>
        </row>
        <row r="534">
          <cell r="C534" t="e">
            <v>#REF!</v>
          </cell>
          <cell r="D534" t="e">
            <v>#REF!</v>
          </cell>
          <cell r="E534" t="e">
            <v>#REF!</v>
          </cell>
          <cell r="F534" t="e">
            <v>#REF!</v>
          </cell>
          <cell r="G534" t="e">
            <v>#REF!</v>
          </cell>
        </row>
        <row r="535">
          <cell r="C535" t="e">
            <v>#REF!</v>
          </cell>
          <cell r="D535" t="e">
            <v>#REF!</v>
          </cell>
          <cell r="E535" t="e">
            <v>#REF!</v>
          </cell>
          <cell r="F535" t="e">
            <v>#REF!</v>
          </cell>
          <cell r="G535" t="e">
            <v>#REF!</v>
          </cell>
        </row>
        <row r="536">
          <cell r="C536" t="e">
            <v>#REF!</v>
          </cell>
          <cell r="D536" t="e">
            <v>#REF!</v>
          </cell>
          <cell r="E536" t="e">
            <v>#REF!</v>
          </cell>
          <cell r="F536" t="e">
            <v>#REF!</v>
          </cell>
          <cell r="G536" t="e">
            <v>#REF!</v>
          </cell>
        </row>
        <row r="537">
          <cell r="C537" t="e">
            <v>#REF!</v>
          </cell>
          <cell r="D537" t="e">
            <v>#REF!</v>
          </cell>
          <cell r="E537" t="e">
            <v>#REF!</v>
          </cell>
          <cell r="F537" t="e">
            <v>#REF!</v>
          </cell>
          <cell r="G537" t="e">
            <v>#REF!</v>
          </cell>
        </row>
        <row r="538">
          <cell r="C538" t="e">
            <v>#REF!</v>
          </cell>
          <cell r="D538" t="e">
            <v>#REF!</v>
          </cell>
          <cell r="E538" t="e">
            <v>#REF!</v>
          </cell>
          <cell r="F538" t="e">
            <v>#REF!</v>
          </cell>
          <cell r="G538" t="e">
            <v>#REF!</v>
          </cell>
        </row>
        <row r="539">
          <cell r="C539" t="e">
            <v>#REF!</v>
          </cell>
          <cell r="D539" t="e">
            <v>#REF!</v>
          </cell>
          <cell r="E539" t="e">
            <v>#REF!</v>
          </cell>
          <cell r="F539" t="e">
            <v>#REF!</v>
          </cell>
          <cell r="G539" t="e">
            <v>#REF!</v>
          </cell>
        </row>
        <row r="540">
          <cell r="C540" t="e">
            <v>#REF!</v>
          </cell>
          <cell r="D540" t="e">
            <v>#REF!</v>
          </cell>
          <cell r="E540" t="e">
            <v>#REF!</v>
          </cell>
          <cell r="F540" t="e">
            <v>#REF!</v>
          </cell>
          <cell r="G540" t="e">
            <v>#REF!</v>
          </cell>
        </row>
        <row r="541">
          <cell r="C541" t="e">
            <v>#REF!</v>
          </cell>
          <cell r="D541" t="e">
            <v>#REF!</v>
          </cell>
          <cell r="E541" t="e">
            <v>#REF!</v>
          </cell>
          <cell r="F541" t="e">
            <v>#REF!</v>
          </cell>
          <cell r="G541" t="e">
            <v>#REF!</v>
          </cell>
        </row>
        <row r="542">
          <cell r="C542" t="e">
            <v>#REF!</v>
          </cell>
          <cell r="D542" t="e">
            <v>#REF!</v>
          </cell>
          <cell r="E542" t="e">
            <v>#REF!</v>
          </cell>
          <cell r="F542" t="e">
            <v>#REF!</v>
          </cell>
          <cell r="G542" t="e">
            <v>#REF!</v>
          </cell>
        </row>
        <row r="543">
          <cell r="C543" t="e">
            <v>#REF!</v>
          </cell>
          <cell r="D543" t="e">
            <v>#REF!</v>
          </cell>
          <cell r="E543" t="e">
            <v>#REF!</v>
          </cell>
          <cell r="F543" t="e">
            <v>#REF!</v>
          </cell>
          <cell r="G543" t="e">
            <v>#REF!</v>
          </cell>
        </row>
        <row r="544">
          <cell r="C544" t="e">
            <v>#REF!</v>
          </cell>
          <cell r="D544" t="e">
            <v>#REF!</v>
          </cell>
          <cell r="E544" t="e">
            <v>#REF!</v>
          </cell>
          <cell r="F544" t="e">
            <v>#REF!</v>
          </cell>
          <cell r="G544" t="e">
            <v>#REF!</v>
          </cell>
        </row>
        <row r="545">
          <cell r="C545" t="e">
            <v>#REF!</v>
          </cell>
          <cell r="D545" t="e">
            <v>#REF!</v>
          </cell>
          <cell r="E545" t="e">
            <v>#REF!</v>
          </cell>
          <cell r="F545" t="e">
            <v>#REF!</v>
          </cell>
          <cell r="G545" t="e">
            <v>#REF!</v>
          </cell>
        </row>
        <row r="546">
          <cell r="C546" t="e">
            <v>#REF!</v>
          </cell>
          <cell r="D546" t="e">
            <v>#REF!</v>
          </cell>
          <cell r="E546" t="e">
            <v>#REF!</v>
          </cell>
          <cell r="F546" t="e">
            <v>#REF!</v>
          </cell>
          <cell r="G546" t="e">
            <v>#REF!</v>
          </cell>
        </row>
        <row r="547">
          <cell r="C547" t="e">
            <v>#REF!</v>
          </cell>
          <cell r="D547" t="e">
            <v>#REF!</v>
          </cell>
          <cell r="E547" t="e">
            <v>#REF!</v>
          </cell>
          <cell r="F547" t="e">
            <v>#REF!</v>
          </cell>
          <cell r="G547" t="e">
            <v>#REF!</v>
          </cell>
        </row>
        <row r="548">
          <cell r="C548" t="e">
            <v>#REF!</v>
          </cell>
          <cell r="D548" t="e">
            <v>#REF!</v>
          </cell>
          <cell r="E548" t="e">
            <v>#REF!</v>
          </cell>
          <cell r="F548" t="e">
            <v>#REF!</v>
          </cell>
          <cell r="G548" t="e">
            <v>#REF!</v>
          </cell>
        </row>
        <row r="549">
          <cell r="C549" t="e">
            <v>#REF!</v>
          </cell>
          <cell r="D549" t="e">
            <v>#REF!</v>
          </cell>
          <cell r="E549" t="e">
            <v>#REF!</v>
          </cell>
          <cell r="F549" t="e">
            <v>#REF!</v>
          </cell>
          <cell r="G549" t="e">
            <v>#REF!</v>
          </cell>
        </row>
        <row r="550">
          <cell r="C550" t="e">
            <v>#REF!</v>
          </cell>
          <cell r="D550" t="e">
            <v>#REF!</v>
          </cell>
          <cell r="E550" t="e">
            <v>#REF!</v>
          </cell>
          <cell r="F550" t="e">
            <v>#REF!</v>
          </cell>
          <cell r="G550" t="e">
            <v>#REF!</v>
          </cell>
        </row>
        <row r="551">
          <cell r="C551" t="e">
            <v>#REF!</v>
          </cell>
          <cell r="D551" t="e">
            <v>#REF!</v>
          </cell>
          <cell r="E551" t="e">
            <v>#REF!</v>
          </cell>
          <cell r="F551" t="e">
            <v>#REF!</v>
          </cell>
          <cell r="G551" t="e">
            <v>#REF!</v>
          </cell>
        </row>
        <row r="552">
          <cell r="C552" t="e">
            <v>#REF!</v>
          </cell>
          <cell r="D552" t="e">
            <v>#REF!</v>
          </cell>
          <cell r="E552" t="e">
            <v>#REF!</v>
          </cell>
          <cell r="F552" t="e">
            <v>#REF!</v>
          </cell>
          <cell r="G552" t="e">
            <v>#REF!</v>
          </cell>
        </row>
        <row r="553">
          <cell r="C553" t="e">
            <v>#REF!</v>
          </cell>
          <cell r="D553" t="e">
            <v>#REF!</v>
          </cell>
          <cell r="E553" t="e">
            <v>#REF!</v>
          </cell>
          <cell r="F553" t="e">
            <v>#REF!</v>
          </cell>
          <cell r="G553" t="e">
            <v>#REF!</v>
          </cell>
        </row>
        <row r="554">
          <cell r="C554" t="e">
            <v>#REF!</v>
          </cell>
          <cell r="D554" t="e">
            <v>#REF!</v>
          </cell>
          <cell r="E554" t="e">
            <v>#REF!</v>
          </cell>
          <cell r="F554" t="e">
            <v>#REF!</v>
          </cell>
          <cell r="G554" t="e">
            <v>#REF!</v>
          </cell>
        </row>
        <row r="555">
          <cell r="C555" t="e">
            <v>#REF!</v>
          </cell>
          <cell r="D555" t="e">
            <v>#REF!</v>
          </cell>
          <cell r="E555" t="e">
            <v>#REF!</v>
          </cell>
          <cell r="F555" t="e">
            <v>#REF!</v>
          </cell>
          <cell r="G555" t="e">
            <v>#REF!</v>
          </cell>
        </row>
        <row r="556">
          <cell r="C556" t="e">
            <v>#REF!</v>
          </cell>
          <cell r="D556" t="e">
            <v>#REF!</v>
          </cell>
          <cell r="E556" t="e">
            <v>#REF!</v>
          </cell>
          <cell r="F556" t="e">
            <v>#REF!</v>
          </cell>
          <cell r="G556" t="e">
            <v>#REF!</v>
          </cell>
        </row>
        <row r="557">
          <cell r="C557" t="e">
            <v>#REF!</v>
          </cell>
          <cell r="D557" t="e">
            <v>#REF!</v>
          </cell>
          <cell r="E557" t="e">
            <v>#REF!</v>
          </cell>
          <cell r="F557" t="e">
            <v>#REF!</v>
          </cell>
          <cell r="G557" t="e">
            <v>#REF!</v>
          </cell>
        </row>
        <row r="558">
          <cell r="C558" t="e">
            <v>#REF!</v>
          </cell>
          <cell r="D558" t="e">
            <v>#REF!</v>
          </cell>
          <cell r="E558" t="e">
            <v>#REF!</v>
          </cell>
          <cell r="F558" t="e">
            <v>#REF!</v>
          </cell>
          <cell r="G558" t="e">
            <v>#REF!</v>
          </cell>
        </row>
        <row r="559">
          <cell r="C559" t="e">
            <v>#REF!</v>
          </cell>
          <cell r="D559" t="e">
            <v>#REF!</v>
          </cell>
          <cell r="E559" t="e">
            <v>#REF!</v>
          </cell>
          <cell r="F559" t="e">
            <v>#REF!</v>
          </cell>
          <cell r="G559" t="e">
            <v>#REF!</v>
          </cell>
        </row>
        <row r="560">
          <cell r="C560" t="e">
            <v>#REF!</v>
          </cell>
          <cell r="D560" t="e">
            <v>#REF!</v>
          </cell>
          <cell r="E560" t="e">
            <v>#REF!</v>
          </cell>
          <cell r="F560" t="e">
            <v>#REF!</v>
          </cell>
          <cell r="G560" t="e">
            <v>#REF!</v>
          </cell>
        </row>
        <row r="561">
          <cell r="C561" t="e">
            <v>#REF!</v>
          </cell>
          <cell r="D561" t="e">
            <v>#REF!</v>
          </cell>
          <cell r="E561" t="e">
            <v>#REF!</v>
          </cell>
          <cell r="F561" t="e">
            <v>#REF!</v>
          </cell>
          <cell r="G561" t="e">
            <v>#REF!</v>
          </cell>
        </row>
        <row r="562">
          <cell r="C562" t="e">
            <v>#REF!</v>
          </cell>
          <cell r="D562" t="e">
            <v>#REF!</v>
          </cell>
          <cell r="E562" t="e">
            <v>#REF!</v>
          </cell>
          <cell r="F562" t="e">
            <v>#REF!</v>
          </cell>
          <cell r="G562" t="e">
            <v>#REF!</v>
          </cell>
        </row>
        <row r="563">
          <cell r="C563" t="e">
            <v>#REF!</v>
          </cell>
          <cell r="D563" t="e">
            <v>#REF!</v>
          </cell>
          <cell r="E563" t="e">
            <v>#REF!</v>
          </cell>
          <cell r="F563" t="e">
            <v>#REF!</v>
          </cell>
          <cell r="G563" t="e">
            <v>#REF!</v>
          </cell>
        </row>
        <row r="564">
          <cell r="C564" t="e">
            <v>#REF!</v>
          </cell>
          <cell r="D564" t="e">
            <v>#REF!</v>
          </cell>
          <cell r="E564" t="e">
            <v>#REF!</v>
          </cell>
          <cell r="F564" t="e">
            <v>#REF!</v>
          </cell>
          <cell r="G564" t="e">
            <v>#REF!</v>
          </cell>
        </row>
        <row r="565">
          <cell r="C565" t="e">
            <v>#REF!</v>
          </cell>
          <cell r="D565" t="e">
            <v>#REF!</v>
          </cell>
          <cell r="E565" t="e">
            <v>#REF!</v>
          </cell>
          <cell r="F565" t="e">
            <v>#REF!</v>
          </cell>
          <cell r="G565" t="e">
            <v>#REF!</v>
          </cell>
        </row>
        <row r="566">
          <cell r="C566" t="e">
            <v>#REF!</v>
          </cell>
          <cell r="D566" t="e">
            <v>#REF!</v>
          </cell>
          <cell r="E566" t="e">
            <v>#REF!</v>
          </cell>
          <cell r="F566" t="e">
            <v>#REF!</v>
          </cell>
          <cell r="G566" t="e">
            <v>#REF!</v>
          </cell>
        </row>
        <row r="567">
          <cell r="C567" t="e">
            <v>#REF!</v>
          </cell>
          <cell r="D567" t="e">
            <v>#REF!</v>
          </cell>
          <cell r="E567" t="e">
            <v>#REF!</v>
          </cell>
          <cell r="F567" t="e">
            <v>#REF!</v>
          </cell>
          <cell r="G567" t="e">
            <v>#REF!</v>
          </cell>
        </row>
        <row r="568">
          <cell r="C568" t="e">
            <v>#REF!</v>
          </cell>
          <cell r="D568" t="e">
            <v>#REF!</v>
          </cell>
          <cell r="E568" t="e">
            <v>#REF!</v>
          </cell>
          <cell r="F568" t="e">
            <v>#REF!</v>
          </cell>
          <cell r="G568" t="e">
            <v>#REF!</v>
          </cell>
        </row>
        <row r="569">
          <cell r="C569" t="e">
            <v>#REF!</v>
          </cell>
          <cell r="D569" t="e">
            <v>#REF!</v>
          </cell>
          <cell r="E569" t="e">
            <v>#REF!</v>
          </cell>
          <cell r="F569" t="e">
            <v>#REF!</v>
          </cell>
          <cell r="G569" t="e">
            <v>#REF!</v>
          </cell>
        </row>
        <row r="570">
          <cell r="C570" t="e">
            <v>#REF!</v>
          </cell>
          <cell r="D570" t="e">
            <v>#REF!</v>
          </cell>
          <cell r="E570" t="e">
            <v>#REF!</v>
          </cell>
          <cell r="F570" t="e">
            <v>#REF!</v>
          </cell>
          <cell r="G570" t="e">
            <v>#REF!</v>
          </cell>
        </row>
        <row r="571">
          <cell r="C571" t="e">
            <v>#REF!</v>
          </cell>
          <cell r="D571" t="e">
            <v>#REF!</v>
          </cell>
          <cell r="E571" t="e">
            <v>#REF!</v>
          </cell>
          <cell r="F571" t="e">
            <v>#REF!</v>
          </cell>
          <cell r="G571" t="e">
            <v>#REF!</v>
          </cell>
        </row>
        <row r="572">
          <cell r="C572" t="e">
            <v>#REF!</v>
          </cell>
          <cell r="D572" t="e">
            <v>#REF!</v>
          </cell>
          <cell r="E572" t="e">
            <v>#REF!</v>
          </cell>
          <cell r="F572" t="e">
            <v>#REF!</v>
          </cell>
          <cell r="G572" t="e">
            <v>#REF!</v>
          </cell>
        </row>
        <row r="573">
          <cell r="C573" t="e">
            <v>#REF!</v>
          </cell>
          <cell r="D573" t="e">
            <v>#REF!</v>
          </cell>
          <cell r="E573" t="e">
            <v>#REF!</v>
          </cell>
          <cell r="F573" t="e">
            <v>#REF!</v>
          </cell>
          <cell r="G573" t="e">
            <v>#REF!</v>
          </cell>
        </row>
        <row r="574">
          <cell r="C574" t="e">
            <v>#REF!</v>
          </cell>
          <cell r="D574" t="e">
            <v>#REF!</v>
          </cell>
          <cell r="E574" t="e">
            <v>#REF!</v>
          </cell>
          <cell r="F574" t="e">
            <v>#REF!</v>
          </cell>
          <cell r="G574" t="e">
            <v>#REF!</v>
          </cell>
        </row>
        <row r="575">
          <cell r="C575" t="e">
            <v>#REF!</v>
          </cell>
          <cell r="D575" t="e">
            <v>#REF!</v>
          </cell>
          <cell r="E575" t="e">
            <v>#REF!</v>
          </cell>
          <cell r="F575" t="e">
            <v>#REF!</v>
          </cell>
          <cell r="G575" t="e">
            <v>#REF!</v>
          </cell>
        </row>
        <row r="576">
          <cell r="C576" t="e">
            <v>#REF!</v>
          </cell>
          <cell r="D576" t="e">
            <v>#REF!</v>
          </cell>
          <cell r="E576" t="e">
            <v>#REF!</v>
          </cell>
          <cell r="F576" t="e">
            <v>#REF!</v>
          </cell>
          <cell r="G576" t="e">
            <v>#REF!</v>
          </cell>
        </row>
        <row r="577">
          <cell r="C577" t="e">
            <v>#REF!</v>
          </cell>
          <cell r="D577" t="e">
            <v>#REF!</v>
          </cell>
          <cell r="E577" t="e">
            <v>#REF!</v>
          </cell>
          <cell r="F577" t="e">
            <v>#REF!</v>
          </cell>
          <cell r="G577" t="e">
            <v>#REF!</v>
          </cell>
        </row>
        <row r="578">
          <cell r="C578" t="e">
            <v>#REF!</v>
          </cell>
          <cell r="D578" t="e">
            <v>#REF!</v>
          </cell>
          <cell r="E578" t="e">
            <v>#REF!</v>
          </cell>
          <cell r="F578" t="e">
            <v>#REF!</v>
          </cell>
          <cell r="G578" t="e">
            <v>#REF!</v>
          </cell>
        </row>
        <row r="579">
          <cell r="C579" t="e">
            <v>#REF!</v>
          </cell>
          <cell r="D579" t="e">
            <v>#REF!</v>
          </cell>
          <cell r="E579" t="e">
            <v>#REF!</v>
          </cell>
          <cell r="F579" t="e">
            <v>#REF!</v>
          </cell>
          <cell r="G579" t="e">
            <v>#REF!</v>
          </cell>
        </row>
        <row r="580">
          <cell r="C580" t="e">
            <v>#REF!</v>
          </cell>
          <cell r="D580" t="e">
            <v>#REF!</v>
          </cell>
          <cell r="E580" t="e">
            <v>#REF!</v>
          </cell>
          <cell r="F580" t="e">
            <v>#REF!</v>
          </cell>
          <cell r="G580" t="e">
            <v>#REF!</v>
          </cell>
        </row>
        <row r="581">
          <cell r="C581" t="e">
            <v>#REF!</v>
          </cell>
          <cell r="D581" t="e">
            <v>#REF!</v>
          </cell>
          <cell r="E581" t="e">
            <v>#REF!</v>
          </cell>
          <cell r="F581" t="e">
            <v>#REF!</v>
          </cell>
          <cell r="G581" t="e">
            <v>#REF!</v>
          </cell>
        </row>
        <row r="582">
          <cell r="C582" t="e">
            <v>#REF!</v>
          </cell>
          <cell r="D582" t="e">
            <v>#REF!</v>
          </cell>
          <cell r="E582" t="e">
            <v>#REF!</v>
          </cell>
          <cell r="F582" t="e">
            <v>#REF!</v>
          </cell>
          <cell r="G582" t="e">
            <v>#REF!</v>
          </cell>
        </row>
        <row r="583">
          <cell r="C583" t="e">
            <v>#REF!</v>
          </cell>
          <cell r="D583" t="e">
            <v>#REF!</v>
          </cell>
          <cell r="E583" t="e">
            <v>#REF!</v>
          </cell>
          <cell r="F583" t="e">
            <v>#REF!</v>
          </cell>
          <cell r="G583" t="e">
            <v>#REF!</v>
          </cell>
        </row>
        <row r="584">
          <cell r="C584" t="e">
            <v>#REF!</v>
          </cell>
          <cell r="D584" t="e">
            <v>#REF!</v>
          </cell>
          <cell r="E584" t="e">
            <v>#REF!</v>
          </cell>
          <cell r="F584" t="e">
            <v>#REF!</v>
          </cell>
          <cell r="G584" t="e">
            <v>#REF!</v>
          </cell>
        </row>
        <row r="585">
          <cell r="C585" t="e">
            <v>#REF!</v>
          </cell>
          <cell r="D585" t="e">
            <v>#REF!</v>
          </cell>
          <cell r="E585" t="e">
            <v>#REF!</v>
          </cell>
          <cell r="F585" t="e">
            <v>#REF!</v>
          </cell>
          <cell r="G585" t="e">
            <v>#REF!</v>
          </cell>
        </row>
        <row r="586">
          <cell r="C586" t="e">
            <v>#REF!</v>
          </cell>
          <cell r="D586" t="e">
            <v>#REF!</v>
          </cell>
          <cell r="E586" t="e">
            <v>#REF!</v>
          </cell>
          <cell r="F586" t="e">
            <v>#REF!</v>
          </cell>
          <cell r="G586" t="e">
            <v>#REF!</v>
          </cell>
        </row>
        <row r="587">
          <cell r="C587" t="e">
            <v>#REF!</v>
          </cell>
          <cell r="D587" t="e">
            <v>#REF!</v>
          </cell>
          <cell r="E587" t="e">
            <v>#REF!</v>
          </cell>
          <cell r="F587" t="e">
            <v>#REF!</v>
          </cell>
          <cell r="G587" t="e">
            <v>#REF!</v>
          </cell>
        </row>
        <row r="588">
          <cell r="C588" t="e">
            <v>#REF!</v>
          </cell>
          <cell r="D588" t="e">
            <v>#REF!</v>
          </cell>
          <cell r="E588" t="e">
            <v>#REF!</v>
          </cell>
          <cell r="F588" t="e">
            <v>#REF!</v>
          </cell>
          <cell r="G588" t="e">
            <v>#REF!</v>
          </cell>
        </row>
        <row r="589">
          <cell r="C589" t="e">
            <v>#REF!</v>
          </cell>
          <cell r="D589" t="e">
            <v>#REF!</v>
          </cell>
          <cell r="E589" t="e">
            <v>#REF!</v>
          </cell>
          <cell r="F589" t="e">
            <v>#REF!</v>
          </cell>
          <cell r="G589" t="e">
            <v>#REF!</v>
          </cell>
        </row>
        <row r="590">
          <cell r="C590" t="e">
            <v>#REF!</v>
          </cell>
          <cell r="D590" t="e">
            <v>#REF!</v>
          </cell>
          <cell r="E590" t="e">
            <v>#REF!</v>
          </cell>
          <cell r="F590" t="e">
            <v>#REF!</v>
          </cell>
          <cell r="G590" t="e">
            <v>#REF!</v>
          </cell>
        </row>
        <row r="591">
          <cell r="C591" t="e">
            <v>#REF!</v>
          </cell>
          <cell r="D591" t="e">
            <v>#REF!</v>
          </cell>
          <cell r="E591" t="e">
            <v>#REF!</v>
          </cell>
          <cell r="F591" t="e">
            <v>#REF!</v>
          </cell>
          <cell r="G591" t="e">
            <v>#REF!</v>
          </cell>
        </row>
        <row r="592">
          <cell r="C592" t="e">
            <v>#REF!</v>
          </cell>
          <cell r="D592" t="e">
            <v>#REF!</v>
          </cell>
          <cell r="E592" t="e">
            <v>#REF!</v>
          </cell>
          <cell r="F592" t="e">
            <v>#REF!</v>
          </cell>
          <cell r="G592" t="e">
            <v>#REF!</v>
          </cell>
        </row>
        <row r="593">
          <cell r="C593" t="e">
            <v>#REF!</v>
          </cell>
          <cell r="D593" t="e">
            <v>#REF!</v>
          </cell>
          <cell r="E593" t="e">
            <v>#REF!</v>
          </cell>
          <cell r="F593" t="e">
            <v>#REF!</v>
          </cell>
          <cell r="G593" t="e">
            <v>#REF!</v>
          </cell>
        </row>
        <row r="594">
          <cell r="C594" t="e">
            <v>#REF!</v>
          </cell>
          <cell r="D594" t="e">
            <v>#REF!</v>
          </cell>
          <cell r="E594" t="e">
            <v>#REF!</v>
          </cell>
          <cell r="F594" t="e">
            <v>#REF!</v>
          </cell>
          <cell r="G594" t="e">
            <v>#REF!</v>
          </cell>
        </row>
        <row r="595">
          <cell r="C595" t="e">
            <v>#REF!</v>
          </cell>
          <cell r="D595" t="e">
            <v>#REF!</v>
          </cell>
          <cell r="E595" t="e">
            <v>#REF!</v>
          </cell>
          <cell r="F595" t="e">
            <v>#REF!</v>
          </cell>
          <cell r="G595" t="e">
            <v>#REF!</v>
          </cell>
        </row>
        <row r="596">
          <cell r="C596" t="e">
            <v>#REF!</v>
          </cell>
          <cell r="D596" t="e">
            <v>#REF!</v>
          </cell>
          <cell r="E596" t="e">
            <v>#REF!</v>
          </cell>
          <cell r="F596" t="e">
            <v>#REF!</v>
          </cell>
          <cell r="G596" t="e">
            <v>#REF!</v>
          </cell>
        </row>
        <row r="597">
          <cell r="C597" t="e">
            <v>#REF!</v>
          </cell>
          <cell r="D597" t="e">
            <v>#REF!</v>
          </cell>
          <cell r="E597" t="e">
            <v>#REF!</v>
          </cell>
          <cell r="F597" t="e">
            <v>#REF!</v>
          </cell>
          <cell r="G597" t="e">
            <v>#REF!</v>
          </cell>
        </row>
        <row r="598">
          <cell r="C598" t="e">
            <v>#REF!</v>
          </cell>
          <cell r="D598" t="e">
            <v>#REF!</v>
          </cell>
          <cell r="E598" t="e">
            <v>#REF!</v>
          </cell>
          <cell r="F598" t="e">
            <v>#REF!</v>
          </cell>
          <cell r="G598" t="e">
            <v>#REF!</v>
          </cell>
        </row>
        <row r="599">
          <cell r="C599" t="e">
            <v>#REF!</v>
          </cell>
          <cell r="D599" t="e">
            <v>#REF!</v>
          </cell>
          <cell r="E599" t="e">
            <v>#REF!</v>
          </cell>
          <cell r="F599" t="e">
            <v>#REF!</v>
          </cell>
          <cell r="G599" t="e">
            <v>#REF!</v>
          </cell>
        </row>
        <row r="600">
          <cell r="C600" t="e">
            <v>#REF!</v>
          </cell>
          <cell r="D600" t="e">
            <v>#REF!</v>
          </cell>
          <cell r="E600" t="e">
            <v>#REF!</v>
          </cell>
          <cell r="F600" t="e">
            <v>#REF!</v>
          </cell>
          <cell r="G600" t="e">
            <v>#REF!</v>
          </cell>
        </row>
      </sheetData>
      <sheetData sheetId="3" refreshError="1">
        <row r="3">
          <cell r="C3" t="str">
            <v>N0.</v>
          </cell>
          <cell r="D3" t="str">
            <v>DESCRIPTION</v>
          </cell>
          <cell r="E3" t="str">
            <v xml:space="preserve">UNIT  </v>
          </cell>
          <cell r="F3" t="str">
            <v xml:space="preserve">LABOUR </v>
          </cell>
          <cell r="G3" t="str">
            <v>UNIT</v>
          </cell>
        </row>
        <row r="4">
          <cell r="E4" t="str">
            <v>COST</v>
          </cell>
          <cell r="F4" t="str">
            <v>COST</v>
          </cell>
        </row>
        <row r="5">
          <cell r="C5" t="str">
            <v/>
          </cell>
          <cell r="D5" t="str">
            <v>LIGHTING FIXTURE ,SWITCH, RECEPTACLE,</v>
          </cell>
        </row>
        <row r="6">
          <cell r="C6">
            <v>1</v>
          </cell>
          <cell r="D6" t="str">
            <v>DIMMER AND ACCESSORIES</v>
          </cell>
        </row>
        <row r="7">
          <cell r="C7">
            <v>1</v>
          </cell>
          <cell r="D7" t="str">
            <v>SWITCH AND RECEPTACLE</v>
          </cell>
          <cell r="E7">
            <v>1200</v>
          </cell>
          <cell r="F7">
            <v>0</v>
          </cell>
          <cell r="G7" t="str">
            <v>EA.</v>
          </cell>
        </row>
        <row r="8">
          <cell r="C8">
            <v>101</v>
          </cell>
          <cell r="D8" t="str">
            <v>-  1-WAY SWITCH, PLASTIC  PLATE</v>
          </cell>
          <cell r="E8">
            <v>75</v>
          </cell>
          <cell r="F8">
            <v>50</v>
          </cell>
          <cell r="G8" t="str">
            <v>SET</v>
          </cell>
        </row>
        <row r="9">
          <cell r="C9">
            <v>102</v>
          </cell>
          <cell r="D9" t="str">
            <v>-  1-WAY SWITCH, ALUMINIUM  PLATE</v>
          </cell>
          <cell r="E9">
            <v>105</v>
          </cell>
          <cell r="F9">
            <v>50</v>
          </cell>
          <cell r="G9" t="str">
            <v>SET</v>
          </cell>
        </row>
        <row r="10">
          <cell r="C10">
            <v>103</v>
          </cell>
          <cell r="D10" t="str">
            <v>-  1-WAY SWITCH, STAINLES  PLATE</v>
          </cell>
          <cell r="E10">
            <v>120</v>
          </cell>
          <cell r="F10">
            <v>50</v>
          </cell>
          <cell r="G10" t="str">
            <v>SET</v>
          </cell>
        </row>
        <row r="11">
          <cell r="C11">
            <v>104</v>
          </cell>
          <cell r="D11" t="str">
            <v>-  1-WAY SWITCH, PLASTIC PLATE, LIVING STYLE</v>
          </cell>
          <cell r="E11">
            <v>360</v>
          </cell>
          <cell r="F11">
            <v>50</v>
          </cell>
          <cell r="G11" t="str">
            <v>SET</v>
          </cell>
        </row>
        <row r="12">
          <cell r="C12">
            <v>105</v>
          </cell>
          <cell r="D12" t="str">
            <v>-  1-WAY SWITCH, CHROMIUM PLATE, LIVING STYLE</v>
          </cell>
          <cell r="E12">
            <v>620</v>
          </cell>
          <cell r="F12">
            <v>50</v>
          </cell>
          <cell r="G12" t="str">
            <v>SET</v>
          </cell>
        </row>
        <row r="13">
          <cell r="C13">
            <v>106</v>
          </cell>
          <cell r="D13" t="str">
            <v>-  2-WAY SWITCH, PLASTIC PLATE</v>
          </cell>
          <cell r="E13">
            <v>90</v>
          </cell>
          <cell r="F13">
            <v>70</v>
          </cell>
          <cell r="G13" t="str">
            <v>SET</v>
          </cell>
        </row>
        <row r="14">
          <cell r="C14">
            <v>107</v>
          </cell>
          <cell r="D14" t="str">
            <v>-  2-WAY SWITCH, ALUMINIUM PLATE</v>
          </cell>
          <cell r="E14">
            <v>120</v>
          </cell>
          <cell r="F14">
            <v>70</v>
          </cell>
          <cell r="G14" t="str">
            <v>SET</v>
          </cell>
        </row>
        <row r="15">
          <cell r="C15">
            <v>108</v>
          </cell>
          <cell r="D15" t="str">
            <v>-  2-WAY SWITCH, STAINLESS PLATE</v>
          </cell>
          <cell r="E15">
            <v>135</v>
          </cell>
          <cell r="F15">
            <v>70</v>
          </cell>
          <cell r="G15" t="str">
            <v>SET</v>
          </cell>
        </row>
        <row r="16">
          <cell r="C16">
            <v>109</v>
          </cell>
          <cell r="D16" t="str">
            <v>-  2-WAY SWITCH, PLASTIC PLATE, LIVING STYLE</v>
          </cell>
          <cell r="E16">
            <v>380</v>
          </cell>
          <cell r="F16">
            <v>70</v>
          </cell>
          <cell r="G16" t="str">
            <v>SET</v>
          </cell>
        </row>
        <row r="17">
          <cell r="C17">
            <v>110</v>
          </cell>
          <cell r="D17" t="str">
            <v>-  2-WAY SWITCH, CHROMIUM PLATE, LIVING STYLE</v>
          </cell>
          <cell r="E17">
            <v>460</v>
          </cell>
          <cell r="F17">
            <v>70</v>
          </cell>
          <cell r="G17" t="str">
            <v>SET</v>
          </cell>
        </row>
        <row r="18">
          <cell r="C18">
            <v>111</v>
          </cell>
          <cell r="D18" t="str">
            <v>-  4-WAY SWITCH, PLASTIC PLATE</v>
          </cell>
          <cell r="E18">
            <v>255</v>
          </cell>
          <cell r="F18">
            <v>80</v>
          </cell>
          <cell r="G18" t="str">
            <v>SET</v>
          </cell>
        </row>
        <row r="19">
          <cell r="C19">
            <v>112</v>
          </cell>
          <cell r="D19" t="str">
            <v>-  4-WAY SWITCH, ALUMINIUM PLATE</v>
          </cell>
          <cell r="E19">
            <v>285</v>
          </cell>
          <cell r="F19">
            <v>80</v>
          </cell>
          <cell r="G19" t="str">
            <v>SET</v>
          </cell>
        </row>
        <row r="20">
          <cell r="C20">
            <v>113</v>
          </cell>
          <cell r="D20" t="str">
            <v>-  4-WAY SWITCH, STAINLESS PLATE</v>
          </cell>
          <cell r="E20">
            <v>300</v>
          </cell>
          <cell r="F20">
            <v>80</v>
          </cell>
          <cell r="G20" t="str">
            <v>SET</v>
          </cell>
        </row>
        <row r="21">
          <cell r="C21">
            <v>114</v>
          </cell>
          <cell r="D21" t="str">
            <v>-  4-WAY SWITCH, PLASTIC PLATE, LIVING STYLE</v>
          </cell>
          <cell r="E21">
            <v>475</v>
          </cell>
          <cell r="F21">
            <v>80</v>
          </cell>
          <cell r="G21" t="str">
            <v>SET</v>
          </cell>
        </row>
        <row r="22">
          <cell r="C22">
            <v>115</v>
          </cell>
          <cell r="D22" t="str">
            <v>-  4-WAY SWITCH, CHROMIUM PLATE, LIVING STYLE</v>
          </cell>
          <cell r="E22">
            <v>735</v>
          </cell>
          <cell r="F22">
            <v>80</v>
          </cell>
          <cell r="G22" t="str">
            <v>SET</v>
          </cell>
        </row>
        <row r="23">
          <cell r="C23">
            <v>116</v>
          </cell>
          <cell r="D23" t="str">
            <v>-  PILOT LAMP 1-W. SWITCH. PLASTIC PLATE</v>
          </cell>
          <cell r="E23">
            <v>185</v>
          </cell>
          <cell r="F23">
            <v>50</v>
          </cell>
          <cell r="G23" t="str">
            <v>SET</v>
          </cell>
        </row>
        <row r="24">
          <cell r="C24">
            <v>117</v>
          </cell>
          <cell r="D24" t="str">
            <v>-  PILOT LAMP 1-W. SWITCH. ALUMINIUM PLATE</v>
          </cell>
          <cell r="E24">
            <v>215</v>
          </cell>
          <cell r="F24">
            <v>50</v>
          </cell>
          <cell r="G24" t="str">
            <v>SET</v>
          </cell>
        </row>
        <row r="25">
          <cell r="C25">
            <v>118</v>
          </cell>
          <cell r="D25" t="str">
            <v>-  PILOT LAMP 1-W. SWITCH. STAINLESS PLATE</v>
          </cell>
          <cell r="E25">
            <v>230</v>
          </cell>
          <cell r="F25">
            <v>50</v>
          </cell>
          <cell r="G25" t="str">
            <v>SET</v>
          </cell>
        </row>
        <row r="26">
          <cell r="C26">
            <v>119</v>
          </cell>
          <cell r="D26" t="str">
            <v>-  PILOT LAMP 1-W. SWITCH. PLASTIC PLATE, LIVING STYLE</v>
          </cell>
          <cell r="E26">
            <v>440</v>
          </cell>
          <cell r="F26">
            <v>50</v>
          </cell>
          <cell r="G26" t="str">
            <v>SET</v>
          </cell>
        </row>
        <row r="27">
          <cell r="C27">
            <v>120</v>
          </cell>
          <cell r="D27" t="str">
            <v>-  PILOT LAMP 1-W. SWITCH. CHROMIUM PLATE, LIVING STYLE</v>
          </cell>
          <cell r="E27">
            <v>700</v>
          </cell>
          <cell r="F27">
            <v>50</v>
          </cell>
          <cell r="G27" t="str">
            <v>SET</v>
          </cell>
        </row>
        <row r="28">
          <cell r="C28">
            <v>121</v>
          </cell>
          <cell r="D28" t="str">
            <v>-  DIMMER 1-W. SWITCH. PLASTIC PLATE</v>
          </cell>
          <cell r="E28">
            <v>460</v>
          </cell>
          <cell r="F28">
            <v>70</v>
          </cell>
          <cell r="G28" t="str">
            <v>SET</v>
          </cell>
        </row>
        <row r="29">
          <cell r="C29">
            <v>122</v>
          </cell>
          <cell r="D29" t="str">
            <v>-  DIMMER 1-W. SWITCH. ALUMINIUM PLATE</v>
          </cell>
          <cell r="E29">
            <v>500</v>
          </cell>
          <cell r="F29">
            <v>70</v>
          </cell>
          <cell r="G29" t="str">
            <v>SET</v>
          </cell>
        </row>
        <row r="30">
          <cell r="C30">
            <v>123</v>
          </cell>
          <cell r="D30" t="str">
            <v>-  DIMMER 1-W. SWITCH. STAINLESS PLATE</v>
          </cell>
          <cell r="E30">
            <v>520</v>
          </cell>
          <cell r="F30">
            <v>70</v>
          </cell>
          <cell r="G30" t="str">
            <v>SET</v>
          </cell>
        </row>
        <row r="31">
          <cell r="C31">
            <v>124</v>
          </cell>
          <cell r="D31" t="str">
            <v>-  DIMMER 1-W. SWITCH. PLASTIC PLATE, LIVING STYLE</v>
          </cell>
          <cell r="E31">
            <v>760</v>
          </cell>
          <cell r="F31">
            <v>70</v>
          </cell>
          <cell r="G31" t="str">
            <v>SET</v>
          </cell>
        </row>
        <row r="32">
          <cell r="C32">
            <v>125</v>
          </cell>
          <cell r="D32" t="str">
            <v>-  DIMMER 1-W. SWITCH. CHROMIUM PLATE, LIVING STYLE</v>
          </cell>
          <cell r="E32">
            <v>1000</v>
          </cell>
          <cell r="F32">
            <v>70</v>
          </cell>
          <cell r="G32" t="str">
            <v>SET</v>
          </cell>
        </row>
        <row r="33">
          <cell r="C33">
            <v>126</v>
          </cell>
          <cell r="D33" t="str">
            <v>-  DIMMER 2-W. SWITCH. PLASTIC PLATE</v>
          </cell>
          <cell r="E33">
            <v>680</v>
          </cell>
          <cell r="F33">
            <v>70</v>
          </cell>
          <cell r="G33" t="str">
            <v>SET</v>
          </cell>
        </row>
        <row r="34">
          <cell r="C34">
            <v>127</v>
          </cell>
          <cell r="D34" t="str">
            <v>-  DIMMER 2-W. SWITCH. ALUMINIUM PLATE</v>
          </cell>
          <cell r="E34">
            <v>700</v>
          </cell>
          <cell r="F34">
            <v>80</v>
          </cell>
          <cell r="G34" t="str">
            <v>SET</v>
          </cell>
        </row>
        <row r="35">
          <cell r="C35">
            <v>128</v>
          </cell>
          <cell r="D35" t="str">
            <v>-  DIMMER 2-W. SWITCH. STAINLESS PLATE</v>
          </cell>
          <cell r="E35">
            <v>720</v>
          </cell>
          <cell r="F35">
            <v>80</v>
          </cell>
          <cell r="G35" t="str">
            <v>SET</v>
          </cell>
        </row>
        <row r="36">
          <cell r="C36">
            <v>129</v>
          </cell>
          <cell r="D36" t="str">
            <v>-  DIMMER 2-W. SWITCH. PLASTIC PLATE, LIVING STYLE</v>
          </cell>
          <cell r="E36">
            <v>950</v>
          </cell>
          <cell r="F36">
            <v>80</v>
          </cell>
          <cell r="G36" t="str">
            <v>SET</v>
          </cell>
        </row>
        <row r="37">
          <cell r="C37">
            <v>130</v>
          </cell>
          <cell r="D37" t="str">
            <v>-  DIMMER 2-W. SWITCH. CHROMIUM PLATE, LIVING STYLE</v>
          </cell>
          <cell r="E37">
            <v>1200</v>
          </cell>
          <cell r="F37">
            <v>90</v>
          </cell>
          <cell r="G37" t="str">
            <v>SET</v>
          </cell>
        </row>
        <row r="38">
          <cell r="C38">
            <v>131</v>
          </cell>
          <cell r="D38" t="str">
            <v>-  DIMMER 4-W. SWITCH. PLASTIC PLATE</v>
          </cell>
          <cell r="E38">
            <v>1100</v>
          </cell>
          <cell r="F38">
            <v>90</v>
          </cell>
          <cell r="G38" t="str">
            <v>SET</v>
          </cell>
        </row>
        <row r="39">
          <cell r="C39">
            <v>132</v>
          </cell>
          <cell r="D39" t="str">
            <v>-  DIMMER 4-W. SWITCH. ALUMINIUM PLATE</v>
          </cell>
          <cell r="E39">
            <v>1200</v>
          </cell>
          <cell r="F39">
            <v>90</v>
          </cell>
          <cell r="G39" t="str">
            <v>SET</v>
          </cell>
        </row>
        <row r="40">
          <cell r="C40">
            <v>133</v>
          </cell>
          <cell r="D40" t="str">
            <v>-  DIMMER 4-W. SWITCH. STAINLESS PLATE</v>
          </cell>
          <cell r="E40">
            <v>1250</v>
          </cell>
          <cell r="F40">
            <v>90</v>
          </cell>
          <cell r="G40" t="str">
            <v>SET</v>
          </cell>
        </row>
        <row r="41">
          <cell r="C41">
            <v>134</v>
          </cell>
          <cell r="D41" t="str">
            <v>-  DIMMER 4-W. SWITCH. PLASTIC PLATE, LIVING STYLE</v>
          </cell>
          <cell r="E41">
            <v>2500</v>
          </cell>
          <cell r="F41">
            <v>90</v>
          </cell>
          <cell r="G41" t="str">
            <v>SET</v>
          </cell>
        </row>
        <row r="42">
          <cell r="C42">
            <v>135</v>
          </cell>
          <cell r="D42" t="str">
            <v>-  DIMMER 4-W. SWITCH. CHROMIUM PLATE, LIVING STYLE</v>
          </cell>
          <cell r="E42">
            <v>2800</v>
          </cell>
          <cell r="F42">
            <v>90</v>
          </cell>
          <cell r="G42" t="str">
            <v>SET</v>
          </cell>
        </row>
        <row r="43">
          <cell r="C43">
            <v>143</v>
          </cell>
          <cell r="D43" t="str">
            <v>SPACE</v>
          </cell>
          <cell r="E43">
            <v>31</v>
          </cell>
          <cell r="F43">
            <v>4</v>
          </cell>
          <cell r="G43" t="str">
            <v>M.</v>
          </cell>
        </row>
        <row r="44">
          <cell r="C44">
            <v>141</v>
          </cell>
          <cell r="D44" t="str">
            <v>-  SIMPLEX RECEPTACLE,2P+G, PLASTIC PLATE</v>
          </cell>
          <cell r="E44">
            <v>120</v>
          </cell>
          <cell r="F44">
            <v>50</v>
          </cell>
          <cell r="G44" t="str">
            <v>SET</v>
          </cell>
        </row>
        <row r="45">
          <cell r="C45">
            <v>142</v>
          </cell>
          <cell r="D45" t="str">
            <v>-  SIMPLEX RECEPTACLE,2P+G, ALUMINIUM PLATE</v>
          </cell>
          <cell r="E45">
            <v>150</v>
          </cell>
          <cell r="F45">
            <v>50</v>
          </cell>
          <cell r="G45" t="str">
            <v>SET</v>
          </cell>
        </row>
        <row r="46">
          <cell r="C46">
            <v>143</v>
          </cell>
          <cell r="D46" t="str">
            <v>-  SIMPLEX RECEPTACLE,2P+G, STAINLESS PLATE</v>
          </cell>
          <cell r="E46">
            <v>160</v>
          </cell>
          <cell r="F46">
            <v>50</v>
          </cell>
          <cell r="G46" t="str">
            <v>SET</v>
          </cell>
        </row>
        <row r="47">
          <cell r="C47">
            <v>144</v>
          </cell>
          <cell r="D47" t="str">
            <v>-  SIMPLEX RECEPTACLE,2P, PLASTIC PLATE</v>
          </cell>
          <cell r="E47">
            <v>80</v>
          </cell>
          <cell r="F47">
            <v>50</v>
          </cell>
          <cell r="G47" t="str">
            <v>SET</v>
          </cell>
        </row>
        <row r="48">
          <cell r="C48">
            <v>145</v>
          </cell>
          <cell r="D48" t="str">
            <v>-  SIMPLEX RECEPTACLE,2P, ALUMINIUM PLATE</v>
          </cell>
          <cell r="E48">
            <v>110</v>
          </cell>
          <cell r="F48">
            <v>50</v>
          </cell>
          <cell r="G48" t="str">
            <v>SET</v>
          </cell>
        </row>
        <row r="49">
          <cell r="C49">
            <v>146</v>
          </cell>
          <cell r="D49" t="str">
            <v>-  SIMPLEX RECEPTACLE,2P, STAINLESS PLATE</v>
          </cell>
          <cell r="E49">
            <v>120</v>
          </cell>
          <cell r="F49">
            <v>50</v>
          </cell>
          <cell r="G49" t="str">
            <v>SET</v>
          </cell>
        </row>
        <row r="50">
          <cell r="C50">
            <v>147</v>
          </cell>
          <cell r="D50" t="str">
            <v>-  DUPLEX RECEPTACLE,2P+G, PLASTIC PLATE</v>
          </cell>
          <cell r="E50">
            <v>200</v>
          </cell>
          <cell r="F50">
            <v>70</v>
          </cell>
          <cell r="G50" t="str">
            <v>SET</v>
          </cell>
        </row>
        <row r="51">
          <cell r="C51">
            <v>148</v>
          </cell>
          <cell r="D51" t="str">
            <v>-  DUPLEX RECEPTACLE,2P+G, ALUMINIUM PLATE</v>
          </cell>
          <cell r="E51">
            <v>220</v>
          </cell>
          <cell r="F51">
            <v>70</v>
          </cell>
          <cell r="G51" t="str">
            <v>SET</v>
          </cell>
        </row>
        <row r="52">
          <cell r="C52">
            <v>149</v>
          </cell>
          <cell r="D52" t="str">
            <v>-  DUPLEX RECEPTACLE,2P+G, STAINLESS PLATE</v>
          </cell>
          <cell r="E52">
            <v>240</v>
          </cell>
          <cell r="F52">
            <v>70</v>
          </cell>
          <cell r="G52" t="str">
            <v>SET</v>
          </cell>
        </row>
        <row r="53">
          <cell r="C53">
            <v>150</v>
          </cell>
          <cell r="D53" t="str">
            <v>-  DUPLEX RECEPTACLE,2P, PLASTIC PLATE</v>
          </cell>
          <cell r="E53">
            <v>120</v>
          </cell>
          <cell r="F53">
            <v>70</v>
          </cell>
          <cell r="G53" t="str">
            <v>SET</v>
          </cell>
        </row>
        <row r="54">
          <cell r="C54">
            <v>151</v>
          </cell>
          <cell r="D54" t="str">
            <v>-  DUPLEX RECEPTACLE,2P, ALUMINIUM PLATE</v>
          </cell>
          <cell r="E54">
            <v>140</v>
          </cell>
          <cell r="F54">
            <v>70</v>
          </cell>
          <cell r="G54" t="str">
            <v>SET</v>
          </cell>
        </row>
        <row r="55">
          <cell r="C55">
            <v>152</v>
          </cell>
          <cell r="D55" t="str">
            <v>-  DUPLEX RECEPTACLE,2P, STAINLESS PLATE</v>
          </cell>
          <cell r="E55">
            <v>160</v>
          </cell>
          <cell r="F55">
            <v>70</v>
          </cell>
          <cell r="G55" t="str">
            <v>SET</v>
          </cell>
        </row>
        <row r="56">
          <cell r="C56">
            <v>153</v>
          </cell>
          <cell r="D56" t="str">
            <v>-  SIMPLEX RECEPTACLE,2P+G, PLASTIC PLATE,LIVING STYLE</v>
          </cell>
          <cell r="E56">
            <v>405</v>
          </cell>
          <cell r="F56">
            <v>50</v>
          </cell>
          <cell r="G56" t="str">
            <v>SET</v>
          </cell>
        </row>
        <row r="57">
          <cell r="C57">
            <v>154</v>
          </cell>
          <cell r="D57" t="str">
            <v>-  SIMPLEX RECEPTACLE,2P+G, CHROMINIUM PLATE, LIVING STYLE</v>
          </cell>
          <cell r="E57">
            <v>665</v>
          </cell>
          <cell r="F57">
            <v>50</v>
          </cell>
          <cell r="G57" t="str">
            <v>SET</v>
          </cell>
        </row>
        <row r="58">
          <cell r="C58">
            <v>155</v>
          </cell>
          <cell r="D58" t="str">
            <v>-  DUPLEX RECEPTACLE,2P+G, PLASTIC PLATE, LIVING STYLE</v>
          </cell>
          <cell r="E58">
            <v>550</v>
          </cell>
          <cell r="F58">
            <v>70</v>
          </cell>
          <cell r="G58" t="str">
            <v>SET</v>
          </cell>
        </row>
        <row r="59">
          <cell r="C59">
            <v>156</v>
          </cell>
          <cell r="D59" t="str">
            <v>-  DUPLEX RECEPTACLE,2P+G, CHROMINIUM PLATE, LIVING STYLE</v>
          </cell>
          <cell r="E59">
            <v>810</v>
          </cell>
          <cell r="F59">
            <v>70</v>
          </cell>
          <cell r="G59" t="str">
            <v>SET</v>
          </cell>
        </row>
        <row r="60">
          <cell r="C60">
            <v>157</v>
          </cell>
          <cell r="D60" t="str">
            <v>-  SIMPLEX RECEPTACLE, 2P+G, POP UP TYPE</v>
          </cell>
          <cell r="E60">
            <v>1400</v>
          </cell>
          <cell r="F60">
            <v>70</v>
          </cell>
          <cell r="G60" t="str">
            <v>SET</v>
          </cell>
        </row>
        <row r="61">
          <cell r="C61">
            <v>158</v>
          </cell>
          <cell r="D61" t="str">
            <v>-  DUPLEX RECEPTACLE, 2P+G, POP UP TYPE</v>
          </cell>
          <cell r="E61">
            <v>2200</v>
          </cell>
          <cell r="F61">
            <v>70</v>
          </cell>
          <cell r="G61" t="str">
            <v>SET</v>
          </cell>
        </row>
        <row r="62">
          <cell r="C62">
            <v>159</v>
          </cell>
          <cell r="D62" t="str">
            <v>-  SHAVER OUTLET W./ISOLATING TRANSFORMER</v>
          </cell>
          <cell r="E62">
            <v>1500</v>
          </cell>
          <cell r="F62">
            <v>70</v>
          </cell>
          <cell r="G62" t="str">
            <v>SET</v>
          </cell>
        </row>
        <row r="63">
          <cell r="C63">
            <v>301</v>
          </cell>
          <cell r="D63" t="str">
            <v>SPACE</v>
          </cell>
          <cell r="E63">
            <v>6570</v>
          </cell>
          <cell r="F63">
            <v>0</v>
          </cell>
          <cell r="G63" t="str">
            <v>SET</v>
          </cell>
        </row>
        <row r="64">
          <cell r="C64">
            <v>161</v>
          </cell>
          <cell r="D64" t="str">
            <v>-  1-WAY SWITCH,WEATHER PROOF</v>
          </cell>
          <cell r="E64">
            <v>280</v>
          </cell>
          <cell r="F64">
            <v>70</v>
          </cell>
          <cell r="G64" t="str">
            <v>SET</v>
          </cell>
        </row>
        <row r="65">
          <cell r="C65">
            <v>162</v>
          </cell>
          <cell r="D65" t="str">
            <v>-  2-WAY SWITCH,WEATHER PROOF</v>
          </cell>
          <cell r="E65">
            <v>300</v>
          </cell>
          <cell r="F65">
            <v>70</v>
          </cell>
          <cell r="G65" t="str">
            <v>SET</v>
          </cell>
        </row>
        <row r="66">
          <cell r="C66">
            <v>163</v>
          </cell>
          <cell r="D66" t="str">
            <v>-  4-WAY SWITCH,WEATHER PROOF</v>
          </cell>
          <cell r="E66">
            <v>460</v>
          </cell>
          <cell r="F66">
            <v>70</v>
          </cell>
          <cell r="G66" t="str">
            <v>SET</v>
          </cell>
        </row>
        <row r="67">
          <cell r="C67">
            <v>164</v>
          </cell>
          <cell r="D67" t="str">
            <v>-  SIMPLEX RECEPTACLE, 2P+G, WEATHER PROOF</v>
          </cell>
          <cell r="E67">
            <v>340</v>
          </cell>
          <cell r="F67">
            <v>70</v>
          </cell>
          <cell r="G67" t="str">
            <v>SET</v>
          </cell>
        </row>
        <row r="68">
          <cell r="C68">
            <v>165</v>
          </cell>
          <cell r="D68" t="str">
            <v>-  SIMPLEX RECEPTACLE, 2P, WEATHER PROOF</v>
          </cell>
          <cell r="E68">
            <v>300</v>
          </cell>
          <cell r="F68">
            <v>70</v>
          </cell>
          <cell r="G68" t="str">
            <v>SET</v>
          </cell>
        </row>
        <row r="69">
          <cell r="C69">
            <v>166</v>
          </cell>
          <cell r="D69" t="str">
            <v>-  DUPLEX RECEPTACLE, 2P+G, WEATHER PROOF</v>
          </cell>
          <cell r="E69">
            <v>420</v>
          </cell>
          <cell r="F69">
            <v>70</v>
          </cell>
          <cell r="G69" t="str">
            <v>SET</v>
          </cell>
        </row>
        <row r="70">
          <cell r="C70">
            <v>167</v>
          </cell>
          <cell r="D70" t="str">
            <v>-  DUPLEX RECEPTACLE, 2P, WEATHER PROOF</v>
          </cell>
          <cell r="E70">
            <v>340</v>
          </cell>
          <cell r="F70">
            <v>70</v>
          </cell>
          <cell r="G70" t="str">
            <v>SET</v>
          </cell>
        </row>
        <row r="71">
          <cell r="C71">
            <v>311</v>
          </cell>
          <cell r="D71" t="str">
            <v>SPACE</v>
          </cell>
          <cell r="E71">
            <v>69200</v>
          </cell>
          <cell r="F71">
            <v>1000</v>
          </cell>
          <cell r="G71" t="str">
            <v>SET</v>
          </cell>
        </row>
        <row r="72">
          <cell r="C72">
            <v>171</v>
          </cell>
          <cell r="D72" t="str">
            <v>-  POWER PLUG 2P 15A. 250V.</v>
          </cell>
          <cell r="E72">
            <v>150</v>
          </cell>
          <cell r="F72">
            <v>80</v>
          </cell>
          <cell r="G72" t="str">
            <v>SET</v>
          </cell>
        </row>
        <row r="73">
          <cell r="C73">
            <v>172</v>
          </cell>
          <cell r="D73" t="str">
            <v>-  POWER PLUG 2P 20A. 250V.</v>
          </cell>
          <cell r="E73">
            <v>165</v>
          </cell>
          <cell r="F73">
            <v>80</v>
          </cell>
          <cell r="G73" t="str">
            <v>SET</v>
          </cell>
        </row>
        <row r="74">
          <cell r="C74">
            <v>173</v>
          </cell>
          <cell r="D74" t="str">
            <v>-  POWER PLUG 2P+G 15A. 250V.</v>
          </cell>
          <cell r="E74">
            <v>125</v>
          </cell>
          <cell r="F74">
            <v>80</v>
          </cell>
          <cell r="G74" t="str">
            <v>SET</v>
          </cell>
        </row>
        <row r="75">
          <cell r="C75">
            <v>174</v>
          </cell>
          <cell r="D75" t="str">
            <v>-  POWER PLUG 2P+G 20A. 250V.</v>
          </cell>
          <cell r="E75">
            <v>165</v>
          </cell>
          <cell r="F75">
            <v>80</v>
          </cell>
          <cell r="G75" t="str">
            <v>SET</v>
          </cell>
        </row>
        <row r="76">
          <cell r="C76">
            <v>175</v>
          </cell>
          <cell r="D76" t="str">
            <v>-  POWER PLUG 2P+G 30A. 250V.</v>
          </cell>
          <cell r="E76">
            <v>495</v>
          </cell>
          <cell r="F76">
            <v>100</v>
          </cell>
          <cell r="G76" t="str">
            <v>SET</v>
          </cell>
        </row>
        <row r="77">
          <cell r="C77">
            <v>176</v>
          </cell>
          <cell r="D77" t="str">
            <v>-  POWER PLUG 2P+G 50A. 250V.</v>
          </cell>
          <cell r="E77">
            <v>1780</v>
          </cell>
          <cell r="F77">
            <v>200</v>
          </cell>
          <cell r="G77" t="str">
            <v>SET</v>
          </cell>
        </row>
        <row r="78">
          <cell r="C78">
            <v>321</v>
          </cell>
          <cell r="D78" t="str">
            <v>SPACE</v>
          </cell>
          <cell r="E78">
            <v>7550</v>
          </cell>
          <cell r="F78">
            <v>200</v>
          </cell>
          <cell r="G78" t="str">
            <v>SET</v>
          </cell>
        </row>
        <row r="79">
          <cell r="C79">
            <v>181</v>
          </cell>
          <cell r="D79" t="str">
            <v>-  PUSH BUTTON BELL SWITCH</v>
          </cell>
          <cell r="E79">
            <v>160</v>
          </cell>
          <cell r="F79">
            <v>100</v>
          </cell>
          <cell r="G79" t="str">
            <v>SET</v>
          </cell>
        </row>
        <row r="80">
          <cell r="C80">
            <v>182</v>
          </cell>
          <cell r="D80" t="str">
            <v>-  BELL 220 VAC.</v>
          </cell>
          <cell r="E80">
            <v>330</v>
          </cell>
          <cell r="F80">
            <v>100</v>
          </cell>
          <cell r="G80" t="str">
            <v>SET</v>
          </cell>
        </row>
        <row r="81">
          <cell r="C81">
            <v>183</v>
          </cell>
          <cell r="D81" t="str">
            <v>-  BUZZER 220 VAC.</v>
          </cell>
          <cell r="E81">
            <v>330</v>
          </cell>
          <cell r="F81">
            <v>100</v>
          </cell>
          <cell r="G81" t="str">
            <v>SET</v>
          </cell>
        </row>
        <row r="82">
          <cell r="C82">
            <v>184</v>
          </cell>
          <cell r="D82" t="str">
            <v>-  DUTONE BELL</v>
          </cell>
          <cell r="E82">
            <v>200</v>
          </cell>
          <cell r="F82">
            <v>100</v>
          </cell>
          <cell r="G82" t="str">
            <v>SET</v>
          </cell>
        </row>
        <row r="83">
          <cell r="C83">
            <v>2</v>
          </cell>
          <cell r="D83" t="str">
            <v>ACCESSORIES</v>
          </cell>
          <cell r="E83">
            <v>0</v>
          </cell>
          <cell r="F83">
            <v>0</v>
          </cell>
          <cell r="G83" t="str">
            <v>SET</v>
          </cell>
        </row>
        <row r="84">
          <cell r="C84">
            <v>201</v>
          </cell>
          <cell r="D84" t="str">
            <v>-  SAFETY SWITCH 2P, 30A. FUSIBLE</v>
          </cell>
          <cell r="E84">
            <v>800</v>
          </cell>
          <cell r="F84">
            <v>100</v>
          </cell>
          <cell r="G84" t="str">
            <v>EA.</v>
          </cell>
        </row>
        <row r="85">
          <cell r="C85">
            <v>202</v>
          </cell>
          <cell r="D85" t="str">
            <v>-  SAFETY SWITCH 2P, 60A. FUSIBLE</v>
          </cell>
          <cell r="E85">
            <v>1700</v>
          </cell>
          <cell r="F85">
            <v>150</v>
          </cell>
          <cell r="G85" t="str">
            <v>EA.</v>
          </cell>
        </row>
        <row r="86">
          <cell r="C86">
            <v>203</v>
          </cell>
          <cell r="D86" t="str">
            <v>-  SAFETY SWITCH 2P, 100A. FUSIBLE</v>
          </cell>
          <cell r="E86">
            <v>2500</v>
          </cell>
          <cell r="F86">
            <v>200</v>
          </cell>
          <cell r="G86" t="str">
            <v>EA.</v>
          </cell>
        </row>
        <row r="87">
          <cell r="C87">
            <v>204</v>
          </cell>
          <cell r="D87" t="str">
            <v>-  SAFETY SWITCH 2P, 200A. FUSIBLE</v>
          </cell>
          <cell r="E87">
            <v>5000</v>
          </cell>
          <cell r="F87">
            <v>400</v>
          </cell>
          <cell r="G87" t="str">
            <v>EA.</v>
          </cell>
        </row>
        <row r="88">
          <cell r="C88">
            <v>205</v>
          </cell>
          <cell r="D88" t="str">
            <v>-  SAFETY SWITCH 2P, 400A. FUSIBLE</v>
          </cell>
          <cell r="E88">
            <v>16000</v>
          </cell>
          <cell r="F88">
            <v>500</v>
          </cell>
          <cell r="G88" t="str">
            <v>EA.</v>
          </cell>
        </row>
        <row r="89">
          <cell r="C89">
            <v>206</v>
          </cell>
          <cell r="D89" t="str">
            <v xml:space="preserve">-  SAFETY SWITCH 2P, 30A. NON-FUSIBLE </v>
          </cell>
          <cell r="E89">
            <v>900</v>
          </cell>
          <cell r="F89">
            <v>100</v>
          </cell>
          <cell r="G89" t="str">
            <v>EA.</v>
          </cell>
        </row>
        <row r="90">
          <cell r="C90">
            <v>207</v>
          </cell>
          <cell r="D90" t="str">
            <v xml:space="preserve">-  SAFETY SWITCH 2P, 60A. NON-FUSIBLE </v>
          </cell>
          <cell r="E90">
            <v>1100</v>
          </cell>
          <cell r="F90">
            <v>150</v>
          </cell>
          <cell r="G90" t="str">
            <v>EA.</v>
          </cell>
        </row>
        <row r="91">
          <cell r="C91">
            <v>208</v>
          </cell>
          <cell r="D91" t="str">
            <v xml:space="preserve">-  SAFETY SWITCH 2P, 100A. NON-FUSIBLE </v>
          </cell>
          <cell r="E91">
            <v>2200</v>
          </cell>
          <cell r="F91">
            <v>200</v>
          </cell>
          <cell r="G91" t="str">
            <v>EA.</v>
          </cell>
        </row>
        <row r="92">
          <cell r="C92">
            <v>209</v>
          </cell>
          <cell r="D92" t="str">
            <v xml:space="preserve">-  SAFETY SWITCH 2P, 200A. NON-FUSIBLE </v>
          </cell>
          <cell r="E92">
            <v>4800</v>
          </cell>
          <cell r="F92">
            <v>400</v>
          </cell>
          <cell r="G92" t="str">
            <v>EA.</v>
          </cell>
        </row>
        <row r="93">
          <cell r="C93">
            <v>210</v>
          </cell>
          <cell r="D93" t="str">
            <v>-  SAFETY SWITCH 2P, 30A. FUSIBLE , OUTDOOR TYPE</v>
          </cell>
          <cell r="E93">
            <v>1100</v>
          </cell>
          <cell r="F93">
            <v>100</v>
          </cell>
          <cell r="G93" t="str">
            <v>EA.</v>
          </cell>
        </row>
        <row r="94">
          <cell r="C94">
            <v>211</v>
          </cell>
          <cell r="D94" t="str">
            <v>-  SAFETY SWITCH 2P, 60A. FUSIBLE , OUTDOOR TYPE</v>
          </cell>
          <cell r="E94">
            <v>2000</v>
          </cell>
          <cell r="F94">
            <v>150</v>
          </cell>
          <cell r="G94" t="str">
            <v>EA.</v>
          </cell>
        </row>
        <row r="95">
          <cell r="C95">
            <v>212</v>
          </cell>
          <cell r="D95" t="str">
            <v>-  SAFETY SWITCH 2P, 100A. FUSIBLE , OUTDOOR TYPE</v>
          </cell>
          <cell r="E95">
            <v>3000</v>
          </cell>
          <cell r="F95">
            <v>200</v>
          </cell>
          <cell r="G95" t="str">
            <v>EA.</v>
          </cell>
        </row>
        <row r="96">
          <cell r="C96">
            <v>213</v>
          </cell>
          <cell r="D96" t="str">
            <v>-  SAFETY SWITCH 2P, 200A. FUSIBLE , OUTDOOR TYPE</v>
          </cell>
          <cell r="E96">
            <v>6000</v>
          </cell>
          <cell r="F96">
            <v>400</v>
          </cell>
          <cell r="G96" t="str">
            <v>EA.</v>
          </cell>
        </row>
        <row r="97">
          <cell r="C97">
            <v>214</v>
          </cell>
          <cell r="D97" t="str">
            <v>-  SAFETY SWITCH 2P, 400A. FUSIBLE , OUTDOOR TYPE</v>
          </cell>
          <cell r="E97">
            <v>20000</v>
          </cell>
          <cell r="F97">
            <v>500</v>
          </cell>
          <cell r="G97" t="str">
            <v>EA.</v>
          </cell>
        </row>
        <row r="98">
          <cell r="C98">
            <v>215</v>
          </cell>
          <cell r="D98" t="str">
            <v>-  SAFETY SWITCH 2P, 30A. NON-FUSE , OUTDOOR TYPE</v>
          </cell>
          <cell r="E98">
            <v>1000</v>
          </cell>
          <cell r="F98">
            <v>100</v>
          </cell>
          <cell r="G98" t="str">
            <v>EA.</v>
          </cell>
        </row>
        <row r="99">
          <cell r="C99">
            <v>216</v>
          </cell>
          <cell r="D99" t="str">
            <v>-  SAFETY SWITCH 2P, 60A. NON-FUSE , OUTDOOR TYPE</v>
          </cell>
          <cell r="E99">
            <v>1700</v>
          </cell>
          <cell r="F99">
            <v>150</v>
          </cell>
          <cell r="G99" t="str">
            <v>EA.</v>
          </cell>
        </row>
        <row r="100">
          <cell r="C100">
            <v>217</v>
          </cell>
          <cell r="D100" t="str">
            <v>-  SAFETY SWITCH 2P, 100A. NON-FUSE , OUTDOOR TYPE</v>
          </cell>
          <cell r="E100">
            <v>3800</v>
          </cell>
          <cell r="F100">
            <v>200</v>
          </cell>
          <cell r="G100" t="str">
            <v>EA.</v>
          </cell>
        </row>
        <row r="101">
          <cell r="C101">
            <v>218</v>
          </cell>
          <cell r="D101" t="str">
            <v>-  SAFETY SWITCH 2P, 200A. NON-FUSE , OUTDOOR TYPE</v>
          </cell>
          <cell r="E101">
            <v>7000</v>
          </cell>
          <cell r="F101">
            <v>400</v>
          </cell>
          <cell r="G101" t="str">
            <v>EA.</v>
          </cell>
        </row>
        <row r="102">
          <cell r="C102">
            <v>219</v>
          </cell>
          <cell r="D102" t="str">
            <v>-  SAFETY SWITCH 3P, 30A. FUSIBLE</v>
          </cell>
          <cell r="E102">
            <v>3200</v>
          </cell>
          <cell r="F102">
            <v>200</v>
          </cell>
          <cell r="G102" t="str">
            <v>EA.</v>
          </cell>
        </row>
        <row r="103">
          <cell r="C103">
            <v>220</v>
          </cell>
          <cell r="D103" t="str">
            <v>-  SAFETY SWITCH 3P, 60A. FUSIBLE</v>
          </cell>
          <cell r="E103">
            <v>4000</v>
          </cell>
          <cell r="F103">
            <v>300</v>
          </cell>
          <cell r="G103" t="str">
            <v>EA.</v>
          </cell>
        </row>
        <row r="104">
          <cell r="C104">
            <v>221</v>
          </cell>
          <cell r="D104" t="str">
            <v>-  SAFETY SWITCH 3P, 100A. FUSIBLE</v>
          </cell>
          <cell r="E104">
            <v>8000</v>
          </cell>
          <cell r="F104">
            <v>400</v>
          </cell>
          <cell r="G104" t="str">
            <v>EA.</v>
          </cell>
        </row>
        <row r="105">
          <cell r="C105">
            <v>222</v>
          </cell>
          <cell r="D105" t="str">
            <v>-  SAFETY SWITCH 3P, 200A. FUSIBLE</v>
          </cell>
          <cell r="E105">
            <v>11000</v>
          </cell>
          <cell r="F105">
            <v>400</v>
          </cell>
          <cell r="G105" t="str">
            <v>EA.</v>
          </cell>
        </row>
        <row r="106">
          <cell r="C106">
            <v>223</v>
          </cell>
          <cell r="D106" t="str">
            <v>-  SAFETY SWITCH 3P, 400A. FUSIBLE</v>
          </cell>
          <cell r="E106">
            <v>32000</v>
          </cell>
          <cell r="F106">
            <v>500</v>
          </cell>
          <cell r="G106" t="str">
            <v>EA.</v>
          </cell>
        </row>
        <row r="107">
          <cell r="C107">
            <v>224</v>
          </cell>
          <cell r="D107" t="str">
            <v>-  SAFETY SWITCH 3P, 600A. FUSIBLE</v>
          </cell>
          <cell r="E107">
            <v>50000</v>
          </cell>
          <cell r="F107">
            <v>500</v>
          </cell>
          <cell r="G107" t="str">
            <v>EA.</v>
          </cell>
        </row>
        <row r="108">
          <cell r="C108">
            <v>225</v>
          </cell>
          <cell r="D108" t="str">
            <v>-  SAFETY SWITCH 3P, 800A. FUSIBLE</v>
          </cell>
          <cell r="E108">
            <v>82000</v>
          </cell>
          <cell r="F108">
            <v>1000</v>
          </cell>
          <cell r="G108" t="str">
            <v>EA.</v>
          </cell>
        </row>
        <row r="109">
          <cell r="C109">
            <v>226</v>
          </cell>
          <cell r="D109" t="str">
            <v>-  SAFETY SWITCH 3P, 1,200A. FUSIBLE</v>
          </cell>
          <cell r="E109">
            <v>110000</v>
          </cell>
          <cell r="F109">
            <v>1000</v>
          </cell>
          <cell r="G109" t="str">
            <v>EA.</v>
          </cell>
        </row>
        <row r="110">
          <cell r="C110">
            <v>227</v>
          </cell>
          <cell r="D110" t="str">
            <v xml:space="preserve">-  SAFETY SWITCH 3P, 30A. NON-FUSE </v>
          </cell>
          <cell r="E110">
            <v>2000</v>
          </cell>
          <cell r="F110">
            <v>200</v>
          </cell>
          <cell r="G110" t="str">
            <v>EA.</v>
          </cell>
        </row>
        <row r="111">
          <cell r="C111">
            <v>228</v>
          </cell>
          <cell r="D111" t="str">
            <v xml:space="preserve">-  SAFETY SWITCH 3P, 60A. NON-FUSE </v>
          </cell>
          <cell r="E111">
            <v>3000</v>
          </cell>
          <cell r="F111">
            <v>300</v>
          </cell>
          <cell r="G111" t="str">
            <v>EA.</v>
          </cell>
        </row>
        <row r="112">
          <cell r="C112">
            <v>229</v>
          </cell>
          <cell r="D112" t="str">
            <v xml:space="preserve">-  SAFETY SWITCH 3P, 100A. NON-FUSE </v>
          </cell>
          <cell r="E112">
            <v>5000</v>
          </cell>
          <cell r="F112">
            <v>400</v>
          </cell>
          <cell r="G112" t="str">
            <v>EA.</v>
          </cell>
        </row>
        <row r="113">
          <cell r="C113">
            <v>230</v>
          </cell>
          <cell r="D113" t="str">
            <v xml:space="preserve">-  SAFETY SWITCH 3P, 200A. NON-FUSE </v>
          </cell>
          <cell r="E113">
            <v>11000</v>
          </cell>
          <cell r="F113">
            <v>400</v>
          </cell>
          <cell r="G113" t="str">
            <v>EA.</v>
          </cell>
        </row>
        <row r="114">
          <cell r="C114">
            <v>231</v>
          </cell>
          <cell r="D114" t="str">
            <v xml:space="preserve">-  SAFETY SWITCH 3P, 400A. NON-FUSE </v>
          </cell>
          <cell r="E114">
            <v>30000</v>
          </cell>
          <cell r="F114">
            <v>500</v>
          </cell>
          <cell r="G114" t="str">
            <v>EA.</v>
          </cell>
        </row>
        <row r="115">
          <cell r="C115">
            <v>232</v>
          </cell>
          <cell r="D115" t="str">
            <v xml:space="preserve">-  SAFETY SWITCH 3P, 600A. NON-FUSE </v>
          </cell>
          <cell r="E115">
            <v>50000</v>
          </cell>
          <cell r="F115">
            <v>500</v>
          </cell>
          <cell r="G115" t="str">
            <v>EA.</v>
          </cell>
        </row>
        <row r="116">
          <cell r="C116">
            <v>233</v>
          </cell>
          <cell r="D116" t="str">
            <v>-  SAFETY SWITCH 3P, 30A. FUSIBLE , OUTDOOR TYPE</v>
          </cell>
          <cell r="E116">
            <v>5000</v>
          </cell>
          <cell r="F116">
            <v>200</v>
          </cell>
          <cell r="G116" t="str">
            <v>EA.</v>
          </cell>
        </row>
        <row r="117">
          <cell r="C117">
            <v>234</v>
          </cell>
          <cell r="D117" t="str">
            <v>-  SAFETY SWITCH 3P, 60A. FUSIBLE , OUTDOOR TYPE</v>
          </cell>
          <cell r="E117">
            <v>6000</v>
          </cell>
          <cell r="F117">
            <v>300</v>
          </cell>
          <cell r="G117" t="str">
            <v>EA.</v>
          </cell>
        </row>
        <row r="118">
          <cell r="C118">
            <v>235</v>
          </cell>
          <cell r="D118" t="str">
            <v>-  SAFETY SWITCH 3P, 100A. FUSIBLE , OUTDOOR TYPE</v>
          </cell>
          <cell r="E118">
            <v>10000</v>
          </cell>
          <cell r="F118">
            <v>400</v>
          </cell>
          <cell r="G118" t="str">
            <v>EA.</v>
          </cell>
        </row>
        <row r="119">
          <cell r="C119">
            <v>236</v>
          </cell>
          <cell r="D119" t="str">
            <v>-  SAFETY SWITCH 3P, 200A. FUSIBLE , OUTDOOR TYPE</v>
          </cell>
          <cell r="E119">
            <v>13000</v>
          </cell>
          <cell r="F119">
            <v>400</v>
          </cell>
          <cell r="G119" t="str">
            <v>EA.</v>
          </cell>
        </row>
        <row r="120">
          <cell r="C120">
            <v>237</v>
          </cell>
          <cell r="D120" t="str">
            <v>-  SAFETY SWITCH 3P, 400A. FUSIBLE , OUTDOOR TYPE</v>
          </cell>
          <cell r="E120">
            <v>35000</v>
          </cell>
          <cell r="F120">
            <v>500</v>
          </cell>
          <cell r="G120" t="str">
            <v>EA.</v>
          </cell>
        </row>
        <row r="121">
          <cell r="C121">
            <v>238</v>
          </cell>
          <cell r="D121" t="str">
            <v>-  SAFETY SWITCH 3P, 600A. FUSIBLE , OUTDOOR TYPE</v>
          </cell>
          <cell r="E121">
            <v>60000</v>
          </cell>
          <cell r="F121">
            <v>500</v>
          </cell>
          <cell r="G121" t="str">
            <v>EA.</v>
          </cell>
        </row>
        <row r="122">
          <cell r="C122">
            <v>239</v>
          </cell>
          <cell r="D122" t="str">
            <v>-  SAFETY SWITCH 3P, 800A. FUSIBLE , OUTDOOR TYPE</v>
          </cell>
          <cell r="E122">
            <v>100000</v>
          </cell>
          <cell r="F122">
            <v>1000</v>
          </cell>
          <cell r="G122" t="str">
            <v>EA.</v>
          </cell>
        </row>
        <row r="123">
          <cell r="C123">
            <v>240</v>
          </cell>
          <cell r="D123" t="str">
            <v>-  SAFETY SWITCH 3P, 1,200A. FUSIBLE , OUTDOOR TYPE</v>
          </cell>
          <cell r="E123">
            <v>120000</v>
          </cell>
          <cell r="F123">
            <v>1000</v>
          </cell>
          <cell r="G123" t="str">
            <v>EA.</v>
          </cell>
        </row>
        <row r="124">
          <cell r="C124">
            <v>241</v>
          </cell>
          <cell r="D124" t="str">
            <v>-  SAFETY SWITCH 3P, 30A. NON-FUSE , OUTDOOR TYPE</v>
          </cell>
          <cell r="E124">
            <v>2800</v>
          </cell>
          <cell r="F124">
            <v>200</v>
          </cell>
          <cell r="G124" t="str">
            <v>EA.</v>
          </cell>
        </row>
        <row r="125">
          <cell r="C125">
            <v>242</v>
          </cell>
          <cell r="D125" t="str">
            <v>-  SAFETY SWITCH 3P, 60A. NON-FUSE , OUTDOOR TYPE</v>
          </cell>
          <cell r="E125">
            <v>5000</v>
          </cell>
          <cell r="F125">
            <v>300</v>
          </cell>
          <cell r="G125" t="str">
            <v>EA.</v>
          </cell>
        </row>
        <row r="126">
          <cell r="C126">
            <v>243</v>
          </cell>
          <cell r="D126" t="str">
            <v>-  SAFETY SWITCH 3P, 100A. NON-FUSE , OUTDOOR TYPE</v>
          </cell>
          <cell r="E126">
            <v>7000</v>
          </cell>
          <cell r="F126">
            <v>400</v>
          </cell>
          <cell r="G126" t="str">
            <v>EA.</v>
          </cell>
        </row>
        <row r="127">
          <cell r="C127">
            <v>244</v>
          </cell>
          <cell r="D127" t="str">
            <v>-  SAFETY SWITCH 3P, 200A. NON-FUSE , OUTDOOR TYPE</v>
          </cell>
          <cell r="E127">
            <v>14000</v>
          </cell>
          <cell r="F127">
            <v>400</v>
          </cell>
          <cell r="G127" t="str">
            <v>EA.</v>
          </cell>
        </row>
        <row r="128">
          <cell r="C128">
            <v>245</v>
          </cell>
          <cell r="D128" t="str">
            <v>-  SAFETY SWITCH 3P, 400A. NON-FUSE , OUTDOOR TYPE</v>
          </cell>
          <cell r="E128">
            <v>33000</v>
          </cell>
          <cell r="F128">
            <v>500</v>
          </cell>
          <cell r="G128" t="str">
            <v>EA.</v>
          </cell>
        </row>
        <row r="129">
          <cell r="C129">
            <v>246</v>
          </cell>
          <cell r="D129" t="str">
            <v>-  SAFETY SWITCH 3P, 600A. NON-FUSE , OUTDOOR TYPE</v>
          </cell>
          <cell r="E129">
            <v>60000</v>
          </cell>
          <cell r="F129">
            <v>500</v>
          </cell>
          <cell r="G129" t="str">
            <v>EA.</v>
          </cell>
        </row>
        <row r="130">
          <cell r="C130">
            <v>409</v>
          </cell>
          <cell r="D130" t="str">
            <v>SPACE</v>
          </cell>
          <cell r="E130">
            <v>2830</v>
          </cell>
          <cell r="F130">
            <v>200</v>
          </cell>
          <cell r="G130" t="str">
            <v>SET</v>
          </cell>
        </row>
        <row r="131">
          <cell r="C131">
            <v>251</v>
          </cell>
          <cell r="D131" t="str">
            <v>-  CB 1P 10A. 5KA. W./ENCLOSURE</v>
          </cell>
          <cell r="E131">
            <v>410</v>
          </cell>
          <cell r="F131">
            <v>100</v>
          </cell>
          <cell r="G131" t="str">
            <v>EA.</v>
          </cell>
        </row>
        <row r="132">
          <cell r="C132">
            <v>252</v>
          </cell>
          <cell r="D132" t="str">
            <v>-  CB 1P 15A. 5KA. W./ENCLOSURE</v>
          </cell>
          <cell r="E132">
            <v>410</v>
          </cell>
          <cell r="F132">
            <v>100</v>
          </cell>
          <cell r="G132" t="str">
            <v>EA.</v>
          </cell>
        </row>
        <row r="133">
          <cell r="C133">
            <v>253</v>
          </cell>
          <cell r="D133" t="str">
            <v>-  CB 1P 20A. 5KA. W./ENCLOSURE</v>
          </cell>
          <cell r="E133">
            <v>410</v>
          </cell>
          <cell r="F133">
            <v>100</v>
          </cell>
          <cell r="G133" t="str">
            <v>EA.</v>
          </cell>
        </row>
        <row r="134">
          <cell r="C134">
            <v>254</v>
          </cell>
          <cell r="D134" t="str">
            <v>-  CB 1P 30A. 5KA. W./ENCLOSURE</v>
          </cell>
          <cell r="E134">
            <v>410</v>
          </cell>
          <cell r="F134">
            <v>100</v>
          </cell>
          <cell r="G134" t="str">
            <v>EA.</v>
          </cell>
        </row>
        <row r="135">
          <cell r="C135">
            <v>255</v>
          </cell>
          <cell r="D135" t="str">
            <v>-  CB 1P 40A. 5KA. W./ENCLOSURE</v>
          </cell>
          <cell r="E135">
            <v>480</v>
          </cell>
          <cell r="F135">
            <v>100</v>
          </cell>
          <cell r="G135" t="str">
            <v>EA.</v>
          </cell>
        </row>
        <row r="136">
          <cell r="C136">
            <v>256</v>
          </cell>
          <cell r="D136" t="str">
            <v>-  CB 2P 15A. 10KA. W./ENCLOSURE</v>
          </cell>
          <cell r="E136">
            <v>730</v>
          </cell>
          <cell r="F136">
            <v>100</v>
          </cell>
          <cell r="G136" t="str">
            <v>EA.</v>
          </cell>
        </row>
        <row r="137">
          <cell r="C137">
            <v>257</v>
          </cell>
          <cell r="D137" t="str">
            <v>-  CB 2P 30A. 10KA. W./ENCLOSURE</v>
          </cell>
          <cell r="E137">
            <v>730</v>
          </cell>
          <cell r="F137">
            <v>100</v>
          </cell>
          <cell r="G137" t="str">
            <v>EA.</v>
          </cell>
        </row>
        <row r="138">
          <cell r="C138">
            <v>258</v>
          </cell>
          <cell r="D138" t="str">
            <v>-  CB 2P 40A. 10KA. W./ENCLOSURE</v>
          </cell>
          <cell r="E138">
            <v>730</v>
          </cell>
          <cell r="F138">
            <v>100</v>
          </cell>
          <cell r="G138" t="str">
            <v>EA.</v>
          </cell>
        </row>
        <row r="139">
          <cell r="C139">
            <v>259</v>
          </cell>
          <cell r="D139" t="str">
            <v>-  CB 2P 50A. 10KA. W./ENCLOSURE</v>
          </cell>
          <cell r="E139">
            <v>730</v>
          </cell>
          <cell r="F139">
            <v>100</v>
          </cell>
          <cell r="G139" t="str">
            <v>EA.</v>
          </cell>
        </row>
        <row r="140">
          <cell r="C140">
            <v>260</v>
          </cell>
          <cell r="D140" t="str">
            <v>-  CB 2P 60A. 10KA. W./ENCLOSURE</v>
          </cell>
          <cell r="E140">
            <v>880</v>
          </cell>
          <cell r="F140">
            <v>100</v>
          </cell>
          <cell r="G140" t="str">
            <v>EA.</v>
          </cell>
        </row>
        <row r="141">
          <cell r="C141">
            <v>261</v>
          </cell>
          <cell r="D141" t="str">
            <v>-  RCB 1P 10A., 5KA.,10mA. W./ENCLOSURE</v>
          </cell>
          <cell r="E141">
            <v>1780</v>
          </cell>
          <cell r="F141">
            <v>150</v>
          </cell>
          <cell r="G141" t="str">
            <v>EA.</v>
          </cell>
        </row>
        <row r="142">
          <cell r="C142">
            <v>262</v>
          </cell>
          <cell r="D142" t="str">
            <v>-  RCB 1P 15A., 5KA.,10mA. W./ENCLOSURE</v>
          </cell>
          <cell r="E142">
            <v>1780</v>
          </cell>
          <cell r="F142">
            <v>150</v>
          </cell>
          <cell r="G142" t="str">
            <v>EA.</v>
          </cell>
        </row>
        <row r="143">
          <cell r="C143">
            <v>263</v>
          </cell>
          <cell r="D143" t="str">
            <v>-  RCB 1P 20A., 5KA.,10mA. W./ENCLOSURE</v>
          </cell>
          <cell r="E143">
            <v>1780</v>
          </cell>
          <cell r="F143">
            <v>150</v>
          </cell>
          <cell r="G143" t="str">
            <v>EA.</v>
          </cell>
        </row>
        <row r="144">
          <cell r="C144">
            <v>264</v>
          </cell>
          <cell r="D144" t="str">
            <v>-  RCB 1P 30A., 5KA.,10mA. W./ENCLOSURE</v>
          </cell>
          <cell r="E144">
            <v>1780</v>
          </cell>
          <cell r="F144">
            <v>150</v>
          </cell>
          <cell r="G144" t="str">
            <v>EA.</v>
          </cell>
        </row>
        <row r="145">
          <cell r="C145">
            <v>265</v>
          </cell>
          <cell r="D145" t="str">
            <v>-  RCB 1P 40A., 5KA.,10mA. W./ENCLOSURE</v>
          </cell>
          <cell r="E145">
            <v>2680</v>
          </cell>
          <cell r="F145">
            <v>150</v>
          </cell>
          <cell r="G145" t="str">
            <v>EA.</v>
          </cell>
        </row>
        <row r="146">
          <cell r="C146">
            <v>266</v>
          </cell>
          <cell r="D146" t="str">
            <v>-  RCB 1P 15A., 10KA.,10mA. W./ENCLOSURE</v>
          </cell>
          <cell r="E146">
            <v>3080</v>
          </cell>
          <cell r="F146">
            <v>150</v>
          </cell>
          <cell r="G146" t="str">
            <v>EA.</v>
          </cell>
        </row>
        <row r="147">
          <cell r="C147">
            <v>267</v>
          </cell>
          <cell r="D147" t="str">
            <v>-  RCB 1P 30A., 10KA.,10mA. W./ENCLOSURE</v>
          </cell>
          <cell r="E147">
            <v>3080</v>
          </cell>
          <cell r="F147">
            <v>150</v>
          </cell>
          <cell r="G147" t="str">
            <v>EA.</v>
          </cell>
        </row>
        <row r="148">
          <cell r="C148">
            <v>268</v>
          </cell>
          <cell r="D148" t="str">
            <v>-  RCB 1P 40A., 10KA.,10mA. W./ENCLOSURE</v>
          </cell>
          <cell r="E148">
            <v>3080</v>
          </cell>
          <cell r="F148">
            <v>150</v>
          </cell>
          <cell r="G148" t="str">
            <v>EA.</v>
          </cell>
        </row>
        <row r="149">
          <cell r="C149">
            <v>269</v>
          </cell>
          <cell r="D149" t="str">
            <v>-  RCB 1P 50A., 10KA.,10mA. W./ENCLOSURE</v>
          </cell>
          <cell r="E149">
            <v>3080</v>
          </cell>
          <cell r="F149">
            <v>150</v>
          </cell>
          <cell r="G149" t="str">
            <v>EA.</v>
          </cell>
        </row>
        <row r="150">
          <cell r="C150">
            <v>270</v>
          </cell>
          <cell r="D150" t="str">
            <v>-  RCB 1P 60A., 10KA.,10mA. W./ENCLOSURE</v>
          </cell>
          <cell r="E150">
            <v>3080</v>
          </cell>
          <cell r="F150">
            <v>150</v>
          </cell>
          <cell r="G150" t="str">
            <v>EA.</v>
          </cell>
        </row>
        <row r="151">
          <cell r="C151">
            <v>271</v>
          </cell>
          <cell r="D151" t="str">
            <v>-  MAGNETIC CONTACTOR 3P 6A. AC3</v>
          </cell>
          <cell r="E151">
            <v>530</v>
          </cell>
          <cell r="F151">
            <v>100</v>
          </cell>
          <cell r="G151" t="str">
            <v>EA.</v>
          </cell>
        </row>
        <row r="152">
          <cell r="C152">
            <v>272</v>
          </cell>
          <cell r="D152" t="str">
            <v>-  MAGNETIC CONTACTOR 3P 9A. AC3</v>
          </cell>
          <cell r="E152">
            <v>580</v>
          </cell>
          <cell r="F152">
            <v>100</v>
          </cell>
          <cell r="G152" t="str">
            <v>EA.</v>
          </cell>
        </row>
        <row r="153">
          <cell r="C153">
            <v>273</v>
          </cell>
          <cell r="D153" t="str">
            <v>-  MAGNETIC CONTACTOR 3P 12A. AC3</v>
          </cell>
          <cell r="E153">
            <v>660</v>
          </cell>
          <cell r="F153">
            <v>100</v>
          </cell>
          <cell r="G153" t="str">
            <v>EA.</v>
          </cell>
        </row>
        <row r="154">
          <cell r="C154">
            <v>274</v>
          </cell>
          <cell r="D154" t="str">
            <v>-  MAGNETIC CONTACTOR 3P 18A. AC3</v>
          </cell>
          <cell r="E154">
            <v>930</v>
          </cell>
          <cell r="F154">
            <v>100</v>
          </cell>
          <cell r="G154" t="str">
            <v>EA.</v>
          </cell>
        </row>
        <row r="155">
          <cell r="C155">
            <v>275</v>
          </cell>
          <cell r="D155" t="str">
            <v>-  MAGNETIC CONTACTOR 3P 25A. AC3</v>
          </cell>
          <cell r="E155">
            <v>1150</v>
          </cell>
          <cell r="F155">
            <v>100</v>
          </cell>
          <cell r="G155" t="str">
            <v>EA.</v>
          </cell>
        </row>
        <row r="156">
          <cell r="C156">
            <v>276</v>
          </cell>
          <cell r="D156" t="str">
            <v>-  MAGNETIC CONTACTOR 3P 32A. AC3</v>
          </cell>
          <cell r="E156">
            <v>1550</v>
          </cell>
          <cell r="F156">
            <v>100</v>
          </cell>
          <cell r="G156" t="str">
            <v>EA.</v>
          </cell>
        </row>
        <row r="157">
          <cell r="C157">
            <v>277</v>
          </cell>
          <cell r="D157" t="str">
            <v>-  MAGNETIC CONTACTOR 3P 40A. AC3</v>
          </cell>
          <cell r="E157">
            <v>2100</v>
          </cell>
          <cell r="F157">
            <v>100</v>
          </cell>
          <cell r="G157" t="str">
            <v>EA.</v>
          </cell>
        </row>
        <row r="158">
          <cell r="C158">
            <v>278</v>
          </cell>
          <cell r="D158" t="str">
            <v>-  MAGNETIC CONTACTOR 3P 50A. AC3</v>
          </cell>
          <cell r="E158">
            <v>2700</v>
          </cell>
          <cell r="F158">
            <v>100</v>
          </cell>
          <cell r="G158" t="str">
            <v>EA.</v>
          </cell>
        </row>
        <row r="159">
          <cell r="C159">
            <v>279</v>
          </cell>
          <cell r="D159" t="str">
            <v>-  MAGNETIC CONTACTOR 3P 65A. AC3</v>
          </cell>
          <cell r="E159">
            <v>3100</v>
          </cell>
          <cell r="F159">
            <v>150</v>
          </cell>
          <cell r="G159" t="str">
            <v>EA.</v>
          </cell>
        </row>
        <row r="160">
          <cell r="C160">
            <v>280</v>
          </cell>
          <cell r="D160" t="str">
            <v>-  MAGNETIC CONTACTOR 3P 80A. AC3</v>
          </cell>
          <cell r="E160">
            <v>3830</v>
          </cell>
          <cell r="F160">
            <v>200</v>
          </cell>
          <cell r="G160" t="str">
            <v>EA.</v>
          </cell>
        </row>
        <row r="161">
          <cell r="C161">
            <v>281</v>
          </cell>
          <cell r="D161" t="str">
            <v>-  MAGNETIC CONTACTOR 3P 100A. AC3</v>
          </cell>
          <cell r="E161">
            <v>4480</v>
          </cell>
          <cell r="F161">
            <v>200</v>
          </cell>
          <cell r="G161" t="str">
            <v>EA.</v>
          </cell>
        </row>
        <row r="162">
          <cell r="C162">
            <v>282</v>
          </cell>
          <cell r="D162" t="str">
            <v>-  MAGNETIC CONTACTOR 3P 110A. AC3</v>
          </cell>
          <cell r="E162">
            <v>5120</v>
          </cell>
          <cell r="F162">
            <v>200</v>
          </cell>
          <cell r="G162" t="str">
            <v>EA.</v>
          </cell>
        </row>
        <row r="163">
          <cell r="C163">
            <v>283</v>
          </cell>
          <cell r="D163" t="str">
            <v>-  MAGNETIC CONTACTOR 3P 150A. AC3</v>
          </cell>
          <cell r="E163">
            <v>9200</v>
          </cell>
          <cell r="F163">
            <v>200</v>
          </cell>
          <cell r="G163" t="str">
            <v>EA.</v>
          </cell>
        </row>
        <row r="164">
          <cell r="C164">
            <v>284</v>
          </cell>
          <cell r="D164" t="str">
            <v>-  MAGNETIC CONTACTOR 3P 185A. AC3</v>
          </cell>
          <cell r="E164">
            <v>10920</v>
          </cell>
          <cell r="F164">
            <v>300</v>
          </cell>
          <cell r="G164" t="str">
            <v>EA.</v>
          </cell>
        </row>
        <row r="165">
          <cell r="C165">
            <v>285</v>
          </cell>
          <cell r="D165" t="str">
            <v>-  MAGNETIC CONTACTOR 3P 200A. AC3</v>
          </cell>
          <cell r="E165">
            <v>12500</v>
          </cell>
          <cell r="F165">
            <v>300</v>
          </cell>
          <cell r="G165" t="str">
            <v>EA.</v>
          </cell>
        </row>
        <row r="166">
          <cell r="C166">
            <v>286</v>
          </cell>
          <cell r="D166" t="str">
            <v>-  MAGNETIC CONTACTOR 3P 265A. AC3</v>
          </cell>
          <cell r="E166">
            <v>16500</v>
          </cell>
          <cell r="F166">
            <v>300</v>
          </cell>
          <cell r="G166" t="str">
            <v>EA.</v>
          </cell>
        </row>
        <row r="167">
          <cell r="C167">
            <v>287</v>
          </cell>
          <cell r="D167" t="str">
            <v>-  MAGNETIC CONTACTOR 3P 300A. AC3</v>
          </cell>
          <cell r="E167">
            <v>22000</v>
          </cell>
          <cell r="F167">
            <v>400</v>
          </cell>
          <cell r="G167" t="str">
            <v>EA.</v>
          </cell>
        </row>
        <row r="168">
          <cell r="C168">
            <v>288</v>
          </cell>
          <cell r="D168" t="str">
            <v>-  MAGNETIC CONTACTOR 3P 410A. AC3</v>
          </cell>
          <cell r="E168">
            <v>24900</v>
          </cell>
          <cell r="F168">
            <v>400</v>
          </cell>
          <cell r="G168" t="str">
            <v>EA.</v>
          </cell>
        </row>
        <row r="169">
          <cell r="C169">
            <v>289</v>
          </cell>
          <cell r="D169" t="str">
            <v>-  MAGNETIC CONTACTOR 3P 450A. AC3</v>
          </cell>
          <cell r="E169">
            <v>28460</v>
          </cell>
          <cell r="F169">
            <v>400</v>
          </cell>
          <cell r="G169" t="str">
            <v>EA.</v>
          </cell>
        </row>
        <row r="170">
          <cell r="C170">
            <v>290</v>
          </cell>
          <cell r="D170" t="str">
            <v>-  MAGNETIC CONTACTOR 3P 630A. AC3</v>
          </cell>
          <cell r="E170">
            <v>35240</v>
          </cell>
          <cell r="F170">
            <v>500</v>
          </cell>
          <cell r="G170" t="str">
            <v>EA.</v>
          </cell>
        </row>
        <row r="171">
          <cell r="C171">
            <v>291</v>
          </cell>
          <cell r="D171" t="str">
            <v>-  MAGNETIC CONTACTOR 3P 800A. AC3</v>
          </cell>
          <cell r="E171">
            <v>52780</v>
          </cell>
          <cell r="F171">
            <v>700</v>
          </cell>
          <cell r="G171" t="str">
            <v>EA.</v>
          </cell>
        </row>
        <row r="172">
          <cell r="C172">
            <v>292</v>
          </cell>
          <cell r="D172" t="str">
            <v>-  MAGNETIC CONTACTOR 3P 1,000A. AC3</v>
          </cell>
          <cell r="E172">
            <v>111700</v>
          </cell>
          <cell r="F172">
            <v>1000</v>
          </cell>
          <cell r="G172" t="str">
            <v>EA.</v>
          </cell>
        </row>
        <row r="173">
          <cell r="C173">
            <v>514</v>
          </cell>
          <cell r="D173" t="str">
            <v>SPACE</v>
          </cell>
          <cell r="E173">
            <v>4800</v>
          </cell>
          <cell r="F173">
            <v>1000</v>
          </cell>
          <cell r="G173" t="str">
            <v>SET</v>
          </cell>
        </row>
        <row r="174">
          <cell r="C174">
            <v>296</v>
          </cell>
          <cell r="D174" t="str">
            <v>-  6A. CONTROL RELAY</v>
          </cell>
          <cell r="E174">
            <v>1000</v>
          </cell>
          <cell r="F174">
            <v>100</v>
          </cell>
          <cell r="G174" t="str">
            <v>EA.</v>
          </cell>
        </row>
        <row r="175">
          <cell r="C175">
            <v>516</v>
          </cell>
          <cell r="D175" t="str">
            <v>-  BAR CODE READER</v>
          </cell>
          <cell r="E175">
            <v>7000</v>
          </cell>
          <cell r="F175">
            <v>1000</v>
          </cell>
          <cell r="G175" t="str">
            <v>SET</v>
          </cell>
        </row>
        <row r="176">
          <cell r="C176">
            <v>517</v>
          </cell>
          <cell r="D176" t="str">
            <v>-  SMART CARD READER WITH KEY PAD &amp; DISPLAY</v>
          </cell>
          <cell r="E176" t="str">
            <v>(ON REQ)</v>
          </cell>
          <cell r="F176">
            <v>0</v>
          </cell>
          <cell r="G176" t="str">
            <v>SET</v>
          </cell>
        </row>
        <row r="177">
          <cell r="C177">
            <v>840</v>
          </cell>
          <cell r="D177" t="str">
            <v>SPACE</v>
          </cell>
          <cell r="E177">
            <v>25000</v>
          </cell>
          <cell r="F177">
            <v>800</v>
          </cell>
          <cell r="G177" t="str">
            <v>M.</v>
          </cell>
        </row>
        <row r="178">
          <cell r="C178">
            <v>841</v>
          </cell>
          <cell r="D178" t="str">
            <v>CARD</v>
          </cell>
          <cell r="E178">
            <v>28000</v>
          </cell>
          <cell r="F178">
            <v>800</v>
          </cell>
          <cell r="G178" t="str">
            <v>M.</v>
          </cell>
        </row>
        <row r="179">
          <cell r="C179">
            <v>521</v>
          </cell>
          <cell r="D179" t="str">
            <v>-  CUSTOMER LOGO CARD</v>
          </cell>
          <cell r="E179">
            <v>100</v>
          </cell>
          <cell r="F179">
            <v>0</v>
          </cell>
          <cell r="G179" t="str">
            <v>SET</v>
          </cell>
        </row>
        <row r="180">
          <cell r="C180">
            <v>843</v>
          </cell>
          <cell r="D180" t="str">
            <v>SPACE</v>
          </cell>
          <cell r="E180">
            <v>50000</v>
          </cell>
          <cell r="F180">
            <v>1000</v>
          </cell>
          <cell r="G180" t="str">
            <v>M.</v>
          </cell>
        </row>
        <row r="181">
          <cell r="C181">
            <v>844</v>
          </cell>
          <cell r="D181" t="str">
            <v>COMMUNICATOR</v>
          </cell>
          <cell r="E181">
            <v>67000</v>
          </cell>
          <cell r="F181">
            <v>1000</v>
          </cell>
          <cell r="G181" t="str">
            <v>M.</v>
          </cell>
        </row>
        <row r="182">
          <cell r="C182">
            <v>526</v>
          </cell>
          <cell r="D182" t="str">
            <v>-  SERIAL COMMUNICATOR LINK UP TO 16 CONTROLLERS</v>
          </cell>
          <cell r="E182">
            <v>15000</v>
          </cell>
          <cell r="F182">
            <v>5000</v>
          </cell>
          <cell r="G182" t="str">
            <v>SET</v>
          </cell>
        </row>
        <row r="183">
          <cell r="C183">
            <v>527</v>
          </cell>
          <cell r="D183" t="str">
            <v>-  PARALLEL COMMUNICATOR LINK UP TO 16 CONTROLLERS</v>
          </cell>
          <cell r="E183">
            <v>20000</v>
          </cell>
          <cell r="F183">
            <v>10000</v>
          </cell>
          <cell r="G183" t="str">
            <v>SET</v>
          </cell>
        </row>
        <row r="184">
          <cell r="C184">
            <v>528</v>
          </cell>
          <cell r="D184" t="str">
            <v>-  INTELLIGENT COMMUNICATOR LINK UP TO 64 CONTROLLERS</v>
          </cell>
          <cell r="E184">
            <v>85000</v>
          </cell>
          <cell r="F184">
            <v>15000</v>
          </cell>
          <cell r="G184" t="str">
            <v>SET</v>
          </cell>
        </row>
        <row r="185">
          <cell r="C185">
            <v>851</v>
          </cell>
          <cell r="D185" t="str">
            <v>SOFTWARE MANAGEMENT</v>
          </cell>
          <cell r="E185">
            <v>13000</v>
          </cell>
          <cell r="F185">
            <v>500</v>
          </cell>
          <cell r="G185" t="str">
            <v>M.</v>
          </cell>
        </row>
        <row r="186">
          <cell r="C186">
            <v>852</v>
          </cell>
          <cell r="D186" t="str">
            <v>-  16 CONTROLLERS ACCESS CONTROL MANAGEMENT</v>
          </cell>
          <cell r="E186">
            <v>22000</v>
          </cell>
          <cell r="F186">
            <v>10000</v>
          </cell>
          <cell r="G186" t="str">
            <v>SET</v>
          </cell>
        </row>
        <row r="187">
          <cell r="C187">
            <v>853</v>
          </cell>
          <cell r="D187" t="str">
            <v>-  64 CONTROLLERS ACCESS CONTROL MANAGEMENT</v>
          </cell>
          <cell r="E187">
            <v>35000</v>
          </cell>
          <cell r="F187">
            <v>15000</v>
          </cell>
          <cell r="G187" t="str">
            <v>SET</v>
          </cell>
        </row>
        <row r="188">
          <cell r="C188">
            <v>854</v>
          </cell>
          <cell r="D188" t="str">
            <v>-  AL. RISER BUSDUCT 1,350 A.</v>
          </cell>
          <cell r="E188">
            <v>15000</v>
          </cell>
          <cell r="F188">
            <v>700</v>
          </cell>
          <cell r="G188" t="str">
            <v>M.</v>
          </cell>
        </row>
        <row r="189">
          <cell r="C189">
            <v>855</v>
          </cell>
          <cell r="D189" t="str">
            <v>-  AL. RISER BUSDUCT 1,600 A.</v>
          </cell>
          <cell r="E189">
            <v>16000</v>
          </cell>
          <cell r="F189">
            <v>800</v>
          </cell>
          <cell r="G189" t="str">
            <v>M.</v>
          </cell>
        </row>
        <row r="190">
          <cell r="C190">
            <v>856</v>
          </cell>
          <cell r="D190" t="str">
            <v>-  AL. RISER BUSDUCT 2,000 A.</v>
          </cell>
          <cell r="E190">
            <v>25000</v>
          </cell>
          <cell r="F190">
            <v>800</v>
          </cell>
          <cell r="G190" t="str">
            <v>M.</v>
          </cell>
        </row>
        <row r="191">
          <cell r="C191">
            <v>857</v>
          </cell>
          <cell r="D191" t="str">
            <v>-  AL. RISER BUSDUCT 2,500 A.</v>
          </cell>
          <cell r="E191">
            <v>26600</v>
          </cell>
          <cell r="F191">
            <v>1000</v>
          </cell>
          <cell r="G191" t="str">
            <v>M.</v>
          </cell>
        </row>
        <row r="192">
          <cell r="C192">
            <v>858</v>
          </cell>
          <cell r="D192" t="str">
            <v>-  AL. RISER BUSDUCT 3,000 A.</v>
          </cell>
          <cell r="E192">
            <v>34000</v>
          </cell>
          <cell r="F192">
            <v>1000</v>
          </cell>
          <cell r="G192" t="str">
            <v>M.</v>
          </cell>
        </row>
        <row r="193">
          <cell r="C193">
            <v>859</v>
          </cell>
          <cell r="D193" t="str">
            <v>-  AL. RISER BUSDUCT 4,000 A.</v>
          </cell>
          <cell r="E193">
            <v>40000</v>
          </cell>
          <cell r="F193">
            <v>1000</v>
          </cell>
          <cell r="G193" t="str">
            <v>M.</v>
          </cell>
        </row>
        <row r="194">
          <cell r="C194">
            <v>860</v>
          </cell>
          <cell r="D194" t="str">
            <v>-  CU. RISER BUSDUCT 800 A.</v>
          </cell>
          <cell r="E194">
            <v>16000</v>
          </cell>
          <cell r="F194">
            <v>500</v>
          </cell>
          <cell r="G194" t="str">
            <v>M.</v>
          </cell>
        </row>
        <row r="195">
          <cell r="C195">
            <v>861</v>
          </cell>
          <cell r="D195" t="str">
            <v>-  CU. RISER BUSDUCT 1,000 A.</v>
          </cell>
          <cell r="E195">
            <v>17300</v>
          </cell>
          <cell r="F195">
            <v>500</v>
          </cell>
          <cell r="G195" t="str">
            <v>M.</v>
          </cell>
        </row>
        <row r="196">
          <cell r="C196">
            <v>862</v>
          </cell>
          <cell r="D196" t="str">
            <v>-  CU. RISER BUSDUCT 1,200 A.</v>
          </cell>
          <cell r="E196">
            <v>19300</v>
          </cell>
          <cell r="F196">
            <v>700</v>
          </cell>
          <cell r="G196" t="str">
            <v>M.</v>
          </cell>
        </row>
        <row r="197">
          <cell r="C197">
            <v>863</v>
          </cell>
          <cell r="D197" t="str">
            <v>-  CU. RISER BUSDUCT 1,350 A.</v>
          </cell>
          <cell r="E197">
            <v>21000</v>
          </cell>
          <cell r="F197">
            <v>700</v>
          </cell>
          <cell r="G197" t="str">
            <v>M.</v>
          </cell>
        </row>
        <row r="198">
          <cell r="C198">
            <v>864</v>
          </cell>
          <cell r="D198" t="str">
            <v>-  CU. RISER BUSDUCT 1,600 A.</v>
          </cell>
          <cell r="E198">
            <v>22000</v>
          </cell>
          <cell r="F198">
            <v>800</v>
          </cell>
          <cell r="G198" t="str">
            <v>M.</v>
          </cell>
        </row>
        <row r="199">
          <cell r="C199">
            <v>865</v>
          </cell>
          <cell r="D199" t="str">
            <v>-  CU. RISER BUSDUCT 2,000 A.</v>
          </cell>
          <cell r="E199">
            <v>26000</v>
          </cell>
          <cell r="F199">
            <v>800</v>
          </cell>
          <cell r="G199" t="str">
            <v>M.</v>
          </cell>
        </row>
        <row r="200">
          <cell r="C200">
            <v>866</v>
          </cell>
          <cell r="D200" t="str">
            <v>-  CU. RISER BUSDUCT 2,500 A.</v>
          </cell>
          <cell r="E200">
            <v>40000</v>
          </cell>
          <cell r="F200">
            <v>1000</v>
          </cell>
          <cell r="G200" t="str">
            <v>M.</v>
          </cell>
        </row>
        <row r="201">
          <cell r="C201">
            <v>867</v>
          </cell>
          <cell r="D201" t="str">
            <v>-  CU. RISER BUSDUCT 3,000 A.</v>
          </cell>
          <cell r="E201">
            <v>46600</v>
          </cell>
          <cell r="F201">
            <v>1000</v>
          </cell>
          <cell r="G201" t="str">
            <v>M.</v>
          </cell>
        </row>
        <row r="202">
          <cell r="C202">
            <v>868</v>
          </cell>
          <cell r="D202" t="str">
            <v>-  CU. RISER BUSDUCT 4,000 A.</v>
          </cell>
          <cell r="E202">
            <v>60000</v>
          </cell>
          <cell r="F202">
            <v>1000</v>
          </cell>
          <cell r="G202" t="str">
            <v>M.</v>
          </cell>
        </row>
        <row r="203">
          <cell r="C203">
            <v>869</v>
          </cell>
          <cell r="D203" t="str">
            <v>-  CU. RISER BUSDUCT 5,000 A.</v>
          </cell>
          <cell r="E203">
            <v>67000</v>
          </cell>
          <cell r="F203">
            <v>1000</v>
          </cell>
          <cell r="G203" t="str">
            <v>M.</v>
          </cell>
        </row>
        <row r="204">
          <cell r="C204">
            <v>355</v>
          </cell>
          <cell r="D204" t="str">
            <v>SPACE</v>
          </cell>
          <cell r="E204">
            <v>145</v>
          </cell>
          <cell r="F204">
            <v>15</v>
          </cell>
          <cell r="G204" t="str">
            <v>M.</v>
          </cell>
        </row>
        <row r="205">
          <cell r="C205">
            <v>356</v>
          </cell>
          <cell r="D205" t="str">
            <v>OUTDOOR BUSDUCT</v>
          </cell>
          <cell r="E205">
            <v>225</v>
          </cell>
          <cell r="F205">
            <v>18</v>
          </cell>
          <cell r="G205" t="str">
            <v>M.</v>
          </cell>
        </row>
        <row r="206">
          <cell r="C206">
            <v>871</v>
          </cell>
          <cell r="D206" t="str">
            <v>-  AL. BUSDUCT (OUTDOOR) 800 A.</v>
          </cell>
          <cell r="E206">
            <v>18000</v>
          </cell>
          <cell r="F206">
            <v>500</v>
          </cell>
          <cell r="G206" t="str">
            <v>M.</v>
          </cell>
        </row>
        <row r="207">
          <cell r="C207">
            <v>872</v>
          </cell>
          <cell r="D207" t="str">
            <v>-  AL. BUSDUCT (OUTDOOR) 1,000 A.</v>
          </cell>
          <cell r="E207">
            <v>20000</v>
          </cell>
          <cell r="F207">
            <v>500</v>
          </cell>
          <cell r="G207" t="str">
            <v>M.</v>
          </cell>
        </row>
        <row r="208">
          <cell r="C208">
            <v>873</v>
          </cell>
          <cell r="D208" t="str">
            <v>-  AL. BUSDUCT (OUTDOOR) 1,200 A.</v>
          </cell>
          <cell r="E208">
            <v>21000</v>
          </cell>
          <cell r="F208">
            <v>700</v>
          </cell>
          <cell r="G208" t="str">
            <v>M.</v>
          </cell>
        </row>
        <row r="209">
          <cell r="C209">
            <v>874</v>
          </cell>
          <cell r="D209" t="str">
            <v>-  AL. BUSDUCT (OUTDOOR) 1,350 A.</v>
          </cell>
          <cell r="E209">
            <v>22000</v>
          </cell>
          <cell r="F209">
            <v>700</v>
          </cell>
          <cell r="G209" t="str">
            <v>M.</v>
          </cell>
        </row>
        <row r="210">
          <cell r="C210">
            <v>875</v>
          </cell>
          <cell r="D210" t="str">
            <v>-  AL. BUSDUCT (OUTDOOR) 1,600 A.</v>
          </cell>
          <cell r="E210">
            <v>24000</v>
          </cell>
          <cell r="F210">
            <v>800</v>
          </cell>
          <cell r="G210" t="str">
            <v>M.</v>
          </cell>
        </row>
        <row r="211">
          <cell r="C211">
            <v>876</v>
          </cell>
          <cell r="D211" t="str">
            <v>-  AL. BUSDUCT (OUTDOOR) 2,000 A.</v>
          </cell>
          <cell r="E211">
            <v>30000</v>
          </cell>
          <cell r="F211">
            <v>800</v>
          </cell>
          <cell r="G211" t="str">
            <v>M.</v>
          </cell>
        </row>
        <row r="212">
          <cell r="C212">
            <v>877</v>
          </cell>
          <cell r="D212" t="str">
            <v>-  AL. BUSDUCT (OUTDOOR) 2,500 A.</v>
          </cell>
          <cell r="E212">
            <v>33000</v>
          </cell>
          <cell r="F212">
            <v>1000</v>
          </cell>
          <cell r="G212" t="str">
            <v>M.</v>
          </cell>
        </row>
        <row r="213">
          <cell r="C213">
            <v>878</v>
          </cell>
          <cell r="D213" t="str">
            <v>-  AL. BUSDUCT (OUTDOOR) 3,000 A.</v>
          </cell>
          <cell r="E213">
            <v>40000</v>
          </cell>
          <cell r="F213">
            <v>1000</v>
          </cell>
          <cell r="G213" t="str">
            <v>M.</v>
          </cell>
        </row>
        <row r="214">
          <cell r="C214">
            <v>879</v>
          </cell>
          <cell r="D214" t="str">
            <v>-  AL. BUSDUCT (OUTDOOR) 4,000 A.</v>
          </cell>
          <cell r="E214">
            <v>53000</v>
          </cell>
          <cell r="F214">
            <v>1000</v>
          </cell>
          <cell r="G214" t="str">
            <v>M.</v>
          </cell>
        </row>
        <row r="215">
          <cell r="C215">
            <v>880</v>
          </cell>
          <cell r="D215" t="str">
            <v>-  CU BUSDUCT (OUTDOOR) 800 A.</v>
          </cell>
          <cell r="E215">
            <v>22000</v>
          </cell>
          <cell r="F215">
            <v>500</v>
          </cell>
          <cell r="G215" t="str">
            <v>M.</v>
          </cell>
        </row>
        <row r="216">
          <cell r="C216">
            <v>881</v>
          </cell>
          <cell r="D216" t="str">
            <v>-  CU. BUSDUCT (OUTDOOR) 1,000 A.</v>
          </cell>
          <cell r="E216">
            <v>24000</v>
          </cell>
          <cell r="F216">
            <v>500</v>
          </cell>
          <cell r="G216" t="str">
            <v>M.</v>
          </cell>
        </row>
        <row r="217">
          <cell r="C217">
            <v>882</v>
          </cell>
          <cell r="D217" t="str">
            <v>-  CU. BUSDUCT (OUTDOOR) 1,200 A.</v>
          </cell>
          <cell r="E217">
            <v>28000</v>
          </cell>
          <cell r="F217">
            <v>700</v>
          </cell>
          <cell r="G217" t="str">
            <v>M.</v>
          </cell>
        </row>
        <row r="218">
          <cell r="C218">
            <v>883</v>
          </cell>
          <cell r="D218" t="str">
            <v>-  CU. BUSDUCT (OUTDOOR) 1,350 A.</v>
          </cell>
          <cell r="E218">
            <v>30000</v>
          </cell>
          <cell r="F218">
            <v>700</v>
          </cell>
          <cell r="G218" t="str">
            <v>M.</v>
          </cell>
        </row>
        <row r="219">
          <cell r="C219">
            <v>884</v>
          </cell>
          <cell r="D219" t="str">
            <v>-  CU. BUSDUCT (OUTDOOR) 1,600 A.</v>
          </cell>
          <cell r="E219">
            <v>32000</v>
          </cell>
          <cell r="F219">
            <v>800</v>
          </cell>
          <cell r="G219" t="str">
            <v>M.</v>
          </cell>
        </row>
        <row r="220">
          <cell r="C220">
            <v>885</v>
          </cell>
          <cell r="D220" t="str">
            <v>-  CU. BUSDUCT (OUTDOOR) 2,000 A.</v>
          </cell>
          <cell r="E220">
            <v>33000</v>
          </cell>
          <cell r="F220">
            <v>800</v>
          </cell>
          <cell r="G220" t="str">
            <v>M.</v>
          </cell>
        </row>
        <row r="221">
          <cell r="C221">
            <v>886</v>
          </cell>
          <cell r="D221" t="str">
            <v>-  CU. BUSDUCT (OUTDOOR) 2,500 A.</v>
          </cell>
          <cell r="E221">
            <v>50000</v>
          </cell>
          <cell r="F221">
            <v>1000</v>
          </cell>
          <cell r="G221" t="str">
            <v>M.</v>
          </cell>
        </row>
        <row r="222">
          <cell r="C222">
            <v>887</v>
          </cell>
          <cell r="D222" t="str">
            <v>-  CU. BUSDUCT (OUTDOOR) 3,000 A.</v>
          </cell>
          <cell r="E222">
            <v>58000</v>
          </cell>
          <cell r="F222">
            <v>1000</v>
          </cell>
          <cell r="G222" t="str">
            <v>M.</v>
          </cell>
        </row>
        <row r="223">
          <cell r="C223">
            <v>888</v>
          </cell>
          <cell r="D223" t="str">
            <v>-  CU. BUSDUCT (OUTDOOR) 4,000 A.</v>
          </cell>
          <cell r="E223">
            <v>67000</v>
          </cell>
          <cell r="F223">
            <v>1000</v>
          </cell>
          <cell r="G223" t="str">
            <v>M.</v>
          </cell>
        </row>
        <row r="224">
          <cell r="C224">
            <v>889</v>
          </cell>
          <cell r="D224" t="str">
            <v>-  CU. BUSDUCT (OUTDOOR) 5,000 A.</v>
          </cell>
          <cell r="E224">
            <v>80000</v>
          </cell>
          <cell r="F224">
            <v>1000</v>
          </cell>
          <cell r="G224" t="str">
            <v>M.</v>
          </cell>
        </row>
        <row r="225">
          <cell r="C225">
            <v>376</v>
          </cell>
          <cell r="D225" t="str">
            <v>SPACE</v>
          </cell>
          <cell r="E225">
            <v>1513</v>
          </cell>
          <cell r="F225">
            <v>90</v>
          </cell>
          <cell r="G225" t="str">
            <v>M.</v>
          </cell>
        </row>
        <row r="226">
          <cell r="C226">
            <v>377</v>
          </cell>
          <cell r="D226" t="str">
            <v>-  72/C - 62.5/125 FIBER OPTIC, LOOSE BUFFER, ARMORED</v>
          </cell>
          <cell r="E226">
            <v>1745</v>
          </cell>
          <cell r="F226">
            <v>100</v>
          </cell>
          <cell r="G226" t="str">
            <v>M.</v>
          </cell>
        </row>
        <row r="227">
          <cell r="C227">
            <v>326</v>
          </cell>
          <cell r="D227" t="str">
            <v>SPACE</v>
          </cell>
          <cell r="E227">
            <v>1832</v>
          </cell>
          <cell r="F227">
            <v>130</v>
          </cell>
          <cell r="G227" t="str">
            <v>M.</v>
          </cell>
        </row>
        <row r="228">
          <cell r="C228">
            <v>4</v>
          </cell>
          <cell r="D228" t="str">
            <v>FIRE ALARM SYSTEM</v>
          </cell>
          <cell r="E228">
            <v>2131</v>
          </cell>
          <cell r="F228">
            <v>140</v>
          </cell>
          <cell r="G228" t="str">
            <v>M.</v>
          </cell>
        </row>
        <row r="229">
          <cell r="C229">
            <v>401</v>
          </cell>
          <cell r="D229" t="str">
            <v>-  COMBINATION DETECTOR</v>
          </cell>
          <cell r="E229">
            <v>1200</v>
          </cell>
          <cell r="F229">
            <v>100</v>
          </cell>
          <cell r="G229" t="str">
            <v>EA.</v>
          </cell>
        </row>
        <row r="230">
          <cell r="C230">
            <v>402</v>
          </cell>
          <cell r="D230" t="str">
            <v>-  RATE OR RISE DETECTOR</v>
          </cell>
          <cell r="E230">
            <v>700</v>
          </cell>
          <cell r="F230">
            <v>100</v>
          </cell>
          <cell r="G230" t="str">
            <v>EA.</v>
          </cell>
        </row>
        <row r="231">
          <cell r="C231">
            <v>403</v>
          </cell>
          <cell r="D231" t="str">
            <v>-  FIXED TEMP DETECTOR</v>
          </cell>
          <cell r="E231">
            <v>700</v>
          </cell>
          <cell r="F231">
            <v>100</v>
          </cell>
          <cell r="G231" t="str">
            <v>EA.</v>
          </cell>
        </row>
        <row r="232">
          <cell r="C232">
            <v>404</v>
          </cell>
          <cell r="D232" t="str">
            <v>-  IONIZATION SMOKE DETECTOR</v>
          </cell>
          <cell r="E232">
            <v>2000</v>
          </cell>
          <cell r="F232">
            <v>100</v>
          </cell>
          <cell r="G232" t="str">
            <v>EA.</v>
          </cell>
        </row>
        <row r="233">
          <cell r="C233">
            <v>405</v>
          </cell>
          <cell r="D233" t="str">
            <v>-  PHOTO ELECTRIC SMOKE DETECTOR</v>
          </cell>
          <cell r="E233">
            <v>2500</v>
          </cell>
          <cell r="F233">
            <v>100</v>
          </cell>
          <cell r="G233" t="str">
            <v>EA.</v>
          </cell>
        </row>
        <row r="234">
          <cell r="C234">
            <v>406</v>
          </cell>
          <cell r="D234" t="str">
            <v>-  BEAM SMOKE DETECTOR</v>
          </cell>
          <cell r="E234">
            <v>30000</v>
          </cell>
          <cell r="F234">
            <v>500</v>
          </cell>
          <cell r="G234" t="str">
            <v>EA.</v>
          </cell>
        </row>
        <row r="235">
          <cell r="C235">
            <v>407</v>
          </cell>
          <cell r="D235" t="str">
            <v>-  MANUAL STATION</v>
          </cell>
          <cell r="E235">
            <v>2000</v>
          </cell>
          <cell r="F235">
            <v>100</v>
          </cell>
          <cell r="G235" t="str">
            <v>EA.</v>
          </cell>
        </row>
        <row r="236">
          <cell r="C236">
            <v>408</v>
          </cell>
          <cell r="D236" t="str">
            <v>-  MANUAL STATION W./KEY OPERATE</v>
          </cell>
          <cell r="E236">
            <v>2500</v>
          </cell>
          <cell r="F236">
            <v>100</v>
          </cell>
          <cell r="G236" t="str">
            <v>EA.</v>
          </cell>
        </row>
        <row r="237">
          <cell r="C237">
            <v>409</v>
          </cell>
          <cell r="D237" t="str">
            <v>-  TELEPHONE STATION</v>
          </cell>
          <cell r="E237">
            <v>400</v>
          </cell>
          <cell r="F237">
            <v>100</v>
          </cell>
          <cell r="G237" t="str">
            <v>EA.</v>
          </cell>
        </row>
        <row r="238">
          <cell r="C238">
            <v>410</v>
          </cell>
          <cell r="D238" t="str">
            <v>-  6" ELECTRIC BELL</v>
          </cell>
          <cell r="E238">
            <v>2200</v>
          </cell>
          <cell r="F238">
            <v>100</v>
          </cell>
          <cell r="G238" t="str">
            <v>EA.</v>
          </cell>
        </row>
        <row r="239">
          <cell r="C239">
            <v>411</v>
          </cell>
          <cell r="D239" t="str">
            <v>-  STROBE LIGHT</v>
          </cell>
          <cell r="E239">
            <v>3000</v>
          </cell>
          <cell r="F239">
            <v>100</v>
          </cell>
          <cell r="G239" t="str">
            <v>EA.</v>
          </cell>
        </row>
        <row r="240">
          <cell r="C240">
            <v>412</v>
          </cell>
          <cell r="D240" t="str">
            <v>-  STROBE LIGHT W./SPEAKER</v>
          </cell>
          <cell r="E240">
            <v>5500</v>
          </cell>
          <cell r="F240">
            <v>100</v>
          </cell>
          <cell r="G240" t="str">
            <v>EA.</v>
          </cell>
        </row>
        <row r="241">
          <cell r="C241">
            <v>340</v>
          </cell>
          <cell r="D241" t="str">
            <v>SPACE</v>
          </cell>
          <cell r="E241">
            <v>1158</v>
          </cell>
          <cell r="F241">
            <v>150</v>
          </cell>
          <cell r="G241" t="str">
            <v>M.</v>
          </cell>
        </row>
        <row r="242">
          <cell r="C242">
            <v>421</v>
          </cell>
          <cell r="D242" t="str">
            <v>-  16 ZONE TELEPHONE MODULE</v>
          </cell>
          <cell r="E242">
            <v>100000</v>
          </cell>
          <cell r="F242">
            <v>5000</v>
          </cell>
          <cell r="G242" t="str">
            <v>SET</v>
          </cell>
        </row>
        <row r="243">
          <cell r="C243">
            <v>422</v>
          </cell>
          <cell r="D243" t="str">
            <v>-  2 LOOP MULTIPLEX FCP</v>
          </cell>
          <cell r="E243">
            <v>150000</v>
          </cell>
          <cell r="F243">
            <v>20000</v>
          </cell>
          <cell r="G243" t="str">
            <v>SET</v>
          </cell>
        </row>
        <row r="244">
          <cell r="C244">
            <v>423</v>
          </cell>
          <cell r="D244" t="str">
            <v>-  10 LOOP MULTIPLEX FCP</v>
          </cell>
          <cell r="E244">
            <v>400000</v>
          </cell>
          <cell r="F244">
            <v>40000</v>
          </cell>
          <cell r="G244" t="str">
            <v>SET</v>
          </cell>
        </row>
        <row r="245">
          <cell r="C245">
            <v>424</v>
          </cell>
          <cell r="D245" t="str">
            <v>-  8 ZONE HARD-WIRE FCP</v>
          </cell>
          <cell r="E245">
            <v>50000</v>
          </cell>
          <cell r="F245">
            <v>5000</v>
          </cell>
          <cell r="G245" t="str">
            <v>SET</v>
          </cell>
        </row>
        <row r="246">
          <cell r="C246">
            <v>425</v>
          </cell>
          <cell r="D246" t="str">
            <v>-  12 ZONE HARD-WIRE FCP</v>
          </cell>
          <cell r="E246">
            <v>70000</v>
          </cell>
          <cell r="F246">
            <v>8000</v>
          </cell>
          <cell r="G246" t="str">
            <v>SET</v>
          </cell>
        </row>
        <row r="247">
          <cell r="C247">
            <v>426</v>
          </cell>
          <cell r="D247" t="str">
            <v>-  36 ZONE HARD-WIRE FCP</v>
          </cell>
          <cell r="E247">
            <v>105000</v>
          </cell>
          <cell r="F247">
            <v>15000</v>
          </cell>
          <cell r="G247" t="str">
            <v>SET</v>
          </cell>
        </row>
        <row r="248">
          <cell r="C248">
            <v>427</v>
          </cell>
          <cell r="D248" t="str">
            <v>-  52 ZONE HARD-WIRE FCP</v>
          </cell>
          <cell r="E248">
            <v>300000</v>
          </cell>
          <cell r="F248">
            <v>30000</v>
          </cell>
          <cell r="G248" t="str">
            <v>SET</v>
          </cell>
        </row>
        <row r="249">
          <cell r="C249">
            <v>348</v>
          </cell>
          <cell r="D249" t="str">
            <v>SPACE</v>
          </cell>
          <cell r="E249">
            <v>3166</v>
          </cell>
          <cell r="F249">
            <v>220</v>
          </cell>
          <cell r="G249" t="str">
            <v>M.</v>
          </cell>
        </row>
        <row r="250">
          <cell r="C250">
            <v>5</v>
          </cell>
          <cell r="D250" t="str">
            <v>BURGLAR ALARM</v>
          </cell>
          <cell r="E250">
            <v>3709</v>
          </cell>
          <cell r="F250">
            <v>240</v>
          </cell>
          <cell r="G250" t="str">
            <v>M.</v>
          </cell>
        </row>
        <row r="251">
          <cell r="C251">
            <v>501</v>
          </cell>
          <cell r="D251" t="str">
            <v>-  16 ZONE BURGLAR ALARM CONTROL CENTER</v>
          </cell>
          <cell r="E251">
            <v>23000</v>
          </cell>
          <cell r="F251">
            <v>2000</v>
          </cell>
          <cell r="G251" t="str">
            <v>SET</v>
          </cell>
        </row>
        <row r="252">
          <cell r="C252">
            <v>502</v>
          </cell>
          <cell r="D252" t="str">
            <v>-  32 ZONE BURGLAR ALARM CONTROL CENTER</v>
          </cell>
          <cell r="E252">
            <v>32000</v>
          </cell>
          <cell r="F252">
            <v>3000</v>
          </cell>
          <cell r="G252" t="str">
            <v>SET</v>
          </cell>
        </row>
        <row r="253">
          <cell r="C253">
            <v>503</v>
          </cell>
          <cell r="D253" t="str">
            <v>-  6  ZONE BURGLAR ALARM</v>
          </cell>
          <cell r="E253">
            <v>12600</v>
          </cell>
          <cell r="F253">
            <v>1000</v>
          </cell>
          <cell r="G253" t="str">
            <v>SET</v>
          </cell>
        </row>
        <row r="254">
          <cell r="C254">
            <v>504</v>
          </cell>
          <cell r="D254" t="str">
            <v>-  16 ZONE BURGLAR ALARM</v>
          </cell>
          <cell r="E254">
            <v>17000</v>
          </cell>
          <cell r="F254">
            <v>1500</v>
          </cell>
          <cell r="G254" t="str">
            <v>SET</v>
          </cell>
        </row>
        <row r="255">
          <cell r="C255">
            <v>505</v>
          </cell>
          <cell r="D255" t="str">
            <v>-  INFRARED MOTION DETECTOR</v>
          </cell>
          <cell r="E255">
            <v>4250</v>
          </cell>
          <cell r="F255">
            <v>200</v>
          </cell>
          <cell r="G255" t="str">
            <v>EA.</v>
          </cell>
        </row>
        <row r="256">
          <cell r="C256">
            <v>506</v>
          </cell>
          <cell r="D256" t="str">
            <v>-  DUAL MODE MOTION DETECTOR</v>
          </cell>
          <cell r="E256">
            <v>9500</v>
          </cell>
          <cell r="F256">
            <v>500</v>
          </cell>
          <cell r="G256" t="str">
            <v>EA.</v>
          </cell>
        </row>
        <row r="257">
          <cell r="C257">
            <v>507</v>
          </cell>
          <cell r="D257" t="str">
            <v>-  DUAL BEAM MOTION DETECTOR</v>
          </cell>
          <cell r="E257">
            <v>35000</v>
          </cell>
          <cell r="F257">
            <v>500</v>
          </cell>
          <cell r="G257" t="str">
            <v>EA.</v>
          </cell>
        </row>
        <row r="258">
          <cell r="C258">
            <v>508</v>
          </cell>
          <cell r="D258" t="str">
            <v>-  DUAL BEAM MOTION DETECTOR</v>
          </cell>
          <cell r="E258">
            <v>23000</v>
          </cell>
          <cell r="F258">
            <v>500</v>
          </cell>
          <cell r="G258" t="str">
            <v>EA.</v>
          </cell>
        </row>
        <row r="259">
          <cell r="C259">
            <v>509</v>
          </cell>
          <cell r="D259" t="str">
            <v>-  BRAKE GLASS DETECTOR</v>
          </cell>
          <cell r="E259">
            <v>7200</v>
          </cell>
          <cell r="F259">
            <v>200</v>
          </cell>
          <cell r="G259" t="str">
            <v>EA.</v>
          </cell>
        </row>
        <row r="260">
          <cell r="C260">
            <v>510</v>
          </cell>
          <cell r="D260" t="str">
            <v>-  MAGNETIC CONTACTOR</v>
          </cell>
          <cell r="E260">
            <v>580</v>
          </cell>
          <cell r="F260">
            <v>300</v>
          </cell>
          <cell r="G260" t="str">
            <v>EA.</v>
          </cell>
        </row>
        <row r="261">
          <cell r="C261">
            <v>511</v>
          </cell>
          <cell r="D261" t="str">
            <v>-  INITIATING PUSH DUTION</v>
          </cell>
          <cell r="E261">
            <v>710</v>
          </cell>
          <cell r="F261">
            <v>100</v>
          </cell>
          <cell r="G261" t="str">
            <v>EA.</v>
          </cell>
        </row>
        <row r="262">
          <cell r="C262">
            <v>512</v>
          </cell>
          <cell r="D262" t="str">
            <v>-  KEY PAD 8 ZONE</v>
          </cell>
          <cell r="E262">
            <v>4500</v>
          </cell>
          <cell r="F262">
            <v>100</v>
          </cell>
          <cell r="G262" t="str">
            <v>EA.</v>
          </cell>
        </row>
        <row r="263">
          <cell r="C263">
            <v>513</v>
          </cell>
          <cell r="D263" t="str">
            <v>-  KEY PAD 16 ZONE</v>
          </cell>
          <cell r="E263">
            <v>6200</v>
          </cell>
          <cell r="F263">
            <v>200</v>
          </cell>
          <cell r="G263" t="str">
            <v>EA.</v>
          </cell>
        </row>
        <row r="264">
          <cell r="C264">
            <v>514</v>
          </cell>
          <cell r="D264" t="str">
            <v>-  KEY PAD 16 ZONE</v>
          </cell>
          <cell r="E264">
            <v>19000</v>
          </cell>
          <cell r="F264">
            <v>200</v>
          </cell>
          <cell r="G264" t="str">
            <v>EA.</v>
          </cell>
        </row>
        <row r="265">
          <cell r="C265">
            <v>515</v>
          </cell>
          <cell r="D265" t="str">
            <v>-  KEY CARD ACCESS</v>
          </cell>
          <cell r="E265">
            <v>15000</v>
          </cell>
          <cell r="F265">
            <v>200</v>
          </cell>
          <cell r="G265" t="str">
            <v>EA.</v>
          </cell>
        </row>
        <row r="266">
          <cell r="C266">
            <v>365</v>
          </cell>
          <cell r="D266" t="str">
            <v>-  1/C - 150 SQ.MM. 35 KV.XLPE</v>
          </cell>
          <cell r="E266">
            <v>0</v>
          </cell>
          <cell r="F266">
            <v>90</v>
          </cell>
          <cell r="G266" t="str">
            <v>M.</v>
          </cell>
        </row>
        <row r="267">
          <cell r="C267">
            <v>366</v>
          </cell>
          <cell r="D267" t="str">
            <v>-  1/C - 185 SQ.MM. 35 KV.XLPE</v>
          </cell>
          <cell r="E267">
            <v>0</v>
          </cell>
          <cell r="F267">
            <v>100</v>
          </cell>
          <cell r="G267" t="str">
            <v>M.</v>
          </cell>
        </row>
        <row r="268">
          <cell r="C268">
            <v>367</v>
          </cell>
          <cell r="D268" t="str">
            <v>-  1/C - 240 SQ.MM. 35 KV.XLPE</v>
          </cell>
          <cell r="E268">
            <v>0</v>
          </cell>
          <cell r="F268">
            <v>110</v>
          </cell>
          <cell r="G268" t="str">
            <v>M.</v>
          </cell>
        </row>
        <row r="269">
          <cell r="D269" t="str">
            <v>SPACE</v>
          </cell>
        </row>
        <row r="270">
          <cell r="C270">
            <v>369</v>
          </cell>
          <cell r="D270" t="str">
            <v>-  1/C - 35 SQ.MM. 25 KV.PIC</v>
          </cell>
          <cell r="E270">
            <v>108</v>
          </cell>
          <cell r="F270">
            <v>20</v>
          </cell>
          <cell r="G270" t="str">
            <v>M.</v>
          </cell>
        </row>
        <row r="271">
          <cell r="C271">
            <v>370</v>
          </cell>
          <cell r="D271" t="str">
            <v>-  1/C - 50 SQ.MM. 25 KV.PIC</v>
          </cell>
          <cell r="E271">
            <v>128</v>
          </cell>
          <cell r="F271">
            <v>25</v>
          </cell>
          <cell r="G271" t="str">
            <v>M.</v>
          </cell>
        </row>
        <row r="272">
          <cell r="C272">
            <v>371</v>
          </cell>
          <cell r="D272" t="str">
            <v>-  1/C - 70 SQ.MM. 25 KV.PIC</v>
          </cell>
          <cell r="E272">
            <v>148</v>
          </cell>
          <cell r="F272">
            <v>30</v>
          </cell>
          <cell r="G272" t="str">
            <v>M.</v>
          </cell>
        </row>
        <row r="273">
          <cell r="C273">
            <v>372</v>
          </cell>
          <cell r="D273" t="str">
            <v>-  1/C - 95 SQ.MM. 25 KV.PIC</v>
          </cell>
          <cell r="E273">
            <v>178</v>
          </cell>
          <cell r="F273">
            <v>35</v>
          </cell>
          <cell r="G273" t="str">
            <v>M.</v>
          </cell>
        </row>
        <row r="274">
          <cell r="C274">
            <v>373</v>
          </cell>
          <cell r="D274" t="str">
            <v>-  1/C - 120 SQ.MM. 25 KV.PIC</v>
          </cell>
          <cell r="E274">
            <v>208</v>
          </cell>
          <cell r="F274">
            <v>40</v>
          </cell>
          <cell r="G274" t="str">
            <v>M.</v>
          </cell>
        </row>
        <row r="275">
          <cell r="C275">
            <v>374</v>
          </cell>
          <cell r="D275" t="str">
            <v>-  1/C - 150 SQ.MM. 25 KV.PIC</v>
          </cell>
          <cell r="E275">
            <v>248</v>
          </cell>
          <cell r="F275">
            <v>60</v>
          </cell>
          <cell r="G275" t="str">
            <v>M.</v>
          </cell>
        </row>
        <row r="276">
          <cell r="C276">
            <v>375</v>
          </cell>
          <cell r="D276" t="str">
            <v>-  1/C - 185 SQ.MM. 25 KV.PIC</v>
          </cell>
          <cell r="E276">
            <v>288</v>
          </cell>
          <cell r="F276">
            <v>70</v>
          </cell>
          <cell r="G276" t="str">
            <v>M.</v>
          </cell>
        </row>
        <row r="277">
          <cell r="C277">
            <v>376</v>
          </cell>
          <cell r="D277" t="str">
            <v>-  1/C - 240 SQ.MM. 25 KV.PIC</v>
          </cell>
          <cell r="E277">
            <v>348</v>
          </cell>
          <cell r="F277">
            <v>75</v>
          </cell>
          <cell r="G277" t="str">
            <v>M.</v>
          </cell>
        </row>
        <row r="278">
          <cell r="C278">
            <v>377</v>
          </cell>
          <cell r="D278" t="str">
            <v>-  1/C - 35 SQ.MM. 35 KV.PIC</v>
          </cell>
          <cell r="E278">
            <v>0</v>
          </cell>
          <cell r="F278">
            <v>30</v>
          </cell>
          <cell r="G278" t="str">
            <v>M.</v>
          </cell>
        </row>
        <row r="279">
          <cell r="C279">
            <v>378</v>
          </cell>
          <cell r="D279" t="str">
            <v>-  1/C - 50 SQ.MM. 35 KV.PIC</v>
          </cell>
          <cell r="E279">
            <v>0</v>
          </cell>
          <cell r="F279">
            <v>35</v>
          </cell>
          <cell r="G279" t="str">
            <v>M.</v>
          </cell>
        </row>
        <row r="280">
          <cell r="C280">
            <v>379</v>
          </cell>
          <cell r="D280" t="str">
            <v>-  1/C - 70 SQ.MM. 35 KV.PIC</v>
          </cell>
          <cell r="E280">
            <v>0</v>
          </cell>
          <cell r="F280">
            <v>40</v>
          </cell>
          <cell r="G280" t="str">
            <v>M.</v>
          </cell>
        </row>
        <row r="281">
          <cell r="C281">
            <v>380</v>
          </cell>
          <cell r="D281" t="str">
            <v>-  1/C - 95 SQ.MM. 35 KV.PIC</v>
          </cell>
          <cell r="E281">
            <v>0</v>
          </cell>
          <cell r="F281">
            <v>60</v>
          </cell>
          <cell r="G281" t="str">
            <v>M.</v>
          </cell>
        </row>
        <row r="282">
          <cell r="C282">
            <v>381</v>
          </cell>
          <cell r="D282" t="str">
            <v>-  1/C - 120 SQ.MM. 35 KV.PIC</v>
          </cell>
          <cell r="E282">
            <v>0</v>
          </cell>
          <cell r="F282">
            <v>70</v>
          </cell>
          <cell r="G282" t="str">
            <v>M.</v>
          </cell>
        </row>
        <row r="283">
          <cell r="C283">
            <v>382</v>
          </cell>
          <cell r="D283" t="str">
            <v>-  1/C - 150 SQ.MM. 35 KV.PIC</v>
          </cell>
          <cell r="E283">
            <v>0</v>
          </cell>
          <cell r="F283">
            <v>75</v>
          </cell>
          <cell r="G283" t="str">
            <v>M.</v>
          </cell>
        </row>
        <row r="284">
          <cell r="C284">
            <v>383</v>
          </cell>
          <cell r="D284" t="str">
            <v>-  1/C - 185 SQ.MM. 35 KV.PIC</v>
          </cell>
          <cell r="E284">
            <v>0</v>
          </cell>
          <cell r="F284">
            <v>80</v>
          </cell>
          <cell r="G284" t="str">
            <v>M.</v>
          </cell>
        </row>
        <row r="285">
          <cell r="C285">
            <v>384</v>
          </cell>
          <cell r="D285" t="str">
            <v>-  1/C - 240 SQ.MM. 35 KV.PIC</v>
          </cell>
          <cell r="E285">
            <v>0</v>
          </cell>
          <cell r="F285">
            <v>85</v>
          </cell>
          <cell r="G285" t="str">
            <v>M.</v>
          </cell>
        </row>
        <row r="286">
          <cell r="D286" t="str">
            <v>SPACE</v>
          </cell>
        </row>
        <row r="287">
          <cell r="C287">
            <v>386</v>
          </cell>
          <cell r="D287" t="str">
            <v>-  1/C - 35 SQ.MM. 25 KV.SPACED AERIAL</v>
          </cell>
          <cell r="E287">
            <v>160</v>
          </cell>
          <cell r="F287">
            <v>25</v>
          </cell>
          <cell r="G287" t="str">
            <v>M.</v>
          </cell>
        </row>
        <row r="288">
          <cell r="C288">
            <v>387</v>
          </cell>
          <cell r="D288" t="str">
            <v>-  1/C - 50 SQ.MM. 25 KV.SPACED AERIAL</v>
          </cell>
          <cell r="E288">
            <v>190</v>
          </cell>
          <cell r="F288">
            <v>30</v>
          </cell>
          <cell r="G288" t="str">
            <v>M.</v>
          </cell>
        </row>
        <row r="289">
          <cell r="C289">
            <v>388</v>
          </cell>
          <cell r="D289" t="str">
            <v>-  1/C - 70 SQ.MM. 25 KV.SPACED AERIAL</v>
          </cell>
          <cell r="E289">
            <v>220</v>
          </cell>
          <cell r="F289">
            <v>35</v>
          </cell>
          <cell r="G289" t="str">
            <v>M.</v>
          </cell>
        </row>
        <row r="290">
          <cell r="C290">
            <v>389</v>
          </cell>
          <cell r="D290" t="str">
            <v>-  1/C - 95 SQ.MM. 25 KV.SPACED AERIAL</v>
          </cell>
          <cell r="E290">
            <v>260</v>
          </cell>
          <cell r="F290">
            <v>40</v>
          </cell>
          <cell r="G290" t="str">
            <v>M.</v>
          </cell>
        </row>
        <row r="291">
          <cell r="C291">
            <v>390</v>
          </cell>
          <cell r="D291" t="str">
            <v>-  1/C - 120 SQ.MM. 25 KV.SPACED AERIAL</v>
          </cell>
          <cell r="E291">
            <v>300</v>
          </cell>
          <cell r="F291">
            <v>60</v>
          </cell>
          <cell r="G291" t="str">
            <v>M.</v>
          </cell>
        </row>
        <row r="292">
          <cell r="C292">
            <v>391</v>
          </cell>
          <cell r="D292" t="str">
            <v>-  1/C - 150 SQ.MM. 25 KV.SPACED AERIAL</v>
          </cell>
          <cell r="E292">
            <v>340</v>
          </cell>
          <cell r="F292">
            <v>70</v>
          </cell>
          <cell r="G292" t="str">
            <v>M.</v>
          </cell>
        </row>
        <row r="293">
          <cell r="C293">
            <v>392</v>
          </cell>
          <cell r="D293" t="str">
            <v>-  1/C - 185 SQ.MM. 25 KV.SPACED AERIAL</v>
          </cell>
          <cell r="E293">
            <v>390</v>
          </cell>
          <cell r="F293">
            <v>75</v>
          </cell>
          <cell r="G293" t="str">
            <v>M.</v>
          </cell>
        </row>
        <row r="294">
          <cell r="C294">
            <v>393</v>
          </cell>
          <cell r="D294" t="str">
            <v>-  1/C - 240 SQ.MM. 25 KV.SPACED AERIAL</v>
          </cell>
          <cell r="E294">
            <v>470</v>
          </cell>
          <cell r="F294">
            <v>80</v>
          </cell>
          <cell r="G294" t="str">
            <v>M.</v>
          </cell>
        </row>
        <row r="295">
          <cell r="C295">
            <v>394</v>
          </cell>
          <cell r="D295" t="str">
            <v>-  1/C - 35 SQ.MM. 35 KV.SPACED AERIAL</v>
          </cell>
          <cell r="E295">
            <v>0</v>
          </cell>
          <cell r="F295">
            <v>75</v>
          </cell>
          <cell r="G295" t="str">
            <v>M.</v>
          </cell>
        </row>
        <row r="296">
          <cell r="C296">
            <v>395</v>
          </cell>
          <cell r="D296" t="str">
            <v>-  1/C - 50 SQ.MM. 35 KV.SPACED AERIAL</v>
          </cell>
          <cell r="E296">
            <v>0</v>
          </cell>
          <cell r="F296">
            <v>89</v>
          </cell>
          <cell r="G296" t="str">
            <v>M.</v>
          </cell>
        </row>
        <row r="297">
          <cell r="C297">
            <v>396</v>
          </cell>
          <cell r="D297" t="str">
            <v>-  1/C - 70 SQ.MM. 35 KV.SPACED AERIAL</v>
          </cell>
          <cell r="E297">
            <v>0</v>
          </cell>
          <cell r="F297">
            <v>85</v>
          </cell>
          <cell r="G297" t="str">
            <v>M.</v>
          </cell>
        </row>
        <row r="298">
          <cell r="C298">
            <v>397</v>
          </cell>
          <cell r="D298" t="str">
            <v>-  1/C - 95 SQ.MM. 35 KV.SPACED AERIAL</v>
          </cell>
          <cell r="E298">
            <v>0</v>
          </cell>
          <cell r="F298">
            <v>90</v>
          </cell>
          <cell r="G298" t="str">
            <v>M.</v>
          </cell>
        </row>
        <row r="299">
          <cell r="C299">
            <v>398</v>
          </cell>
          <cell r="D299" t="str">
            <v>-  1/C - 120 SQ.MM. 35 KV.SPACED AERIAL</v>
          </cell>
          <cell r="E299">
            <v>0</v>
          </cell>
          <cell r="F299">
            <v>100</v>
          </cell>
          <cell r="G299" t="str">
            <v>M.</v>
          </cell>
        </row>
        <row r="300">
          <cell r="C300">
            <v>399</v>
          </cell>
          <cell r="D300" t="str">
            <v>-  1/C - 150 SQ.MM. 35 KV.SPACED AERIAL</v>
          </cell>
          <cell r="E300">
            <v>0</v>
          </cell>
          <cell r="F300">
            <v>110</v>
          </cell>
          <cell r="G300" t="str">
            <v>M.</v>
          </cell>
        </row>
        <row r="301">
          <cell r="C301">
            <v>400</v>
          </cell>
          <cell r="D301" t="str">
            <v>-  1/C - 185 SQ.MM. 35 KV.SPACED AERIAL</v>
          </cell>
          <cell r="E301">
            <v>0</v>
          </cell>
          <cell r="F301">
            <v>120</v>
          </cell>
          <cell r="G301" t="str">
            <v>M.</v>
          </cell>
        </row>
        <row r="302">
          <cell r="C302">
            <v>401</v>
          </cell>
          <cell r="D302" t="str">
            <v>-  1/C - 240 SQ.MM. 35 KV.SPACED AERIAL</v>
          </cell>
          <cell r="E302">
            <v>0</v>
          </cell>
          <cell r="F302">
            <v>140</v>
          </cell>
          <cell r="G302" t="str">
            <v>M.</v>
          </cell>
        </row>
        <row r="303">
          <cell r="C303">
            <v>402</v>
          </cell>
          <cell r="D303" t="str">
            <v>-  25 SQ.MM. ALL ALUMINIUM CABLE</v>
          </cell>
          <cell r="E303">
            <v>9</v>
          </cell>
          <cell r="F303">
            <v>5</v>
          </cell>
          <cell r="G303" t="str">
            <v>M.</v>
          </cell>
        </row>
        <row r="304">
          <cell r="C304">
            <v>403</v>
          </cell>
          <cell r="D304" t="str">
            <v>-  35 SQ.MM. ALL ALUMINIUM CABLE</v>
          </cell>
          <cell r="E304">
            <v>13</v>
          </cell>
          <cell r="F304">
            <v>6</v>
          </cell>
          <cell r="G304" t="str">
            <v>M.</v>
          </cell>
        </row>
        <row r="305">
          <cell r="C305">
            <v>404</v>
          </cell>
          <cell r="D305" t="str">
            <v>-  50 SQ.MM. ALL ALUMINIUM CABLE</v>
          </cell>
          <cell r="E305">
            <v>18</v>
          </cell>
          <cell r="F305">
            <v>8</v>
          </cell>
          <cell r="G305" t="str">
            <v>M.</v>
          </cell>
        </row>
        <row r="306">
          <cell r="C306">
            <v>405</v>
          </cell>
          <cell r="D306" t="str">
            <v>-  70 SQ.MM. ALL ALUMINIUM CABLE</v>
          </cell>
          <cell r="E306">
            <v>26</v>
          </cell>
          <cell r="F306">
            <v>11</v>
          </cell>
          <cell r="G306" t="str">
            <v>M.</v>
          </cell>
        </row>
        <row r="307">
          <cell r="C307">
            <v>406</v>
          </cell>
          <cell r="D307" t="str">
            <v>-  95 SQ.MM. ALL ALUMINIUM CABLE</v>
          </cell>
          <cell r="E307">
            <v>36</v>
          </cell>
          <cell r="F307">
            <v>16</v>
          </cell>
          <cell r="G307" t="str">
            <v>M.</v>
          </cell>
        </row>
        <row r="308">
          <cell r="C308">
            <v>407</v>
          </cell>
          <cell r="D308" t="str">
            <v>-  120 SQ.MM. ALL ALUMINIUM CABLE</v>
          </cell>
          <cell r="E308">
            <v>46</v>
          </cell>
          <cell r="F308">
            <v>20</v>
          </cell>
          <cell r="G308" t="str">
            <v>M.</v>
          </cell>
        </row>
        <row r="309">
          <cell r="C309">
            <v>408</v>
          </cell>
          <cell r="D309" t="str">
            <v>-  150 SQ.MM. ALL ALUMINIUM CABLE</v>
          </cell>
          <cell r="E309">
            <v>56</v>
          </cell>
          <cell r="F309">
            <v>25</v>
          </cell>
          <cell r="G309" t="str">
            <v>M.</v>
          </cell>
        </row>
        <row r="310">
          <cell r="C310">
            <v>409</v>
          </cell>
          <cell r="D310" t="str">
            <v>-  185 SQ.MM. ALL ALUMINIUM CABLE</v>
          </cell>
          <cell r="E310">
            <v>64</v>
          </cell>
          <cell r="F310">
            <v>30</v>
          </cell>
          <cell r="G310" t="str">
            <v>M.</v>
          </cell>
        </row>
        <row r="311">
          <cell r="C311">
            <v>410</v>
          </cell>
          <cell r="D311" t="str">
            <v>-  25 SQ.MM. ACSR</v>
          </cell>
          <cell r="E311">
            <v>11</v>
          </cell>
          <cell r="F311">
            <v>5</v>
          </cell>
          <cell r="G311" t="str">
            <v>M.</v>
          </cell>
        </row>
        <row r="312">
          <cell r="C312">
            <v>411</v>
          </cell>
          <cell r="D312" t="str">
            <v>-  35 SQ.MM. ACSR</v>
          </cell>
          <cell r="E312">
            <v>15</v>
          </cell>
          <cell r="F312">
            <v>6</v>
          </cell>
          <cell r="G312" t="str">
            <v>M.</v>
          </cell>
        </row>
        <row r="313">
          <cell r="C313">
            <v>412</v>
          </cell>
          <cell r="D313" t="str">
            <v>-  50 SQ.MM. ACSR</v>
          </cell>
          <cell r="E313">
            <v>21</v>
          </cell>
          <cell r="F313">
            <v>8</v>
          </cell>
          <cell r="G313" t="str">
            <v>M.</v>
          </cell>
        </row>
        <row r="314">
          <cell r="C314">
            <v>413</v>
          </cell>
          <cell r="D314" t="str">
            <v>-  70 SQ.MM. ACSR</v>
          </cell>
          <cell r="E314">
            <v>30</v>
          </cell>
          <cell r="F314">
            <v>11</v>
          </cell>
          <cell r="G314" t="str">
            <v>M.</v>
          </cell>
        </row>
        <row r="315">
          <cell r="C315">
            <v>414</v>
          </cell>
          <cell r="D315" t="str">
            <v>-  95 SQ.MM. ACSR</v>
          </cell>
          <cell r="E315">
            <v>42</v>
          </cell>
          <cell r="F315">
            <v>16</v>
          </cell>
          <cell r="G315" t="str">
            <v>M.</v>
          </cell>
        </row>
        <row r="316">
          <cell r="C316">
            <v>415</v>
          </cell>
          <cell r="D316" t="str">
            <v>-  120 SQ.MM. ACSR</v>
          </cell>
          <cell r="E316">
            <v>54</v>
          </cell>
          <cell r="F316">
            <v>20</v>
          </cell>
          <cell r="G316" t="str">
            <v>M.</v>
          </cell>
        </row>
        <row r="317">
          <cell r="C317">
            <v>416</v>
          </cell>
          <cell r="D317" t="str">
            <v>-  150 SQ.MM. ACSR</v>
          </cell>
          <cell r="E317">
            <v>83</v>
          </cell>
          <cell r="F317">
            <v>25</v>
          </cell>
          <cell r="G317" t="str">
            <v>M.</v>
          </cell>
        </row>
        <row r="318">
          <cell r="C318">
            <v>417</v>
          </cell>
          <cell r="D318" t="str">
            <v>-  185 SQ.MM. ACSR</v>
          </cell>
          <cell r="E318">
            <v>0</v>
          </cell>
          <cell r="F318">
            <v>0</v>
          </cell>
          <cell r="G318" t="str">
            <v>M.</v>
          </cell>
        </row>
        <row r="319">
          <cell r="D319" t="str">
            <v>SPACE</v>
          </cell>
        </row>
        <row r="320">
          <cell r="C320">
            <v>45</v>
          </cell>
          <cell r="D320" t="str">
            <v>FIRE - RESISTANT CABLE</v>
          </cell>
        </row>
        <row r="321">
          <cell r="C321">
            <v>451</v>
          </cell>
          <cell r="D321" t="str">
            <v>-  1/C - 0.75 SQ.MM. FR.</v>
          </cell>
          <cell r="E321">
            <v>17</v>
          </cell>
          <cell r="F321">
            <v>1</v>
          </cell>
          <cell r="G321" t="str">
            <v>M.</v>
          </cell>
        </row>
        <row r="322">
          <cell r="C322">
            <v>452</v>
          </cell>
          <cell r="D322" t="str">
            <v>-  1/C - 1.0 SQ.MM. FR.</v>
          </cell>
          <cell r="E322">
            <v>19</v>
          </cell>
          <cell r="F322">
            <v>1</v>
          </cell>
          <cell r="G322" t="str">
            <v>M.</v>
          </cell>
        </row>
        <row r="323">
          <cell r="C323">
            <v>453</v>
          </cell>
          <cell r="D323" t="str">
            <v>-  1/C - 1.5 SQ.MM. FR.</v>
          </cell>
          <cell r="E323">
            <v>20</v>
          </cell>
          <cell r="F323">
            <v>1</v>
          </cell>
          <cell r="G323" t="str">
            <v>M.</v>
          </cell>
        </row>
        <row r="324">
          <cell r="C324">
            <v>454</v>
          </cell>
          <cell r="D324" t="str">
            <v>-  1/C - 2.5 SQ.MM. FR.</v>
          </cell>
          <cell r="E324">
            <v>26</v>
          </cell>
          <cell r="F324">
            <v>2</v>
          </cell>
          <cell r="G324" t="str">
            <v>M.</v>
          </cell>
        </row>
        <row r="325">
          <cell r="C325">
            <v>455</v>
          </cell>
          <cell r="D325" t="str">
            <v>-  1/C - 4 SQ.MM. FR.</v>
          </cell>
          <cell r="E325">
            <v>36</v>
          </cell>
          <cell r="F325">
            <v>2</v>
          </cell>
          <cell r="G325" t="str">
            <v>M.</v>
          </cell>
        </row>
        <row r="326">
          <cell r="C326">
            <v>456</v>
          </cell>
          <cell r="D326" t="str">
            <v>-  1/C - 6 SQ.MM. FR.</v>
          </cell>
          <cell r="E326">
            <v>60</v>
          </cell>
          <cell r="F326">
            <v>3</v>
          </cell>
          <cell r="G326" t="str">
            <v>M.</v>
          </cell>
        </row>
        <row r="327">
          <cell r="C327">
            <v>457</v>
          </cell>
          <cell r="D327" t="str">
            <v>-  1/C - 10 SQ.MM. FR.</v>
          </cell>
          <cell r="E327">
            <v>82</v>
          </cell>
          <cell r="F327">
            <v>5</v>
          </cell>
          <cell r="G327" t="str">
            <v>M.</v>
          </cell>
        </row>
        <row r="328">
          <cell r="C328">
            <v>458</v>
          </cell>
          <cell r="D328" t="str">
            <v>-  1/C - 16 SQ.MM. FR.</v>
          </cell>
          <cell r="E328">
            <v>96</v>
          </cell>
          <cell r="F328">
            <v>6</v>
          </cell>
          <cell r="G328" t="str">
            <v>M.</v>
          </cell>
        </row>
        <row r="329">
          <cell r="C329">
            <v>459</v>
          </cell>
          <cell r="D329" t="str">
            <v>-  1/C - 25 SQ.MM. FR.</v>
          </cell>
          <cell r="E329">
            <v>130</v>
          </cell>
          <cell r="F329">
            <v>8</v>
          </cell>
          <cell r="G329" t="str">
            <v>M.</v>
          </cell>
        </row>
        <row r="330">
          <cell r="C330">
            <v>460</v>
          </cell>
          <cell r="D330" t="str">
            <v>-  1/C - 35 SQ.MM. FR.</v>
          </cell>
          <cell r="E330">
            <v>184</v>
          </cell>
          <cell r="F330">
            <v>11</v>
          </cell>
          <cell r="G330" t="str">
            <v>M.</v>
          </cell>
        </row>
        <row r="331">
          <cell r="C331">
            <v>461</v>
          </cell>
          <cell r="D331" t="str">
            <v>-  1/C - 50 SQ.MM. FR.</v>
          </cell>
          <cell r="E331">
            <v>264</v>
          </cell>
          <cell r="F331">
            <v>16</v>
          </cell>
          <cell r="G331" t="str">
            <v>M.</v>
          </cell>
        </row>
        <row r="332">
          <cell r="C332">
            <v>462</v>
          </cell>
          <cell r="D332" t="str">
            <v>-  1/C - 70 SQ.MM. FR.</v>
          </cell>
          <cell r="E332">
            <v>330</v>
          </cell>
          <cell r="F332">
            <v>20</v>
          </cell>
          <cell r="G332" t="str">
            <v>M.</v>
          </cell>
        </row>
        <row r="333">
          <cell r="C333">
            <v>463</v>
          </cell>
          <cell r="D333" t="str">
            <v>-  1/C - 95 SQ.MM. FR.</v>
          </cell>
          <cell r="E333">
            <v>396</v>
          </cell>
          <cell r="F333">
            <v>25</v>
          </cell>
          <cell r="G333" t="str">
            <v>M.</v>
          </cell>
        </row>
        <row r="334">
          <cell r="C334">
            <v>464</v>
          </cell>
          <cell r="D334" t="str">
            <v>-  1/C - 120 SQ.MM. FR.</v>
          </cell>
          <cell r="E334">
            <v>488</v>
          </cell>
          <cell r="F334">
            <v>30</v>
          </cell>
          <cell r="G334" t="str">
            <v>M.</v>
          </cell>
        </row>
        <row r="335">
          <cell r="C335">
            <v>465</v>
          </cell>
          <cell r="D335" t="str">
            <v>-  1/C - 150 SQ.MM. FR.</v>
          </cell>
          <cell r="E335">
            <v>589</v>
          </cell>
          <cell r="F335">
            <v>35</v>
          </cell>
          <cell r="G335" t="str">
            <v>M.</v>
          </cell>
        </row>
        <row r="336">
          <cell r="C336">
            <v>466</v>
          </cell>
          <cell r="D336" t="str">
            <v>-  1/C - 185 SQ.MM. FR.</v>
          </cell>
          <cell r="E336">
            <v>688</v>
          </cell>
          <cell r="F336">
            <v>40</v>
          </cell>
          <cell r="G336" t="str">
            <v>M.</v>
          </cell>
        </row>
        <row r="337">
          <cell r="C337">
            <v>467</v>
          </cell>
          <cell r="D337" t="str">
            <v>-  1/C - 240 SQ.MM. FR.</v>
          </cell>
          <cell r="E337">
            <v>852</v>
          </cell>
          <cell r="F337">
            <v>50</v>
          </cell>
          <cell r="G337" t="str">
            <v>M.</v>
          </cell>
        </row>
        <row r="338">
          <cell r="C338">
            <v>468</v>
          </cell>
          <cell r="D338" t="str">
            <v>-  1/C - 300 SQ.MM. FR.</v>
          </cell>
          <cell r="E338">
            <v>1088</v>
          </cell>
          <cell r="F338">
            <v>60</v>
          </cell>
          <cell r="G338" t="str">
            <v>M.</v>
          </cell>
        </row>
        <row r="339">
          <cell r="C339">
            <v>469</v>
          </cell>
          <cell r="D339" t="str">
            <v>-  1/C - 400 SQ.MM. FR.</v>
          </cell>
          <cell r="E339">
            <v>1308</v>
          </cell>
          <cell r="F339">
            <v>70</v>
          </cell>
          <cell r="G339" t="str">
            <v>M.</v>
          </cell>
        </row>
        <row r="340">
          <cell r="C340">
            <v>470</v>
          </cell>
          <cell r="D340" t="str">
            <v>-  1/C - 500 SQ.MM. FR.</v>
          </cell>
          <cell r="E340">
            <v>1548</v>
          </cell>
          <cell r="F340">
            <v>90</v>
          </cell>
          <cell r="G340" t="str">
            <v>M.</v>
          </cell>
        </row>
        <row r="341">
          <cell r="C341">
            <v>471</v>
          </cell>
          <cell r="D341" t="str">
            <v>-  1/C - 630 SQ.MM. FR.</v>
          </cell>
          <cell r="E341">
            <v>1904</v>
          </cell>
          <cell r="F341">
            <v>105</v>
          </cell>
          <cell r="G341" t="str">
            <v>M.</v>
          </cell>
        </row>
        <row r="342">
          <cell r="C342">
            <v>472</v>
          </cell>
          <cell r="D342" t="str">
            <v>-  1/C - 2.5 SQ.MM. FR. W./SHEET</v>
          </cell>
          <cell r="E342">
            <v>44</v>
          </cell>
          <cell r="F342">
            <v>2</v>
          </cell>
          <cell r="G342" t="str">
            <v>M.</v>
          </cell>
        </row>
        <row r="343">
          <cell r="C343">
            <v>473</v>
          </cell>
          <cell r="D343" t="str">
            <v>-  1/C - 4 SQ.MM. FR. W./SHEET</v>
          </cell>
          <cell r="E343">
            <v>58</v>
          </cell>
          <cell r="F343">
            <v>3</v>
          </cell>
          <cell r="G343" t="str">
            <v>M.</v>
          </cell>
        </row>
        <row r="344">
          <cell r="C344">
            <v>474</v>
          </cell>
          <cell r="D344" t="str">
            <v>-  1/C - 6 SQ.MM. FR. W./SHEET</v>
          </cell>
          <cell r="E344">
            <v>71</v>
          </cell>
          <cell r="F344">
            <v>5</v>
          </cell>
          <cell r="G344" t="str">
            <v>M.</v>
          </cell>
        </row>
        <row r="345">
          <cell r="C345">
            <v>475</v>
          </cell>
          <cell r="D345" t="str">
            <v>-  1/C - 10 SQ.MM. FR. W./SHEET</v>
          </cell>
          <cell r="E345">
            <v>97</v>
          </cell>
          <cell r="F345">
            <v>6</v>
          </cell>
          <cell r="G345" t="str">
            <v>M.</v>
          </cell>
        </row>
        <row r="346">
          <cell r="C346">
            <v>476</v>
          </cell>
          <cell r="D346" t="str">
            <v>-  1/C - 16 SQ.MM. FR. W./SHEET</v>
          </cell>
          <cell r="E346">
            <v>112</v>
          </cell>
          <cell r="F346">
            <v>8</v>
          </cell>
          <cell r="G346" t="str">
            <v>M.</v>
          </cell>
        </row>
        <row r="347">
          <cell r="C347">
            <v>477</v>
          </cell>
          <cell r="D347" t="str">
            <v>-  1/C - 25 SQ.MM. FR. W./SHEET</v>
          </cell>
          <cell r="E347">
            <v>154</v>
          </cell>
          <cell r="F347">
            <v>11</v>
          </cell>
          <cell r="G347" t="str">
            <v>M.</v>
          </cell>
        </row>
        <row r="348">
          <cell r="C348">
            <v>478</v>
          </cell>
          <cell r="D348" t="str">
            <v>-  1/C - 35 SQ.MM. FR. W./SHEET</v>
          </cell>
          <cell r="E348">
            <v>211</v>
          </cell>
          <cell r="F348">
            <v>16</v>
          </cell>
          <cell r="G348" t="str">
            <v>M.</v>
          </cell>
        </row>
        <row r="349">
          <cell r="C349">
            <v>479</v>
          </cell>
          <cell r="D349" t="str">
            <v>-  1/C - 50 SQ.MM. FR. W./SHEET</v>
          </cell>
          <cell r="E349">
            <v>303</v>
          </cell>
          <cell r="F349">
            <v>20</v>
          </cell>
          <cell r="G349" t="str">
            <v>M.</v>
          </cell>
        </row>
        <row r="350">
          <cell r="C350">
            <v>480</v>
          </cell>
          <cell r="D350" t="str">
            <v>-  1/C - 70 SQ.MM. FR. W./SHEET</v>
          </cell>
          <cell r="E350">
            <v>389</v>
          </cell>
          <cell r="F350">
            <v>25</v>
          </cell>
          <cell r="G350" t="str">
            <v>M.</v>
          </cell>
        </row>
        <row r="351">
          <cell r="C351">
            <v>481</v>
          </cell>
          <cell r="D351" t="str">
            <v>-  1/C - 95 SQ.MM. FR. W./SHEET</v>
          </cell>
          <cell r="E351">
            <v>470</v>
          </cell>
          <cell r="F351">
            <v>30</v>
          </cell>
          <cell r="G351" t="str">
            <v>M.</v>
          </cell>
        </row>
        <row r="352">
          <cell r="C352">
            <v>482</v>
          </cell>
          <cell r="D352" t="str">
            <v>-  1/C - 120 SQ.MM. FR. W./SHEET</v>
          </cell>
          <cell r="E352">
            <v>570</v>
          </cell>
          <cell r="F352">
            <v>35</v>
          </cell>
          <cell r="G352" t="str">
            <v>M.</v>
          </cell>
        </row>
        <row r="353">
          <cell r="C353">
            <v>483</v>
          </cell>
          <cell r="D353" t="str">
            <v>-  1/C - 150 SQ.MM. FR. W./SHEET</v>
          </cell>
          <cell r="E353">
            <v>716</v>
          </cell>
          <cell r="F353">
            <v>40</v>
          </cell>
          <cell r="G353" t="str">
            <v>M.</v>
          </cell>
        </row>
        <row r="354">
          <cell r="C354">
            <v>484</v>
          </cell>
          <cell r="D354" t="str">
            <v>-  1/C - 185 SQ.MM. FR. W./SHEET</v>
          </cell>
          <cell r="E354">
            <v>835</v>
          </cell>
          <cell r="F354">
            <v>50</v>
          </cell>
          <cell r="G354" t="str">
            <v>M.</v>
          </cell>
        </row>
        <row r="355">
          <cell r="C355">
            <v>485</v>
          </cell>
          <cell r="D355" t="str">
            <v>-  1/C - 240 SQ.MM. FR. W./SHEET</v>
          </cell>
          <cell r="E355">
            <v>1051</v>
          </cell>
          <cell r="F355">
            <v>60</v>
          </cell>
          <cell r="G355" t="str">
            <v>M.</v>
          </cell>
        </row>
        <row r="356">
          <cell r="C356">
            <v>486</v>
          </cell>
          <cell r="D356" t="str">
            <v>-  1/C - 300 SQ.MM. FR. W./SHEET</v>
          </cell>
          <cell r="E356">
            <v>1390</v>
          </cell>
          <cell r="F356">
            <v>70</v>
          </cell>
          <cell r="G356" t="str">
            <v>M.</v>
          </cell>
        </row>
        <row r="357">
          <cell r="C357">
            <v>487</v>
          </cell>
          <cell r="D357" t="str">
            <v>-  1/C - 400 SQ.MM. FR. W./SHEET</v>
          </cell>
          <cell r="E357">
            <v>1679</v>
          </cell>
          <cell r="F357">
            <v>90</v>
          </cell>
          <cell r="G357" t="str">
            <v>M.</v>
          </cell>
        </row>
        <row r="358">
          <cell r="C358">
            <v>488</v>
          </cell>
          <cell r="D358" t="str">
            <v>-  1/C - 500 SQ.MM. FR. W./SHEET</v>
          </cell>
          <cell r="E358">
            <v>1818</v>
          </cell>
          <cell r="F358">
            <v>105</v>
          </cell>
          <cell r="G358" t="str">
            <v>M.</v>
          </cell>
        </row>
        <row r="359">
          <cell r="C359">
            <v>489</v>
          </cell>
          <cell r="D359" t="str">
            <v>-  1/C - 630 SQ.MM. FR. W./SHEET</v>
          </cell>
          <cell r="E359">
            <v>2183</v>
          </cell>
          <cell r="F359">
            <v>120</v>
          </cell>
          <cell r="G359" t="str">
            <v>M.</v>
          </cell>
        </row>
        <row r="360">
          <cell r="C360">
            <v>5</v>
          </cell>
          <cell r="D360" t="str">
            <v>CABLE RACEWAY</v>
          </cell>
        </row>
        <row r="361">
          <cell r="C361">
            <v>501</v>
          </cell>
          <cell r="D361" t="str">
            <v>-  DIA. 1/2" EMT</v>
          </cell>
          <cell r="E361">
            <v>23</v>
          </cell>
          <cell r="F361">
            <v>10</v>
          </cell>
          <cell r="G361" t="str">
            <v>M.</v>
          </cell>
        </row>
        <row r="362">
          <cell r="C362">
            <v>502</v>
          </cell>
          <cell r="D362" t="str">
            <v>-  DIA. 3/4" EMT</v>
          </cell>
          <cell r="E362">
            <v>34</v>
          </cell>
          <cell r="F362">
            <v>15</v>
          </cell>
          <cell r="G362" t="str">
            <v>M.</v>
          </cell>
        </row>
        <row r="363">
          <cell r="C363">
            <v>503</v>
          </cell>
          <cell r="D363" t="str">
            <v>-  DIA. 1" EMT</v>
          </cell>
          <cell r="E363">
            <v>48</v>
          </cell>
          <cell r="F363">
            <v>18</v>
          </cell>
          <cell r="G363" t="str">
            <v>M.</v>
          </cell>
        </row>
        <row r="364">
          <cell r="C364">
            <v>504</v>
          </cell>
          <cell r="D364" t="str">
            <v>-  DIA. 1 1/4" EMT</v>
          </cell>
          <cell r="E364">
            <v>79</v>
          </cell>
          <cell r="F364">
            <v>25</v>
          </cell>
          <cell r="G364" t="str">
            <v>M.</v>
          </cell>
        </row>
        <row r="365">
          <cell r="C365">
            <v>505</v>
          </cell>
          <cell r="D365" t="str">
            <v>-  DIA. 1 1/2" EMT</v>
          </cell>
          <cell r="E365">
            <v>92</v>
          </cell>
          <cell r="F365">
            <v>30</v>
          </cell>
          <cell r="G365" t="str">
            <v>M.</v>
          </cell>
        </row>
        <row r="366">
          <cell r="C366">
            <v>506</v>
          </cell>
          <cell r="D366" t="str">
            <v>-  DIA. 2" EMT</v>
          </cell>
          <cell r="E366">
            <v>114</v>
          </cell>
          <cell r="F366">
            <v>40</v>
          </cell>
          <cell r="G366" t="str">
            <v>M.</v>
          </cell>
        </row>
        <row r="367">
          <cell r="C367">
            <v>507</v>
          </cell>
          <cell r="D367" t="str">
            <v>-  DIA. 1/2" IMC</v>
          </cell>
          <cell r="E367">
            <v>45</v>
          </cell>
          <cell r="F367">
            <v>13</v>
          </cell>
          <cell r="G367" t="str">
            <v>M.</v>
          </cell>
        </row>
        <row r="368">
          <cell r="C368">
            <v>508</v>
          </cell>
          <cell r="D368" t="str">
            <v>-  DIA. 3/4" IMC</v>
          </cell>
          <cell r="E368">
            <v>61</v>
          </cell>
          <cell r="F368">
            <v>15</v>
          </cell>
          <cell r="G368" t="str">
            <v>M.</v>
          </cell>
        </row>
        <row r="369">
          <cell r="C369">
            <v>509</v>
          </cell>
          <cell r="D369" t="str">
            <v>-  DIA. 1" IMC</v>
          </cell>
          <cell r="E369">
            <v>82</v>
          </cell>
          <cell r="F369">
            <v>20</v>
          </cell>
          <cell r="G369" t="str">
            <v>M.</v>
          </cell>
        </row>
        <row r="370">
          <cell r="C370">
            <v>510</v>
          </cell>
          <cell r="D370" t="str">
            <v>-  DIA. 1 1/4" IMC</v>
          </cell>
          <cell r="E370">
            <v>105</v>
          </cell>
          <cell r="F370">
            <v>25</v>
          </cell>
          <cell r="G370" t="str">
            <v>M.</v>
          </cell>
        </row>
        <row r="371">
          <cell r="C371">
            <v>511</v>
          </cell>
          <cell r="D371" t="str">
            <v>-  DIA. 1 1/2" IMC</v>
          </cell>
          <cell r="E371">
            <v>130</v>
          </cell>
          <cell r="F371">
            <v>30</v>
          </cell>
          <cell r="G371" t="str">
            <v>M.</v>
          </cell>
        </row>
        <row r="372">
          <cell r="C372">
            <v>512</v>
          </cell>
          <cell r="D372" t="str">
            <v>-  DIA. 2" IMC</v>
          </cell>
          <cell r="E372">
            <v>174</v>
          </cell>
          <cell r="F372">
            <v>35</v>
          </cell>
          <cell r="G372" t="str">
            <v>M.</v>
          </cell>
        </row>
        <row r="373">
          <cell r="C373">
            <v>513</v>
          </cell>
          <cell r="D373" t="str">
            <v>-  DIA. 2 1/2" IMC</v>
          </cell>
          <cell r="E373">
            <v>282</v>
          </cell>
          <cell r="F373">
            <v>45</v>
          </cell>
          <cell r="G373" t="str">
            <v>M.</v>
          </cell>
        </row>
        <row r="374">
          <cell r="C374">
            <v>514</v>
          </cell>
          <cell r="D374" t="str">
            <v>-  DIA. 3" IMC</v>
          </cell>
          <cell r="E374">
            <v>342</v>
          </cell>
          <cell r="F374">
            <v>50</v>
          </cell>
          <cell r="G374" t="str">
            <v>M.</v>
          </cell>
        </row>
        <row r="375">
          <cell r="C375">
            <v>515</v>
          </cell>
          <cell r="D375" t="str">
            <v>-  DIA. 3 1/2" IMC</v>
          </cell>
          <cell r="E375">
            <v>397</v>
          </cell>
          <cell r="F375">
            <v>55</v>
          </cell>
          <cell r="G375" t="str">
            <v>M.</v>
          </cell>
        </row>
        <row r="376">
          <cell r="C376">
            <v>516</v>
          </cell>
          <cell r="D376" t="str">
            <v>-  DIA. 4" IMC</v>
          </cell>
          <cell r="E376">
            <v>433</v>
          </cell>
          <cell r="F376">
            <v>60</v>
          </cell>
          <cell r="G376" t="str">
            <v>M.</v>
          </cell>
        </row>
        <row r="377">
          <cell r="C377">
            <v>517</v>
          </cell>
          <cell r="D377" t="str">
            <v>-  DIA. 5" IMC</v>
          </cell>
          <cell r="E377">
            <v>747</v>
          </cell>
          <cell r="F377">
            <v>70</v>
          </cell>
          <cell r="G377" t="str">
            <v>M.</v>
          </cell>
        </row>
        <row r="378">
          <cell r="C378">
            <v>518</v>
          </cell>
          <cell r="D378" t="str">
            <v>-  DIA. 1/2" RSC</v>
          </cell>
          <cell r="E378">
            <v>64</v>
          </cell>
          <cell r="F378">
            <v>15</v>
          </cell>
          <cell r="G378" t="str">
            <v>M.</v>
          </cell>
        </row>
        <row r="379">
          <cell r="C379">
            <v>519</v>
          </cell>
          <cell r="D379" t="str">
            <v>-  DIA. 3/4" RSC</v>
          </cell>
          <cell r="E379">
            <v>82</v>
          </cell>
          <cell r="F379">
            <v>20</v>
          </cell>
          <cell r="G379" t="str">
            <v>M.</v>
          </cell>
        </row>
        <row r="380">
          <cell r="C380">
            <v>520</v>
          </cell>
          <cell r="D380" t="str">
            <v>-  DIA. 1" RSC</v>
          </cell>
          <cell r="E380">
            <v>120</v>
          </cell>
          <cell r="F380">
            <v>25</v>
          </cell>
          <cell r="G380" t="str">
            <v>M.</v>
          </cell>
        </row>
        <row r="381">
          <cell r="C381">
            <v>521</v>
          </cell>
          <cell r="D381" t="str">
            <v>-  DIA. 1 1/4" RSC</v>
          </cell>
          <cell r="E381">
            <v>153</v>
          </cell>
          <cell r="F381">
            <v>35</v>
          </cell>
          <cell r="G381" t="str">
            <v>M.</v>
          </cell>
        </row>
        <row r="382">
          <cell r="C382">
            <v>522</v>
          </cell>
          <cell r="D382" t="str">
            <v>-  DIA. 1 1/2" RSC</v>
          </cell>
          <cell r="E382">
            <v>182</v>
          </cell>
          <cell r="F382">
            <v>45</v>
          </cell>
          <cell r="G382" t="str">
            <v>M.</v>
          </cell>
        </row>
        <row r="383">
          <cell r="C383">
            <v>523</v>
          </cell>
          <cell r="D383" t="str">
            <v>-  DIA. 2" RSC</v>
          </cell>
          <cell r="E383">
            <v>243</v>
          </cell>
          <cell r="F383">
            <v>55</v>
          </cell>
          <cell r="G383" t="str">
            <v>M.</v>
          </cell>
        </row>
        <row r="384">
          <cell r="C384">
            <v>524</v>
          </cell>
          <cell r="D384" t="str">
            <v>-  DIA. 2 1/2" RSC</v>
          </cell>
          <cell r="E384">
            <v>373</v>
          </cell>
          <cell r="F384">
            <v>80</v>
          </cell>
          <cell r="G384" t="str">
            <v>M.</v>
          </cell>
        </row>
        <row r="385">
          <cell r="C385">
            <v>525</v>
          </cell>
          <cell r="D385" t="str">
            <v>-  DIA. 3" RSC</v>
          </cell>
          <cell r="E385">
            <v>480</v>
          </cell>
          <cell r="F385">
            <v>90</v>
          </cell>
          <cell r="G385" t="str">
            <v>M.</v>
          </cell>
        </row>
        <row r="386">
          <cell r="C386">
            <v>526</v>
          </cell>
          <cell r="D386" t="str">
            <v>-  DIA. 3 1/2" RSC</v>
          </cell>
          <cell r="E386">
            <v>606</v>
          </cell>
          <cell r="F386">
            <v>100</v>
          </cell>
          <cell r="G386" t="str">
            <v>M.</v>
          </cell>
        </row>
        <row r="387">
          <cell r="C387">
            <v>527</v>
          </cell>
          <cell r="D387" t="str">
            <v>-  DIA. 4" RSC</v>
          </cell>
          <cell r="E387">
            <v>706</v>
          </cell>
          <cell r="F387">
            <v>125</v>
          </cell>
          <cell r="G387" t="str">
            <v>M.</v>
          </cell>
        </row>
        <row r="388">
          <cell r="C388">
            <v>528</v>
          </cell>
          <cell r="D388" t="str">
            <v>-  DIA. 5" RSC</v>
          </cell>
          <cell r="E388">
            <v>1016</v>
          </cell>
          <cell r="F388">
            <v>140</v>
          </cell>
          <cell r="G388" t="str">
            <v>M.</v>
          </cell>
        </row>
        <row r="389">
          <cell r="D389" t="str">
            <v>SPACE</v>
          </cell>
        </row>
        <row r="390">
          <cell r="C390">
            <v>530</v>
          </cell>
          <cell r="D390" t="str">
            <v>-  DIA. 25 MM. HDPE-PN4</v>
          </cell>
          <cell r="E390">
            <v>20</v>
          </cell>
          <cell r="F390">
            <v>10</v>
          </cell>
          <cell r="G390" t="str">
            <v>M.</v>
          </cell>
        </row>
        <row r="391">
          <cell r="C391">
            <v>531</v>
          </cell>
          <cell r="D391" t="str">
            <v>-  DIA. 32 MM. HDPE-PN4</v>
          </cell>
          <cell r="E391">
            <v>25</v>
          </cell>
          <cell r="F391">
            <v>15</v>
          </cell>
          <cell r="G391" t="str">
            <v>M.</v>
          </cell>
        </row>
        <row r="392">
          <cell r="C392">
            <v>532</v>
          </cell>
          <cell r="D392" t="str">
            <v>-  DIA. 40 MM. HDPE-PN4</v>
          </cell>
          <cell r="E392">
            <v>34</v>
          </cell>
          <cell r="F392">
            <v>18</v>
          </cell>
          <cell r="G392" t="str">
            <v>M.</v>
          </cell>
        </row>
        <row r="393">
          <cell r="C393">
            <v>533</v>
          </cell>
          <cell r="D393" t="str">
            <v>-  DIA. 50 MM. HDPE-PN4</v>
          </cell>
          <cell r="E393">
            <v>38</v>
          </cell>
          <cell r="F393">
            <v>25</v>
          </cell>
          <cell r="G393" t="str">
            <v>M.</v>
          </cell>
        </row>
        <row r="394">
          <cell r="C394">
            <v>534</v>
          </cell>
          <cell r="D394" t="str">
            <v>-  DIA. 63 MM. HDPE-PN4</v>
          </cell>
          <cell r="E394">
            <v>56</v>
          </cell>
          <cell r="F394">
            <v>30</v>
          </cell>
          <cell r="G394" t="str">
            <v>M.</v>
          </cell>
        </row>
        <row r="395">
          <cell r="C395">
            <v>535</v>
          </cell>
          <cell r="D395" t="str">
            <v>-  DIA. 75 MM. HDPE-PN4</v>
          </cell>
          <cell r="E395">
            <v>81</v>
          </cell>
          <cell r="F395">
            <v>40</v>
          </cell>
          <cell r="G395" t="str">
            <v>M.</v>
          </cell>
        </row>
        <row r="396">
          <cell r="C396">
            <v>536</v>
          </cell>
          <cell r="D396" t="str">
            <v>-  DIA. 90 MM. HDPE-PN4</v>
          </cell>
          <cell r="E396">
            <v>116</v>
          </cell>
          <cell r="F396">
            <v>47</v>
          </cell>
          <cell r="G396" t="str">
            <v>M.</v>
          </cell>
        </row>
        <row r="397">
          <cell r="C397">
            <v>537</v>
          </cell>
          <cell r="D397" t="str">
            <v>-  DIA. 110 MM. HDPE-PN4</v>
          </cell>
          <cell r="E397">
            <v>170</v>
          </cell>
          <cell r="F397">
            <v>55</v>
          </cell>
          <cell r="G397" t="str">
            <v>M.</v>
          </cell>
        </row>
        <row r="398">
          <cell r="C398">
            <v>538</v>
          </cell>
          <cell r="D398" t="str">
            <v>-  DIA. 125 MM. HDPE-PN4</v>
          </cell>
          <cell r="E398">
            <v>220</v>
          </cell>
          <cell r="F398">
            <v>65</v>
          </cell>
          <cell r="G398" t="str">
            <v>M.</v>
          </cell>
        </row>
        <row r="399">
          <cell r="C399">
            <v>539</v>
          </cell>
          <cell r="D399" t="str">
            <v>-  DIA. 140 MM. HDPE-PN4</v>
          </cell>
          <cell r="E399">
            <v>278</v>
          </cell>
          <cell r="F399">
            <v>70</v>
          </cell>
          <cell r="G399" t="str">
            <v>M.</v>
          </cell>
        </row>
        <row r="400">
          <cell r="C400">
            <v>540</v>
          </cell>
          <cell r="D400" t="str">
            <v>-  DIA. 160 MM. HDPE-PN4</v>
          </cell>
          <cell r="E400">
            <v>363</v>
          </cell>
          <cell r="F400">
            <v>75</v>
          </cell>
          <cell r="G400" t="str">
            <v>M.</v>
          </cell>
        </row>
        <row r="401">
          <cell r="C401">
            <v>541</v>
          </cell>
          <cell r="D401" t="str">
            <v>-  DIA. 180 MM. HDPE-PN4</v>
          </cell>
          <cell r="E401">
            <v>462</v>
          </cell>
          <cell r="F401">
            <v>80</v>
          </cell>
          <cell r="G401" t="str">
            <v>M.</v>
          </cell>
        </row>
        <row r="402">
          <cell r="D402" t="str">
            <v>SPACE</v>
          </cell>
        </row>
        <row r="403">
          <cell r="C403">
            <v>546</v>
          </cell>
          <cell r="D403" t="str">
            <v>-  DIA. 25 MM. HDPE-PN6</v>
          </cell>
          <cell r="E403">
            <v>20</v>
          </cell>
          <cell r="F403">
            <v>10</v>
          </cell>
          <cell r="G403" t="str">
            <v>M.</v>
          </cell>
        </row>
        <row r="404">
          <cell r="C404">
            <v>547</v>
          </cell>
          <cell r="D404" t="str">
            <v>-  DIA. 32 MM. HDPE-PN6</v>
          </cell>
          <cell r="E404">
            <v>25</v>
          </cell>
          <cell r="F404">
            <v>15</v>
          </cell>
          <cell r="G404" t="str">
            <v>M.</v>
          </cell>
        </row>
        <row r="405">
          <cell r="C405">
            <v>548</v>
          </cell>
          <cell r="D405" t="str">
            <v>-  DIA. 40 MM. HDPE-PN6</v>
          </cell>
          <cell r="E405">
            <v>34</v>
          </cell>
          <cell r="F405">
            <v>18</v>
          </cell>
          <cell r="G405" t="str">
            <v>M.</v>
          </cell>
        </row>
        <row r="406">
          <cell r="C406">
            <v>549</v>
          </cell>
          <cell r="D406" t="str">
            <v>-  DIA. 50 MM. HDPE-PN6</v>
          </cell>
          <cell r="E406">
            <v>53</v>
          </cell>
          <cell r="F406">
            <v>25</v>
          </cell>
          <cell r="G406" t="str">
            <v>M.</v>
          </cell>
        </row>
        <row r="407">
          <cell r="C407">
            <v>550</v>
          </cell>
          <cell r="D407" t="str">
            <v>-  DIA. 63 MM. HDPE-PN6</v>
          </cell>
          <cell r="E407">
            <v>83</v>
          </cell>
          <cell r="F407">
            <v>30</v>
          </cell>
          <cell r="G407" t="str">
            <v>M.</v>
          </cell>
        </row>
        <row r="408">
          <cell r="C408">
            <v>551</v>
          </cell>
          <cell r="D408" t="str">
            <v>-  DIA. 75 MM. HDPE-PN6</v>
          </cell>
          <cell r="E408">
            <v>116</v>
          </cell>
          <cell r="F408">
            <v>40</v>
          </cell>
          <cell r="G408" t="str">
            <v>M.</v>
          </cell>
        </row>
        <row r="409">
          <cell r="C409">
            <v>552</v>
          </cell>
          <cell r="D409" t="str">
            <v>-  DIA. 90 MM. HDPE-PN6</v>
          </cell>
          <cell r="E409">
            <v>166</v>
          </cell>
          <cell r="F409">
            <v>47</v>
          </cell>
          <cell r="G409" t="str">
            <v>M.</v>
          </cell>
        </row>
        <row r="410">
          <cell r="C410">
            <v>553</v>
          </cell>
          <cell r="D410" t="str">
            <v>-  DIA. 110 MM. HDPE-PN6</v>
          </cell>
          <cell r="E410">
            <v>248</v>
          </cell>
          <cell r="F410">
            <v>55</v>
          </cell>
          <cell r="G410" t="str">
            <v>M.</v>
          </cell>
        </row>
        <row r="411">
          <cell r="C411">
            <v>554</v>
          </cell>
          <cell r="D411" t="str">
            <v>-  DIA. 125 MM. HDPE-PN6</v>
          </cell>
          <cell r="E411">
            <v>318</v>
          </cell>
          <cell r="F411">
            <v>65</v>
          </cell>
          <cell r="G411" t="str">
            <v>M.</v>
          </cell>
        </row>
        <row r="412">
          <cell r="C412">
            <v>555</v>
          </cell>
          <cell r="D412" t="str">
            <v>-  DIA. 140 MM. HDPE-PN6</v>
          </cell>
          <cell r="E412">
            <v>399</v>
          </cell>
          <cell r="F412">
            <v>70</v>
          </cell>
          <cell r="G412" t="str">
            <v>M.</v>
          </cell>
        </row>
        <row r="413">
          <cell r="C413">
            <v>556</v>
          </cell>
          <cell r="D413" t="str">
            <v>-  DIA. 160 MM. HDPE-PN6</v>
          </cell>
          <cell r="E413">
            <v>520</v>
          </cell>
          <cell r="F413">
            <v>75</v>
          </cell>
          <cell r="G413" t="str">
            <v>M.</v>
          </cell>
        </row>
        <row r="414">
          <cell r="C414">
            <v>557</v>
          </cell>
          <cell r="D414" t="str">
            <v>-  DIA. 180 MM. HDPE-PN6</v>
          </cell>
          <cell r="E414">
            <v>655</v>
          </cell>
          <cell r="F414">
            <v>80</v>
          </cell>
          <cell r="G414" t="str">
            <v>M.</v>
          </cell>
        </row>
        <row r="415">
          <cell r="D415" t="str">
            <v>SPACE</v>
          </cell>
        </row>
        <row r="416">
          <cell r="C416">
            <v>561</v>
          </cell>
          <cell r="D416" t="str">
            <v>-  DIA. 2" FRE</v>
          </cell>
          <cell r="E416">
            <v>380</v>
          </cell>
          <cell r="F416">
            <v>50</v>
          </cell>
          <cell r="G416" t="str">
            <v>M.</v>
          </cell>
        </row>
        <row r="417">
          <cell r="C417">
            <v>562</v>
          </cell>
          <cell r="D417" t="str">
            <v>-  DIA. 2 1/2" FRE</v>
          </cell>
          <cell r="E417">
            <v>430</v>
          </cell>
          <cell r="F417">
            <v>60</v>
          </cell>
          <cell r="G417" t="str">
            <v>M.</v>
          </cell>
        </row>
        <row r="418">
          <cell r="C418">
            <v>563</v>
          </cell>
          <cell r="D418" t="str">
            <v>-  DIA. 3" FRE</v>
          </cell>
          <cell r="E418">
            <v>490</v>
          </cell>
          <cell r="F418">
            <v>70</v>
          </cell>
          <cell r="G418" t="str">
            <v>M.</v>
          </cell>
        </row>
        <row r="419">
          <cell r="C419">
            <v>564</v>
          </cell>
          <cell r="D419" t="str">
            <v>-  DIA. 4" FRE</v>
          </cell>
          <cell r="E419">
            <v>550</v>
          </cell>
          <cell r="F419">
            <v>70</v>
          </cell>
          <cell r="G419" t="str">
            <v>M.</v>
          </cell>
        </row>
        <row r="420">
          <cell r="C420">
            <v>565</v>
          </cell>
          <cell r="D420" t="str">
            <v>-  DIA. 5" FRE</v>
          </cell>
          <cell r="E420">
            <v>830</v>
          </cell>
          <cell r="F420">
            <v>100</v>
          </cell>
          <cell r="G420" t="str">
            <v>M.</v>
          </cell>
        </row>
        <row r="421">
          <cell r="C421">
            <v>566</v>
          </cell>
          <cell r="D421" t="str">
            <v>-  DIA. 6" FRE</v>
          </cell>
          <cell r="E421">
            <v>1330</v>
          </cell>
          <cell r="F421">
            <v>150</v>
          </cell>
          <cell r="G421" t="str">
            <v>M.</v>
          </cell>
        </row>
        <row r="422">
          <cell r="D422" t="str">
            <v>SPACE</v>
          </cell>
        </row>
        <row r="423">
          <cell r="D423" t="str">
            <v>5"CONDUIT IN DUCT BANK</v>
          </cell>
        </row>
        <row r="424">
          <cell r="C424">
            <v>571</v>
          </cell>
          <cell r="D424" t="str">
            <v xml:space="preserve">-  DIA. 125 MM. HDPE-PN6 (2x1) DUCT BANK </v>
          </cell>
          <cell r="E424">
            <v>1480</v>
          </cell>
          <cell r="F424">
            <v>600</v>
          </cell>
          <cell r="G424" t="str">
            <v>M.</v>
          </cell>
        </row>
        <row r="425">
          <cell r="C425">
            <v>572</v>
          </cell>
          <cell r="D425" t="str">
            <v xml:space="preserve">-  DIA. 125 MM. HDPE-PN6 (2x2) DUCT BANK </v>
          </cell>
          <cell r="E425">
            <v>2420</v>
          </cell>
          <cell r="F425">
            <v>800</v>
          </cell>
          <cell r="G425" t="str">
            <v>M.</v>
          </cell>
        </row>
        <row r="426">
          <cell r="C426">
            <v>573</v>
          </cell>
          <cell r="D426" t="str">
            <v xml:space="preserve">-  DIA. 125 MM. HDPE-PN6 (2x3) DUCT BANK </v>
          </cell>
          <cell r="E426">
            <v>3400</v>
          </cell>
          <cell r="F426">
            <v>1000</v>
          </cell>
          <cell r="G426" t="str">
            <v>M.</v>
          </cell>
        </row>
        <row r="427">
          <cell r="D427" t="str">
            <v>SPACE</v>
          </cell>
        </row>
        <row r="428">
          <cell r="C428">
            <v>576</v>
          </cell>
          <cell r="D428" t="str">
            <v xml:space="preserve">-  DIA. 5" FRE (2x1) CONDUIT </v>
          </cell>
          <cell r="E428">
            <v>1480</v>
          </cell>
          <cell r="F428">
            <v>300</v>
          </cell>
          <cell r="G428" t="str">
            <v>M.</v>
          </cell>
        </row>
        <row r="429">
          <cell r="C429">
            <v>577</v>
          </cell>
          <cell r="D429" t="str">
            <v xml:space="preserve">-  DIA. 5" FRE (2x2) CONDUIT </v>
          </cell>
          <cell r="E429">
            <v>2830</v>
          </cell>
          <cell r="F429">
            <v>400</v>
          </cell>
          <cell r="G429" t="str">
            <v>M.</v>
          </cell>
        </row>
        <row r="430">
          <cell r="C430">
            <v>578</v>
          </cell>
          <cell r="D430" t="str">
            <v xml:space="preserve">-  DIA. 5" FRE (2x3) CONDUIT </v>
          </cell>
          <cell r="E430">
            <v>3970</v>
          </cell>
          <cell r="F430">
            <v>600</v>
          </cell>
          <cell r="G430" t="str">
            <v>M.</v>
          </cell>
        </row>
        <row r="431">
          <cell r="D431" t="str">
            <v>SPACE</v>
          </cell>
        </row>
        <row r="432">
          <cell r="C432">
            <v>591</v>
          </cell>
          <cell r="D432" t="str">
            <v>-  DIA. 1/2" PVC-CLASS2</v>
          </cell>
          <cell r="E432">
            <v>11</v>
          </cell>
          <cell r="F432">
            <v>5</v>
          </cell>
          <cell r="G432" t="str">
            <v>M.</v>
          </cell>
        </row>
        <row r="433">
          <cell r="C433">
            <v>592</v>
          </cell>
          <cell r="D433" t="str">
            <v>-  DIA. 3/4" PVC-CLASS2</v>
          </cell>
          <cell r="E433">
            <v>13</v>
          </cell>
          <cell r="F433">
            <v>8</v>
          </cell>
          <cell r="G433" t="str">
            <v>M.</v>
          </cell>
        </row>
        <row r="434">
          <cell r="C434">
            <v>593</v>
          </cell>
          <cell r="D434" t="str">
            <v>-  DIA. 1" PVC-CLASS2</v>
          </cell>
          <cell r="E434">
            <v>24</v>
          </cell>
          <cell r="F434">
            <v>12</v>
          </cell>
          <cell r="G434" t="str">
            <v>M.</v>
          </cell>
        </row>
        <row r="435">
          <cell r="C435">
            <v>594</v>
          </cell>
          <cell r="D435" t="str">
            <v>-  DIA. 1 1/4" PVC-CLASS2</v>
          </cell>
          <cell r="E435">
            <v>34</v>
          </cell>
          <cell r="F435">
            <v>18</v>
          </cell>
          <cell r="G435" t="str">
            <v>M.</v>
          </cell>
        </row>
        <row r="436">
          <cell r="C436">
            <v>595</v>
          </cell>
          <cell r="D436" t="str">
            <v>-  DIA. 1 1/2" PVC-CLASS2</v>
          </cell>
          <cell r="E436">
            <v>44</v>
          </cell>
          <cell r="F436">
            <v>20</v>
          </cell>
          <cell r="G436" t="str">
            <v>M.</v>
          </cell>
        </row>
        <row r="437">
          <cell r="C437">
            <v>596</v>
          </cell>
          <cell r="D437" t="str">
            <v>-  DIA. 2" PVC-CLASS2</v>
          </cell>
          <cell r="E437">
            <v>62</v>
          </cell>
          <cell r="F437">
            <v>24</v>
          </cell>
          <cell r="G437" t="str">
            <v>M.</v>
          </cell>
        </row>
        <row r="438">
          <cell r="C438">
            <v>597</v>
          </cell>
          <cell r="D438" t="str">
            <v>-  DIA. 2 1/2" PVC-CLASS3</v>
          </cell>
          <cell r="E438">
            <v>80</v>
          </cell>
          <cell r="F438">
            <v>30</v>
          </cell>
          <cell r="G438" t="str">
            <v>M.</v>
          </cell>
        </row>
        <row r="439">
          <cell r="C439">
            <v>598</v>
          </cell>
          <cell r="D439" t="str">
            <v>-  DIA. 3" PVC-CLASS2</v>
          </cell>
          <cell r="E439">
            <v>126</v>
          </cell>
          <cell r="F439">
            <v>35</v>
          </cell>
          <cell r="G439" t="str">
            <v>M.</v>
          </cell>
        </row>
        <row r="440">
          <cell r="C440">
            <v>599</v>
          </cell>
          <cell r="D440" t="str">
            <v>-  DIA. 4" PVC-CLASS2</v>
          </cell>
          <cell r="E440">
            <v>192</v>
          </cell>
          <cell r="F440">
            <v>40</v>
          </cell>
          <cell r="G440" t="str">
            <v>M.</v>
          </cell>
        </row>
        <row r="441">
          <cell r="D441" t="str">
            <v>SPACE</v>
          </cell>
        </row>
        <row r="442">
          <cell r="C442">
            <v>6</v>
          </cell>
          <cell r="D442" t="str">
            <v>WIRE WAY (1.6 mm.THICK)</v>
          </cell>
        </row>
        <row r="443">
          <cell r="C443">
            <v>601</v>
          </cell>
          <cell r="D443" t="str">
            <v>-  50 mm.x50 mm. WIRE WAY</v>
          </cell>
          <cell r="E443">
            <v>192</v>
          </cell>
          <cell r="F443">
            <v>11</v>
          </cell>
          <cell r="G443" t="str">
            <v>M.</v>
          </cell>
        </row>
        <row r="444">
          <cell r="C444">
            <v>602</v>
          </cell>
          <cell r="D444" t="str">
            <v>-  50 mm.x75 mm. WIRE WAY</v>
          </cell>
          <cell r="E444">
            <v>230</v>
          </cell>
          <cell r="F444">
            <v>14</v>
          </cell>
          <cell r="G444" t="str">
            <v>M.</v>
          </cell>
        </row>
        <row r="445">
          <cell r="C445">
            <v>603</v>
          </cell>
          <cell r="D445" t="str">
            <v>-  50 mm.x100 mm. WIRE WAY</v>
          </cell>
          <cell r="E445">
            <v>263</v>
          </cell>
          <cell r="F445">
            <v>17</v>
          </cell>
          <cell r="G445" t="str">
            <v>M.</v>
          </cell>
        </row>
        <row r="446">
          <cell r="C446">
            <v>604</v>
          </cell>
          <cell r="D446" t="str">
            <v>-  50 mm.x125 mm. WIRE WAY</v>
          </cell>
          <cell r="E446">
            <v>300</v>
          </cell>
          <cell r="F446">
            <v>20</v>
          </cell>
          <cell r="G446" t="str">
            <v>M.</v>
          </cell>
        </row>
        <row r="447">
          <cell r="C447">
            <v>605</v>
          </cell>
          <cell r="D447" t="str">
            <v>-  50 mm.x150 mm. WIRE WAY</v>
          </cell>
          <cell r="E447">
            <v>340</v>
          </cell>
          <cell r="F447">
            <v>23</v>
          </cell>
          <cell r="G447" t="str">
            <v>M.</v>
          </cell>
        </row>
        <row r="448">
          <cell r="C448">
            <v>606</v>
          </cell>
          <cell r="D448" t="str">
            <v>-  50 mm.x200 mm. WIRE WAY</v>
          </cell>
          <cell r="E448">
            <v>400</v>
          </cell>
          <cell r="F448">
            <v>26</v>
          </cell>
          <cell r="G448" t="str">
            <v>M.</v>
          </cell>
        </row>
        <row r="449">
          <cell r="C449">
            <v>607</v>
          </cell>
          <cell r="D449" t="str">
            <v>-  50 mm.x250 mm. WIRE WAY</v>
          </cell>
          <cell r="E449">
            <v>483</v>
          </cell>
          <cell r="F449">
            <v>29</v>
          </cell>
          <cell r="G449" t="str">
            <v>M.</v>
          </cell>
        </row>
        <row r="450">
          <cell r="C450">
            <v>608</v>
          </cell>
          <cell r="D450" t="str">
            <v>-  75 mm.x100 mm. WIRE WAY</v>
          </cell>
          <cell r="E450">
            <v>300</v>
          </cell>
          <cell r="F450">
            <v>20</v>
          </cell>
          <cell r="G450" t="str">
            <v>M.</v>
          </cell>
        </row>
        <row r="451">
          <cell r="C451">
            <v>609</v>
          </cell>
          <cell r="D451" t="str">
            <v>-  75 mm.x150 mm. WIRE WAY</v>
          </cell>
          <cell r="E451">
            <v>375</v>
          </cell>
          <cell r="F451">
            <v>25</v>
          </cell>
          <cell r="G451" t="str">
            <v>M.</v>
          </cell>
        </row>
        <row r="452">
          <cell r="C452">
            <v>610</v>
          </cell>
          <cell r="D452" t="str">
            <v>-  75 mm.x200 mm. WIRE WAY</v>
          </cell>
          <cell r="E452">
            <v>446</v>
          </cell>
          <cell r="F452">
            <v>28</v>
          </cell>
          <cell r="G452" t="str">
            <v>M.</v>
          </cell>
        </row>
        <row r="453">
          <cell r="C453">
            <v>611</v>
          </cell>
          <cell r="D453" t="str">
            <v>-  75 mm.x250 mm. WIRE WAY</v>
          </cell>
          <cell r="E453">
            <v>520</v>
          </cell>
          <cell r="F453">
            <v>32</v>
          </cell>
          <cell r="G453" t="str">
            <v>M.</v>
          </cell>
        </row>
        <row r="454">
          <cell r="C454">
            <v>612</v>
          </cell>
          <cell r="D454" t="str">
            <v>-  75 mm.x300 mm. WIRE WAY</v>
          </cell>
          <cell r="E454">
            <v>590</v>
          </cell>
          <cell r="F454">
            <v>35</v>
          </cell>
          <cell r="G454" t="str">
            <v>M.</v>
          </cell>
        </row>
        <row r="455">
          <cell r="C455">
            <v>613</v>
          </cell>
          <cell r="D455" t="str">
            <v>-  100 mm.x100 mm. WIRE WAY</v>
          </cell>
          <cell r="E455">
            <v>340</v>
          </cell>
          <cell r="F455">
            <v>23</v>
          </cell>
          <cell r="G455" t="str">
            <v>M.</v>
          </cell>
        </row>
        <row r="456">
          <cell r="C456">
            <v>614</v>
          </cell>
          <cell r="D456" t="str">
            <v>-  100 mm.x150 mm. WIRE WAY</v>
          </cell>
          <cell r="E456">
            <v>400</v>
          </cell>
          <cell r="F456">
            <v>26</v>
          </cell>
          <cell r="G456" t="str">
            <v>M.</v>
          </cell>
        </row>
        <row r="457">
          <cell r="C457">
            <v>615</v>
          </cell>
          <cell r="D457" t="str">
            <v>-  100 mm.x200 mm. WIRE WAY</v>
          </cell>
          <cell r="E457">
            <v>483</v>
          </cell>
          <cell r="F457">
            <v>29</v>
          </cell>
          <cell r="G457" t="str">
            <v>M.</v>
          </cell>
        </row>
        <row r="458">
          <cell r="C458">
            <v>616</v>
          </cell>
          <cell r="D458" t="str">
            <v>-  100 mm.x250 mm. WIRE WAY</v>
          </cell>
          <cell r="E458">
            <v>550</v>
          </cell>
          <cell r="F458">
            <v>34</v>
          </cell>
          <cell r="G458" t="str">
            <v>M.</v>
          </cell>
        </row>
        <row r="459">
          <cell r="C459">
            <v>617</v>
          </cell>
          <cell r="D459" t="str">
            <v>-  100 mm.x300 mm. WIRE WAY</v>
          </cell>
          <cell r="E459">
            <v>630</v>
          </cell>
          <cell r="F459">
            <v>37</v>
          </cell>
          <cell r="G459" t="str">
            <v>M.</v>
          </cell>
        </row>
        <row r="460">
          <cell r="C460">
            <v>618</v>
          </cell>
          <cell r="D460" t="str">
            <v>-  100 mm.x350 mm. WIRE WAY</v>
          </cell>
          <cell r="E460">
            <v>700</v>
          </cell>
          <cell r="F460">
            <v>40</v>
          </cell>
          <cell r="G460" t="str">
            <v>M.</v>
          </cell>
        </row>
        <row r="461">
          <cell r="C461">
            <v>619</v>
          </cell>
          <cell r="D461" t="str">
            <v>-  150 mm.x150 mm. WIRE WAY</v>
          </cell>
          <cell r="E461">
            <v>483</v>
          </cell>
          <cell r="F461">
            <v>29</v>
          </cell>
          <cell r="G461" t="str">
            <v>M.</v>
          </cell>
        </row>
        <row r="462">
          <cell r="C462">
            <v>620</v>
          </cell>
          <cell r="D462" t="str">
            <v>-  150 mm.x200 mm. WIRE WAY</v>
          </cell>
          <cell r="E462">
            <v>550</v>
          </cell>
          <cell r="F462">
            <v>34</v>
          </cell>
          <cell r="G462" t="str">
            <v>M.</v>
          </cell>
        </row>
        <row r="463">
          <cell r="C463">
            <v>621</v>
          </cell>
          <cell r="D463" t="str">
            <v>-  150 mm.x250 mm. WIRE WAY</v>
          </cell>
          <cell r="E463">
            <v>630</v>
          </cell>
          <cell r="F463">
            <v>37</v>
          </cell>
          <cell r="G463" t="str">
            <v>M.</v>
          </cell>
        </row>
        <row r="464">
          <cell r="C464">
            <v>622</v>
          </cell>
          <cell r="D464" t="str">
            <v>-  150 mm.x300 mm. WIRE WAY</v>
          </cell>
          <cell r="E464">
            <v>700</v>
          </cell>
          <cell r="F464">
            <v>40</v>
          </cell>
          <cell r="G464" t="str">
            <v>M.</v>
          </cell>
        </row>
        <row r="465">
          <cell r="C465">
            <v>623</v>
          </cell>
          <cell r="D465" t="str">
            <v>-  150 mm.x350 mm. WIRE WAY</v>
          </cell>
          <cell r="E465">
            <v>775</v>
          </cell>
          <cell r="F465">
            <v>45</v>
          </cell>
          <cell r="G465" t="str">
            <v>M.</v>
          </cell>
        </row>
        <row r="466">
          <cell r="C466">
            <v>624</v>
          </cell>
          <cell r="D466" t="str">
            <v>-  150 mm.x400 mm. WIRE WAY</v>
          </cell>
          <cell r="E466">
            <v>846</v>
          </cell>
          <cell r="F466">
            <v>48</v>
          </cell>
          <cell r="G466" t="str">
            <v>M.</v>
          </cell>
        </row>
        <row r="467">
          <cell r="C467">
            <v>625</v>
          </cell>
          <cell r="D467" t="str">
            <v>-  200 mm.x200 mm. WIRE WAY</v>
          </cell>
          <cell r="E467">
            <v>500</v>
          </cell>
          <cell r="F467">
            <v>31</v>
          </cell>
          <cell r="G467" t="str">
            <v>M.</v>
          </cell>
        </row>
        <row r="468">
          <cell r="C468">
            <v>626</v>
          </cell>
          <cell r="D468" t="str">
            <v>-  200 mm.x250 mm. WIRE WAY</v>
          </cell>
          <cell r="E468">
            <v>575</v>
          </cell>
          <cell r="F468">
            <v>35</v>
          </cell>
          <cell r="G468" t="str">
            <v>M.</v>
          </cell>
        </row>
        <row r="469">
          <cell r="C469">
            <v>627</v>
          </cell>
          <cell r="D469" t="str">
            <v>-  200 mm.x300 mm. WIRE WAY</v>
          </cell>
          <cell r="E469">
            <v>775</v>
          </cell>
          <cell r="F469">
            <v>45</v>
          </cell>
          <cell r="G469" t="str">
            <v>M.</v>
          </cell>
        </row>
        <row r="470">
          <cell r="C470">
            <v>628</v>
          </cell>
          <cell r="D470" t="str">
            <v>-  200 mm.x350 mm. WIRE WAY</v>
          </cell>
          <cell r="E470">
            <v>846</v>
          </cell>
          <cell r="F470">
            <v>48</v>
          </cell>
          <cell r="G470" t="str">
            <v>M.</v>
          </cell>
        </row>
        <row r="471">
          <cell r="C471">
            <v>629</v>
          </cell>
          <cell r="D471" t="str">
            <v>-  200 mm.x400 mm. WIRE WAY</v>
          </cell>
          <cell r="E471">
            <v>920</v>
          </cell>
          <cell r="F471">
            <v>53</v>
          </cell>
          <cell r="G471" t="str">
            <v>M.</v>
          </cell>
        </row>
        <row r="472">
          <cell r="C472">
            <v>630</v>
          </cell>
          <cell r="D472" t="str">
            <v>-  200 mm.x450 mm. WIRE WAY</v>
          </cell>
          <cell r="E472">
            <v>990</v>
          </cell>
          <cell r="F472">
            <v>56</v>
          </cell>
          <cell r="G472" t="str">
            <v>M.</v>
          </cell>
        </row>
        <row r="473">
          <cell r="C473">
            <v>631</v>
          </cell>
          <cell r="D473" t="str">
            <v>-  250 mm.x250 mm. WIRE WAY</v>
          </cell>
          <cell r="E473">
            <v>775</v>
          </cell>
          <cell r="F473">
            <v>45</v>
          </cell>
          <cell r="G473" t="str">
            <v>M.</v>
          </cell>
        </row>
        <row r="474">
          <cell r="C474">
            <v>632</v>
          </cell>
          <cell r="D474" t="str">
            <v>-  250 mm.x300 mm. WIRE WAY</v>
          </cell>
          <cell r="E474">
            <v>846</v>
          </cell>
          <cell r="F474">
            <v>48</v>
          </cell>
          <cell r="G474" t="str">
            <v>M.</v>
          </cell>
        </row>
        <row r="475">
          <cell r="C475">
            <v>633</v>
          </cell>
          <cell r="D475" t="str">
            <v>-  250 mm.x350 mm. WIRE WAY</v>
          </cell>
          <cell r="E475">
            <v>920</v>
          </cell>
          <cell r="F475">
            <v>53</v>
          </cell>
          <cell r="G475" t="str">
            <v>M.</v>
          </cell>
        </row>
        <row r="476">
          <cell r="C476">
            <v>634</v>
          </cell>
          <cell r="D476" t="str">
            <v>-  250 mm.x400 mm. WIRE WAY</v>
          </cell>
          <cell r="E476">
            <v>990</v>
          </cell>
          <cell r="F476">
            <v>56</v>
          </cell>
          <cell r="G476" t="str">
            <v>M.</v>
          </cell>
        </row>
        <row r="477">
          <cell r="C477">
            <v>635</v>
          </cell>
          <cell r="D477" t="str">
            <v>-  250 mm.x450 mm. WIRE WAY</v>
          </cell>
          <cell r="E477">
            <v>1066</v>
          </cell>
          <cell r="F477">
            <v>60</v>
          </cell>
          <cell r="G477" t="str">
            <v>M.</v>
          </cell>
        </row>
        <row r="478">
          <cell r="C478">
            <v>636</v>
          </cell>
          <cell r="D478" t="str">
            <v>-  250 mm.x500 mm. WIRE WAY</v>
          </cell>
          <cell r="E478">
            <v>1138</v>
          </cell>
          <cell r="F478">
            <v>64</v>
          </cell>
          <cell r="G478" t="str">
            <v>M.</v>
          </cell>
        </row>
        <row r="479">
          <cell r="C479">
            <v>637</v>
          </cell>
          <cell r="D479" t="str">
            <v>-  250 mm.x550 mm. WIRE WAY</v>
          </cell>
          <cell r="E479">
            <v>1213</v>
          </cell>
          <cell r="F479">
            <v>70</v>
          </cell>
          <cell r="G479" t="str">
            <v>M.</v>
          </cell>
        </row>
        <row r="480">
          <cell r="D480" t="str">
            <v/>
          </cell>
        </row>
        <row r="481">
          <cell r="C481">
            <v>64</v>
          </cell>
          <cell r="D481" t="str">
            <v>CABLE TRAY ; ( 2.0 mm. THICK)</v>
          </cell>
        </row>
        <row r="482">
          <cell r="C482">
            <v>641</v>
          </cell>
          <cell r="D482" t="str">
            <v>-  100 mm. CABLE TRAY</v>
          </cell>
          <cell r="E482">
            <v>423</v>
          </cell>
          <cell r="F482">
            <v>29</v>
          </cell>
          <cell r="G482" t="str">
            <v>M.</v>
          </cell>
        </row>
        <row r="483">
          <cell r="C483">
            <v>642</v>
          </cell>
          <cell r="D483" t="str">
            <v>-  200 mm. CABLE TRAY</v>
          </cell>
          <cell r="E483">
            <v>533</v>
          </cell>
          <cell r="F483">
            <v>32</v>
          </cell>
          <cell r="G483" t="str">
            <v>M.</v>
          </cell>
        </row>
        <row r="484">
          <cell r="C484">
            <v>643</v>
          </cell>
          <cell r="D484" t="str">
            <v>-  300 mm. CABLE TRAY</v>
          </cell>
          <cell r="E484">
            <v>640</v>
          </cell>
          <cell r="F484">
            <v>35</v>
          </cell>
          <cell r="G484" t="str">
            <v>M.</v>
          </cell>
        </row>
        <row r="485">
          <cell r="C485">
            <v>644</v>
          </cell>
          <cell r="D485" t="str">
            <v>-  400 mm. CABLE TRAY</v>
          </cell>
          <cell r="E485">
            <v>747</v>
          </cell>
          <cell r="F485">
            <v>42</v>
          </cell>
          <cell r="G485" t="str">
            <v>M.</v>
          </cell>
        </row>
        <row r="486">
          <cell r="C486">
            <v>645</v>
          </cell>
          <cell r="D486" t="str">
            <v>-  500 mm. CABLE TRAY</v>
          </cell>
          <cell r="E486">
            <v>877</v>
          </cell>
          <cell r="F486">
            <v>50</v>
          </cell>
          <cell r="G486" t="str">
            <v>M.</v>
          </cell>
        </row>
        <row r="487">
          <cell r="C487">
            <v>646</v>
          </cell>
          <cell r="D487" t="str">
            <v>-  600 mm. CABLE TRAY</v>
          </cell>
          <cell r="E487">
            <v>986</v>
          </cell>
          <cell r="F487">
            <v>55</v>
          </cell>
          <cell r="G487" t="str">
            <v>M.</v>
          </cell>
        </row>
        <row r="488">
          <cell r="C488">
            <v>647</v>
          </cell>
          <cell r="D488" t="str">
            <v>-  700 mm. CABLE TRAY</v>
          </cell>
          <cell r="E488">
            <v>1094</v>
          </cell>
          <cell r="F488">
            <v>61</v>
          </cell>
          <cell r="G488" t="str">
            <v>M.</v>
          </cell>
        </row>
        <row r="489">
          <cell r="C489">
            <v>648</v>
          </cell>
          <cell r="D489" t="str">
            <v>-  800 mm. CABLE TRAY</v>
          </cell>
          <cell r="E489">
            <v>1200</v>
          </cell>
          <cell r="F489">
            <v>70</v>
          </cell>
          <cell r="G489" t="str">
            <v>M.</v>
          </cell>
        </row>
        <row r="490">
          <cell r="C490">
            <v>649</v>
          </cell>
          <cell r="D490" t="str">
            <v>-  900 mm. CABLE TRAY</v>
          </cell>
          <cell r="E490">
            <v>1320</v>
          </cell>
          <cell r="F490">
            <v>78</v>
          </cell>
          <cell r="G490" t="str">
            <v>M.</v>
          </cell>
        </row>
        <row r="491">
          <cell r="C491">
            <v>650</v>
          </cell>
          <cell r="D491" t="str">
            <v>-  1,000 mm. CABLE TRAY</v>
          </cell>
          <cell r="E491">
            <v>1440</v>
          </cell>
          <cell r="F491">
            <v>82</v>
          </cell>
          <cell r="G491" t="str">
            <v>M.</v>
          </cell>
        </row>
        <row r="492">
          <cell r="C492">
            <v>65</v>
          </cell>
          <cell r="D492" t="str">
            <v>CABLE LADDER ; ( 2.0 mm. THICK)</v>
          </cell>
        </row>
        <row r="493">
          <cell r="C493">
            <v>651</v>
          </cell>
          <cell r="D493" t="str">
            <v>-  100 mm. CABLE LADDER</v>
          </cell>
          <cell r="E493">
            <v>563</v>
          </cell>
          <cell r="F493">
            <v>34</v>
          </cell>
          <cell r="G493" t="str">
            <v>M.</v>
          </cell>
        </row>
        <row r="494">
          <cell r="C494">
            <v>652</v>
          </cell>
          <cell r="D494" t="str">
            <v>-  200 mm. CABLE LADDER</v>
          </cell>
          <cell r="E494">
            <v>600</v>
          </cell>
          <cell r="F494">
            <v>36</v>
          </cell>
          <cell r="G494" t="str">
            <v>M.</v>
          </cell>
        </row>
        <row r="495">
          <cell r="C495">
            <v>653</v>
          </cell>
          <cell r="D495" t="str">
            <v>-  300 mm. CABLE LADDER</v>
          </cell>
          <cell r="E495">
            <v>650</v>
          </cell>
          <cell r="F495">
            <v>39</v>
          </cell>
          <cell r="G495" t="str">
            <v>M.</v>
          </cell>
        </row>
        <row r="496">
          <cell r="C496">
            <v>654</v>
          </cell>
          <cell r="D496" t="str">
            <v>-  400 mm. CABLE LADDER</v>
          </cell>
          <cell r="E496">
            <v>690</v>
          </cell>
          <cell r="F496">
            <v>41</v>
          </cell>
          <cell r="G496" t="str">
            <v>M.</v>
          </cell>
        </row>
        <row r="497">
          <cell r="C497">
            <v>655</v>
          </cell>
          <cell r="D497" t="str">
            <v>-  500 mm. CABLE LADDER</v>
          </cell>
          <cell r="E497">
            <v>740</v>
          </cell>
          <cell r="F497">
            <v>43</v>
          </cell>
          <cell r="G497" t="str">
            <v>M.</v>
          </cell>
        </row>
        <row r="498">
          <cell r="C498">
            <v>656</v>
          </cell>
          <cell r="D498" t="str">
            <v>-  600 mm. CABLE LADDER</v>
          </cell>
          <cell r="E498">
            <v>785</v>
          </cell>
          <cell r="F498">
            <v>45</v>
          </cell>
          <cell r="G498" t="str">
            <v>M.</v>
          </cell>
        </row>
        <row r="499">
          <cell r="C499">
            <v>657</v>
          </cell>
          <cell r="D499" t="str">
            <v>-  700 mm. CABLE LADDER</v>
          </cell>
          <cell r="E499">
            <v>830</v>
          </cell>
          <cell r="F499">
            <v>48</v>
          </cell>
          <cell r="G499" t="str">
            <v>M.</v>
          </cell>
        </row>
        <row r="500">
          <cell r="C500">
            <v>658</v>
          </cell>
          <cell r="D500" t="str">
            <v>-  800 mm. CABLE LADDER</v>
          </cell>
          <cell r="E500">
            <v>877</v>
          </cell>
          <cell r="F500">
            <v>50</v>
          </cell>
          <cell r="G500" t="str">
            <v>M.</v>
          </cell>
        </row>
        <row r="501">
          <cell r="C501">
            <v>659</v>
          </cell>
          <cell r="D501" t="str">
            <v>-  900 mm. CABLE LADDER</v>
          </cell>
          <cell r="E501">
            <v>920</v>
          </cell>
          <cell r="F501">
            <v>53</v>
          </cell>
          <cell r="G501" t="str">
            <v>M.</v>
          </cell>
        </row>
        <row r="502">
          <cell r="C502">
            <v>660</v>
          </cell>
          <cell r="D502" t="str">
            <v>-  1,000 mm. CABLE LADDER</v>
          </cell>
          <cell r="E502">
            <v>963</v>
          </cell>
          <cell r="F502">
            <v>56</v>
          </cell>
          <cell r="G502" t="str">
            <v>M.</v>
          </cell>
        </row>
      </sheetData>
      <sheetData sheetId="4" refreshError="1">
        <row r="3">
          <cell r="C3" t="str">
            <v>N0.</v>
          </cell>
          <cell r="D3" t="str">
            <v>DESCRIPTION</v>
          </cell>
          <cell r="E3" t="str">
            <v xml:space="preserve">UNIT  </v>
          </cell>
          <cell r="F3" t="str">
            <v xml:space="preserve">LABOUR </v>
          </cell>
          <cell r="G3" t="str">
            <v>UNIT</v>
          </cell>
        </row>
        <row r="4">
          <cell r="E4" t="str">
            <v>COST</v>
          </cell>
          <cell r="F4" t="str">
            <v>COST</v>
          </cell>
        </row>
        <row r="5">
          <cell r="C5" t="str">
            <v/>
          </cell>
          <cell r="D5" t="str">
            <v>CABLE &amp; CABLE RACEWAY</v>
          </cell>
        </row>
        <row r="6">
          <cell r="C6">
            <v>1</v>
          </cell>
          <cell r="D6" t="str">
            <v xml:space="preserve">CABLE </v>
          </cell>
        </row>
        <row r="7">
          <cell r="C7">
            <v>101</v>
          </cell>
          <cell r="D7" t="str">
            <v>-  0.5 SQ.MM. THW.</v>
          </cell>
          <cell r="E7">
            <v>2</v>
          </cell>
          <cell r="F7">
            <v>0.5</v>
          </cell>
          <cell r="G7" t="str">
            <v>M.</v>
          </cell>
        </row>
        <row r="8">
          <cell r="C8">
            <v>102</v>
          </cell>
          <cell r="D8" t="str">
            <v>-  1 SQ.MM. THW.</v>
          </cell>
          <cell r="E8">
            <v>3</v>
          </cell>
          <cell r="F8">
            <v>0.5</v>
          </cell>
          <cell r="G8" t="str">
            <v>M.</v>
          </cell>
        </row>
        <row r="9">
          <cell r="C9">
            <v>103</v>
          </cell>
          <cell r="D9" t="str">
            <v>-  1.5 SQ.MM. THW.</v>
          </cell>
          <cell r="E9">
            <v>4</v>
          </cell>
          <cell r="F9">
            <v>2</v>
          </cell>
          <cell r="G9" t="str">
            <v>M.</v>
          </cell>
        </row>
        <row r="10">
          <cell r="C10">
            <v>104</v>
          </cell>
          <cell r="D10" t="str">
            <v>-  2.5 SQ.MM. THW.</v>
          </cell>
          <cell r="E10">
            <v>6</v>
          </cell>
          <cell r="F10">
            <v>2</v>
          </cell>
          <cell r="G10" t="str">
            <v>M.</v>
          </cell>
        </row>
        <row r="11">
          <cell r="C11">
            <v>105</v>
          </cell>
          <cell r="D11" t="str">
            <v>-  4 SQ.MM. THW.</v>
          </cell>
          <cell r="E11">
            <v>9</v>
          </cell>
          <cell r="F11">
            <v>3</v>
          </cell>
          <cell r="G11" t="str">
            <v>M.</v>
          </cell>
        </row>
        <row r="12">
          <cell r="C12">
            <v>106</v>
          </cell>
          <cell r="D12" t="str">
            <v>-  6 SQ.MM. THW.</v>
          </cell>
          <cell r="E12">
            <v>15</v>
          </cell>
          <cell r="F12">
            <v>3</v>
          </cell>
          <cell r="G12" t="str">
            <v>M.</v>
          </cell>
        </row>
        <row r="13">
          <cell r="C13">
            <v>107</v>
          </cell>
          <cell r="D13" t="str">
            <v>-  10 SQ.MM. THW.</v>
          </cell>
          <cell r="E13">
            <v>23</v>
          </cell>
          <cell r="F13">
            <v>4</v>
          </cell>
          <cell r="G13" t="str">
            <v>M.</v>
          </cell>
        </row>
        <row r="14">
          <cell r="C14">
            <v>108</v>
          </cell>
          <cell r="D14" t="str">
            <v>-  16 SQ.MM. THW.</v>
          </cell>
          <cell r="E14">
            <v>36</v>
          </cell>
          <cell r="F14">
            <v>6</v>
          </cell>
          <cell r="G14" t="str">
            <v>M.</v>
          </cell>
        </row>
        <row r="15">
          <cell r="C15">
            <v>109</v>
          </cell>
          <cell r="D15" t="str">
            <v>-  25 SQ.MM. THW.</v>
          </cell>
          <cell r="E15">
            <v>55</v>
          </cell>
          <cell r="F15">
            <v>7</v>
          </cell>
          <cell r="G15" t="str">
            <v>M.</v>
          </cell>
        </row>
        <row r="16">
          <cell r="C16">
            <v>110</v>
          </cell>
          <cell r="D16" t="str">
            <v>-  35 SQ.MM. THW.</v>
          </cell>
          <cell r="E16">
            <v>78</v>
          </cell>
          <cell r="F16">
            <v>9</v>
          </cell>
          <cell r="G16" t="str">
            <v>M.</v>
          </cell>
        </row>
        <row r="17">
          <cell r="C17">
            <v>111</v>
          </cell>
          <cell r="D17" t="str">
            <v>-  50 SQ.MM. THW.</v>
          </cell>
          <cell r="E17">
            <v>112</v>
          </cell>
          <cell r="F17">
            <v>13</v>
          </cell>
          <cell r="G17" t="str">
            <v>M.</v>
          </cell>
        </row>
        <row r="18">
          <cell r="C18">
            <v>112</v>
          </cell>
          <cell r="D18" t="str">
            <v>-  70 SQ.MM. THW.</v>
          </cell>
          <cell r="E18">
            <v>149</v>
          </cell>
          <cell r="F18">
            <v>17</v>
          </cell>
          <cell r="G18" t="str">
            <v>M.</v>
          </cell>
        </row>
        <row r="19">
          <cell r="C19">
            <v>113</v>
          </cell>
          <cell r="D19" t="str">
            <v>-  95 SQ.MM. THW.</v>
          </cell>
          <cell r="E19">
            <v>202</v>
          </cell>
          <cell r="F19">
            <v>24</v>
          </cell>
          <cell r="G19" t="str">
            <v>M.</v>
          </cell>
        </row>
        <row r="20">
          <cell r="C20">
            <v>114</v>
          </cell>
          <cell r="D20" t="str">
            <v>-  120 SQ.MM. THW.</v>
          </cell>
          <cell r="E20">
            <v>242</v>
          </cell>
          <cell r="F20">
            <v>28</v>
          </cell>
          <cell r="G20" t="str">
            <v>M.</v>
          </cell>
        </row>
        <row r="21">
          <cell r="C21">
            <v>115</v>
          </cell>
          <cell r="D21" t="str">
            <v>-  150 SQ.MM. THW.</v>
          </cell>
          <cell r="E21">
            <v>314</v>
          </cell>
          <cell r="F21">
            <v>33</v>
          </cell>
          <cell r="G21" t="str">
            <v>M.</v>
          </cell>
        </row>
        <row r="22">
          <cell r="C22">
            <v>116</v>
          </cell>
          <cell r="D22" t="str">
            <v>-  185 SQ.MM. THW.</v>
          </cell>
          <cell r="E22">
            <v>387</v>
          </cell>
          <cell r="F22">
            <v>38</v>
          </cell>
          <cell r="G22" t="str">
            <v>M.</v>
          </cell>
        </row>
        <row r="23">
          <cell r="C23">
            <v>117</v>
          </cell>
          <cell r="D23" t="str">
            <v>-  240 SQ.MM. THW.</v>
          </cell>
          <cell r="E23">
            <v>536</v>
          </cell>
          <cell r="F23">
            <v>42</v>
          </cell>
          <cell r="G23" t="str">
            <v>M.</v>
          </cell>
        </row>
        <row r="24">
          <cell r="C24">
            <v>118</v>
          </cell>
          <cell r="D24" t="str">
            <v>-  300 SQ.MM. THW.</v>
          </cell>
          <cell r="E24">
            <v>661</v>
          </cell>
          <cell r="F24">
            <v>54</v>
          </cell>
          <cell r="G24" t="str">
            <v>M.</v>
          </cell>
        </row>
        <row r="25">
          <cell r="C25">
            <v>119</v>
          </cell>
          <cell r="D25" t="str">
            <v>-  400 SQ.MM. THW.</v>
          </cell>
          <cell r="E25">
            <v>835</v>
          </cell>
          <cell r="F25">
            <v>60</v>
          </cell>
          <cell r="G25" t="str">
            <v>M.</v>
          </cell>
        </row>
        <row r="26">
          <cell r="C26">
            <v>120</v>
          </cell>
          <cell r="D26" t="str">
            <v>-  500 SQ.MM. THW.</v>
          </cell>
          <cell r="E26">
            <v>1081</v>
          </cell>
          <cell r="F26">
            <v>70</v>
          </cell>
          <cell r="G26" t="str">
            <v>M.</v>
          </cell>
        </row>
        <row r="27">
          <cell r="C27">
            <v>121</v>
          </cell>
          <cell r="D27" t="str">
            <v>-  2/C - 1 SQ.MM. VAF</v>
          </cell>
          <cell r="E27">
            <v>4</v>
          </cell>
          <cell r="F27">
            <v>5</v>
          </cell>
          <cell r="G27" t="str">
            <v>M.</v>
          </cell>
        </row>
        <row r="28">
          <cell r="C28">
            <v>122</v>
          </cell>
          <cell r="D28" t="str">
            <v>-  2/C - 1.5 SQ.MM. VAF</v>
          </cell>
          <cell r="E28">
            <v>6</v>
          </cell>
          <cell r="F28">
            <v>10</v>
          </cell>
          <cell r="G28" t="str">
            <v>M.</v>
          </cell>
        </row>
        <row r="29">
          <cell r="C29">
            <v>123</v>
          </cell>
          <cell r="D29" t="str">
            <v>-  2/C - 2.5 SQ.MM. VAF</v>
          </cell>
          <cell r="E29">
            <v>9.5</v>
          </cell>
          <cell r="F29">
            <v>10</v>
          </cell>
          <cell r="G29" t="str">
            <v>M.</v>
          </cell>
        </row>
        <row r="30">
          <cell r="C30">
            <v>124</v>
          </cell>
          <cell r="D30" t="str">
            <v>-  2/C - 4 SQ.MM. VAF</v>
          </cell>
          <cell r="E30">
            <v>15.5</v>
          </cell>
          <cell r="F30">
            <v>12</v>
          </cell>
          <cell r="G30" t="str">
            <v>M.</v>
          </cell>
        </row>
        <row r="31">
          <cell r="C31">
            <v>125</v>
          </cell>
          <cell r="D31" t="str">
            <v>-  2/C - 6 SQ.MM. VAF</v>
          </cell>
          <cell r="E31">
            <v>22.5</v>
          </cell>
          <cell r="F31">
            <v>18</v>
          </cell>
          <cell r="G31" t="str">
            <v>M.</v>
          </cell>
        </row>
        <row r="32">
          <cell r="C32">
            <v>126</v>
          </cell>
          <cell r="D32" t="str">
            <v>-  2/C - 10 SQ.MM. VAF</v>
          </cell>
          <cell r="E32">
            <v>35</v>
          </cell>
          <cell r="F32">
            <v>24</v>
          </cell>
          <cell r="G32" t="str">
            <v>M.</v>
          </cell>
        </row>
        <row r="33">
          <cell r="C33">
            <v>127</v>
          </cell>
          <cell r="D33" t="str">
            <v>-  2/C - 16 SQ.MM. VAF</v>
          </cell>
          <cell r="E33">
            <v>52</v>
          </cell>
          <cell r="F33">
            <v>26</v>
          </cell>
          <cell r="G33" t="str">
            <v>M.</v>
          </cell>
        </row>
        <row r="34">
          <cell r="C34">
            <v>128</v>
          </cell>
          <cell r="D34" t="str">
            <v>-  2/C - 1 SQ.MM. VAF-GRD</v>
          </cell>
          <cell r="E34">
            <v>0</v>
          </cell>
          <cell r="F34">
            <v>5</v>
          </cell>
          <cell r="G34" t="str">
            <v>M.</v>
          </cell>
        </row>
        <row r="35">
          <cell r="C35">
            <v>129</v>
          </cell>
          <cell r="D35" t="str">
            <v>-  2/C - 1.5 SQ.MM. VAF-GRD</v>
          </cell>
          <cell r="E35">
            <v>0</v>
          </cell>
          <cell r="F35">
            <v>7</v>
          </cell>
          <cell r="G35" t="str">
            <v>M.</v>
          </cell>
        </row>
        <row r="36">
          <cell r="C36">
            <v>130</v>
          </cell>
          <cell r="D36" t="str">
            <v>-  2/C - 2.5 SQ.MM. VAF-GRD</v>
          </cell>
          <cell r="E36">
            <v>0</v>
          </cell>
          <cell r="F36">
            <v>10</v>
          </cell>
          <cell r="G36" t="str">
            <v>M.</v>
          </cell>
        </row>
        <row r="37">
          <cell r="C37">
            <v>131</v>
          </cell>
          <cell r="D37" t="str">
            <v>-  2/C - 4 SQ.MM. VAF-GRD</v>
          </cell>
          <cell r="E37">
            <v>0</v>
          </cell>
          <cell r="F37">
            <v>12</v>
          </cell>
          <cell r="G37" t="str">
            <v>M.</v>
          </cell>
        </row>
        <row r="38">
          <cell r="C38">
            <v>132</v>
          </cell>
          <cell r="D38" t="str">
            <v>-  2/C - 6 SQ.MM. VAF-GRD</v>
          </cell>
          <cell r="E38">
            <v>0</v>
          </cell>
          <cell r="F38">
            <v>18</v>
          </cell>
          <cell r="G38" t="str">
            <v>M.</v>
          </cell>
        </row>
        <row r="39">
          <cell r="C39">
            <v>133</v>
          </cell>
          <cell r="D39" t="str">
            <v>-  2/C - 10 SQ.MM. VAF-GRD</v>
          </cell>
          <cell r="E39">
            <v>0</v>
          </cell>
          <cell r="F39">
            <v>24</v>
          </cell>
          <cell r="G39" t="str">
            <v>M.</v>
          </cell>
        </row>
        <row r="40">
          <cell r="C40">
            <v>134</v>
          </cell>
          <cell r="D40" t="str">
            <v>-  2/C - 16 SQ.MM. VAF-GRD</v>
          </cell>
          <cell r="E40">
            <v>0</v>
          </cell>
          <cell r="F40">
            <v>26</v>
          </cell>
          <cell r="G40" t="str">
            <v>M.</v>
          </cell>
        </row>
        <row r="41">
          <cell r="C41">
            <v>202</v>
          </cell>
          <cell r="D41" t="str">
            <v>SPACE</v>
          </cell>
          <cell r="E41">
            <v>243000</v>
          </cell>
          <cell r="F41">
            <v>7000</v>
          </cell>
          <cell r="G41" t="str">
            <v>SET</v>
          </cell>
        </row>
        <row r="42">
          <cell r="C42">
            <v>136</v>
          </cell>
          <cell r="D42" t="str">
            <v>-  1/C - 1 SQ.MM. NYY</v>
          </cell>
          <cell r="E42">
            <v>12</v>
          </cell>
          <cell r="F42">
            <v>4</v>
          </cell>
          <cell r="G42" t="str">
            <v>M.</v>
          </cell>
        </row>
        <row r="43">
          <cell r="C43">
            <v>137</v>
          </cell>
          <cell r="D43" t="str">
            <v>-  1/C - 1.5 SQ.MM. NYY</v>
          </cell>
          <cell r="E43">
            <v>14</v>
          </cell>
          <cell r="F43">
            <v>4</v>
          </cell>
          <cell r="G43" t="str">
            <v>M.</v>
          </cell>
        </row>
        <row r="44">
          <cell r="C44">
            <v>138</v>
          </cell>
          <cell r="D44" t="str">
            <v>-  1/C - 2.5 SQ.MM. NYY</v>
          </cell>
          <cell r="E44">
            <v>16</v>
          </cell>
          <cell r="F44">
            <v>5</v>
          </cell>
          <cell r="G44" t="str">
            <v>M.</v>
          </cell>
        </row>
        <row r="45">
          <cell r="C45">
            <v>139</v>
          </cell>
          <cell r="D45" t="str">
            <v>-  1/C - 4 SQ.MM. NYY</v>
          </cell>
          <cell r="E45">
            <v>22</v>
          </cell>
          <cell r="F45">
            <v>5</v>
          </cell>
          <cell r="G45" t="str">
            <v>M.</v>
          </cell>
        </row>
        <row r="46">
          <cell r="C46">
            <v>140</v>
          </cell>
          <cell r="D46" t="str">
            <v>-  1/C - 6 SQ.MM. NYY</v>
          </cell>
          <cell r="E46">
            <v>32</v>
          </cell>
          <cell r="F46">
            <v>6</v>
          </cell>
          <cell r="G46" t="str">
            <v>M.</v>
          </cell>
        </row>
        <row r="47">
          <cell r="C47">
            <v>141</v>
          </cell>
          <cell r="D47" t="str">
            <v>-  1/C - 10 SQ.MM. NYY</v>
          </cell>
          <cell r="E47">
            <v>39</v>
          </cell>
          <cell r="F47">
            <v>7</v>
          </cell>
          <cell r="G47" t="str">
            <v>M.</v>
          </cell>
        </row>
        <row r="48">
          <cell r="C48">
            <v>142</v>
          </cell>
          <cell r="D48" t="str">
            <v>-  1/C - 16 SQ.MM. NYY</v>
          </cell>
          <cell r="E48">
            <v>53</v>
          </cell>
          <cell r="F48">
            <v>8</v>
          </cell>
          <cell r="G48" t="str">
            <v>M.</v>
          </cell>
        </row>
        <row r="49">
          <cell r="C49">
            <v>143</v>
          </cell>
          <cell r="D49" t="str">
            <v>-  1/C - 25 SQ.MM. NYY</v>
          </cell>
          <cell r="E49">
            <v>73</v>
          </cell>
          <cell r="F49">
            <v>10</v>
          </cell>
          <cell r="G49" t="str">
            <v>M.</v>
          </cell>
        </row>
        <row r="50">
          <cell r="C50">
            <v>144</v>
          </cell>
          <cell r="D50" t="str">
            <v>-  1/C - 35 SQ.MM. NYY</v>
          </cell>
          <cell r="E50">
            <v>99</v>
          </cell>
          <cell r="F50">
            <v>14</v>
          </cell>
          <cell r="G50" t="str">
            <v>M.</v>
          </cell>
        </row>
        <row r="51">
          <cell r="C51">
            <v>145</v>
          </cell>
          <cell r="D51" t="str">
            <v>-  1/C - 50 SQ.MM. NYY</v>
          </cell>
          <cell r="E51">
            <v>133</v>
          </cell>
          <cell r="F51">
            <v>16</v>
          </cell>
          <cell r="G51" t="str">
            <v>M.</v>
          </cell>
        </row>
        <row r="52">
          <cell r="C52">
            <v>146</v>
          </cell>
          <cell r="D52" t="str">
            <v>-  1/C - 70 SQ.MM. NYY</v>
          </cell>
          <cell r="E52">
            <v>175</v>
          </cell>
          <cell r="F52">
            <v>20</v>
          </cell>
          <cell r="G52" t="str">
            <v>M.</v>
          </cell>
        </row>
        <row r="53">
          <cell r="C53">
            <v>147</v>
          </cell>
          <cell r="D53" t="str">
            <v>-  1/C - 95 SQ.MM. NYY</v>
          </cell>
          <cell r="E53">
            <v>233</v>
          </cell>
          <cell r="F53">
            <v>25</v>
          </cell>
          <cell r="G53" t="str">
            <v>M.</v>
          </cell>
        </row>
        <row r="54">
          <cell r="C54">
            <v>148</v>
          </cell>
          <cell r="D54" t="str">
            <v>-  1/C - 120 SQ.MM. NYY</v>
          </cell>
          <cell r="E54">
            <v>290</v>
          </cell>
          <cell r="F54">
            <v>30</v>
          </cell>
          <cell r="G54" t="str">
            <v>M.</v>
          </cell>
        </row>
        <row r="55">
          <cell r="C55">
            <v>149</v>
          </cell>
          <cell r="D55" t="str">
            <v>-  1/C - 150 SQ.MM. NYY</v>
          </cell>
          <cell r="E55">
            <v>357</v>
          </cell>
          <cell r="F55">
            <v>35</v>
          </cell>
          <cell r="G55" t="str">
            <v>M.</v>
          </cell>
        </row>
        <row r="56">
          <cell r="C56">
            <v>150</v>
          </cell>
          <cell r="D56" t="str">
            <v>-  1/C - 185 SQ.MM. NYY</v>
          </cell>
          <cell r="E56">
            <v>437</v>
          </cell>
          <cell r="F56">
            <v>40</v>
          </cell>
          <cell r="G56" t="str">
            <v>M.</v>
          </cell>
        </row>
        <row r="57">
          <cell r="C57">
            <v>151</v>
          </cell>
          <cell r="D57" t="str">
            <v>-  1/C - 240 SQ.MM. NYY</v>
          </cell>
          <cell r="E57">
            <v>603</v>
          </cell>
          <cell r="F57">
            <v>50</v>
          </cell>
          <cell r="G57" t="str">
            <v>M.</v>
          </cell>
        </row>
        <row r="58">
          <cell r="C58">
            <v>152</v>
          </cell>
          <cell r="D58" t="str">
            <v>-  1/C - 300 SQ.MM. NYY</v>
          </cell>
          <cell r="E58">
            <v>738</v>
          </cell>
          <cell r="F58">
            <v>60</v>
          </cell>
          <cell r="G58" t="str">
            <v>M.</v>
          </cell>
        </row>
        <row r="59">
          <cell r="C59">
            <v>153</v>
          </cell>
          <cell r="D59" t="str">
            <v>-  1/C - 400 SQ.MM. NYY</v>
          </cell>
          <cell r="E59">
            <v>926</v>
          </cell>
          <cell r="F59">
            <v>70</v>
          </cell>
          <cell r="G59" t="str">
            <v>M.</v>
          </cell>
        </row>
        <row r="60">
          <cell r="C60">
            <v>154</v>
          </cell>
          <cell r="D60" t="str">
            <v>-  1/C - 500 SQ.MM. NYY</v>
          </cell>
          <cell r="E60">
            <v>1200</v>
          </cell>
          <cell r="F60">
            <v>80</v>
          </cell>
          <cell r="G60" t="str">
            <v>M.</v>
          </cell>
        </row>
        <row r="61">
          <cell r="C61">
            <v>155</v>
          </cell>
          <cell r="D61" t="str">
            <v>-  2/C - 1 SQ.MM. NYY</v>
          </cell>
          <cell r="E61">
            <v>24</v>
          </cell>
          <cell r="F61">
            <v>7</v>
          </cell>
          <cell r="G61" t="str">
            <v>M.</v>
          </cell>
        </row>
        <row r="62">
          <cell r="C62">
            <v>156</v>
          </cell>
          <cell r="D62" t="str">
            <v>-  2/C - 1.5 SQ.MM. NYY</v>
          </cell>
          <cell r="E62">
            <v>27</v>
          </cell>
          <cell r="F62">
            <v>8</v>
          </cell>
          <cell r="G62" t="str">
            <v>M.</v>
          </cell>
        </row>
        <row r="63">
          <cell r="C63">
            <v>157</v>
          </cell>
          <cell r="D63" t="str">
            <v>-  2/C - 2.5 SQ.MM. NYY</v>
          </cell>
          <cell r="E63">
            <v>32</v>
          </cell>
          <cell r="F63">
            <v>10</v>
          </cell>
          <cell r="G63" t="str">
            <v>M.</v>
          </cell>
        </row>
        <row r="64">
          <cell r="C64">
            <v>158</v>
          </cell>
          <cell r="D64" t="str">
            <v>-  2/C - 4 SQ.MM. NYY</v>
          </cell>
          <cell r="E64">
            <v>45</v>
          </cell>
          <cell r="F64">
            <v>14</v>
          </cell>
          <cell r="G64" t="str">
            <v>M.</v>
          </cell>
        </row>
        <row r="65">
          <cell r="C65">
            <v>159</v>
          </cell>
          <cell r="D65" t="str">
            <v>-  2/C - 6 SQ.MM. NYY</v>
          </cell>
          <cell r="E65">
            <v>62</v>
          </cell>
          <cell r="F65">
            <v>18</v>
          </cell>
          <cell r="G65" t="str">
            <v>M.</v>
          </cell>
        </row>
        <row r="66">
          <cell r="C66">
            <v>160</v>
          </cell>
          <cell r="D66" t="str">
            <v>-  2/C - 10 SQ.MM. NYY</v>
          </cell>
          <cell r="E66">
            <v>88</v>
          </cell>
          <cell r="F66">
            <v>20</v>
          </cell>
          <cell r="G66" t="str">
            <v>M.</v>
          </cell>
        </row>
        <row r="67">
          <cell r="C67">
            <v>161</v>
          </cell>
          <cell r="D67" t="str">
            <v>-  2/C - 16 SQ.MM. NYY</v>
          </cell>
          <cell r="E67">
            <v>125</v>
          </cell>
          <cell r="F67">
            <v>25</v>
          </cell>
          <cell r="G67" t="str">
            <v>M.</v>
          </cell>
        </row>
        <row r="68">
          <cell r="C68">
            <v>162</v>
          </cell>
          <cell r="D68" t="str">
            <v>-  2/C - 25 SQ.MM. NYY</v>
          </cell>
          <cell r="E68">
            <v>183</v>
          </cell>
          <cell r="F68">
            <v>30</v>
          </cell>
          <cell r="G68" t="str">
            <v>M.</v>
          </cell>
        </row>
        <row r="69">
          <cell r="C69">
            <v>163</v>
          </cell>
          <cell r="D69" t="str">
            <v>-  2/C - 35 SQ.MM. NYY</v>
          </cell>
          <cell r="E69">
            <v>243</v>
          </cell>
          <cell r="F69">
            <v>35</v>
          </cell>
          <cell r="G69" t="str">
            <v>M.</v>
          </cell>
        </row>
        <row r="70">
          <cell r="C70">
            <v>164</v>
          </cell>
          <cell r="D70" t="str">
            <v>-  2/C - 50 SQ.MM. NYY</v>
          </cell>
          <cell r="E70">
            <v>347</v>
          </cell>
          <cell r="F70">
            <v>40</v>
          </cell>
          <cell r="G70" t="str">
            <v>M.</v>
          </cell>
        </row>
        <row r="71">
          <cell r="C71">
            <v>165</v>
          </cell>
          <cell r="D71" t="str">
            <v>-  2/C - 70 SQ.MM. NYY</v>
          </cell>
          <cell r="E71">
            <v>451</v>
          </cell>
          <cell r="F71">
            <v>60</v>
          </cell>
          <cell r="G71" t="str">
            <v>M.</v>
          </cell>
        </row>
        <row r="72">
          <cell r="C72">
            <v>166</v>
          </cell>
          <cell r="D72" t="str">
            <v>-  2/C - 95 SQ.MM. NYY</v>
          </cell>
          <cell r="E72">
            <v>592</v>
          </cell>
          <cell r="F72">
            <v>70</v>
          </cell>
          <cell r="G72" t="str">
            <v>M.</v>
          </cell>
        </row>
        <row r="73">
          <cell r="C73">
            <v>167</v>
          </cell>
          <cell r="D73" t="str">
            <v>-  2/C - 120 SQ.MM. NYY</v>
          </cell>
          <cell r="E73">
            <v>736</v>
          </cell>
          <cell r="F73">
            <v>75</v>
          </cell>
          <cell r="G73" t="str">
            <v>M.</v>
          </cell>
        </row>
        <row r="74">
          <cell r="C74">
            <v>168</v>
          </cell>
          <cell r="D74" t="str">
            <v>-  2/C - 150 SQ.MM. NYY</v>
          </cell>
          <cell r="E74">
            <v>902</v>
          </cell>
          <cell r="F74">
            <v>80</v>
          </cell>
          <cell r="G74" t="str">
            <v>M.</v>
          </cell>
        </row>
        <row r="75">
          <cell r="C75">
            <v>169</v>
          </cell>
          <cell r="D75" t="str">
            <v>-  2/C - 185 SQ.MM. NYY</v>
          </cell>
          <cell r="E75">
            <v>1107</v>
          </cell>
          <cell r="F75">
            <v>85</v>
          </cell>
          <cell r="G75" t="str">
            <v>M.</v>
          </cell>
        </row>
        <row r="76">
          <cell r="C76">
            <v>170</v>
          </cell>
          <cell r="D76" t="str">
            <v>-  2/C - 240 SQ.MM. NYY</v>
          </cell>
          <cell r="E76">
            <v>1512</v>
          </cell>
          <cell r="F76">
            <v>90</v>
          </cell>
          <cell r="G76" t="str">
            <v>M.</v>
          </cell>
        </row>
        <row r="77">
          <cell r="C77">
            <v>171</v>
          </cell>
          <cell r="D77" t="str">
            <v>-  2/C - 300 SQ.MM. NYY</v>
          </cell>
          <cell r="E77">
            <v>1861</v>
          </cell>
          <cell r="F77">
            <v>100</v>
          </cell>
          <cell r="G77" t="str">
            <v>M.</v>
          </cell>
        </row>
        <row r="78">
          <cell r="C78">
            <v>172</v>
          </cell>
          <cell r="D78" t="str">
            <v>-  3/C - 1 SQ.MM. NYY</v>
          </cell>
          <cell r="E78">
            <v>26</v>
          </cell>
          <cell r="F78">
            <v>10</v>
          </cell>
          <cell r="G78" t="str">
            <v>M.</v>
          </cell>
        </row>
        <row r="79">
          <cell r="C79">
            <v>173</v>
          </cell>
          <cell r="D79" t="str">
            <v>-  3/C - 1.5 SQ.MM. NYY</v>
          </cell>
          <cell r="E79">
            <v>30</v>
          </cell>
          <cell r="F79">
            <v>14</v>
          </cell>
          <cell r="G79" t="str">
            <v>M.</v>
          </cell>
        </row>
        <row r="80">
          <cell r="C80">
            <v>174</v>
          </cell>
          <cell r="D80" t="str">
            <v>-  3/C - 2.5 SQ.MM. NYY</v>
          </cell>
          <cell r="E80">
            <v>37</v>
          </cell>
          <cell r="F80">
            <v>18</v>
          </cell>
          <cell r="G80" t="str">
            <v>M.</v>
          </cell>
        </row>
        <row r="81">
          <cell r="C81">
            <v>175</v>
          </cell>
          <cell r="D81" t="str">
            <v>-  3/C - 4 SQ.MM. NYY</v>
          </cell>
          <cell r="E81">
            <v>53</v>
          </cell>
          <cell r="F81">
            <v>20</v>
          </cell>
          <cell r="G81" t="str">
            <v>M.</v>
          </cell>
        </row>
        <row r="82">
          <cell r="C82">
            <v>176</v>
          </cell>
          <cell r="D82" t="str">
            <v>-  3/C - 6 SQ.MM. NYY</v>
          </cell>
          <cell r="E82">
            <v>77</v>
          </cell>
          <cell r="F82">
            <v>25</v>
          </cell>
          <cell r="G82" t="str">
            <v>M.</v>
          </cell>
        </row>
        <row r="83">
          <cell r="C83">
            <v>177</v>
          </cell>
          <cell r="D83" t="str">
            <v>-  3/C - 10 SQ.MM. NYY</v>
          </cell>
          <cell r="E83">
            <v>113</v>
          </cell>
          <cell r="F83">
            <v>30</v>
          </cell>
          <cell r="G83" t="str">
            <v>M.</v>
          </cell>
        </row>
        <row r="84">
          <cell r="C84">
            <v>178</v>
          </cell>
          <cell r="D84" t="str">
            <v>-  3/C - 16 SQ.MM. NYY</v>
          </cell>
          <cell r="E84">
            <v>166</v>
          </cell>
          <cell r="F84">
            <v>35</v>
          </cell>
          <cell r="G84" t="str">
            <v>M.</v>
          </cell>
        </row>
        <row r="85">
          <cell r="C85">
            <v>179</v>
          </cell>
          <cell r="D85" t="str">
            <v>-  3/C - 25 SQ.MM. NYY</v>
          </cell>
          <cell r="E85">
            <v>240</v>
          </cell>
          <cell r="F85">
            <v>40</v>
          </cell>
          <cell r="G85" t="str">
            <v>M.</v>
          </cell>
        </row>
        <row r="86">
          <cell r="C86">
            <v>180</v>
          </cell>
          <cell r="D86" t="str">
            <v>-  3/C - 35 SQ.MM. NYY</v>
          </cell>
          <cell r="E86">
            <v>323</v>
          </cell>
          <cell r="F86">
            <v>65</v>
          </cell>
          <cell r="G86" t="str">
            <v>M.</v>
          </cell>
        </row>
        <row r="87">
          <cell r="C87">
            <v>181</v>
          </cell>
          <cell r="D87" t="str">
            <v>-  3/C - 50 SQ.MM. NYY</v>
          </cell>
          <cell r="E87">
            <v>468</v>
          </cell>
          <cell r="F87">
            <v>70</v>
          </cell>
          <cell r="G87" t="str">
            <v>M.</v>
          </cell>
        </row>
        <row r="88">
          <cell r="C88">
            <v>182</v>
          </cell>
          <cell r="D88" t="str">
            <v>-  3/C - 70 SQ.MM. NYY</v>
          </cell>
          <cell r="E88">
            <v>605</v>
          </cell>
          <cell r="F88">
            <v>75</v>
          </cell>
          <cell r="G88" t="str">
            <v>M.</v>
          </cell>
        </row>
        <row r="89">
          <cell r="C89">
            <v>183</v>
          </cell>
          <cell r="D89" t="str">
            <v>-  3/C - 95 SQ.MM. NYY</v>
          </cell>
          <cell r="E89">
            <v>806</v>
          </cell>
          <cell r="F89">
            <v>80</v>
          </cell>
          <cell r="G89" t="str">
            <v>M.</v>
          </cell>
        </row>
        <row r="90">
          <cell r="C90">
            <v>184</v>
          </cell>
          <cell r="D90" t="str">
            <v>-  3/C - 120 SQ.MM. NYY</v>
          </cell>
          <cell r="E90">
            <v>1012</v>
          </cell>
          <cell r="F90">
            <v>85</v>
          </cell>
          <cell r="G90" t="str">
            <v>M.</v>
          </cell>
        </row>
        <row r="91">
          <cell r="C91">
            <v>185</v>
          </cell>
          <cell r="D91" t="str">
            <v>-  3/C - 150 SQ.MM. NYY</v>
          </cell>
          <cell r="E91">
            <v>1233</v>
          </cell>
          <cell r="F91">
            <v>90</v>
          </cell>
          <cell r="G91" t="str">
            <v>M.</v>
          </cell>
        </row>
        <row r="92">
          <cell r="C92">
            <v>186</v>
          </cell>
          <cell r="D92" t="str">
            <v>-  3/C - 185 SQ.MM. NYY</v>
          </cell>
          <cell r="E92">
            <v>1524</v>
          </cell>
          <cell r="F92">
            <v>110</v>
          </cell>
          <cell r="G92" t="str">
            <v>M.</v>
          </cell>
        </row>
        <row r="93">
          <cell r="C93">
            <v>187</v>
          </cell>
          <cell r="D93" t="str">
            <v>-  3/C - 240 SQ.MM. NYY</v>
          </cell>
          <cell r="E93">
            <v>2076</v>
          </cell>
          <cell r="F93">
            <v>120</v>
          </cell>
          <cell r="G93" t="str">
            <v>M.</v>
          </cell>
        </row>
        <row r="94">
          <cell r="C94">
            <v>188</v>
          </cell>
          <cell r="D94" t="str">
            <v>-  3/C - 300 SQ.MM. NYY</v>
          </cell>
          <cell r="E94">
            <v>2553</v>
          </cell>
          <cell r="F94">
            <v>130</v>
          </cell>
          <cell r="G94" t="str">
            <v>M.</v>
          </cell>
        </row>
        <row r="95">
          <cell r="C95">
            <v>189</v>
          </cell>
          <cell r="D95" t="str">
            <v>-  4/C - 1 SQ.MM. NYY</v>
          </cell>
          <cell r="E95">
            <v>31</v>
          </cell>
          <cell r="F95">
            <v>14</v>
          </cell>
          <cell r="G95" t="str">
            <v>M.</v>
          </cell>
        </row>
        <row r="96">
          <cell r="C96">
            <v>190</v>
          </cell>
          <cell r="D96" t="str">
            <v>-  4/C - 1.5 SQ.MM. NYY</v>
          </cell>
          <cell r="E96">
            <v>35</v>
          </cell>
          <cell r="F96">
            <v>18</v>
          </cell>
          <cell r="G96" t="str">
            <v>M.</v>
          </cell>
        </row>
        <row r="97">
          <cell r="C97">
            <v>191</v>
          </cell>
          <cell r="D97" t="str">
            <v>-  4/C - 2.5 SQ.MM. NYY</v>
          </cell>
          <cell r="E97">
            <v>43</v>
          </cell>
          <cell r="F97">
            <v>20</v>
          </cell>
          <cell r="G97" t="str">
            <v>M.</v>
          </cell>
        </row>
        <row r="98">
          <cell r="C98">
            <v>192</v>
          </cell>
          <cell r="D98" t="str">
            <v>-  4/C - 4 SQ.MM. NYY</v>
          </cell>
          <cell r="E98">
            <v>64</v>
          </cell>
          <cell r="F98">
            <v>25</v>
          </cell>
          <cell r="G98" t="str">
            <v>M.</v>
          </cell>
        </row>
        <row r="99">
          <cell r="C99">
            <v>193</v>
          </cell>
          <cell r="D99" t="str">
            <v>-  4/C - 6 SQ.MM. NYY</v>
          </cell>
          <cell r="E99">
            <v>93</v>
          </cell>
          <cell r="F99">
            <v>30</v>
          </cell>
          <cell r="G99" t="str">
            <v>M.</v>
          </cell>
        </row>
        <row r="100">
          <cell r="C100">
            <v>194</v>
          </cell>
          <cell r="D100" t="str">
            <v>-  4/C - 10 SQ.MM. NYY</v>
          </cell>
          <cell r="E100">
            <v>143</v>
          </cell>
          <cell r="F100">
            <v>40</v>
          </cell>
          <cell r="G100" t="str">
            <v>M.</v>
          </cell>
        </row>
        <row r="101">
          <cell r="C101">
            <v>195</v>
          </cell>
          <cell r="D101" t="str">
            <v>-  4/C - 16 SQ.MM. NYY</v>
          </cell>
          <cell r="E101">
            <v>210</v>
          </cell>
          <cell r="F101">
            <v>45</v>
          </cell>
          <cell r="G101" t="str">
            <v>M.</v>
          </cell>
        </row>
        <row r="102">
          <cell r="C102">
            <v>196</v>
          </cell>
          <cell r="D102" t="str">
            <v>-  4/C - 25 SQ.MM. NYY</v>
          </cell>
          <cell r="E102">
            <v>308</v>
          </cell>
          <cell r="F102">
            <v>65</v>
          </cell>
          <cell r="G102" t="str">
            <v>M.</v>
          </cell>
        </row>
        <row r="103">
          <cell r="C103">
            <v>197</v>
          </cell>
          <cell r="D103" t="str">
            <v>-  4/C - 35 SQ.MM. NYY</v>
          </cell>
          <cell r="E103">
            <v>425</v>
          </cell>
          <cell r="F103">
            <v>70</v>
          </cell>
          <cell r="G103" t="str">
            <v>M.</v>
          </cell>
        </row>
        <row r="104">
          <cell r="C104">
            <v>198</v>
          </cell>
          <cell r="D104" t="str">
            <v>-  4/C - 50 SQ.MM. NYY</v>
          </cell>
          <cell r="E104">
            <v>596</v>
          </cell>
          <cell r="F104">
            <v>75</v>
          </cell>
          <cell r="G104" t="str">
            <v>M.</v>
          </cell>
        </row>
        <row r="105">
          <cell r="C105">
            <v>199</v>
          </cell>
          <cell r="D105" t="str">
            <v>-  4/C - 70 SQ.MM. NYY</v>
          </cell>
          <cell r="E105">
            <v>782</v>
          </cell>
          <cell r="F105">
            <v>80</v>
          </cell>
          <cell r="G105" t="str">
            <v>M.</v>
          </cell>
        </row>
        <row r="106">
          <cell r="C106">
            <v>200</v>
          </cell>
          <cell r="D106" t="str">
            <v>-  4/C - 95 SQ.MM. NYY</v>
          </cell>
          <cell r="E106">
            <v>1051</v>
          </cell>
          <cell r="F106">
            <v>85</v>
          </cell>
          <cell r="G106" t="str">
            <v>M.</v>
          </cell>
        </row>
        <row r="107">
          <cell r="C107">
            <v>201</v>
          </cell>
          <cell r="D107" t="str">
            <v>-  4/C - 120 SQ.MM. NYY</v>
          </cell>
          <cell r="E107">
            <v>1307</v>
          </cell>
          <cell r="F107">
            <v>90</v>
          </cell>
          <cell r="G107" t="str">
            <v>M.</v>
          </cell>
        </row>
        <row r="108">
          <cell r="C108">
            <v>202</v>
          </cell>
          <cell r="D108" t="str">
            <v>-  4/C - 150 SQ.MM. NYY</v>
          </cell>
          <cell r="E108">
            <v>1607</v>
          </cell>
          <cell r="F108">
            <v>110</v>
          </cell>
          <cell r="G108" t="str">
            <v>M.</v>
          </cell>
        </row>
        <row r="109">
          <cell r="C109">
            <v>203</v>
          </cell>
          <cell r="D109" t="str">
            <v>-  4/C - 185 SQ.MM. NYY</v>
          </cell>
          <cell r="E109">
            <v>1969</v>
          </cell>
          <cell r="F109">
            <v>120</v>
          </cell>
          <cell r="G109" t="str">
            <v>M.</v>
          </cell>
        </row>
        <row r="110">
          <cell r="C110">
            <v>204</v>
          </cell>
          <cell r="D110" t="str">
            <v>-  4/C - 240 SQ.MM. NYY</v>
          </cell>
          <cell r="E110">
            <v>2705</v>
          </cell>
          <cell r="F110">
            <v>130</v>
          </cell>
          <cell r="G110" t="str">
            <v>M.</v>
          </cell>
        </row>
        <row r="111">
          <cell r="C111">
            <v>205</v>
          </cell>
          <cell r="D111" t="str">
            <v>-  4/C - 300 SQ.MM. NYY</v>
          </cell>
          <cell r="E111">
            <v>3325</v>
          </cell>
          <cell r="F111">
            <v>140</v>
          </cell>
          <cell r="G111" t="str">
            <v>M.</v>
          </cell>
        </row>
        <row r="112">
          <cell r="C112">
            <v>206</v>
          </cell>
          <cell r="D112" t="str">
            <v>-  3/C - 6 SQ.MM. NYY-N</v>
          </cell>
          <cell r="E112">
            <v>0</v>
          </cell>
          <cell r="F112">
            <v>35</v>
          </cell>
          <cell r="G112" t="str">
            <v>M.</v>
          </cell>
        </row>
        <row r="113">
          <cell r="C113">
            <v>207</v>
          </cell>
          <cell r="D113" t="str">
            <v>-  3/C - 10 SQ.MM. NYY-N</v>
          </cell>
          <cell r="E113">
            <v>0</v>
          </cell>
          <cell r="F113">
            <v>40</v>
          </cell>
          <cell r="G113" t="str">
            <v>M.</v>
          </cell>
        </row>
        <row r="114">
          <cell r="C114">
            <v>208</v>
          </cell>
          <cell r="D114" t="str">
            <v>-  3/C - 16 SQ.MM. NYY-N</v>
          </cell>
          <cell r="E114">
            <v>0</v>
          </cell>
          <cell r="F114">
            <v>60</v>
          </cell>
          <cell r="G114" t="str">
            <v>M.</v>
          </cell>
        </row>
        <row r="115">
          <cell r="C115">
            <v>209</v>
          </cell>
          <cell r="D115" t="str">
            <v>-  3/C - 25 SQ.MM. NYY-N</v>
          </cell>
          <cell r="E115">
            <v>358</v>
          </cell>
          <cell r="F115">
            <v>65</v>
          </cell>
          <cell r="G115" t="str">
            <v>M.</v>
          </cell>
        </row>
        <row r="116">
          <cell r="C116">
            <v>210</v>
          </cell>
          <cell r="D116" t="str">
            <v>-  3/C - 35 SQ.MM. NYY-N</v>
          </cell>
          <cell r="E116">
            <v>475</v>
          </cell>
          <cell r="F116">
            <v>70</v>
          </cell>
          <cell r="G116" t="str">
            <v>M.</v>
          </cell>
        </row>
        <row r="117">
          <cell r="C117">
            <v>211</v>
          </cell>
          <cell r="D117" t="str">
            <v>-  3/C - 50 SQ.MM. NYY-N</v>
          </cell>
          <cell r="E117">
            <v>672</v>
          </cell>
          <cell r="F117">
            <v>75</v>
          </cell>
          <cell r="G117" t="str">
            <v>M.</v>
          </cell>
        </row>
        <row r="118">
          <cell r="C118">
            <v>212</v>
          </cell>
          <cell r="D118" t="str">
            <v>-  3/C - 70 SQ.MM. NYY-N</v>
          </cell>
          <cell r="E118">
            <v>899</v>
          </cell>
          <cell r="F118">
            <v>80</v>
          </cell>
          <cell r="G118" t="str">
            <v>M.</v>
          </cell>
        </row>
        <row r="119">
          <cell r="C119">
            <v>213</v>
          </cell>
          <cell r="D119" t="str">
            <v>-  3/C - 95 SQ.MM. NYY-N</v>
          </cell>
          <cell r="E119">
            <v>1197</v>
          </cell>
          <cell r="F119">
            <v>85</v>
          </cell>
          <cell r="G119" t="str">
            <v>M.</v>
          </cell>
        </row>
        <row r="120">
          <cell r="C120">
            <v>214</v>
          </cell>
          <cell r="D120" t="str">
            <v>-  3/C - 120 SQ.MM. NYY-N</v>
          </cell>
          <cell r="E120">
            <v>1502</v>
          </cell>
          <cell r="F120">
            <v>90</v>
          </cell>
          <cell r="G120" t="str">
            <v>M.</v>
          </cell>
        </row>
        <row r="121">
          <cell r="C121">
            <v>215</v>
          </cell>
          <cell r="D121" t="str">
            <v>-  3/C - 150 SQ.MM. NYY-N</v>
          </cell>
          <cell r="E121">
            <v>1790</v>
          </cell>
          <cell r="F121">
            <v>110</v>
          </cell>
          <cell r="G121" t="str">
            <v>M.</v>
          </cell>
        </row>
        <row r="122">
          <cell r="C122">
            <v>216</v>
          </cell>
          <cell r="D122" t="str">
            <v>-  3/C - 185 SQ.MM. NYY-N</v>
          </cell>
          <cell r="E122">
            <v>2221</v>
          </cell>
          <cell r="F122">
            <v>120</v>
          </cell>
          <cell r="G122" t="str">
            <v>M.</v>
          </cell>
        </row>
        <row r="123">
          <cell r="C123">
            <v>217</v>
          </cell>
          <cell r="D123" t="str">
            <v>-  3/C - 240 SQ.MM. NYY-N</v>
          </cell>
          <cell r="E123">
            <v>3015</v>
          </cell>
          <cell r="F123">
            <v>130</v>
          </cell>
          <cell r="G123" t="str">
            <v>M.</v>
          </cell>
        </row>
        <row r="124">
          <cell r="C124">
            <v>218</v>
          </cell>
          <cell r="D124" t="str">
            <v>-  3/C - 300 SQ.MM. NYY-N</v>
          </cell>
          <cell r="E124">
            <v>3713</v>
          </cell>
          <cell r="F124">
            <v>140</v>
          </cell>
          <cell r="G124" t="str">
            <v>M.</v>
          </cell>
        </row>
        <row r="125">
          <cell r="C125">
            <v>219</v>
          </cell>
          <cell r="D125" t="str">
            <v>-  3/C - 6 SQ.MM. NYCY</v>
          </cell>
          <cell r="E125">
            <v>0</v>
          </cell>
          <cell r="F125">
            <v>75</v>
          </cell>
          <cell r="G125" t="str">
            <v>M.</v>
          </cell>
        </row>
        <row r="126">
          <cell r="C126">
            <v>220</v>
          </cell>
          <cell r="D126" t="str">
            <v>-  3/C - 10 SQ.MM. NYCY</v>
          </cell>
          <cell r="E126">
            <v>0</v>
          </cell>
          <cell r="F126">
            <v>80</v>
          </cell>
          <cell r="G126" t="str">
            <v>M.</v>
          </cell>
        </row>
        <row r="127">
          <cell r="C127">
            <v>221</v>
          </cell>
          <cell r="D127" t="str">
            <v>-  3/C - 16 SQ.MM. NYCY</v>
          </cell>
          <cell r="E127">
            <v>0</v>
          </cell>
          <cell r="F127">
            <v>85</v>
          </cell>
          <cell r="G127" t="str">
            <v>M.</v>
          </cell>
        </row>
        <row r="128">
          <cell r="C128">
            <v>222</v>
          </cell>
          <cell r="D128" t="str">
            <v>-  3/C - 25 SQ.MM. NYCY</v>
          </cell>
          <cell r="E128">
            <v>390</v>
          </cell>
          <cell r="F128">
            <v>75</v>
          </cell>
          <cell r="G128" t="str">
            <v>M.</v>
          </cell>
        </row>
        <row r="129">
          <cell r="C129">
            <v>223</v>
          </cell>
          <cell r="D129" t="str">
            <v>-  3/C - 35 SQ.MM. NYCY</v>
          </cell>
          <cell r="E129">
            <v>485</v>
          </cell>
          <cell r="F129">
            <v>80</v>
          </cell>
          <cell r="G129" t="str">
            <v>M.</v>
          </cell>
        </row>
        <row r="130">
          <cell r="C130">
            <v>224</v>
          </cell>
          <cell r="D130" t="str">
            <v>-  3/C - 50 SQ.MM. NYCY</v>
          </cell>
          <cell r="E130">
            <v>718</v>
          </cell>
          <cell r="F130">
            <v>85</v>
          </cell>
          <cell r="G130" t="str">
            <v>M.</v>
          </cell>
        </row>
        <row r="131">
          <cell r="C131">
            <v>225</v>
          </cell>
          <cell r="D131" t="str">
            <v>-  3/C - 70 SQ.MM. NYCY</v>
          </cell>
          <cell r="E131">
            <v>918</v>
          </cell>
          <cell r="F131">
            <v>90</v>
          </cell>
          <cell r="G131" t="str">
            <v>M.</v>
          </cell>
        </row>
        <row r="132">
          <cell r="C132">
            <v>226</v>
          </cell>
          <cell r="D132" t="str">
            <v>-  3/C - 95 SQ.MM. NYCY</v>
          </cell>
          <cell r="E132">
            <v>1234</v>
          </cell>
          <cell r="F132">
            <v>110</v>
          </cell>
          <cell r="G132" t="str">
            <v>M.</v>
          </cell>
        </row>
        <row r="133">
          <cell r="C133">
            <v>227</v>
          </cell>
          <cell r="D133" t="str">
            <v>-  3/C - 120 SQ.MM. NYCY</v>
          </cell>
          <cell r="E133">
            <v>1564</v>
          </cell>
          <cell r="F133">
            <v>120</v>
          </cell>
          <cell r="G133" t="str">
            <v>M.</v>
          </cell>
        </row>
        <row r="134">
          <cell r="C134">
            <v>228</v>
          </cell>
          <cell r="D134" t="str">
            <v>-  3/C - 150 SQ.MM. NYCY</v>
          </cell>
          <cell r="E134">
            <v>1872</v>
          </cell>
          <cell r="F134">
            <v>130</v>
          </cell>
          <cell r="G134" t="str">
            <v>M.</v>
          </cell>
        </row>
        <row r="135">
          <cell r="C135">
            <v>229</v>
          </cell>
          <cell r="D135" t="str">
            <v>-  3/C - 185 SQ.MM. NYCY</v>
          </cell>
          <cell r="E135">
            <v>2322</v>
          </cell>
          <cell r="F135">
            <v>140</v>
          </cell>
          <cell r="G135" t="str">
            <v>M.</v>
          </cell>
        </row>
        <row r="136">
          <cell r="C136">
            <v>230</v>
          </cell>
          <cell r="D136" t="str">
            <v>-  3/C - 240 SQ.MM. NYCY</v>
          </cell>
          <cell r="E136">
            <v>3146</v>
          </cell>
          <cell r="F136">
            <v>150</v>
          </cell>
          <cell r="G136" t="str">
            <v>M.</v>
          </cell>
        </row>
        <row r="137">
          <cell r="C137">
            <v>231</v>
          </cell>
          <cell r="D137" t="str">
            <v>-  3/C - 300 SQ.MM. NYCY</v>
          </cell>
          <cell r="E137">
            <v>3865</v>
          </cell>
          <cell r="F137">
            <v>170</v>
          </cell>
          <cell r="G137" t="str">
            <v>M.</v>
          </cell>
        </row>
        <row r="138">
          <cell r="C138">
            <v>232</v>
          </cell>
          <cell r="D138" t="str">
            <v>-  1/C - 2.5 SQ.MM. 0.6/1KV.CV</v>
          </cell>
          <cell r="E138">
            <v>15</v>
          </cell>
          <cell r="F138">
            <v>5</v>
          </cell>
          <cell r="G138" t="str">
            <v>M.</v>
          </cell>
        </row>
        <row r="139">
          <cell r="C139">
            <v>233</v>
          </cell>
          <cell r="D139" t="str">
            <v>-  1/C - 4 SQ.MM. 0.6/1KV.CV</v>
          </cell>
          <cell r="E139">
            <v>16</v>
          </cell>
          <cell r="F139">
            <v>6</v>
          </cell>
          <cell r="G139" t="str">
            <v>M.</v>
          </cell>
        </row>
        <row r="140">
          <cell r="C140">
            <v>234</v>
          </cell>
          <cell r="D140" t="str">
            <v>-  1/C - 6 SQ.MM. 0.6/1KV.CV</v>
          </cell>
          <cell r="E140">
            <v>20</v>
          </cell>
          <cell r="F140">
            <v>7</v>
          </cell>
          <cell r="G140" t="str">
            <v>M.</v>
          </cell>
        </row>
        <row r="141">
          <cell r="C141">
            <v>235</v>
          </cell>
          <cell r="D141" t="str">
            <v>-  1/C - 10 SQ.MM. 0.6/1KV.CV</v>
          </cell>
          <cell r="E141">
            <v>29</v>
          </cell>
          <cell r="F141">
            <v>8</v>
          </cell>
          <cell r="G141" t="str">
            <v>M.</v>
          </cell>
        </row>
        <row r="142">
          <cell r="C142">
            <v>236</v>
          </cell>
          <cell r="D142" t="str">
            <v>-  1/C - 16 SQ.MM. 0.6/1KV.CV</v>
          </cell>
          <cell r="E142">
            <v>41</v>
          </cell>
          <cell r="F142">
            <v>10</v>
          </cell>
          <cell r="G142" t="str">
            <v>M.</v>
          </cell>
        </row>
        <row r="143">
          <cell r="C143">
            <v>237</v>
          </cell>
          <cell r="D143" t="str">
            <v>-  1/C - 25 SQ.MM. 0.6/1KV.CV</v>
          </cell>
          <cell r="E143">
            <v>59</v>
          </cell>
          <cell r="F143">
            <v>14</v>
          </cell>
          <cell r="G143" t="str">
            <v>M.</v>
          </cell>
        </row>
        <row r="144">
          <cell r="C144">
            <v>238</v>
          </cell>
          <cell r="D144" t="str">
            <v>-  1/C - 35 SQ.MM. 0.6/1KV.CV</v>
          </cell>
          <cell r="E144">
            <v>77</v>
          </cell>
          <cell r="F144">
            <v>18</v>
          </cell>
          <cell r="G144" t="str">
            <v>M.</v>
          </cell>
        </row>
        <row r="145">
          <cell r="C145">
            <v>239</v>
          </cell>
          <cell r="D145" t="str">
            <v>-  1/C - 50 SQ.MM. 0.6/1KV.CV</v>
          </cell>
          <cell r="E145">
            <v>103</v>
          </cell>
          <cell r="F145">
            <v>20</v>
          </cell>
          <cell r="G145" t="str">
            <v>M.</v>
          </cell>
        </row>
        <row r="146">
          <cell r="C146">
            <v>240</v>
          </cell>
          <cell r="D146" t="str">
            <v>-  1/C - 70 SQ.MM. 0.6/1KV.CV</v>
          </cell>
          <cell r="E146">
            <v>142</v>
          </cell>
          <cell r="F146">
            <v>25</v>
          </cell>
          <cell r="G146" t="str">
            <v>M.</v>
          </cell>
        </row>
        <row r="147">
          <cell r="C147">
            <v>241</v>
          </cell>
          <cell r="D147" t="str">
            <v>-  1/C - 95 SQ.MM. 0.6/1KV.CV</v>
          </cell>
          <cell r="E147">
            <v>193</v>
          </cell>
          <cell r="F147">
            <v>30</v>
          </cell>
          <cell r="G147" t="str">
            <v>M.</v>
          </cell>
        </row>
        <row r="148">
          <cell r="C148">
            <v>242</v>
          </cell>
          <cell r="D148" t="str">
            <v>-  1/C - 120 SQ.MM. 0.6/1KV.CV</v>
          </cell>
          <cell r="E148">
            <v>242</v>
          </cell>
          <cell r="F148">
            <v>35</v>
          </cell>
          <cell r="G148" t="str">
            <v>M.</v>
          </cell>
        </row>
        <row r="149">
          <cell r="C149">
            <v>243</v>
          </cell>
          <cell r="D149" t="str">
            <v>-  1/C - 150 SQ.MM. 0.6/1KV.CV</v>
          </cell>
          <cell r="E149">
            <v>296</v>
          </cell>
          <cell r="F149">
            <v>40</v>
          </cell>
          <cell r="G149" t="str">
            <v>M.</v>
          </cell>
        </row>
        <row r="150">
          <cell r="C150">
            <v>244</v>
          </cell>
          <cell r="D150" t="str">
            <v>-  1/C - 185 SQ.MM. 0.6/1KV.CV</v>
          </cell>
          <cell r="E150">
            <v>398</v>
          </cell>
          <cell r="F150">
            <v>60</v>
          </cell>
          <cell r="G150" t="str">
            <v>M.</v>
          </cell>
        </row>
        <row r="151">
          <cell r="C151">
            <v>245</v>
          </cell>
          <cell r="D151" t="str">
            <v>-  1/C - 240 SQ.MM. 0.6/1KV.CV</v>
          </cell>
          <cell r="E151">
            <v>480</v>
          </cell>
          <cell r="F151">
            <v>70</v>
          </cell>
          <cell r="G151" t="str">
            <v>M.</v>
          </cell>
        </row>
        <row r="152">
          <cell r="C152">
            <v>246</v>
          </cell>
          <cell r="D152" t="str">
            <v>-  1/C - 300 SQ.MM. 0.6/1KV.CV</v>
          </cell>
          <cell r="E152">
            <v>597</v>
          </cell>
          <cell r="F152">
            <v>75</v>
          </cell>
          <cell r="G152" t="str">
            <v>M.</v>
          </cell>
        </row>
        <row r="153">
          <cell r="C153">
            <v>247</v>
          </cell>
          <cell r="D153" t="str">
            <v>-  1/C - 400 SQ.MM. 0.6/1KV.CV</v>
          </cell>
          <cell r="E153">
            <v>753</v>
          </cell>
          <cell r="F153">
            <v>80</v>
          </cell>
          <cell r="G153" t="str">
            <v>M.</v>
          </cell>
        </row>
        <row r="154">
          <cell r="C154">
            <v>248</v>
          </cell>
          <cell r="D154" t="str">
            <v>-  2/C - 2.5 SQ.MM. 0.6/1KV.CV</v>
          </cell>
          <cell r="E154">
            <v>30</v>
          </cell>
          <cell r="F154">
            <v>8</v>
          </cell>
          <cell r="G154" t="str">
            <v>M.</v>
          </cell>
        </row>
        <row r="155">
          <cell r="C155">
            <v>249</v>
          </cell>
          <cell r="D155" t="str">
            <v>-  2/C - 4 SQ.MM. 0.6/1KV.CV</v>
          </cell>
          <cell r="E155">
            <v>36</v>
          </cell>
          <cell r="F155">
            <v>10</v>
          </cell>
          <cell r="G155" t="str">
            <v>M.</v>
          </cell>
        </row>
        <row r="156">
          <cell r="C156">
            <v>250</v>
          </cell>
          <cell r="D156" t="str">
            <v>-  2/C - 6 SQ.MM. 0.6/1KV.CV</v>
          </cell>
          <cell r="E156">
            <v>46</v>
          </cell>
          <cell r="F156">
            <v>14</v>
          </cell>
          <cell r="G156" t="str">
            <v>M.</v>
          </cell>
        </row>
        <row r="157">
          <cell r="C157">
            <v>251</v>
          </cell>
          <cell r="D157" t="str">
            <v>-  2/C - 10 SQ.MM. 0.6/1KV.CV</v>
          </cell>
          <cell r="E157">
            <v>60</v>
          </cell>
          <cell r="F157">
            <v>18</v>
          </cell>
          <cell r="G157" t="str">
            <v>M.</v>
          </cell>
        </row>
        <row r="158">
          <cell r="C158">
            <v>252</v>
          </cell>
          <cell r="D158" t="str">
            <v>-  2/C - 16 SQ.MM. 0.6/1KV.CV</v>
          </cell>
          <cell r="E158">
            <v>87</v>
          </cell>
          <cell r="F158">
            <v>20</v>
          </cell>
          <cell r="G158" t="str">
            <v>M.</v>
          </cell>
        </row>
        <row r="159">
          <cell r="C159">
            <v>253</v>
          </cell>
          <cell r="D159" t="str">
            <v>-  2/C - 25 SQ.MM. 0.6/1KV.CV</v>
          </cell>
          <cell r="E159">
            <v>128</v>
          </cell>
          <cell r="F159">
            <v>25</v>
          </cell>
          <cell r="G159" t="str">
            <v>M.</v>
          </cell>
        </row>
        <row r="160">
          <cell r="C160">
            <v>254</v>
          </cell>
          <cell r="D160" t="str">
            <v>-  2/C - 35 SQ.MM. 0.6/1KV.CV</v>
          </cell>
          <cell r="E160">
            <v>166</v>
          </cell>
          <cell r="F160">
            <v>30</v>
          </cell>
          <cell r="G160" t="str">
            <v>M.</v>
          </cell>
        </row>
        <row r="161">
          <cell r="C161">
            <v>255</v>
          </cell>
          <cell r="D161" t="str">
            <v>-  2/C - 50 SQ.MM. 0.6/1KV.CV</v>
          </cell>
          <cell r="E161">
            <v>228</v>
          </cell>
          <cell r="F161">
            <v>35</v>
          </cell>
          <cell r="G161" t="str">
            <v>M.</v>
          </cell>
        </row>
        <row r="162">
          <cell r="C162">
            <v>256</v>
          </cell>
          <cell r="D162" t="str">
            <v>-  2/C - 70 SQ.MM. 0.6/1KV.CV</v>
          </cell>
          <cell r="E162">
            <v>315</v>
          </cell>
          <cell r="F162">
            <v>40</v>
          </cell>
          <cell r="G162" t="str">
            <v>M.</v>
          </cell>
        </row>
        <row r="163">
          <cell r="C163">
            <v>257</v>
          </cell>
          <cell r="D163" t="str">
            <v>-  2/C - 95 SQ.MM. 0.6/1KV.CV</v>
          </cell>
          <cell r="E163">
            <v>422</v>
          </cell>
          <cell r="F163">
            <v>60</v>
          </cell>
          <cell r="G163" t="str">
            <v>M.</v>
          </cell>
        </row>
        <row r="164">
          <cell r="C164">
            <v>258</v>
          </cell>
          <cell r="D164" t="str">
            <v>-  2/C - 120 SQ.MM. 0.6/1KV.CV</v>
          </cell>
          <cell r="E164">
            <v>530</v>
          </cell>
          <cell r="F164">
            <v>70</v>
          </cell>
          <cell r="G164" t="str">
            <v>M.</v>
          </cell>
        </row>
        <row r="165">
          <cell r="C165">
            <v>259</v>
          </cell>
          <cell r="D165" t="str">
            <v>-  2/C - 150 SQ.MM. 0.6/1KV.CV</v>
          </cell>
          <cell r="E165">
            <v>648</v>
          </cell>
          <cell r="F165">
            <v>75</v>
          </cell>
          <cell r="G165" t="str">
            <v>M.</v>
          </cell>
        </row>
        <row r="166">
          <cell r="C166">
            <v>260</v>
          </cell>
          <cell r="D166" t="str">
            <v>-  2/C - 185 SQ.MM. 0.6/1KV.CV</v>
          </cell>
          <cell r="E166">
            <v>806</v>
          </cell>
          <cell r="F166">
            <v>80</v>
          </cell>
          <cell r="G166" t="str">
            <v>M.</v>
          </cell>
        </row>
        <row r="167">
          <cell r="C167">
            <v>261</v>
          </cell>
          <cell r="D167" t="str">
            <v>-  2/C - 240 SQ.MM. 0.6/1KV.CV</v>
          </cell>
          <cell r="E167">
            <v>1051</v>
          </cell>
          <cell r="F167">
            <v>85</v>
          </cell>
          <cell r="G167" t="str">
            <v>M.</v>
          </cell>
        </row>
        <row r="168">
          <cell r="C168">
            <v>262</v>
          </cell>
          <cell r="D168" t="str">
            <v>-  2/C - 300 SQ.MM. 0.6/1KV.CV</v>
          </cell>
          <cell r="E168">
            <v>1302</v>
          </cell>
          <cell r="F168">
            <v>90</v>
          </cell>
          <cell r="G168" t="str">
            <v>M.</v>
          </cell>
        </row>
        <row r="169">
          <cell r="C169">
            <v>263</v>
          </cell>
          <cell r="D169" t="str">
            <v>-  2/C - 400 SQ.MM. 0.6/1KV.CV</v>
          </cell>
          <cell r="E169">
            <v>1642</v>
          </cell>
          <cell r="F169">
            <v>100</v>
          </cell>
          <cell r="G169" t="str">
            <v>M.</v>
          </cell>
        </row>
        <row r="170">
          <cell r="C170">
            <v>264</v>
          </cell>
          <cell r="D170" t="str">
            <v>-  4/C - 2.5 SQ.MM. 0.6/1KV.CV</v>
          </cell>
          <cell r="E170">
            <v>45</v>
          </cell>
          <cell r="F170">
            <v>25</v>
          </cell>
          <cell r="G170" t="str">
            <v>M.</v>
          </cell>
        </row>
        <row r="171">
          <cell r="C171">
            <v>265</v>
          </cell>
          <cell r="D171" t="str">
            <v>-  4/C - 4 SQ.MM. 0.6/1KV.CV</v>
          </cell>
          <cell r="E171">
            <v>59</v>
          </cell>
          <cell r="F171">
            <v>30</v>
          </cell>
          <cell r="G171" t="str">
            <v>M.</v>
          </cell>
        </row>
        <row r="172">
          <cell r="C172">
            <v>266</v>
          </cell>
          <cell r="D172" t="str">
            <v>-  4/C - 6 SQ.MM. 0.6/1KV.CV</v>
          </cell>
          <cell r="E172">
            <v>78</v>
          </cell>
          <cell r="F172">
            <v>35</v>
          </cell>
          <cell r="G172" t="str">
            <v>M.</v>
          </cell>
        </row>
        <row r="173">
          <cell r="C173">
            <v>267</v>
          </cell>
          <cell r="D173" t="str">
            <v>-  4/C - 10 SQ.MM. 0.6/1KV.CV</v>
          </cell>
          <cell r="E173">
            <v>106</v>
          </cell>
          <cell r="F173">
            <v>40</v>
          </cell>
          <cell r="G173" t="str">
            <v>M.</v>
          </cell>
        </row>
        <row r="174">
          <cell r="C174">
            <v>268</v>
          </cell>
          <cell r="D174" t="str">
            <v>-  4/C - 16 SQ.MM. 0.6/1KV.CV</v>
          </cell>
          <cell r="E174">
            <v>155</v>
          </cell>
          <cell r="F174">
            <v>60</v>
          </cell>
          <cell r="G174" t="str">
            <v>M.</v>
          </cell>
        </row>
        <row r="175">
          <cell r="C175">
            <v>269</v>
          </cell>
          <cell r="D175" t="str">
            <v>-  4/C - 25 SQ.MM. 0.6/1KV.CV</v>
          </cell>
          <cell r="E175">
            <v>131</v>
          </cell>
          <cell r="F175">
            <v>70</v>
          </cell>
          <cell r="G175" t="str">
            <v>M.</v>
          </cell>
        </row>
        <row r="176">
          <cell r="C176">
            <v>270</v>
          </cell>
          <cell r="D176" t="str">
            <v>-  4/C - 35 SQ.MM. 0.6/1KV.CV</v>
          </cell>
          <cell r="E176">
            <v>304</v>
          </cell>
          <cell r="F176">
            <v>75</v>
          </cell>
          <cell r="G176" t="str">
            <v>M.</v>
          </cell>
        </row>
        <row r="177">
          <cell r="C177">
            <v>271</v>
          </cell>
          <cell r="D177" t="str">
            <v>-  4/C - 50 SQ.MM. 0.6/1KV.CV</v>
          </cell>
          <cell r="E177">
            <v>420</v>
          </cell>
          <cell r="F177">
            <v>80</v>
          </cell>
          <cell r="G177" t="str">
            <v>M.</v>
          </cell>
        </row>
        <row r="178">
          <cell r="C178">
            <v>272</v>
          </cell>
          <cell r="D178" t="str">
            <v>-  4/C - 70 SQ.MM. 0.6/1KV.CV</v>
          </cell>
          <cell r="E178">
            <v>586</v>
          </cell>
          <cell r="F178">
            <v>85</v>
          </cell>
          <cell r="G178" t="str">
            <v>M.</v>
          </cell>
        </row>
        <row r="179">
          <cell r="C179">
            <v>273</v>
          </cell>
          <cell r="D179" t="str">
            <v>-  4/C - 95 SQ.MM. 0.6/1KV.CV</v>
          </cell>
          <cell r="E179">
            <v>791</v>
          </cell>
          <cell r="F179">
            <v>90</v>
          </cell>
          <cell r="G179" t="str">
            <v>M.</v>
          </cell>
        </row>
        <row r="180">
          <cell r="C180">
            <v>274</v>
          </cell>
          <cell r="D180" t="str">
            <v>-  4/C - 120 SQ.MM. 0.6/1KV.CV</v>
          </cell>
          <cell r="E180">
            <v>1000</v>
          </cell>
          <cell r="F180">
            <v>100</v>
          </cell>
          <cell r="G180" t="str">
            <v>M.</v>
          </cell>
        </row>
        <row r="181">
          <cell r="C181">
            <v>275</v>
          </cell>
          <cell r="D181" t="str">
            <v>-  4/C - 150 SQ.MM. 0.6/1KV.CV</v>
          </cell>
          <cell r="E181">
            <v>1220</v>
          </cell>
          <cell r="F181">
            <v>110</v>
          </cell>
          <cell r="G181" t="str">
            <v>M.</v>
          </cell>
        </row>
        <row r="182">
          <cell r="C182">
            <v>276</v>
          </cell>
          <cell r="D182" t="str">
            <v>-  4/C - 185 SQ.MM. 0.6/1KV.CV</v>
          </cell>
          <cell r="E182">
            <v>1524</v>
          </cell>
          <cell r="F182">
            <v>120</v>
          </cell>
          <cell r="G182" t="str">
            <v>M.</v>
          </cell>
        </row>
        <row r="183">
          <cell r="C183">
            <v>277</v>
          </cell>
          <cell r="D183" t="str">
            <v>-  4/C - 240 SQ.MM. 0.6/1KV.CV</v>
          </cell>
          <cell r="E183">
            <v>1992</v>
          </cell>
          <cell r="F183">
            <v>130</v>
          </cell>
          <cell r="G183" t="str">
            <v>M.</v>
          </cell>
        </row>
        <row r="184">
          <cell r="C184">
            <v>278</v>
          </cell>
          <cell r="D184" t="str">
            <v>-  4/C - 300 SQ.MM. 0.6/1KV.CV</v>
          </cell>
          <cell r="E184">
            <v>2482</v>
          </cell>
          <cell r="F184">
            <v>140</v>
          </cell>
          <cell r="G184" t="str">
            <v>M.</v>
          </cell>
        </row>
        <row r="185">
          <cell r="C185">
            <v>279</v>
          </cell>
          <cell r="D185" t="str">
            <v>-  4/C - 400 SQ.MM. 0.6/1KV.CV</v>
          </cell>
          <cell r="E185">
            <v>3135</v>
          </cell>
          <cell r="F185">
            <v>160</v>
          </cell>
          <cell r="G185" t="str">
            <v>M.</v>
          </cell>
        </row>
        <row r="186">
          <cell r="C186">
            <v>6</v>
          </cell>
          <cell r="D186" t="str">
            <v>SPACE</v>
          </cell>
          <cell r="E186">
            <v>186</v>
          </cell>
          <cell r="F186">
            <v>10</v>
          </cell>
          <cell r="G186" t="str">
            <v>M.</v>
          </cell>
        </row>
        <row r="187">
          <cell r="C187">
            <v>281</v>
          </cell>
          <cell r="D187" t="str">
            <v>-  6 SQ.MM. THWA</v>
          </cell>
          <cell r="E187">
            <v>0</v>
          </cell>
          <cell r="F187">
            <v>0</v>
          </cell>
          <cell r="G187" t="str">
            <v>M.</v>
          </cell>
        </row>
        <row r="188">
          <cell r="C188">
            <v>282</v>
          </cell>
          <cell r="D188" t="str">
            <v>-  10 SQ.MM. THWA</v>
          </cell>
          <cell r="E188">
            <v>7</v>
          </cell>
          <cell r="F188">
            <v>2</v>
          </cell>
          <cell r="G188" t="str">
            <v>M.</v>
          </cell>
        </row>
        <row r="189">
          <cell r="C189">
            <v>283</v>
          </cell>
          <cell r="D189" t="str">
            <v>-  16 SQ.MM. THWA</v>
          </cell>
          <cell r="E189">
            <v>8</v>
          </cell>
          <cell r="F189">
            <v>3</v>
          </cell>
          <cell r="G189" t="str">
            <v>M.</v>
          </cell>
        </row>
        <row r="190">
          <cell r="C190">
            <v>284</v>
          </cell>
          <cell r="D190" t="str">
            <v>-  25 SQ.MM. THWA</v>
          </cell>
          <cell r="E190">
            <v>12</v>
          </cell>
          <cell r="F190">
            <v>5</v>
          </cell>
          <cell r="G190" t="str">
            <v>M.</v>
          </cell>
        </row>
        <row r="191">
          <cell r="C191">
            <v>285</v>
          </cell>
          <cell r="D191" t="str">
            <v>-  35 SQ.MM. THWA</v>
          </cell>
          <cell r="E191">
            <v>15</v>
          </cell>
          <cell r="F191">
            <v>6</v>
          </cell>
          <cell r="G191" t="str">
            <v>M.</v>
          </cell>
        </row>
        <row r="192">
          <cell r="C192">
            <v>286</v>
          </cell>
          <cell r="D192" t="str">
            <v>-  50 SQ.MM. THWA</v>
          </cell>
          <cell r="E192">
            <v>21</v>
          </cell>
          <cell r="F192">
            <v>7</v>
          </cell>
          <cell r="G192" t="str">
            <v>M.</v>
          </cell>
        </row>
        <row r="193">
          <cell r="C193">
            <v>287</v>
          </cell>
          <cell r="D193" t="str">
            <v>-  70 SQ.MM. THWA</v>
          </cell>
          <cell r="E193">
            <v>29</v>
          </cell>
          <cell r="F193">
            <v>8</v>
          </cell>
          <cell r="G193" t="str">
            <v>M.</v>
          </cell>
        </row>
        <row r="194">
          <cell r="C194">
            <v>288</v>
          </cell>
          <cell r="D194" t="str">
            <v>-  90 SQ.MM. THWA</v>
          </cell>
          <cell r="E194">
            <v>39</v>
          </cell>
          <cell r="F194">
            <v>10</v>
          </cell>
          <cell r="G194" t="str">
            <v>M.</v>
          </cell>
        </row>
        <row r="195">
          <cell r="C195">
            <v>289</v>
          </cell>
          <cell r="D195" t="str">
            <v>-  120 SQ.MM. THWA</v>
          </cell>
          <cell r="E195">
            <v>47</v>
          </cell>
          <cell r="F195">
            <v>12</v>
          </cell>
          <cell r="G195" t="str">
            <v>M.</v>
          </cell>
        </row>
        <row r="196">
          <cell r="C196">
            <v>290</v>
          </cell>
          <cell r="D196" t="str">
            <v>-  150 SQ.MM. THWA</v>
          </cell>
          <cell r="E196">
            <v>59</v>
          </cell>
          <cell r="F196">
            <v>14</v>
          </cell>
          <cell r="G196" t="str">
            <v>M.</v>
          </cell>
        </row>
        <row r="197">
          <cell r="C197">
            <v>291</v>
          </cell>
          <cell r="D197" t="str">
            <v>-  185 SQ.MM. THWA</v>
          </cell>
          <cell r="E197">
            <v>72</v>
          </cell>
          <cell r="F197">
            <v>16</v>
          </cell>
          <cell r="G197" t="str">
            <v>M.</v>
          </cell>
        </row>
        <row r="198">
          <cell r="C198">
            <v>292</v>
          </cell>
          <cell r="D198" t="str">
            <v>-  240 SQ.MM. THWA</v>
          </cell>
          <cell r="E198">
            <v>96</v>
          </cell>
          <cell r="F198">
            <v>20</v>
          </cell>
          <cell r="G198" t="str">
            <v>M.</v>
          </cell>
        </row>
        <row r="199">
          <cell r="C199">
            <v>293</v>
          </cell>
          <cell r="D199" t="str">
            <v>-  300 SQ.MM. THWA</v>
          </cell>
          <cell r="E199">
            <v>125</v>
          </cell>
          <cell r="F199">
            <v>25</v>
          </cell>
          <cell r="G199" t="str">
            <v>M.</v>
          </cell>
        </row>
        <row r="200">
          <cell r="C200">
            <v>294</v>
          </cell>
          <cell r="D200" t="str">
            <v>-  6 SQ.MM. BARE COPPER</v>
          </cell>
          <cell r="E200">
            <v>12</v>
          </cell>
          <cell r="F200">
            <v>2</v>
          </cell>
          <cell r="G200" t="str">
            <v>M.</v>
          </cell>
        </row>
        <row r="201">
          <cell r="C201">
            <v>295</v>
          </cell>
          <cell r="D201" t="str">
            <v>-  10 SQ.MM. BARE COPPER</v>
          </cell>
          <cell r="E201">
            <v>15</v>
          </cell>
          <cell r="F201">
            <v>3</v>
          </cell>
          <cell r="G201" t="str">
            <v>M.</v>
          </cell>
        </row>
        <row r="202">
          <cell r="C202">
            <v>296</v>
          </cell>
          <cell r="D202" t="str">
            <v>-  16 SQ.MM. BARE COPPER</v>
          </cell>
          <cell r="E202">
            <v>28</v>
          </cell>
          <cell r="F202">
            <v>5</v>
          </cell>
          <cell r="G202" t="str">
            <v>M.</v>
          </cell>
        </row>
        <row r="203">
          <cell r="C203">
            <v>297</v>
          </cell>
          <cell r="D203" t="str">
            <v>-  25 SQ.MM. BARE COPPER</v>
          </cell>
          <cell r="E203">
            <v>38</v>
          </cell>
          <cell r="F203">
            <v>6</v>
          </cell>
          <cell r="G203" t="str">
            <v>M.</v>
          </cell>
        </row>
        <row r="204">
          <cell r="C204">
            <v>298</v>
          </cell>
          <cell r="D204" t="str">
            <v>-  35 SQ.MM. BARE COPPER</v>
          </cell>
          <cell r="E204">
            <v>55</v>
          </cell>
          <cell r="F204">
            <v>8</v>
          </cell>
          <cell r="G204" t="str">
            <v>M.</v>
          </cell>
        </row>
        <row r="205">
          <cell r="C205">
            <v>299</v>
          </cell>
          <cell r="D205" t="str">
            <v>-  50 SQ.MM. BARE COPPER</v>
          </cell>
          <cell r="E205">
            <v>74</v>
          </cell>
          <cell r="F205">
            <v>11</v>
          </cell>
          <cell r="G205" t="str">
            <v>M.</v>
          </cell>
        </row>
        <row r="206">
          <cell r="C206">
            <v>300</v>
          </cell>
          <cell r="D206" t="str">
            <v>-  70 SQ.MM. BARE COPPER</v>
          </cell>
          <cell r="E206">
            <v>98</v>
          </cell>
          <cell r="F206">
            <v>16</v>
          </cell>
          <cell r="G206" t="str">
            <v>M.</v>
          </cell>
        </row>
        <row r="207">
          <cell r="C207">
            <v>301</v>
          </cell>
          <cell r="D207" t="str">
            <v>-  95 SQ.MM. BARE COPPER</v>
          </cell>
          <cell r="E207">
            <v>140</v>
          </cell>
          <cell r="F207">
            <v>20</v>
          </cell>
          <cell r="G207" t="str">
            <v>M.</v>
          </cell>
        </row>
        <row r="208">
          <cell r="C208">
            <v>302</v>
          </cell>
          <cell r="D208" t="str">
            <v>-  120 SQ.MM. BARE COPPER</v>
          </cell>
          <cell r="E208">
            <v>180</v>
          </cell>
          <cell r="F208">
            <v>25</v>
          </cell>
          <cell r="G208" t="str">
            <v>M.</v>
          </cell>
        </row>
        <row r="209">
          <cell r="C209">
            <v>303</v>
          </cell>
          <cell r="D209" t="str">
            <v>-  150 SQ.MM. BARE COPPER</v>
          </cell>
          <cell r="E209">
            <v>210</v>
          </cell>
          <cell r="F209">
            <v>30</v>
          </cell>
          <cell r="G209" t="str">
            <v>M.</v>
          </cell>
        </row>
        <row r="210">
          <cell r="C210">
            <v>304</v>
          </cell>
          <cell r="D210" t="str">
            <v>-  185 SQ.MM. BARE COPPER</v>
          </cell>
          <cell r="E210">
            <v>280</v>
          </cell>
          <cell r="F210">
            <v>35</v>
          </cell>
          <cell r="G210" t="str">
            <v>M.</v>
          </cell>
        </row>
        <row r="211">
          <cell r="C211">
            <v>3</v>
          </cell>
          <cell r="D211" t="str">
            <v>HIGH VOLTAGE CABLE</v>
          </cell>
          <cell r="E211">
            <v>514000</v>
          </cell>
          <cell r="F211">
            <v>8000</v>
          </cell>
          <cell r="G211" t="str">
            <v>EA.</v>
          </cell>
        </row>
        <row r="212">
          <cell r="C212">
            <v>311</v>
          </cell>
          <cell r="D212" t="str">
            <v>-  1/C - 35 SQ.MM. 12/20(24) KVCV</v>
          </cell>
          <cell r="E212">
            <v>251</v>
          </cell>
          <cell r="F212">
            <v>35</v>
          </cell>
          <cell r="G212" t="str">
            <v>M.</v>
          </cell>
        </row>
        <row r="213">
          <cell r="C213">
            <v>312</v>
          </cell>
          <cell r="D213" t="str">
            <v>-  1/C - 50 SQ.MM. 12/20(24) KVCV</v>
          </cell>
          <cell r="E213">
            <v>271</v>
          </cell>
          <cell r="F213">
            <v>40</v>
          </cell>
          <cell r="G213" t="str">
            <v>M.</v>
          </cell>
        </row>
        <row r="214">
          <cell r="C214">
            <v>313</v>
          </cell>
          <cell r="D214" t="str">
            <v>-  1/C - 70 SQ.MM. 12/20(24) KVCV</v>
          </cell>
          <cell r="E214">
            <v>317</v>
          </cell>
          <cell r="F214">
            <v>60</v>
          </cell>
          <cell r="G214" t="str">
            <v>M.</v>
          </cell>
        </row>
        <row r="215">
          <cell r="C215">
            <v>314</v>
          </cell>
          <cell r="D215" t="str">
            <v>-  1/C - 95 SQ.MM. 12/20(24) KVCV</v>
          </cell>
          <cell r="E215">
            <v>383</v>
          </cell>
          <cell r="F215">
            <v>70</v>
          </cell>
          <cell r="G215" t="str">
            <v>M.</v>
          </cell>
        </row>
        <row r="216">
          <cell r="C216">
            <v>315</v>
          </cell>
          <cell r="D216" t="str">
            <v>-  1/C - 120 SQ.MM. 12/20(24) KVCV</v>
          </cell>
          <cell r="E216">
            <v>473</v>
          </cell>
          <cell r="F216">
            <v>75</v>
          </cell>
          <cell r="G216" t="str">
            <v>M.</v>
          </cell>
        </row>
        <row r="217">
          <cell r="C217">
            <v>316</v>
          </cell>
          <cell r="D217" t="str">
            <v>-  1/C - 150 SQ.MM. 12/20(24) KVCV</v>
          </cell>
          <cell r="E217">
            <v>542</v>
          </cell>
          <cell r="F217">
            <v>80</v>
          </cell>
          <cell r="G217" t="str">
            <v>M.</v>
          </cell>
        </row>
        <row r="218">
          <cell r="C218">
            <v>317</v>
          </cell>
          <cell r="D218" t="str">
            <v>-  1/C - 185 SQ.MM. 12/20(24) KVCV</v>
          </cell>
          <cell r="E218">
            <v>632</v>
          </cell>
          <cell r="F218">
            <v>85</v>
          </cell>
          <cell r="G218" t="str">
            <v>M.</v>
          </cell>
        </row>
        <row r="219">
          <cell r="C219">
            <v>318</v>
          </cell>
          <cell r="D219" t="str">
            <v>-  1/C - 240 SQ.MM. 12/20(24) KVCV</v>
          </cell>
          <cell r="E219">
            <v>776</v>
          </cell>
          <cell r="F219">
            <v>90</v>
          </cell>
          <cell r="G219" t="str">
            <v>M.</v>
          </cell>
        </row>
        <row r="220">
          <cell r="C220">
            <v>319</v>
          </cell>
          <cell r="D220" t="str">
            <v>-  1/C - 300 SQ.MM. 12/20(24) KVCV</v>
          </cell>
          <cell r="E220">
            <v>930</v>
          </cell>
          <cell r="F220">
            <v>100</v>
          </cell>
          <cell r="G220" t="str">
            <v>M.</v>
          </cell>
        </row>
        <row r="221">
          <cell r="C221">
            <v>320</v>
          </cell>
          <cell r="D221" t="str">
            <v>-  1/C - 400 SQ.MM. 12/20(24) KVCV</v>
          </cell>
          <cell r="E221">
            <v>1120</v>
          </cell>
          <cell r="F221">
            <v>110</v>
          </cell>
          <cell r="G221" t="str">
            <v>M.</v>
          </cell>
        </row>
        <row r="222">
          <cell r="C222">
            <v>321</v>
          </cell>
          <cell r="D222" t="str">
            <v>-  3/C - 35 SQ.MM. 12/20(24) KVCV</v>
          </cell>
          <cell r="E222">
            <v>829</v>
          </cell>
          <cell r="F222">
            <v>85</v>
          </cell>
          <cell r="G222" t="str">
            <v>M.</v>
          </cell>
        </row>
        <row r="223">
          <cell r="C223">
            <v>322</v>
          </cell>
          <cell r="D223" t="str">
            <v>-  3/C - 50 SQ.MM. 12/20(24) KVCV</v>
          </cell>
          <cell r="E223">
            <v>897</v>
          </cell>
          <cell r="F223">
            <v>90</v>
          </cell>
          <cell r="G223" t="str">
            <v>M.</v>
          </cell>
        </row>
        <row r="224">
          <cell r="C224">
            <v>323</v>
          </cell>
          <cell r="D224" t="str">
            <v>-  3/C - 70 SQ.MM. 12/20(24) KVCV</v>
          </cell>
          <cell r="E224">
            <v>1050</v>
          </cell>
          <cell r="F224">
            <v>100</v>
          </cell>
          <cell r="G224" t="str">
            <v>M.</v>
          </cell>
        </row>
        <row r="225">
          <cell r="C225">
            <v>324</v>
          </cell>
          <cell r="D225" t="str">
            <v>-  3/C - 95 SQ.MM. 12/20(24) KVCV</v>
          </cell>
          <cell r="E225">
            <v>1258</v>
          </cell>
          <cell r="F225">
            <v>110</v>
          </cell>
          <cell r="G225" t="str">
            <v>M.</v>
          </cell>
        </row>
        <row r="226">
          <cell r="C226">
            <v>325</v>
          </cell>
          <cell r="D226" t="str">
            <v>-  3/C - 120 SQ.MM. 12/20(24) KVCV</v>
          </cell>
          <cell r="E226">
            <v>1613</v>
          </cell>
          <cell r="F226">
            <v>120</v>
          </cell>
          <cell r="G226" t="str">
            <v>M.</v>
          </cell>
        </row>
        <row r="227">
          <cell r="C227">
            <v>326</v>
          </cell>
          <cell r="D227" t="str">
            <v>-  3/C - 150 SQ.MM. 12/20(24) KVCV</v>
          </cell>
          <cell r="E227">
            <v>1832</v>
          </cell>
          <cell r="F227">
            <v>130</v>
          </cell>
          <cell r="G227" t="str">
            <v>M.</v>
          </cell>
        </row>
        <row r="228">
          <cell r="C228">
            <v>327</v>
          </cell>
          <cell r="D228" t="str">
            <v>-  3/C - 185 SQ.MM. 12/20(24) KVCV</v>
          </cell>
          <cell r="E228">
            <v>2131</v>
          </cell>
          <cell r="F228">
            <v>140</v>
          </cell>
          <cell r="G228" t="str">
            <v>M.</v>
          </cell>
        </row>
        <row r="229">
          <cell r="C229">
            <v>328</v>
          </cell>
          <cell r="D229" t="str">
            <v>-  3/C - 240 SQ.MM. 12/20(24) KVCV</v>
          </cell>
          <cell r="E229">
            <v>2566</v>
          </cell>
          <cell r="F229">
            <v>160</v>
          </cell>
          <cell r="G229" t="str">
            <v>M.</v>
          </cell>
        </row>
        <row r="230">
          <cell r="C230">
            <v>329</v>
          </cell>
          <cell r="D230" t="str">
            <v>-  3/C - 300 SQ.MM. 12/20(24) KVCV</v>
          </cell>
          <cell r="E230">
            <v>3084</v>
          </cell>
          <cell r="F230">
            <v>180</v>
          </cell>
          <cell r="G230" t="str">
            <v>M.</v>
          </cell>
        </row>
        <row r="231">
          <cell r="C231">
            <v>330</v>
          </cell>
          <cell r="D231" t="str">
            <v>-  3/C - 400 SQ.MM. 12/20(24) KVCV</v>
          </cell>
          <cell r="E231">
            <v>3712</v>
          </cell>
          <cell r="F231">
            <v>200</v>
          </cell>
          <cell r="G231" t="str">
            <v>M.</v>
          </cell>
        </row>
        <row r="232">
          <cell r="C232">
            <v>331</v>
          </cell>
          <cell r="D232" t="str">
            <v>-  1/C - 35 SQ.MM. 18/30(36) KVCV</v>
          </cell>
          <cell r="E232">
            <v>260</v>
          </cell>
          <cell r="F232">
            <v>60</v>
          </cell>
          <cell r="G232" t="str">
            <v>M.</v>
          </cell>
        </row>
        <row r="233">
          <cell r="C233">
            <v>332</v>
          </cell>
          <cell r="D233" t="str">
            <v>-  1/C - 50 SQ.MM. 18/30(36) KVCV</v>
          </cell>
          <cell r="E233">
            <v>281</v>
          </cell>
          <cell r="F233">
            <v>70</v>
          </cell>
          <cell r="G233" t="str">
            <v>M.</v>
          </cell>
        </row>
        <row r="234">
          <cell r="C234">
            <v>333</v>
          </cell>
          <cell r="D234" t="str">
            <v>-  1/C - 70 SQ.MM. 18/30(36) KVCV</v>
          </cell>
          <cell r="E234">
            <v>325</v>
          </cell>
          <cell r="F234">
            <v>75</v>
          </cell>
          <cell r="G234" t="str">
            <v>M.</v>
          </cell>
        </row>
        <row r="235">
          <cell r="C235">
            <v>334</v>
          </cell>
          <cell r="D235" t="str">
            <v>-  1/C - 95 SQ.MM. 18/30(36) KVCV</v>
          </cell>
          <cell r="E235">
            <v>396</v>
          </cell>
          <cell r="F235">
            <v>80</v>
          </cell>
          <cell r="G235" t="str">
            <v>M.</v>
          </cell>
        </row>
        <row r="236">
          <cell r="C236">
            <v>335</v>
          </cell>
          <cell r="D236" t="str">
            <v>-  1/C - 120 SQ.MM. 18/30(36) KVCV</v>
          </cell>
          <cell r="E236">
            <v>490</v>
          </cell>
          <cell r="F236">
            <v>85</v>
          </cell>
          <cell r="G236" t="str">
            <v>M.</v>
          </cell>
        </row>
        <row r="237">
          <cell r="C237">
            <v>336</v>
          </cell>
          <cell r="D237" t="str">
            <v>-  1/C - 150 SQ.MM. 18/30(36) KVCV</v>
          </cell>
          <cell r="E237">
            <v>560</v>
          </cell>
          <cell r="F237">
            <v>90</v>
          </cell>
          <cell r="G237" t="str">
            <v>M.</v>
          </cell>
        </row>
        <row r="238">
          <cell r="C238">
            <v>337</v>
          </cell>
          <cell r="D238" t="str">
            <v>-  1/C - 185 SQ.MM. 18/30(36) KVCV</v>
          </cell>
          <cell r="E238">
            <v>654</v>
          </cell>
          <cell r="F238">
            <v>100</v>
          </cell>
          <cell r="G238" t="str">
            <v>M.</v>
          </cell>
        </row>
        <row r="239">
          <cell r="C239">
            <v>338</v>
          </cell>
          <cell r="D239" t="str">
            <v>-  1/C - 240 SQ.MM. 18/30(36) KVCV</v>
          </cell>
          <cell r="E239">
            <v>802</v>
          </cell>
          <cell r="F239">
            <v>110</v>
          </cell>
          <cell r="G239" t="str">
            <v>M.</v>
          </cell>
        </row>
        <row r="240">
          <cell r="C240">
            <v>339</v>
          </cell>
          <cell r="D240" t="str">
            <v>-  1/C - 300 SQ.MM. 18/30(36) KVCV</v>
          </cell>
          <cell r="E240">
            <v>962</v>
          </cell>
          <cell r="F240">
            <v>130</v>
          </cell>
          <cell r="G240" t="str">
            <v>M.</v>
          </cell>
        </row>
        <row r="241">
          <cell r="C241">
            <v>340</v>
          </cell>
          <cell r="D241" t="str">
            <v>-  1/C - 400 SQ.MM. 18/30(36) KVCV</v>
          </cell>
          <cell r="E241">
            <v>1158</v>
          </cell>
          <cell r="F241">
            <v>150</v>
          </cell>
          <cell r="G241" t="str">
            <v>M.</v>
          </cell>
        </row>
        <row r="242">
          <cell r="C242">
            <v>341</v>
          </cell>
          <cell r="D242" t="str">
            <v>-  3/C - 50 SQ.MM. 18/30(36) KVCV</v>
          </cell>
          <cell r="E242">
            <v>930</v>
          </cell>
          <cell r="F242">
            <v>100</v>
          </cell>
          <cell r="G242" t="str">
            <v>M.</v>
          </cell>
        </row>
        <row r="243">
          <cell r="C243">
            <v>342</v>
          </cell>
          <cell r="D243" t="str">
            <v>-  3/C - 70 SQ.MM. 18/30(36) KVCV</v>
          </cell>
          <cell r="E243">
            <v>1088</v>
          </cell>
          <cell r="F243">
            <v>110</v>
          </cell>
          <cell r="G243" t="str">
            <v>M.</v>
          </cell>
        </row>
        <row r="244">
          <cell r="C244">
            <v>343</v>
          </cell>
          <cell r="D244" t="str">
            <v>-  3/C - 95 SQ.MM. 18/30(36) KVCV</v>
          </cell>
          <cell r="E244">
            <v>1303</v>
          </cell>
          <cell r="F244">
            <v>130</v>
          </cell>
          <cell r="G244" t="str">
            <v>M.</v>
          </cell>
        </row>
        <row r="245">
          <cell r="C245">
            <v>344</v>
          </cell>
          <cell r="D245" t="str">
            <v>-  3/C - 120 SQ.MM. 18/30(36) KVCV</v>
          </cell>
          <cell r="E245">
            <v>1670</v>
          </cell>
          <cell r="F245">
            <v>150</v>
          </cell>
          <cell r="G245" t="str">
            <v>M.</v>
          </cell>
        </row>
        <row r="246">
          <cell r="C246">
            <v>345</v>
          </cell>
          <cell r="D246" t="str">
            <v>-  3/C - 150 SQ.MM. 18/30(36) KVCV</v>
          </cell>
          <cell r="E246">
            <v>1897</v>
          </cell>
          <cell r="F246">
            <v>170</v>
          </cell>
          <cell r="G246" t="str">
            <v>M.</v>
          </cell>
        </row>
        <row r="247">
          <cell r="C247">
            <v>346</v>
          </cell>
          <cell r="D247" t="str">
            <v>-  3/C - 185 SQ.MM. 18/30(36) KVCV</v>
          </cell>
          <cell r="E247">
            <v>2206</v>
          </cell>
          <cell r="F247">
            <v>180</v>
          </cell>
          <cell r="G247" t="str">
            <v>M.</v>
          </cell>
        </row>
        <row r="248">
          <cell r="C248">
            <v>347</v>
          </cell>
          <cell r="D248" t="str">
            <v>-  3/C - 240 SQ.MM. 18/30(36) KVCV</v>
          </cell>
          <cell r="E248">
            <v>2660</v>
          </cell>
          <cell r="F248">
            <v>200</v>
          </cell>
          <cell r="G248" t="str">
            <v>M.</v>
          </cell>
        </row>
        <row r="249">
          <cell r="C249">
            <v>348</v>
          </cell>
          <cell r="D249" t="str">
            <v>-  3/C - 300 SQ.MM. 18/30(36) KVCV</v>
          </cell>
          <cell r="E249">
            <v>3166</v>
          </cell>
          <cell r="F249">
            <v>220</v>
          </cell>
          <cell r="G249" t="str">
            <v>M.</v>
          </cell>
        </row>
        <row r="250">
          <cell r="C250">
            <v>349</v>
          </cell>
          <cell r="D250" t="str">
            <v>-  3/C - 400 SQ.MM. 18/30(36) KVCV</v>
          </cell>
          <cell r="E250">
            <v>3709</v>
          </cell>
          <cell r="F250">
            <v>240</v>
          </cell>
          <cell r="G250" t="str">
            <v>M.</v>
          </cell>
        </row>
        <row r="251">
          <cell r="C251">
            <v>501</v>
          </cell>
          <cell r="D251" t="str">
            <v>SPACE</v>
          </cell>
          <cell r="E251">
            <v>23000</v>
          </cell>
          <cell r="F251">
            <v>2000</v>
          </cell>
          <cell r="G251" t="str">
            <v>SET</v>
          </cell>
        </row>
        <row r="252">
          <cell r="C252">
            <v>351</v>
          </cell>
          <cell r="D252" t="str">
            <v>-  1/C - 25 SQ.MM. 25 KV.XLPE</v>
          </cell>
          <cell r="E252">
            <v>0</v>
          </cell>
          <cell r="F252">
            <v>0</v>
          </cell>
          <cell r="G252" t="str">
            <v>M.</v>
          </cell>
        </row>
        <row r="253">
          <cell r="C253">
            <v>352</v>
          </cell>
          <cell r="D253" t="str">
            <v>-  1/C - 35 SQ.MM. 25 KV.XLPE</v>
          </cell>
          <cell r="E253">
            <v>305</v>
          </cell>
          <cell r="F253">
            <v>35</v>
          </cell>
          <cell r="G253" t="str">
            <v>M.</v>
          </cell>
        </row>
        <row r="254">
          <cell r="C254">
            <v>353</v>
          </cell>
          <cell r="D254" t="str">
            <v>-  1/C - 50 SQ.MM. 25 KV.XLPE</v>
          </cell>
          <cell r="E254">
            <v>345</v>
          </cell>
          <cell r="F254">
            <v>40</v>
          </cell>
          <cell r="G254" t="str">
            <v>M.</v>
          </cell>
        </row>
        <row r="255">
          <cell r="C255">
            <v>354</v>
          </cell>
          <cell r="D255" t="str">
            <v>-  1/C - 70 SQ.MM. 25 KV.XLPE</v>
          </cell>
          <cell r="E255">
            <v>415</v>
          </cell>
          <cell r="F255">
            <v>60</v>
          </cell>
          <cell r="G255" t="str">
            <v>M.</v>
          </cell>
        </row>
        <row r="256">
          <cell r="C256">
            <v>355</v>
          </cell>
          <cell r="D256" t="str">
            <v>-  1/C - 95 SQ.MM. 25 KV.XLPE</v>
          </cell>
          <cell r="E256">
            <v>515</v>
          </cell>
          <cell r="F256">
            <v>70</v>
          </cell>
          <cell r="G256" t="str">
            <v>M.</v>
          </cell>
        </row>
        <row r="257">
          <cell r="C257">
            <v>356</v>
          </cell>
          <cell r="D257" t="str">
            <v>-  1/C - 120 SQ.MM. 25 KV.XLPE</v>
          </cell>
          <cell r="E257">
            <v>605</v>
          </cell>
          <cell r="F257">
            <v>75</v>
          </cell>
          <cell r="G257" t="str">
            <v>M.</v>
          </cell>
        </row>
        <row r="258">
          <cell r="C258">
            <v>357</v>
          </cell>
          <cell r="D258" t="str">
            <v>-  1/C - 150 SQ.MM. 25 KV.XLPE</v>
          </cell>
          <cell r="E258">
            <v>705</v>
          </cell>
          <cell r="F258">
            <v>80</v>
          </cell>
          <cell r="G258" t="str">
            <v>M.</v>
          </cell>
        </row>
        <row r="259">
          <cell r="C259">
            <v>358</v>
          </cell>
          <cell r="D259" t="str">
            <v>-  1/C - 185 SQ.MM. 25 KV.XLPE</v>
          </cell>
          <cell r="E259">
            <v>835</v>
          </cell>
          <cell r="F259">
            <v>85</v>
          </cell>
          <cell r="G259" t="str">
            <v>M.</v>
          </cell>
        </row>
        <row r="260">
          <cell r="C260">
            <v>359</v>
          </cell>
          <cell r="D260" t="str">
            <v>-  1/C - 240 SQ.MM. 25 KV.XLPE</v>
          </cell>
          <cell r="E260">
            <v>995</v>
          </cell>
          <cell r="F260">
            <v>90</v>
          </cell>
          <cell r="G260" t="str">
            <v>M.</v>
          </cell>
        </row>
        <row r="261">
          <cell r="C261">
            <v>360</v>
          </cell>
          <cell r="D261" t="str">
            <v>-  1/C - 35 SQ.MM. 35 KV.XLPE</v>
          </cell>
          <cell r="E261">
            <v>0</v>
          </cell>
          <cell r="F261">
            <v>60</v>
          </cell>
          <cell r="G261" t="str">
            <v>M.</v>
          </cell>
        </row>
        <row r="262">
          <cell r="C262">
            <v>361</v>
          </cell>
          <cell r="D262" t="str">
            <v>-  1/C - 50 SQ.MM. 35 KV.XLPE</v>
          </cell>
          <cell r="E262">
            <v>0</v>
          </cell>
          <cell r="F262">
            <v>70</v>
          </cell>
          <cell r="G262" t="str">
            <v>M.</v>
          </cell>
        </row>
        <row r="263">
          <cell r="C263">
            <v>362</v>
          </cell>
          <cell r="D263" t="str">
            <v>-  1/C - 70 SQ.MM. 35 KV.XLPE</v>
          </cell>
          <cell r="E263">
            <v>0</v>
          </cell>
          <cell r="F263">
            <v>75</v>
          </cell>
          <cell r="G263" t="str">
            <v>M.</v>
          </cell>
        </row>
        <row r="264">
          <cell r="C264">
            <v>363</v>
          </cell>
          <cell r="D264" t="str">
            <v>-  1/C - 95 SQ.MM. 35 KV.XLPE</v>
          </cell>
          <cell r="E264">
            <v>0</v>
          </cell>
          <cell r="F264">
            <v>80</v>
          </cell>
          <cell r="G264" t="str">
            <v>M.</v>
          </cell>
        </row>
        <row r="265">
          <cell r="C265">
            <v>364</v>
          </cell>
          <cell r="D265" t="str">
            <v>-  1/C - 120 SQ.MM. 35 KV.XLPE</v>
          </cell>
          <cell r="E265">
            <v>0</v>
          </cell>
          <cell r="F265">
            <v>85</v>
          </cell>
          <cell r="G265" t="str">
            <v>M.</v>
          </cell>
        </row>
        <row r="266">
          <cell r="C266">
            <v>365</v>
          </cell>
          <cell r="D266" t="str">
            <v>-  1/C - 150 SQ.MM. 35 KV.XLPE</v>
          </cell>
          <cell r="E266">
            <v>0</v>
          </cell>
          <cell r="F266">
            <v>90</v>
          </cell>
          <cell r="G266" t="str">
            <v>M.</v>
          </cell>
        </row>
        <row r="267">
          <cell r="C267">
            <v>366</v>
          </cell>
          <cell r="D267" t="str">
            <v>-  1/C - 185 SQ.MM. 35 KV.XLPE</v>
          </cell>
          <cell r="E267">
            <v>0</v>
          </cell>
          <cell r="F267">
            <v>100</v>
          </cell>
          <cell r="G267" t="str">
            <v>M.</v>
          </cell>
        </row>
        <row r="268">
          <cell r="C268">
            <v>367</v>
          </cell>
          <cell r="D268" t="str">
            <v>-  1/C - 240 SQ.MM. 35 KV.XLPE</v>
          </cell>
          <cell r="E268">
            <v>0</v>
          </cell>
          <cell r="F268">
            <v>110</v>
          </cell>
          <cell r="G268" t="str">
            <v>M.</v>
          </cell>
        </row>
        <row r="269">
          <cell r="D269" t="str">
            <v>SPACE</v>
          </cell>
        </row>
        <row r="270">
          <cell r="C270">
            <v>369</v>
          </cell>
          <cell r="D270" t="str">
            <v>-  1/C - 35 SQ.MM. 25 KV.PIC</v>
          </cell>
          <cell r="E270">
            <v>108</v>
          </cell>
          <cell r="F270">
            <v>20</v>
          </cell>
          <cell r="G270" t="str">
            <v>M.</v>
          </cell>
        </row>
        <row r="271">
          <cell r="C271">
            <v>370</v>
          </cell>
          <cell r="D271" t="str">
            <v>-  1/C - 50 SQ.MM. 25 KV.PIC</v>
          </cell>
          <cell r="E271">
            <v>128</v>
          </cell>
          <cell r="F271">
            <v>25</v>
          </cell>
          <cell r="G271" t="str">
            <v>M.</v>
          </cell>
        </row>
        <row r="272">
          <cell r="C272">
            <v>371</v>
          </cell>
          <cell r="D272" t="str">
            <v>-  1/C - 70 SQ.MM. 25 KV.PIC</v>
          </cell>
          <cell r="E272">
            <v>148</v>
          </cell>
          <cell r="F272">
            <v>30</v>
          </cell>
          <cell r="G272" t="str">
            <v>M.</v>
          </cell>
        </row>
        <row r="273">
          <cell r="C273">
            <v>372</v>
          </cell>
          <cell r="D273" t="str">
            <v>-  1/C - 95 SQ.MM. 25 KV.PIC</v>
          </cell>
          <cell r="E273">
            <v>178</v>
          </cell>
          <cell r="F273">
            <v>35</v>
          </cell>
          <cell r="G273" t="str">
            <v>M.</v>
          </cell>
        </row>
        <row r="274">
          <cell r="C274">
            <v>373</v>
          </cell>
          <cell r="D274" t="str">
            <v>-  1/C - 120 SQ.MM. 25 KV.PIC</v>
          </cell>
          <cell r="E274">
            <v>208</v>
          </cell>
          <cell r="F274">
            <v>40</v>
          </cell>
          <cell r="G274" t="str">
            <v>M.</v>
          </cell>
        </row>
        <row r="275">
          <cell r="C275">
            <v>374</v>
          </cell>
          <cell r="D275" t="str">
            <v>-  1/C - 150 SQ.MM. 25 KV.PIC</v>
          </cell>
          <cell r="E275">
            <v>248</v>
          </cell>
          <cell r="F275">
            <v>60</v>
          </cell>
          <cell r="G275" t="str">
            <v>M.</v>
          </cell>
        </row>
        <row r="276">
          <cell r="C276">
            <v>375</v>
          </cell>
          <cell r="D276" t="str">
            <v>-  1/C - 185 SQ.MM. 25 KV.PIC</v>
          </cell>
          <cell r="E276">
            <v>288</v>
          </cell>
          <cell r="F276">
            <v>70</v>
          </cell>
          <cell r="G276" t="str">
            <v>M.</v>
          </cell>
        </row>
        <row r="277">
          <cell r="C277">
            <v>376</v>
          </cell>
          <cell r="D277" t="str">
            <v>-  1/C - 240 SQ.MM. 25 KV.PIC</v>
          </cell>
          <cell r="E277">
            <v>348</v>
          </cell>
          <cell r="F277">
            <v>75</v>
          </cell>
          <cell r="G277" t="str">
            <v>M.</v>
          </cell>
        </row>
        <row r="278">
          <cell r="C278">
            <v>377</v>
          </cell>
          <cell r="D278" t="str">
            <v>-  1/C - 35 SQ.MM. 35 KV.PIC</v>
          </cell>
          <cell r="E278">
            <v>0</v>
          </cell>
          <cell r="F278">
            <v>30</v>
          </cell>
          <cell r="G278" t="str">
            <v>M.</v>
          </cell>
        </row>
        <row r="279">
          <cell r="C279">
            <v>378</v>
          </cell>
          <cell r="D279" t="str">
            <v>-  1/C - 50 SQ.MM. 35 KV.PIC</v>
          </cell>
          <cell r="E279">
            <v>0</v>
          </cell>
          <cell r="F279">
            <v>35</v>
          </cell>
          <cell r="G279" t="str">
            <v>M.</v>
          </cell>
        </row>
        <row r="280">
          <cell r="C280">
            <v>379</v>
          </cell>
          <cell r="D280" t="str">
            <v>-  1/C - 70 SQ.MM. 35 KV.PIC</v>
          </cell>
          <cell r="E280">
            <v>0</v>
          </cell>
          <cell r="F280">
            <v>40</v>
          </cell>
          <cell r="G280" t="str">
            <v>M.</v>
          </cell>
        </row>
        <row r="281">
          <cell r="C281">
            <v>380</v>
          </cell>
          <cell r="D281" t="str">
            <v>-  1/C - 95 SQ.MM. 35 KV.PIC</v>
          </cell>
          <cell r="E281">
            <v>0</v>
          </cell>
          <cell r="F281">
            <v>60</v>
          </cell>
          <cell r="G281" t="str">
            <v>M.</v>
          </cell>
        </row>
        <row r="282">
          <cell r="C282">
            <v>381</v>
          </cell>
          <cell r="D282" t="str">
            <v>-  1/C - 120 SQ.MM. 35 KV.PIC</v>
          </cell>
          <cell r="E282">
            <v>0</v>
          </cell>
          <cell r="F282">
            <v>70</v>
          </cell>
          <cell r="G282" t="str">
            <v>M.</v>
          </cell>
        </row>
        <row r="283">
          <cell r="C283">
            <v>382</v>
          </cell>
          <cell r="D283" t="str">
            <v>-  1/C - 150 SQ.MM. 35 KV.PIC</v>
          </cell>
          <cell r="E283">
            <v>0</v>
          </cell>
          <cell r="F283">
            <v>75</v>
          </cell>
          <cell r="G283" t="str">
            <v>M.</v>
          </cell>
        </row>
        <row r="284">
          <cell r="C284">
            <v>383</v>
          </cell>
          <cell r="D284" t="str">
            <v>-  1/C - 185 SQ.MM. 35 KV.PIC</v>
          </cell>
          <cell r="E284">
            <v>0</v>
          </cell>
          <cell r="F284">
            <v>80</v>
          </cell>
          <cell r="G284" t="str">
            <v>M.</v>
          </cell>
        </row>
        <row r="285">
          <cell r="C285">
            <v>384</v>
          </cell>
          <cell r="D285" t="str">
            <v>-  1/C - 240 SQ.MM. 35 KV.PIC</v>
          </cell>
          <cell r="E285">
            <v>0</v>
          </cell>
          <cell r="F285">
            <v>85</v>
          </cell>
          <cell r="G285" t="str">
            <v>M.</v>
          </cell>
        </row>
        <row r="286">
          <cell r="D286" t="str">
            <v>SPACE</v>
          </cell>
        </row>
        <row r="287">
          <cell r="C287">
            <v>386</v>
          </cell>
          <cell r="D287" t="str">
            <v>-  1/C - 35 SQ.MM. 25 KV.SPACED AERIAL</v>
          </cell>
          <cell r="E287">
            <v>160</v>
          </cell>
          <cell r="F287">
            <v>25</v>
          </cell>
          <cell r="G287" t="str">
            <v>M.</v>
          </cell>
        </row>
        <row r="288">
          <cell r="C288">
            <v>387</v>
          </cell>
          <cell r="D288" t="str">
            <v>-  1/C - 50 SQ.MM. 25 KV.SPACED AERIAL</v>
          </cell>
          <cell r="E288">
            <v>190</v>
          </cell>
          <cell r="F288">
            <v>30</v>
          </cell>
          <cell r="G288" t="str">
            <v>M.</v>
          </cell>
        </row>
        <row r="289">
          <cell r="C289">
            <v>388</v>
          </cell>
          <cell r="D289" t="str">
            <v>-  1/C - 70 SQ.MM. 25 KV.SPACED AERIAL</v>
          </cell>
          <cell r="E289">
            <v>220</v>
          </cell>
          <cell r="F289">
            <v>35</v>
          </cell>
          <cell r="G289" t="str">
            <v>M.</v>
          </cell>
        </row>
        <row r="290">
          <cell r="C290">
            <v>389</v>
          </cell>
          <cell r="D290" t="str">
            <v>-  1/C - 95 SQ.MM. 25 KV.SPACED AERIAL</v>
          </cell>
          <cell r="E290">
            <v>260</v>
          </cell>
          <cell r="F290">
            <v>40</v>
          </cell>
          <cell r="G290" t="str">
            <v>M.</v>
          </cell>
        </row>
        <row r="291">
          <cell r="C291">
            <v>390</v>
          </cell>
          <cell r="D291" t="str">
            <v>-  1/C - 120 SQ.MM. 25 KV.SPACED AERIAL</v>
          </cell>
          <cell r="E291">
            <v>300</v>
          </cell>
          <cell r="F291">
            <v>60</v>
          </cell>
          <cell r="G291" t="str">
            <v>M.</v>
          </cell>
        </row>
        <row r="292">
          <cell r="C292">
            <v>391</v>
          </cell>
          <cell r="D292" t="str">
            <v>-  1/C - 150 SQ.MM. 25 KV.SPACED AERIAL</v>
          </cell>
          <cell r="E292">
            <v>340</v>
          </cell>
          <cell r="F292">
            <v>70</v>
          </cell>
          <cell r="G292" t="str">
            <v>M.</v>
          </cell>
        </row>
        <row r="293">
          <cell r="C293">
            <v>392</v>
          </cell>
          <cell r="D293" t="str">
            <v>-  1/C - 185 SQ.MM. 25 KV.SPACED AERIAL</v>
          </cell>
          <cell r="E293">
            <v>390</v>
          </cell>
          <cell r="F293">
            <v>75</v>
          </cell>
          <cell r="G293" t="str">
            <v>M.</v>
          </cell>
        </row>
        <row r="294">
          <cell r="C294">
            <v>393</v>
          </cell>
          <cell r="D294" t="str">
            <v>-  1/C - 240 SQ.MM. 25 KV.SPACED AERIAL</v>
          </cell>
          <cell r="E294">
            <v>470</v>
          </cell>
          <cell r="F294">
            <v>80</v>
          </cell>
          <cell r="G294" t="str">
            <v>M.</v>
          </cell>
        </row>
        <row r="295">
          <cell r="C295">
            <v>394</v>
          </cell>
          <cell r="D295" t="str">
            <v>-  1/C - 35 SQ.MM. 35 KV.SPACED AERIAL</v>
          </cell>
          <cell r="E295">
            <v>0</v>
          </cell>
          <cell r="F295">
            <v>75</v>
          </cell>
          <cell r="G295" t="str">
            <v>M.</v>
          </cell>
        </row>
        <row r="296">
          <cell r="C296">
            <v>395</v>
          </cell>
          <cell r="D296" t="str">
            <v>-  1/C - 50 SQ.MM. 35 KV.SPACED AERIAL</v>
          </cell>
          <cell r="E296">
            <v>0</v>
          </cell>
          <cell r="F296">
            <v>89</v>
          </cell>
          <cell r="G296" t="str">
            <v>M.</v>
          </cell>
        </row>
        <row r="297">
          <cell r="C297">
            <v>396</v>
          </cell>
          <cell r="D297" t="str">
            <v>-  1/C - 70 SQ.MM. 35 KV.SPACED AERIAL</v>
          </cell>
          <cell r="E297">
            <v>0</v>
          </cell>
          <cell r="F297">
            <v>85</v>
          </cell>
          <cell r="G297" t="str">
            <v>M.</v>
          </cell>
        </row>
        <row r="298">
          <cell r="C298">
            <v>397</v>
          </cell>
          <cell r="D298" t="str">
            <v>-  1/C - 95 SQ.MM. 35 KV.SPACED AERIAL</v>
          </cell>
          <cell r="E298">
            <v>0</v>
          </cell>
          <cell r="F298">
            <v>90</v>
          </cell>
          <cell r="G298" t="str">
            <v>M.</v>
          </cell>
        </row>
        <row r="299">
          <cell r="C299">
            <v>398</v>
          </cell>
          <cell r="D299" t="str">
            <v>-  1/C - 120 SQ.MM. 35 KV.SPACED AERIAL</v>
          </cell>
          <cell r="E299">
            <v>0</v>
          </cell>
          <cell r="F299">
            <v>100</v>
          </cell>
          <cell r="G299" t="str">
            <v>M.</v>
          </cell>
        </row>
        <row r="300">
          <cell r="C300">
            <v>399</v>
          </cell>
          <cell r="D300" t="str">
            <v>-  1/C - 150 SQ.MM. 35 KV.SPACED AERIAL</v>
          </cell>
          <cell r="E300">
            <v>0</v>
          </cell>
          <cell r="F300">
            <v>110</v>
          </cell>
          <cell r="G300" t="str">
            <v>M.</v>
          </cell>
        </row>
        <row r="301">
          <cell r="C301">
            <v>400</v>
          </cell>
          <cell r="D301" t="str">
            <v>-  1/C - 185 SQ.MM. 35 KV.SPACED AERIAL</v>
          </cell>
          <cell r="E301">
            <v>0</v>
          </cell>
          <cell r="F301">
            <v>120</v>
          </cell>
          <cell r="G301" t="str">
            <v>M.</v>
          </cell>
        </row>
        <row r="302">
          <cell r="C302">
            <v>401</v>
          </cell>
          <cell r="D302" t="str">
            <v>-  1/C - 240 SQ.MM. 35 KV.SPACED AERIAL</v>
          </cell>
          <cell r="E302">
            <v>0</v>
          </cell>
          <cell r="F302">
            <v>140</v>
          </cell>
          <cell r="G302" t="str">
            <v>M.</v>
          </cell>
        </row>
        <row r="303">
          <cell r="C303">
            <v>402</v>
          </cell>
          <cell r="D303" t="str">
            <v>-  25 SQ.MM. ALL ALUMINIUM CABLE</v>
          </cell>
          <cell r="E303">
            <v>9</v>
          </cell>
          <cell r="F303">
            <v>5</v>
          </cell>
          <cell r="G303" t="str">
            <v>M.</v>
          </cell>
        </row>
        <row r="304">
          <cell r="C304">
            <v>403</v>
          </cell>
          <cell r="D304" t="str">
            <v>-  35 SQ.MM. ALL ALUMINIUM CABLE</v>
          </cell>
          <cell r="E304">
            <v>13</v>
          </cell>
          <cell r="F304">
            <v>6</v>
          </cell>
          <cell r="G304" t="str">
            <v>M.</v>
          </cell>
        </row>
        <row r="305">
          <cell r="C305">
            <v>404</v>
          </cell>
          <cell r="D305" t="str">
            <v>-  50 SQ.MM. ALL ALUMINIUM CABLE</v>
          </cell>
          <cell r="E305">
            <v>18</v>
          </cell>
          <cell r="F305">
            <v>8</v>
          </cell>
          <cell r="G305" t="str">
            <v>M.</v>
          </cell>
        </row>
        <row r="306">
          <cell r="C306">
            <v>405</v>
          </cell>
          <cell r="D306" t="str">
            <v>-  70 SQ.MM. ALL ALUMINIUM CABLE</v>
          </cell>
          <cell r="E306">
            <v>26</v>
          </cell>
          <cell r="F306">
            <v>11</v>
          </cell>
          <cell r="G306" t="str">
            <v>M.</v>
          </cell>
        </row>
        <row r="307">
          <cell r="C307">
            <v>406</v>
          </cell>
          <cell r="D307" t="str">
            <v>-  95 SQ.MM. ALL ALUMINIUM CABLE</v>
          </cell>
          <cell r="E307">
            <v>36</v>
          </cell>
          <cell r="F307">
            <v>16</v>
          </cell>
          <cell r="G307" t="str">
            <v>M.</v>
          </cell>
        </row>
        <row r="308">
          <cell r="C308">
            <v>407</v>
          </cell>
          <cell r="D308" t="str">
            <v>-  120 SQ.MM. ALL ALUMINIUM CABLE</v>
          </cell>
          <cell r="E308">
            <v>46</v>
          </cell>
          <cell r="F308">
            <v>20</v>
          </cell>
          <cell r="G308" t="str">
            <v>M.</v>
          </cell>
        </row>
        <row r="309">
          <cell r="C309">
            <v>408</v>
          </cell>
          <cell r="D309" t="str">
            <v>-  150 SQ.MM. ALL ALUMINIUM CABLE</v>
          </cell>
          <cell r="E309">
            <v>56</v>
          </cell>
          <cell r="F309">
            <v>25</v>
          </cell>
          <cell r="G309" t="str">
            <v>M.</v>
          </cell>
        </row>
        <row r="310">
          <cell r="C310">
            <v>409</v>
          </cell>
          <cell r="D310" t="str">
            <v>-  185 SQ.MM. ALL ALUMINIUM CABLE</v>
          </cell>
          <cell r="E310">
            <v>64</v>
          </cell>
          <cell r="F310">
            <v>30</v>
          </cell>
          <cell r="G310" t="str">
            <v>M.</v>
          </cell>
        </row>
        <row r="311">
          <cell r="C311">
            <v>410</v>
          </cell>
          <cell r="D311" t="str">
            <v>-  25 SQ.MM. ACSR</v>
          </cell>
          <cell r="E311">
            <v>11</v>
          </cell>
          <cell r="F311">
            <v>5</v>
          </cell>
          <cell r="G311" t="str">
            <v>M.</v>
          </cell>
        </row>
        <row r="312">
          <cell r="C312">
            <v>411</v>
          </cell>
          <cell r="D312" t="str">
            <v>-  35 SQ.MM. ACSR</v>
          </cell>
          <cell r="E312">
            <v>15</v>
          </cell>
          <cell r="F312">
            <v>6</v>
          </cell>
          <cell r="G312" t="str">
            <v>M.</v>
          </cell>
        </row>
        <row r="313">
          <cell r="C313">
            <v>412</v>
          </cell>
          <cell r="D313" t="str">
            <v>-  50 SQ.MM. ACSR</v>
          </cell>
          <cell r="E313">
            <v>21</v>
          </cell>
          <cell r="F313">
            <v>8</v>
          </cell>
          <cell r="G313" t="str">
            <v>M.</v>
          </cell>
        </row>
        <row r="314">
          <cell r="C314">
            <v>413</v>
          </cell>
          <cell r="D314" t="str">
            <v>-  70 SQ.MM. ACSR</v>
          </cell>
          <cell r="E314">
            <v>30</v>
          </cell>
          <cell r="F314">
            <v>11</v>
          </cell>
          <cell r="G314" t="str">
            <v>M.</v>
          </cell>
        </row>
        <row r="315">
          <cell r="C315">
            <v>414</v>
          </cell>
          <cell r="D315" t="str">
            <v>-  95 SQ.MM. ACSR</v>
          </cell>
          <cell r="E315">
            <v>42</v>
          </cell>
          <cell r="F315">
            <v>16</v>
          </cell>
          <cell r="G315" t="str">
            <v>M.</v>
          </cell>
        </row>
        <row r="316">
          <cell r="C316">
            <v>415</v>
          </cell>
          <cell r="D316" t="str">
            <v>-  120 SQ.MM. ACSR</v>
          </cell>
          <cell r="E316">
            <v>54</v>
          </cell>
          <cell r="F316">
            <v>20</v>
          </cell>
          <cell r="G316" t="str">
            <v>M.</v>
          </cell>
        </row>
        <row r="317">
          <cell r="C317">
            <v>416</v>
          </cell>
          <cell r="D317" t="str">
            <v>-  150 SQ.MM. ACSR</v>
          </cell>
          <cell r="E317">
            <v>83</v>
          </cell>
          <cell r="F317">
            <v>25</v>
          </cell>
          <cell r="G317" t="str">
            <v>M.</v>
          </cell>
        </row>
        <row r="318">
          <cell r="C318">
            <v>417</v>
          </cell>
          <cell r="D318" t="str">
            <v>-  185 SQ.MM. ACSR</v>
          </cell>
          <cell r="E318">
            <v>0</v>
          </cell>
          <cell r="F318">
            <v>0</v>
          </cell>
          <cell r="G318" t="str">
            <v>M.</v>
          </cell>
        </row>
        <row r="319">
          <cell r="D319" t="str">
            <v>SPACE</v>
          </cell>
        </row>
        <row r="320">
          <cell r="C320">
            <v>45</v>
          </cell>
          <cell r="D320" t="str">
            <v>FIRE - RESISTANT CABLE</v>
          </cell>
        </row>
        <row r="321">
          <cell r="C321">
            <v>451</v>
          </cell>
          <cell r="D321" t="str">
            <v>-  1/C - 0.75 SQ.MM. FR.</v>
          </cell>
          <cell r="E321">
            <v>17</v>
          </cell>
          <cell r="F321">
            <v>1</v>
          </cell>
          <cell r="G321" t="str">
            <v>M.</v>
          </cell>
        </row>
        <row r="322">
          <cell r="C322">
            <v>452</v>
          </cell>
          <cell r="D322" t="str">
            <v>-  1/C - 1.0 SQ.MM. FR.</v>
          </cell>
          <cell r="E322">
            <v>19</v>
          </cell>
          <cell r="F322">
            <v>1</v>
          </cell>
          <cell r="G322" t="str">
            <v>M.</v>
          </cell>
        </row>
        <row r="323">
          <cell r="C323">
            <v>453</v>
          </cell>
          <cell r="D323" t="str">
            <v>-  1/C - 1.5 SQ.MM. FR.</v>
          </cell>
          <cell r="E323">
            <v>20</v>
          </cell>
          <cell r="F323">
            <v>1</v>
          </cell>
          <cell r="G323" t="str">
            <v>M.</v>
          </cell>
        </row>
        <row r="324">
          <cell r="C324">
            <v>454</v>
          </cell>
          <cell r="D324" t="str">
            <v>-  1/C - 2.5 SQ.MM. FR.</v>
          </cell>
          <cell r="E324">
            <v>26</v>
          </cell>
          <cell r="F324">
            <v>2</v>
          </cell>
          <cell r="G324" t="str">
            <v>M.</v>
          </cell>
        </row>
        <row r="325">
          <cell r="C325">
            <v>455</v>
          </cell>
          <cell r="D325" t="str">
            <v>-  1/C - 4 SQ.MM. FR.</v>
          </cell>
          <cell r="E325">
            <v>36</v>
          </cell>
          <cell r="F325">
            <v>2</v>
          </cell>
          <cell r="G325" t="str">
            <v>M.</v>
          </cell>
        </row>
        <row r="326">
          <cell r="C326">
            <v>456</v>
          </cell>
          <cell r="D326" t="str">
            <v>-  1/C - 6 SQ.MM. FR.</v>
          </cell>
          <cell r="E326">
            <v>60</v>
          </cell>
          <cell r="F326">
            <v>3</v>
          </cell>
          <cell r="G326" t="str">
            <v>M.</v>
          </cell>
        </row>
        <row r="327">
          <cell r="C327">
            <v>457</v>
          </cell>
          <cell r="D327" t="str">
            <v>-  1/C - 10 SQ.MM. FR.</v>
          </cell>
          <cell r="E327">
            <v>82</v>
          </cell>
          <cell r="F327">
            <v>5</v>
          </cell>
          <cell r="G327" t="str">
            <v>M.</v>
          </cell>
        </row>
        <row r="328">
          <cell r="C328">
            <v>458</v>
          </cell>
          <cell r="D328" t="str">
            <v>-  1/C - 16 SQ.MM. FR.</v>
          </cell>
          <cell r="E328">
            <v>96</v>
          </cell>
          <cell r="F328">
            <v>6</v>
          </cell>
          <cell r="G328" t="str">
            <v>M.</v>
          </cell>
        </row>
        <row r="329">
          <cell r="C329">
            <v>459</v>
          </cell>
          <cell r="D329" t="str">
            <v>-  1/C - 25 SQ.MM. FR.</v>
          </cell>
          <cell r="E329">
            <v>130</v>
          </cell>
          <cell r="F329">
            <v>8</v>
          </cell>
          <cell r="G329" t="str">
            <v>M.</v>
          </cell>
        </row>
        <row r="330">
          <cell r="C330">
            <v>460</v>
          </cell>
          <cell r="D330" t="str">
            <v>-  1/C - 35 SQ.MM. FR.</v>
          </cell>
          <cell r="E330">
            <v>184</v>
          </cell>
          <cell r="F330">
            <v>11</v>
          </cell>
          <cell r="G330" t="str">
            <v>M.</v>
          </cell>
        </row>
        <row r="331">
          <cell r="C331">
            <v>461</v>
          </cell>
          <cell r="D331" t="str">
            <v>-  1/C - 50 SQ.MM. FR.</v>
          </cell>
          <cell r="E331">
            <v>264</v>
          </cell>
          <cell r="F331">
            <v>16</v>
          </cell>
          <cell r="G331" t="str">
            <v>M.</v>
          </cell>
        </row>
        <row r="332">
          <cell r="C332">
            <v>462</v>
          </cell>
          <cell r="D332" t="str">
            <v>-  1/C - 70 SQ.MM. FR.</v>
          </cell>
          <cell r="E332">
            <v>330</v>
          </cell>
          <cell r="F332">
            <v>20</v>
          </cell>
          <cell r="G332" t="str">
            <v>M.</v>
          </cell>
        </row>
        <row r="333">
          <cell r="C333">
            <v>463</v>
          </cell>
          <cell r="D333" t="str">
            <v>-  1/C - 95 SQ.MM. FR.</v>
          </cell>
          <cell r="E333">
            <v>396</v>
          </cell>
          <cell r="F333">
            <v>25</v>
          </cell>
          <cell r="G333" t="str">
            <v>M.</v>
          </cell>
        </row>
        <row r="334">
          <cell r="C334">
            <v>464</v>
          </cell>
          <cell r="D334" t="str">
            <v>-  1/C - 120 SQ.MM. FR.</v>
          </cell>
          <cell r="E334">
            <v>488</v>
          </cell>
          <cell r="F334">
            <v>30</v>
          </cell>
          <cell r="G334" t="str">
            <v>M.</v>
          </cell>
        </row>
        <row r="335">
          <cell r="C335">
            <v>465</v>
          </cell>
          <cell r="D335" t="str">
            <v>-  1/C - 150 SQ.MM. FR.</v>
          </cell>
          <cell r="E335">
            <v>589</v>
          </cell>
          <cell r="F335">
            <v>35</v>
          </cell>
          <cell r="G335" t="str">
            <v>M.</v>
          </cell>
        </row>
        <row r="336">
          <cell r="C336">
            <v>466</v>
          </cell>
          <cell r="D336" t="str">
            <v>-  1/C - 185 SQ.MM. FR.</v>
          </cell>
          <cell r="E336">
            <v>688</v>
          </cell>
          <cell r="F336">
            <v>40</v>
          </cell>
          <cell r="G336" t="str">
            <v>M.</v>
          </cell>
        </row>
        <row r="337">
          <cell r="C337">
            <v>467</v>
          </cell>
          <cell r="D337" t="str">
            <v>-  1/C - 240 SQ.MM. FR.</v>
          </cell>
          <cell r="E337">
            <v>852</v>
          </cell>
          <cell r="F337">
            <v>50</v>
          </cell>
          <cell r="G337" t="str">
            <v>M.</v>
          </cell>
        </row>
        <row r="338">
          <cell r="C338">
            <v>468</v>
          </cell>
          <cell r="D338" t="str">
            <v>-  1/C - 300 SQ.MM. FR.</v>
          </cell>
          <cell r="E338">
            <v>1088</v>
          </cell>
          <cell r="F338">
            <v>60</v>
          </cell>
          <cell r="G338" t="str">
            <v>M.</v>
          </cell>
        </row>
        <row r="339">
          <cell r="C339">
            <v>469</v>
          </cell>
          <cell r="D339" t="str">
            <v>-  1/C - 400 SQ.MM. FR.</v>
          </cell>
          <cell r="E339">
            <v>1308</v>
          </cell>
          <cell r="F339">
            <v>70</v>
          </cell>
          <cell r="G339" t="str">
            <v>M.</v>
          </cell>
        </row>
        <row r="340">
          <cell r="C340">
            <v>470</v>
          </cell>
          <cell r="D340" t="str">
            <v>-  1/C - 500 SQ.MM. FR.</v>
          </cell>
          <cell r="E340">
            <v>1548</v>
          </cell>
          <cell r="F340">
            <v>90</v>
          </cell>
          <cell r="G340" t="str">
            <v>M.</v>
          </cell>
        </row>
        <row r="341">
          <cell r="C341">
            <v>471</v>
          </cell>
          <cell r="D341" t="str">
            <v>-  1/C - 630 SQ.MM. FR.</v>
          </cell>
          <cell r="E341">
            <v>1904</v>
          </cell>
          <cell r="F341">
            <v>105</v>
          </cell>
          <cell r="G341" t="str">
            <v>M.</v>
          </cell>
        </row>
        <row r="342">
          <cell r="C342">
            <v>472</v>
          </cell>
          <cell r="D342" t="str">
            <v>-  1/C - 2.5 SQ.MM. FR. W./SHEET</v>
          </cell>
          <cell r="E342">
            <v>44</v>
          </cell>
          <cell r="F342">
            <v>2</v>
          </cell>
          <cell r="G342" t="str">
            <v>M.</v>
          </cell>
        </row>
        <row r="343">
          <cell r="C343">
            <v>473</v>
          </cell>
          <cell r="D343" t="str">
            <v>-  1/C - 4 SQ.MM. FR. W./SHEET</v>
          </cell>
          <cell r="E343">
            <v>58</v>
          </cell>
          <cell r="F343">
            <v>3</v>
          </cell>
          <cell r="G343" t="str">
            <v>M.</v>
          </cell>
        </row>
        <row r="344">
          <cell r="C344">
            <v>474</v>
          </cell>
          <cell r="D344" t="str">
            <v>-  1/C - 6 SQ.MM. FR. W./SHEET</v>
          </cell>
          <cell r="E344">
            <v>71</v>
          </cell>
          <cell r="F344">
            <v>5</v>
          </cell>
          <cell r="G344" t="str">
            <v>M.</v>
          </cell>
        </row>
        <row r="345">
          <cell r="C345">
            <v>475</v>
          </cell>
          <cell r="D345" t="str">
            <v>-  1/C - 10 SQ.MM. FR. W./SHEET</v>
          </cell>
          <cell r="E345">
            <v>97</v>
          </cell>
          <cell r="F345">
            <v>6</v>
          </cell>
          <cell r="G345" t="str">
            <v>M.</v>
          </cell>
        </row>
        <row r="346">
          <cell r="C346">
            <v>476</v>
          </cell>
          <cell r="D346" t="str">
            <v>-  1/C - 16 SQ.MM. FR. W./SHEET</v>
          </cell>
          <cell r="E346">
            <v>112</v>
          </cell>
          <cell r="F346">
            <v>8</v>
          </cell>
          <cell r="G346" t="str">
            <v>M.</v>
          </cell>
        </row>
        <row r="347">
          <cell r="C347">
            <v>477</v>
          </cell>
          <cell r="D347" t="str">
            <v>-  1/C - 25 SQ.MM. FR. W./SHEET</v>
          </cell>
          <cell r="E347">
            <v>154</v>
          </cell>
          <cell r="F347">
            <v>11</v>
          </cell>
          <cell r="G347" t="str">
            <v>M.</v>
          </cell>
        </row>
        <row r="348">
          <cell r="C348">
            <v>478</v>
          </cell>
          <cell r="D348" t="str">
            <v>-  1/C - 35 SQ.MM. FR. W./SHEET</v>
          </cell>
          <cell r="E348">
            <v>211</v>
          </cell>
          <cell r="F348">
            <v>16</v>
          </cell>
          <cell r="G348" t="str">
            <v>M.</v>
          </cell>
        </row>
        <row r="349">
          <cell r="C349">
            <v>479</v>
          </cell>
          <cell r="D349" t="str">
            <v>-  1/C - 50 SQ.MM. FR. W./SHEET</v>
          </cell>
          <cell r="E349">
            <v>303</v>
          </cell>
          <cell r="F349">
            <v>20</v>
          </cell>
          <cell r="G349" t="str">
            <v>M.</v>
          </cell>
        </row>
        <row r="350">
          <cell r="C350">
            <v>480</v>
          </cell>
          <cell r="D350" t="str">
            <v>-  1/C - 70 SQ.MM. FR. W./SHEET</v>
          </cell>
          <cell r="E350">
            <v>389</v>
          </cell>
          <cell r="F350">
            <v>25</v>
          </cell>
          <cell r="G350" t="str">
            <v>M.</v>
          </cell>
        </row>
        <row r="351">
          <cell r="C351">
            <v>481</v>
          </cell>
          <cell r="D351" t="str">
            <v>-  1/C - 95 SQ.MM. FR. W./SHEET</v>
          </cell>
          <cell r="E351">
            <v>470</v>
          </cell>
          <cell r="F351">
            <v>30</v>
          </cell>
          <cell r="G351" t="str">
            <v>M.</v>
          </cell>
        </row>
        <row r="352">
          <cell r="C352">
            <v>482</v>
          </cell>
          <cell r="D352" t="str">
            <v>-  1/C - 120 SQ.MM. FR. W./SHEET</v>
          </cell>
          <cell r="E352">
            <v>570</v>
          </cell>
          <cell r="F352">
            <v>35</v>
          </cell>
          <cell r="G352" t="str">
            <v>M.</v>
          </cell>
        </row>
        <row r="353">
          <cell r="C353">
            <v>483</v>
          </cell>
          <cell r="D353" t="str">
            <v>-  1/C - 150 SQ.MM. FR. W./SHEET</v>
          </cell>
          <cell r="E353">
            <v>716</v>
          </cell>
          <cell r="F353">
            <v>40</v>
          </cell>
          <cell r="G353" t="str">
            <v>M.</v>
          </cell>
        </row>
        <row r="354">
          <cell r="C354">
            <v>484</v>
          </cell>
          <cell r="D354" t="str">
            <v>-  1/C - 185 SQ.MM. FR. W./SHEET</v>
          </cell>
          <cell r="E354">
            <v>835</v>
          </cell>
          <cell r="F354">
            <v>50</v>
          </cell>
          <cell r="G354" t="str">
            <v>M.</v>
          </cell>
        </row>
        <row r="355">
          <cell r="C355">
            <v>485</v>
          </cell>
          <cell r="D355" t="str">
            <v>-  1/C - 240 SQ.MM. FR. W./SHEET</v>
          </cell>
          <cell r="E355">
            <v>1051</v>
          </cell>
          <cell r="F355">
            <v>60</v>
          </cell>
          <cell r="G355" t="str">
            <v>M.</v>
          </cell>
        </row>
        <row r="356">
          <cell r="C356">
            <v>486</v>
          </cell>
          <cell r="D356" t="str">
            <v>-  1/C - 300 SQ.MM. FR. W./SHEET</v>
          </cell>
          <cell r="E356">
            <v>1390</v>
          </cell>
          <cell r="F356">
            <v>70</v>
          </cell>
          <cell r="G356" t="str">
            <v>M.</v>
          </cell>
        </row>
        <row r="357">
          <cell r="C357">
            <v>487</v>
          </cell>
          <cell r="D357" t="str">
            <v>-  1/C - 400 SQ.MM. FR. W./SHEET</v>
          </cell>
          <cell r="E357">
            <v>1679</v>
          </cell>
          <cell r="F357">
            <v>90</v>
          </cell>
          <cell r="G357" t="str">
            <v>M.</v>
          </cell>
        </row>
        <row r="358">
          <cell r="C358">
            <v>488</v>
          </cell>
          <cell r="D358" t="str">
            <v>-  1/C - 500 SQ.MM. FR. W./SHEET</v>
          </cell>
          <cell r="E358">
            <v>1818</v>
          </cell>
          <cell r="F358">
            <v>105</v>
          </cell>
          <cell r="G358" t="str">
            <v>M.</v>
          </cell>
        </row>
        <row r="359">
          <cell r="C359">
            <v>489</v>
          </cell>
          <cell r="D359" t="str">
            <v>-  1/C - 630 SQ.MM. FR. W./SHEET</v>
          </cell>
          <cell r="E359">
            <v>2183</v>
          </cell>
          <cell r="F359">
            <v>120</v>
          </cell>
          <cell r="G359" t="str">
            <v>M.</v>
          </cell>
        </row>
        <row r="360">
          <cell r="C360">
            <v>5</v>
          </cell>
          <cell r="D360" t="str">
            <v>CABLE RACEWAY</v>
          </cell>
        </row>
        <row r="361">
          <cell r="C361">
            <v>501</v>
          </cell>
          <cell r="D361" t="str">
            <v>-  DIA. 1/2" EMT</v>
          </cell>
          <cell r="E361">
            <v>23</v>
          </cell>
          <cell r="F361">
            <v>10</v>
          </cell>
          <cell r="G361" t="str">
            <v>M.</v>
          </cell>
        </row>
        <row r="362">
          <cell r="C362">
            <v>502</v>
          </cell>
          <cell r="D362" t="str">
            <v>-  DIA. 3/4" EMT</v>
          </cell>
          <cell r="E362">
            <v>34</v>
          </cell>
          <cell r="F362">
            <v>15</v>
          </cell>
          <cell r="G362" t="str">
            <v>M.</v>
          </cell>
        </row>
        <row r="363">
          <cell r="C363">
            <v>503</v>
          </cell>
          <cell r="D363" t="str">
            <v>-  DIA. 1" EMT</v>
          </cell>
          <cell r="E363">
            <v>48</v>
          </cell>
          <cell r="F363">
            <v>18</v>
          </cell>
          <cell r="G363" t="str">
            <v>M.</v>
          </cell>
        </row>
        <row r="364">
          <cell r="C364">
            <v>504</v>
          </cell>
          <cell r="D364" t="str">
            <v>-  DIA. 1 1/4" EMT</v>
          </cell>
          <cell r="E364">
            <v>79</v>
          </cell>
          <cell r="F364">
            <v>25</v>
          </cell>
          <cell r="G364" t="str">
            <v>M.</v>
          </cell>
        </row>
        <row r="365">
          <cell r="C365">
            <v>505</v>
          </cell>
          <cell r="D365" t="str">
            <v>-  DIA. 1 1/2" EMT</v>
          </cell>
          <cell r="E365">
            <v>92</v>
          </cell>
          <cell r="F365">
            <v>30</v>
          </cell>
          <cell r="G365" t="str">
            <v>M.</v>
          </cell>
        </row>
        <row r="366">
          <cell r="C366">
            <v>506</v>
          </cell>
          <cell r="D366" t="str">
            <v>-  DIA. 2" EMT</v>
          </cell>
          <cell r="E366">
            <v>114</v>
          </cell>
          <cell r="F366">
            <v>40</v>
          </cell>
          <cell r="G366" t="str">
            <v>M.</v>
          </cell>
        </row>
        <row r="367">
          <cell r="C367">
            <v>507</v>
          </cell>
          <cell r="D367" t="str">
            <v>-  DIA. 1/2" IMC</v>
          </cell>
          <cell r="E367">
            <v>45</v>
          </cell>
          <cell r="F367">
            <v>13</v>
          </cell>
          <cell r="G367" t="str">
            <v>M.</v>
          </cell>
        </row>
        <row r="368">
          <cell r="C368">
            <v>508</v>
          </cell>
          <cell r="D368" t="str">
            <v>-  DIA. 3/4" IMC</v>
          </cell>
          <cell r="E368">
            <v>61</v>
          </cell>
          <cell r="F368">
            <v>15</v>
          </cell>
          <cell r="G368" t="str">
            <v>M.</v>
          </cell>
        </row>
        <row r="369">
          <cell r="C369">
            <v>509</v>
          </cell>
          <cell r="D369" t="str">
            <v>-  DIA. 1" IMC</v>
          </cell>
          <cell r="E369">
            <v>82</v>
          </cell>
          <cell r="F369">
            <v>20</v>
          </cell>
          <cell r="G369" t="str">
            <v>M.</v>
          </cell>
        </row>
        <row r="370">
          <cell r="C370">
            <v>510</v>
          </cell>
          <cell r="D370" t="str">
            <v>-  DIA. 1 1/4" IMC</v>
          </cell>
          <cell r="E370">
            <v>105</v>
          </cell>
          <cell r="F370">
            <v>25</v>
          </cell>
          <cell r="G370" t="str">
            <v>M.</v>
          </cell>
        </row>
        <row r="371">
          <cell r="C371">
            <v>511</v>
          </cell>
          <cell r="D371" t="str">
            <v>-  DIA. 1 1/2" IMC</v>
          </cell>
          <cell r="E371">
            <v>130</v>
          </cell>
          <cell r="F371">
            <v>30</v>
          </cell>
          <cell r="G371" t="str">
            <v>M.</v>
          </cell>
        </row>
        <row r="372">
          <cell r="C372">
            <v>512</v>
          </cell>
          <cell r="D372" t="str">
            <v>-  DIA. 2" IMC</v>
          </cell>
          <cell r="E372">
            <v>174</v>
          </cell>
          <cell r="F372">
            <v>35</v>
          </cell>
          <cell r="G372" t="str">
            <v>M.</v>
          </cell>
        </row>
        <row r="373">
          <cell r="C373">
            <v>513</v>
          </cell>
          <cell r="D373" t="str">
            <v>-  DIA. 2 1/2" IMC</v>
          </cell>
          <cell r="E373">
            <v>282</v>
          </cell>
          <cell r="F373">
            <v>45</v>
          </cell>
          <cell r="G373" t="str">
            <v>M.</v>
          </cell>
        </row>
        <row r="374">
          <cell r="C374">
            <v>514</v>
          </cell>
          <cell r="D374" t="str">
            <v>-  DIA. 3" IMC</v>
          </cell>
          <cell r="E374">
            <v>342</v>
          </cell>
          <cell r="F374">
            <v>50</v>
          </cell>
          <cell r="G374" t="str">
            <v>M.</v>
          </cell>
        </row>
        <row r="375">
          <cell r="C375">
            <v>515</v>
          </cell>
          <cell r="D375" t="str">
            <v>-  DIA. 3 1/2" IMC</v>
          </cell>
          <cell r="E375">
            <v>397</v>
          </cell>
          <cell r="F375">
            <v>55</v>
          </cell>
          <cell r="G375" t="str">
            <v>M.</v>
          </cell>
        </row>
        <row r="376">
          <cell r="C376">
            <v>516</v>
          </cell>
          <cell r="D376" t="str">
            <v>-  DIA. 4" IMC</v>
          </cell>
          <cell r="E376">
            <v>433</v>
          </cell>
          <cell r="F376">
            <v>60</v>
          </cell>
          <cell r="G376" t="str">
            <v>M.</v>
          </cell>
        </row>
        <row r="377">
          <cell r="C377">
            <v>517</v>
          </cell>
          <cell r="D377" t="str">
            <v>-  DIA. 5" IMC</v>
          </cell>
          <cell r="E377">
            <v>747</v>
          </cell>
          <cell r="F377">
            <v>70</v>
          </cell>
          <cell r="G377" t="str">
            <v>M.</v>
          </cell>
        </row>
        <row r="378">
          <cell r="C378">
            <v>518</v>
          </cell>
          <cell r="D378" t="str">
            <v>-  DIA. 1/2" RSC</v>
          </cell>
          <cell r="E378">
            <v>64</v>
          </cell>
          <cell r="F378">
            <v>15</v>
          </cell>
          <cell r="G378" t="str">
            <v>M.</v>
          </cell>
        </row>
        <row r="379">
          <cell r="C379">
            <v>519</v>
          </cell>
          <cell r="D379" t="str">
            <v>-  DIA. 3/4" RSC</v>
          </cell>
          <cell r="E379">
            <v>82</v>
          </cell>
          <cell r="F379">
            <v>20</v>
          </cell>
          <cell r="G379" t="str">
            <v>M.</v>
          </cell>
        </row>
        <row r="380">
          <cell r="C380">
            <v>520</v>
          </cell>
          <cell r="D380" t="str">
            <v>-  DIA. 1" RSC</v>
          </cell>
          <cell r="E380">
            <v>120</v>
          </cell>
          <cell r="F380">
            <v>25</v>
          </cell>
          <cell r="G380" t="str">
            <v>M.</v>
          </cell>
        </row>
        <row r="381">
          <cell r="C381">
            <v>521</v>
          </cell>
          <cell r="D381" t="str">
            <v>-  DIA. 1 1/4" RSC</v>
          </cell>
          <cell r="E381">
            <v>153</v>
          </cell>
          <cell r="F381">
            <v>35</v>
          </cell>
          <cell r="G381" t="str">
            <v>M.</v>
          </cell>
        </row>
        <row r="382">
          <cell r="C382">
            <v>522</v>
          </cell>
          <cell r="D382" t="str">
            <v>-  DIA. 1 1/2" RSC</v>
          </cell>
          <cell r="E382">
            <v>182</v>
          </cell>
          <cell r="F382">
            <v>45</v>
          </cell>
          <cell r="G382" t="str">
            <v>M.</v>
          </cell>
        </row>
        <row r="383">
          <cell r="C383">
            <v>523</v>
          </cell>
          <cell r="D383" t="str">
            <v>-  DIA. 2" RSC</v>
          </cell>
          <cell r="E383">
            <v>243</v>
          </cell>
          <cell r="F383">
            <v>55</v>
          </cell>
          <cell r="G383" t="str">
            <v>M.</v>
          </cell>
        </row>
        <row r="384">
          <cell r="C384">
            <v>524</v>
          </cell>
          <cell r="D384" t="str">
            <v>-  DIA. 2 1/2" RSC</v>
          </cell>
          <cell r="E384">
            <v>373</v>
          </cell>
          <cell r="F384">
            <v>80</v>
          </cell>
          <cell r="G384" t="str">
            <v>M.</v>
          </cell>
        </row>
        <row r="385">
          <cell r="C385">
            <v>525</v>
          </cell>
          <cell r="D385" t="str">
            <v>-  DIA. 3" RSC</v>
          </cell>
          <cell r="E385">
            <v>480</v>
          </cell>
          <cell r="F385">
            <v>90</v>
          </cell>
          <cell r="G385" t="str">
            <v>M.</v>
          </cell>
        </row>
        <row r="386">
          <cell r="C386">
            <v>526</v>
          </cell>
          <cell r="D386" t="str">
            <v>-  DIA. 3 1/2" RSC</v>
          </cell>
          <cell r="E386">
            <v>606</v>
          </cell>
          <cell r="F386">
            <v>100</v>
          </cell>
          <cell r="G386" t="str">
            <v>M.</v>
          </cell>
        </row>
        <row r="387">
          <cell r="C387">
            <v>527</v>
          </cell>
          <cell r="D387" t="str">
            <v>-  DIA. 4" RSC</v>
          </cell>
          <cell r="E387">
            <v>706</v>
          </cell>
          <cell r="F387">
            <v>125</v>
          </cell>
          <cell r="G387" t="str">
            <v>M.</v>
          </cell>
        </row>
        <row r="388">
          <cell r="C388">
            <v>528</v>
          </cell>
          <cell r="D388" t="str">
            <v>-  DIA. 5" RSC</v>
          </cell>
          <cell r="E388">
            <v>1016</v>
          </cell>
          <cell r="F388">
            <v>140</v>
          </cell>
          <cell r="G388" t="str">
            <v>M.</v>
          </cell>
        </row>
        <row r="389">
          <cell r="D389" t="str">
            <v>SPACE</v>
          </cell>
        </row>
        <row r="390">
          <cell r="C390">
            <v>530</v>
          </cell>
          <cell r="D390" t="str">
            <v>-  DIA. 25 MM. HDPE-PN4</v>
          </cell>
          <cell r="E390">
            <v>20</v>
          </cell>
          <cell r="F390">
            <v>10</v>
          </cell>
          <cell r="G390" t="str">
            <v>M.</v>
          </cell>
        </row>
        <row r="391">
          <cell r="C391">
            <v>531</v>
          </cell>
          <cell r="D391" t="str">
            <v>-  DIA. 32 MM. HDPE-PN4</v>
          </cell>
          <cell r="E391">
            <v>25</v>
          </cell>
          <cell r="F391">
            <v>15</v>
          </cell>
          <cell r="G391" t="str">
            <v>M.</v>
          </cell>
        </row>
        <row r="392">
          <cell r="C392">
            <v>532</v>
          </cell>
          <cell r="D392" t="str">
            <v>-  DIA. 40 MM. HDPE-PN4</v>
          </cell>
          <cell r="E392">
            <v>34</v>
          </cell>
          <cell r="F392">
            <v>18</v>
          </cell>
          <cell r="G392" t="str">
            <v>M.</v>
          </cell>
        </row>
        <row r="393">
          <cell r="C393">
            <v>533</v>
          </cell>
          <cell r="D393" t="str">
            <v>-  DIA. 50 MM. HDPE-PN4</v>
          </cell>
          <cell r="E393">
            <v>38</v>
          </cell>
          <cell r="F393">
            <v>25</v>
          </cell>
          <cell r="G393" t="str">
            <v>M.</v>
          </cell>
        </row>
        <row r="394">
          <cell r="C394">
            <v>534</v>
          </cell>
          <cell r="D394" t="str">
            <v>-  DIA. 63 MM. HDPE-PN4</v>
          </cell>
          <cell r="E394">
            <v>56</v>
          </cell>
          <cell r="F394">
            <v>30</v>
          </cell>
          <cell r="G394" t="str">
            <v>M.</v>
          </cell>
        </row>
        <row r="395">
          <cell r="C395">
            <v>535</v>
          </cell>
          <cell r="D395" t="str">
            <v>-  DIA. 75 MM. HDPE-PN4</v>
          </cell>
          <cell r="E395">
            <v>81</v>
          </cell>
          <cell r="F395">
            <v>40</v>
          </cell>
          <cell r="G395" t="str">
            <v>M.</v>
          </cell>
        </row>
        <row r="396">
          <cell r="C396">
            <v>536</v>
          </cell>
          <cell r="D396" t="str">
            <v>-  DIA. 90 MM. HDPE-PN4</v>
          </cell>
          <cell r="E396">
            <v>116</v>
          </cell>
          <cell r="F396">
            <v>47</v>
          </cell>
          <cell r="G396" t="str">
            <v>M.</v>
          </cell>
        </row>
        <row r="397">
          <cell r="C397">
            <v>537</v>
          </cell>
          <cell r="D397" t="str">
            <v>-  DIA. 110 MM. HDPE-PN4</v>
          </cell>
          <cell r="E397">
            <v>170</v>
          </cell>
          <cell r="F397">
            <v>55</v>
          </cell>
          <cell r="G397" t="str">
            <v>M.</v>
          </cell>
        </row>
        <row r="398">
          <cell r="C398">
            <v>538</v>
          </cell>
          <cell r="D398" t="str">
            <v>-  DIA. 125 MM. HDPE-PN4</v>
          </cell>
          <cell r="E398">
            <v>220</v>
          </cell>
          <cell r="F398">
            <v>65</v>
          </cell>
          <cell r="G398" t="str">
            <v>M.</v>
          </cell>
        </row>
        <row r="399">
          <cell r="C399">
            <v>539</v>
          </cell>
          <cell r="D399" t="str">
            <v>-  DIA. 140 MM. HDPE-PN4</v>
          </cell>
          <cell r="E399">
            <v>278</v>
          </cell>
          <cell r="F399">
            <v>70</v>
          </cell>
          <cell r="G399" t="str">
            <v>M.</v>
          </cell>
        </row>
        <row r="400">
          <cell r="C400">
            <v>540</v>
          </cell>
          <cell r="D400" t="str">
            <v>-  DIA. 160 MM. HDPE-PN4</v>
          </cell>
          <cell r="E400">
            <v>363</v>
          </cell>
          <cell r="F400">
            <v>75</v>
          </cell>
          <cell r="G400" t="str">
            <v>M.</v>
          </cell>
        </row>
        <row r="401">
          <cell r="C401">
            <v>541</v>
          </cell>
          <cell r="D401" t="str">
            <v>-  DIA. 180 MM. HDPE-PN4</v>
          </cell>
          <cell r="E401">
            <v>462</v>
          </cell>
          <cell r="F401">
            <v>80</v>
          </cell>
          <cell r="G401" t="str">
            <v>M.</v>
          </cell>
        </row>
        <row r="402">
          <cell r="D402" t="str">
            <v>SPACE</v>
          </cell>
        </row>
        <row r="403">
          <cell r="C403">
            <v>546</v>
          </cell>
          <cell r="D403" t="str">
            <v>-  DIA. 25 MM. HDPE-PN6</v>
          </cell>
          <cell r="E403">
            <v>20</v>
          </cell>
          <cell r="F403">
            <v>10</v>
          </cell>
          <cell r="G403" t="str">
            <v>M.</v>
          </cell>
        </row>
        <row r="404">
          <cell r="C404">
            <v>547</v>
          </cell>
          <cell r="D404" t="str">
            <v>-  DIA. 32 MM. HDPE-PN6</v>
          </cell>
          <cell r="E404">
            <v>25</v>
          </cell>
          <cell r="F404">
            <v>15</v>
          </cell>
          <cell r="G404" t="str">
            <v>M.</v>
          </cell>
        </row>
        <row r="405">
          <cell r="C405">
            <v>548</v>
          </cell>
          <cell r="D405" t="str">
            <v>-  DIA. 40 MM. HDPE-PN6</v>
          </cell>
          <cell r="E405">
            <v>34</v>
          </cell>
          <cell r="F405">
            <v>18</v>
          </cell>
          <cell r="G405" t="str">
            <v>M.</v>
          </cell>
        </row>
        <row r="406">
          <cell r="C406">
            <v>549</v>
          </cell>
          <cell r="D406" t="str">
            <v>-  DIA. 50 MM. HDPE-PN6</v>
          </cell>
          <cell r="E406">
            <v>53</v>
          </cell>
          <cell r="F406">
            <v>25</v>
          </cell>
          <cell r="G406" t="str">
            <v>M.</v>
          </cell>
        </row>
        <row r="407">
          <cell r="C407">
            <v>550</v>
          </cell>
          <cell r="D407" t="str">
            <v>-  DIA. 63 MM. HDPE-PN6</v>
          </cell>
          <cell r="E407">
            <v>83</v>
          </cell>
          <cell r="F407">
            <v>30</v>
          </cell>
          <cell r="G407" t="str">
            <v>M.</v>
          </cell>
        </row>
        <row r="408">
          <cell r="C408">
            <v>551</v>
          </cell>
          <cell r="D408" t="str">
            <v>-  DIA. 75 MM. HDPE-PN6</v>
          </cell>
          <cell r="E408">
            <v>116</v>
          </cell>
          <cell r="F408">
            <v>40</v>
          </cell>
          <cell r="G408" t="str">
            <v>M.</v>
          </cell>
        </row>
        <row r="409">
          <cell r="C409">
            <v>552</v>
          </cell>
          <cell r="D409" t="str">
            <v>-  DIA. 90 MM. HDPE-PN6</v>
          </cell>
          <cell r="E409">
            <v>166</v>
          </cell>
          <cell r="F409">
            <v>47</v>
          </cell>
          <cell r="G409" t="str">
            <v>M.</v>
          </cell>
        </row>
        <row r="410">
          <cell r="C410">
            <v>553</v>
          </cell>
          <cell r="D410" t="str">
            <v>-  DIA. 110 MM. HDPE-PN6</v>
          </cell>
          <cell r="E410">
            <v>248</v>
          </cell>
          <cell r="F410">
            <v>55</v>
          </cell>
          <cell r="G410" t="str">
            <v>M.</v>
          </cell>
        </row>
        <row r="411">
          <cell r="C411">
            <v>554</v>
          </cell>
          <cell r="D411" t="str">
            <v>-  DIA. 125 MM. HDPE-PN6</v>
          </cell>
          <cell r="E411">
            <v>318</v>
          </cell>
          <cell r="F411">
            <v>65</v>
          </cell>
          <cell r="G411" t="str">
            <v>M.</v>
          </cell>
        </row>
        <row r="412">
          <cell r="C412">
            <v>555</v>
          </cell>
          <cell r="D412" t="str">
            <v>-  DIA. 140 MM. HDPE-PN6</v>
          </cell>
          <cell r="E412">
            <v>399</v>
          </cell>
          <cell r="F412">
            <v>70</v>
          </cell>
          <cell r="G412" t="str">
            <v>M.</v>
          </cell>
        </row>
        <row r="413">
          <cell r="C413">
            <v>556</v>
          </cell>
          <cell r="D413" t="str">
            <v>-  DIA. 160 MM. HDPE-PN6</v>
          </cell>
          <cell r="E413">
            <v>520</v>
          </cell>
          <cell r="F413">
            <v>75</v>
          </cell>
          <cell r="G413" t="str">
            <v>M.</v>
          </cell>
        </row>
        <row r="414">
          <cell r="C414">
            <v>557</v>
          </cell>
          <cell r="D414" t="str">
            <v>-  DIA. 180 MM. HDPE-PN6</v>
          </cell>
          <cell r="E414">
            <v>655</v>
          </cell>
          <cell r="F414">
            <v>80</v>
          </cell>
          <cell r="G414" t="str">
            <v>M.</v>
          </cell>
        </row>
        <row r="415">
          <cell r="D415" t="str">
            <v>SPACE</v>
          </cell>
        </row>
        <row r="416">
          <cell r="C416">
            <v>561</v>
          </cell>
          <cell r="D416" t="str">
            <v>-  DIA. 2" FRE</v>
          </cell>
          <cell r="E416">
            <v>380</v>
          </cell>
          <cell r="F416">
            <v>50</v>
          </cell>
          <cell r="G416" t="str">
            <v>M.</v>
          </cell>
        </row>
        <row r="417">
          <cell r="C417">
            <v>562</v>
          </cell>
          <cell r="D417" t="str">
            <v>-  DIA. 2 1/2" FRE</v>
          </cell>
          <cell r="E417">
            <v>430</v>
          </cell>
          <cell r="F417">
            <v>60</v>
          </cell>
          <cell r="G417" t="str">
            <v>M.</v>
          </cell>
        </row>
        <row r="418">
          <cell r="C418">
            <v>563</v>
          </cell>
          <cell r="D418" t="str">
            <v>-  DIA. 3" FRE</v>
          </cell>
          <cell r="E418">
            <v>490</v>
          </cell>
          <cell r="F418">
            <v>70</v>
          </cell>
          <cell r="G418" t="str">
            <v>M.</v>
          </cell>
        </row>
        <row r="419">
          <cell r="C419">
            <v>564</v>
          </cell>
          <cell r="D419" t="str">
            <v>-  DIA. 4" FRE</v>
          </cell>
          <cell r="E419">
            <v>550</v>
          </cell>
          <cell r="F419">
            <v>70</v>
          </cell>
          <cell r="G419" t="str">
            <v>M.</v>
          </cell>
        </row>
        <row r="420">
          <cell r="C420">
            <v>565</v>
          </cell>
          <cell r="D420" t="str">
            <v>-  DIA. 5" FRE</v>
          </cell>
          <cell r="E420">
            <v>830</v>
          </cell>
          <cell r="F420">
            <v>100</v>
          </cell>
          <cell r="G420" t="str">
            <v>M.</v>
          </cell>
        </row>
        <row r="421">
          <cell r="C421">
            <v>566</v>
          </cell>
          <cell r="D421" t="str">
            <v>-  DIA. 6" FRE</v>
          </cell>
          <cell r="E421">
            <v>1330</v>
          </cell>
          <cell r="F421">
            <v>150</v>
          </cell>
          <cell r="G421" t="str">
            <v>M.</v>
          </cell>
        </row>
        <row r="422">
          <cell r="D422" t="str">
            <v>SPACE</v>
          </cell>
        </row>
        <row r="423">
          <cell r="D423" t="str">
            <v>5"CONDUIT IN DUCT BANK</v>
          </cell>
        </row>
        <row r="424">
          <cell r="C424">
            <v>571</v>
          </cell>
          <cell r="D424" t="str">
            <v xml:space="preserve">-  DIA. 125 MM. HDPE-PN6 (2x1) DUCT BANK </v>
          </cell>
          <cell r="E424">
            <v>1480</v>
          </cell>
          <cell r="F424">
            <v>600</v>
          </cell>
          <cell r="G424" t="str">
            <v>M.</v>
          </cell>
        </row>
        <row r="425">
          <cell r="C425">
            <v>572</v>
          </cell>
          <cell r="D425" t="str">
            <v xml:space="preserve">-  DIA. 125 MM. HDPE-PN6 (2x2) DUCT BANK </v>
          </cell>
          <cell r="E425">
            <v>2420</v>
          </cell>
          <cell r="F425">
            <v>800</v>
          </cell>
          <cell r="G425" t="str">
            <v>M.</v>
          </cell>
        </row>
        <row r="426">
          <cell r="C426">
            <v>573</v>
          </cell>
          <cell r="D426" t="str">
            <v xml:space="preserve">-  DIA. 125 MM. HDPE-PN6 (2x3) DUCT BANK </v>
          </cell>
          <cell r="E426">
            <v>3400</v>
          </cell>
          <cell r="F426">
            <v>1000</v>
          </cell>
          <cell r="G426" t="str">
            <v>M.</v>
          </cell>
        </row>
        <row r="427">
          <cell r="D427" t="str">
            <v>SPACE</v>
          </cell>
        </row>
        <row r="428">
          <cell r="C428">
            <v>576</v>
          </cell>
          <cell r="D428" t="str">
            <v xml:space="preserve">-  DIA. 5" FRE (2x1) CONDUIT </v>
          </cell>
          <cell r="E428">
            <v>1480</v>
          </cell>
          <cell r="F428">
            <v>300</v>
          </cell>
          <cell r="G428" t="str">
            <v>M.</v>
          </cell>
        </row>
        <row r="429">
          <cell r="C429">
            <v>577</v>
          </cell>
          <cell r="D429" t="str">
            <v xml:space="preserve">-  DIA. 5" FRE (2x2) CONDUIT </v>
          </cell>
          <cell r="E429">
            <v>2830</v>
          </cell>
          <cell r="F429">
            <v>400</v>
          </cell>
          <cell r="G429" t="str">
            <v>M.</v>
          </cell>
        </row>
        <row r="430">
          <cell r="C430">
            <v>578</v>
          </cell>
          <cell r="D430" t="str">
            <v xml:space="preserve">-  DIA. 5" FRE (2x3) CONDUIT </v>
          </cell>
          <cell r="E430">
            <v>3970</v>
          </cell>
          <cell r="F430">
            <v>600</v>
          </cell>
          <cell r="G430" t="str">
            <v>M.</v>
          </cell>
        </row>
        <row r="431">
          <cell r="D431" t="str">
            <v>SPACE</v>
          </cell>
        </row>
        <row r="432">
          <cell r="C432">
            <v>591</v>
          </cell>
          <cell r="D432" t="str">
            <v>-  DIA. 1/2" PVC-CLASS2</v>
          </cell>
          <cell r="E432">
            <v>11</v>
          </cell>
          <cell r="F432">
            <v>5</v>
          </cell>
          <cell r="G432" t="str">
            <v>M.</v>
          </cell>
        </row>
        <row r="433">
          <cell r="C433">
            <v>592</v>
          </cell>
          <cell r="D433" t="str">
            <v>-  DIA. 3/4" PVC-CLASS2</v>
          </cell>
          <cell r="E433">
            <v>13</v>
          </cell>
          <cell r="F433">
            <v>8</v>
          </cell>
          <cell r="G433" t="str">
            <v>M.</v>
          </cell>
        </row>
        <row r="434">
          <cell r="C434">
            <v>593</v>
          </cell>
          <cell r="D434" t="str">
            <v>-  DIA. 1" PVC-CLASS2</v>
          </cell>
          <cell r="E434">
            <v>24</v>
          </cell>
          <cell r="F434">
            <v>12</v>
          </cell>
          <cell r="G434" t="str">
            <v>M.</v>
          </cell>
        </row>
        <row r="435">
          <cell r="C435">
            <v>594</v>
          </cell>
          <cell r="D435" t="str">
            <v>-  DIA. 1 1/4" PVC-CLASS2</v>
          </cell>
          <cell r="E435">
            <v>34</v>
          </cell>
          <cell r="F435">
            <v>18</v>
          </cell>
          <cell r="G435" t="str">
            <v>M.</v>
          </cell>
        </row>
        <row r="436">
          <cell r="C436">
            <v>595</v>
          </cell>
          <cell r="D436" t="str">
            <v>-  DIA. 1 1/2" PVC-CLASS2</v>
          </cell>
          <cell r="E436">
            <v>44</v>
          </cell>
          <cell r="F436">
            <v>20</v>
          </cell>
          <cell r="G436" t="str">
            <v>M.</v>
          </cell>
        </row>
        <row r="437">
          <cell r="C437">
            <v>596</v>
          </cell>
          <cell r="D437" t="str">
            <v>-  DIA. 2" PVC-CLASS2</v>
          </cell>
          <cell r="E437">
            <v>62</v>
          </cell>
          <cell r="F437">
            <v>24</v>
          </cell>
          <cell r="G437" t="str">
            <v>M.</v>
          </cell>
        </row>
        <row r="438">
          <cell r="C438">
            <v>597</v>
          </cell>
          <cell r="D438" t="str">
            <v>-  DIA. 2 1/2" PVC-CLASS3</v>
          </cell>
          <cell r="E438">
            <v>80</v>
          </cell>
          <cell r="F438">
            <v>30</v>
          </cell>
          <cell r="G438" t="str">
            <v>M.</v>
          </cell>
        </row>
        <row r="439">
          <cell r="C439">
            <v>598</v>
          </cell>
          <cell r="D439" t="str">
            <v>-  DIA. 3" PVC-CLASS2</v>
          </cell>
          <cell r="E439">
            <v>126</v>
          </cell>
          <cell r="F439">
            <v>35</v>
          </cell>
          <cell r="G439" t="str">
            <v>M.</v>
          </cell>
        </row>
        <row r="440">
          <cell r="C440">
            <v>599</v>
          </cell>
          <cell r="D440" t="str">
            <v>-  DIA. 4" PVC-CLASS2</v>
          </cell>
          <cell r="E440">
            <v>192</v>
          </cell>
          <cell r="F440">
            <v>40</v>
          </cell>
          <cell r="G440" t="str">
            <v>M.</v>
          </cell>
        </row>
        <row r="441">
          <cell r="D441" t="str">
            <v>SPACE</v>
          </cell>
        </row>
        <row r="442">
          <cell r="C442">
            <v>6</v>
          </cell>
          <cell r="D442" t="str">
            <v>WIRE WAY (1.6 mm.THICK)</v>
          </cell>
        </row>
        <row r="443">
          <cell r="C443">
            <v>601</v>
          </cell>
          <cell r="D443" t="str">
            <v>-  50 mm.x50 mm. WIRE WAY</v>
          </cell>
          <cell r="E443">
            <v>192</v>
          </cell>
          <cell r="F443">
            <v>11</v>
          </cell>
          <cell r="G443" t="str">
            <v>M.</v>
          </cell>
        </row>
        <row r="444">
          <cell r="C444">
            <v>602</v>
          </cell>
          <cell r="D444" t="str">
            <v>-  50 mm.x75 mm. WIRE WAY</v>
          </cell>
          <cell r="E444">
            <v>230</v>
          </cell>
          <cell r="F444">
            <v>14</v>
          </cell>
          <cell r="G444" t="str">
            <v>M.</v>
          </cell>
        </row>
        <row r="445">
          <cell r="C445">
            <v>603</v>
          </cell>
          <cell r="D445" t="str">
            <v>-  50 mm.x100 mm. WIRE WAY</v>
          </cell>
          <cell r="E445">
            <v>263</v>
          </cell>
          <cell r="F445">
            <v>17</v>
          </cell>
          <cell r="G445" t="str">
            <v>M.</v>
          </cell>
        </row>
        <row r="446">
          <cell r="C446">
            <v>604</v>
          </cell>
          <cell r="D446" t="str">
            <v>-  50 mm.x125 mm. WIRE WAY</v>
          </cell>
          <cell r="E446">
            <v>300</v>
          </cell>
          <cell r="F446">
            <v>20</v>
          </cell>
          <cell r="G446" t="str">
            <v>M.</v>
          </cell>
        </row>
        <row r="447">
          <cell r="C447">
            <v>605</v>
          </cell>
          <cell r="D447" t="str">
            <v>-  50 mm.x150 mm. WIRE WAY</v>
          </cell>
          <cell r="E447">
            <v>340</v>
          </cell>
          <cell r="F447">
            <v>23</v>
          </cell>
          <cell r="G447" t="str">
            <v>M.</v>
          </cell>
        </row>
        <row r="448">
          <cell r="C448">
            <v>606</v>
          </cell>
          <cell r="D448" t="str">
            <v>-  50 mm.x200 mm. WIRE WAY</v>
          </cell>
          <cell r="E448">
            <v>400</v>
          </cell>
          <cell r="F448">
            <v>26</v>
          </cell>
          <cell r="G448" t="str">
            <v>M.</v>
          </cell>
        </row>
        <row r="449">
          <cell r="C449">
            <v>607</v>
          </cell>
          <cell r="D449" t="str">
            <v>-  50 mm.x250 mm. WIRE WAY</v>
          </cell>
          <cell r="E449">
            <v>483</v>
          </cell>
          <cell r="F449">
            <v>29</v>
          </cell>
          <cell r="G449" t="str">
            <v>M.</v>
          </cell>
        </row>
        <row r="450">
          <cell r="C450">
            <v>608</v>
          </cell>
          <cell r="D450" t="str">
            <v>-  75 mm.x100 mm. WIRE WAY</v>
          </cell>
          <cell r="E450">
            <v>300</v>
          </cell>
          <cell r="F450">
            <v>20</v>
          </cell>
          <cell r="G450" t="str">
            <v>M.</v>
          </cell>
        </row>
        <row r="451">
          <cell r="C451">
            <v>609</v>
          </cell>
          <cell r="D451" t="str">
            <v>-  75 mm.x150 mm. WIRE WAY</v>
          </cell>
          <cell r="E451">
            <v>375</v>
          </cell>
          <cell r="F451">
            <v>25</v>
          </cell>
          <cell r="G451" t="str">
            <v>M.</v>
          </cell>
        </row>
        <row r="452">
          <cell r="C452">
            <v>610</v>
          </cell>
          <cell r="D452" t="str">
            <v>-  75 mm.x200 mm. WIRE WAY</v>
          </cell>
          <cell r="E452">
            <v>446</v>
          </cell>
          <cell r="F452">
            <v>28</v>
          </cell>
          <cell r="G452" t="str">
            <v>M.</v>
          </cell>
        </row>
        <row r="453">
          <cell r="C453">
            <v>611</v>
          </cell>
          <cell r="D453" t="str">
            <v>-  75 mm.x250 mm. WIRE WAY</v>
          </cell>
          <cell r="E453">
            <v>520</v>
          </cell>
          <cell r="F453">
            <v>32</v>
          </cell>
          <cell r="G453" t="str">
            <v>M.</v>
          </cell>
        </row>
        <row r="454">
          <cell r="C454">
            <v>612</v>
          </cell>
          <cell r="D454" t="str">
            <v>-  75 mm.x300 mm. WIRE WAY</v>
          </cell>
          <cell r="E454">
            <v>590</v>
          </cell>
          <cell r="F454">
            <v>35</v>
          </cell>
          <cell r="G454" t="str">
            <v>M.</v>
          </cell>
        </row>
        <row r="455">
          <cell r="C455">
            <v>613</v>
          </cell>
          <cell r="D455" t="str">
            <v>-  100 mm.x100 mm. WIRE WAY</v>
          </cell>
          <cell r="E455">
            <v>340</v>
          </cell>
          <cell r="F455">
            <v>23</v>
          </cell>
          <cell r="G455" t="str">
            <v>M.</v>
          </cell>
        </row>
        <row r="456">
          <cell r="C456">
            <v>614</v>
          </cell>
          <cell r="D456" t="str">
            <v>-  100 mm.x150 mm. WIRE WAY</v>
          </cell>
          <cell r="E456">
            <v>400</v>
          </cell>
          <cell r="F456">
            <v>26</v>
          </cell>
          <cell r="G456" t="str">
            <v>M.</v>
          </cell>
        </row>
        <row r="457">
          <cell r="C457">
            <v>615</v>
          </cell>
          <cell r="D457" t="str">
            <v>-  100 mm.x200 mm. WIRE WAY</v>
          </cell>
          <cell r="E457">
            <v>483</v>
          </cell>
          <cell r="F457">
            <v>29</v>
          </cell>
          <cell r="G457" t="str">
            <v>M.</v>
          </cell>
        </row>
        <row r="458">
          <cell r="C458">
            <v>616</v>
          </cell>
          <cell r="D458" t="str">
            <v>-  100 mm.x250 mm. WIRE WAY</v>
          </cell>
          <cell r="E458">
            <v>550</v>
          </cell>
          <cell r="F458">
            <v>34</v>
          </cell>
          <cell r="G458" t="str">
            <v>M.</v>
          </cell>
        </row>
        <row r="459">
          <cell r="C459">
            <v>617</v>
          </cell>
          <cell r="D459" t="str">
            <v>-  100 mm.x300 mm. WIRE WAY</v>
          </cell>
          <cell r="E459">
            <v>630</v>
          </cell>
          <cell r="F459">
            <v>37</v>
          </cell>
          <cell r="G459" t="str">
            <v>M.</v>
          </cell>
        </row>
        <row r="460">
          <cell r="C460">
            <v>618</v>
          </cell>
          <cell r="D460" t="str">
            <v>-  100 mm.x350 mm. WIRE WAY</v>
          </cell>
          <cell r="E460">
            <v>700</v>
          </cell>
          <cell r="F460">
            <v>40</v>
          </cell>
          <cell r="G460" t="str">
            <v>M.</v>
          </cell>
        </row>
        <row r="461">
          <cell r="C461">
            <v>619</v>
          </cell>
          <cell r="D461" t="str">
            <v>-  150 mm.x150 mm. WIRE WAY</v>
          </cell>
          <cell r="E461">
            <v>483</v>
          </cell>
          <cell r="F461">
            <v>29</v>
          </cell>
          <cell r="G461" t="str">
            <v>M.</v>
          </cell>
        </row>
        <row r="462">
          <cell r="C462">
            <v>620</v>
          </cell>
          <cell r="D462" t="str">
            <v>-  150 mm.x200 mm. WIRE WAY</v>
          </cell>
          <cell r="E462">
            <v>550</v>
          </cell>
          <cell r="F462">
            <v>34</v>
          </cell>
          <cell r="G462" t="str">
            <v>M.</v>
          </cell>
        </row>
        <row r="463">
          <cell r="C463">
            <v>621</v>
          </cell>
          <cell r="D463" t="str">
            <v>-  150 mm.x250 mm. WIRE WAY</v>
          </cell>
          <cell r="E463">
            <v>630</v>
          </cell>
          <cell r="F463">
            <v>37</v>
          </cell>
          <cell r="G463" t="str">
            <v>M.</v>
          </cell>
        </row>
        <row r="464">
          <cell r="C464">
            <v>622</v>
          </cell>
          <cell r="D464" t="str">
            <v>-  150 mm.x300 mm. WIRE WAY</v>
          </cell>
          <cell r="E464">
            <v>700</v>
          </cell>
          <cell r="F464">
            <v>40</v>
          </cell>
          <cell r="G464" t="str">
            <v>M.</v>
          </cell>
        </row>
        <row r="465">
          <cell r="C465">
            <v>623</v>
          </cell>
          <cell r="D465" t="str">
            <v>-  150 mm.x350 mm. WIRE WAY</v>
          </cell>
          <cell r="E465">
            <v>775</v>
          </cell>
          <cell r="F465">
            <v>45</v>
          </cell>
          <cell r="G465" t="str">
            <v>M.</v>
          </cell>
        </row>
        <row r="466">
          <cell r="C466">
            <v>624</v>
          </cell>
          <cell r="D466" t="str">
            <v>-  150 mm.x400 mm. WIRE WAY</v>
          </cell>
          <cell r="E466">
            <v>846</v>
          </cell>
          <cell r="F466">
            <v>48</v>
          </cell>
          <cell r="G466" t="str">
            <v>M.</v>
          </cell>
        </row>
        <row r="467">
          <cell r="C467">
            <v>625</v>
          </cell>
          <cell r="D467" t="str">
            <v>-  200 mm.x200 mm. WIRE WAY</v>
          </cell>
          <cell r="E467">
            <v>500</v>
          </cell>
          <cell r="F467">
            <v>31</v>
          </cell>
          <cell r="G467" t="str">
            <v>M.</v>
          </cell>
        </row>
        <row r="468">
          <cell r="C468">
            <v>626</v>
          </cell>
          <cell r="D468" t="str">
            <v>-  200 mm.x250 mm. WIRE WAY</v>
          </cell>
          <cell r="E468">
            <v>575</v>
          </cell>
          <cell r="F468">
            <v>35</v>
          </cell>
          <cell r="G468" t="str">
            <v>M.</v>
          </cell>
        </row>
        <row r="469">
          <cell r="C469">
            <v>627</v>
          </cell>
          <cell r="D469" t="str">
            <v>-  200 mm.x300 mm. WIRE WAY</v>
          </cell>
          <cell r="E469">
            <v>775</v>
          </cell>
          <cell r="F469">
            <v>45</v>
          </cell>
          <cell r="G469" t="str">
            <v>M.</v>
          </cell>
        </row>
        <row r="470">
          <cell r="C470">
            <v>628</v>
          </cell>
          <cell r="D470" t="str">
            <v>-  200 mm.x350 mm. WIRE WAY</v>
          </cell>
          <cell r="E470">
            <v>846</v>
          </cell>
          <cell r="F470">
            <v>48</v>
          </cell>
          <cell r="G470" t="str">
            <v>M.</v>
          </cell>
        </row>
        <row r="471">
          <cell r="C471">
            <v>629</v>
          </cell>
          <cell r="D471" t="str">
            <v>-  200 mm.x400 mm. WIRE WAY</v>
          </cell>
          <cell r="E471">
            <v>920</v>
          </cell>
          <cell r="F471">
            <v>53</v>
          </cell>
          <cell r="G471" t="str">
            <v>M.</v>
          </cell>
        </row>
        <row r="472">
          <cell r="C472">
            <v>630</v>
          </cell>
          <cell r="D472" t="str">
            <v>-  200 mm.x450 mm. WIRE WAY</v>
          </cell>
          <cell r="E472">
            <v>990</v>
          </cell>
          <cell r="F472">
            <v>56</v>
          </cell>
          <cell r="G472" t="str">
            <v>M.</v>
          </cell>
        </row>
        <row r="473">
          <cell r="C473">
            <v>631</v>
          </cell>
          <cell r="D473" t="str">
            <v>-  250 mm.x250 mm. WIRE WAY</v>
          </cell>
          <cell r="E473">
            <v>775</v>
          </cell>
          <cell r="F473">
            <v>45</v>
          </cell>
          <cell r="G473" t="str">
            <v>M.</v>
          </cell>
        </row>
        <row r="474">
          <cell r="C474">
            <v>632</v>
          </cell>
          <cell r="D474" t="str">
            <v>-  250 mm.x300 mm. WIRE WAY</v>
          </cell>
          <cell r="E474">
            <v>846</v>
          </cell>
          <cell r="F474">
            <v>48</v>
          </cell>
          <cell r="G474" t="str">
            <v>M.</v>
          </cell>
        </row>
        <row r="475">
          <cell r="C475">
            <v>633</v>
          </cell>
          <cell r="D475" t="str">
            <v>-  250 mm.x350 mm. WIRE WAY</v>
          </cell>
          <cell r="E475">
            <v>920</v>
          </cell>
          <cell r="F475">
            <v>53</v>
          </cell>
          <cell r="G475" t="str">
            <v>M.</v>
          </cell>
        </row>
        <row r="476">
          <cell r="C476">
            <v>634</v>
          </cell>
          <cell r="D476" t="str">
            <v>-  250 mm.x400 mm. WIRE WAY</v>
          </cell>
          <cell r="E476">
            <v>990</v>
          </cell>
          <cell r="F476">
            <v>56</v>
          </cell>
          <cell r="G476" t="str">
            <v>M.</v>
          </cell>
        </row>
        <row r="477">
          <cell r="C477">
            <v>635</v>
          </cell>
          <cell r="D477" t="str">
            <v>-  250 mm.x450 mm. WIRE WAY</v>
          </cell>
          <cell r="E477">
            <v>1066</v>
          </cell>
          <cell r="F477">
            <v>60</v>
          </cell>
          <cell r="G477" t="str">
            <v>M.</v>
          </cell>
        </row>
        <row r="478">
          <cell r="C478">
            <v>636</v>
          </cell>
          <cell r="D478" t="str">
            <v>-  250 mm.x500 mm. WIRE WAY</v>
          </cell>
          <cell r="E478">
            <v>1138</v>
          </cell>
          <cell r="F478">
            <v>64</v>
          </cell>
          <cell r="G478" t="str">
            <v>M.</v>
          </cell>
        </row>
        <row r="479">
          <cell r="C479">
            <v>637</v>
          </cell>
          <cell r="D479" t="str">
            <v>-  250 mm.x550 mm. WIRE WAY</v>
          </cell>
          <cell r="E479">
            <v>1213</v>
          </cell>
          <cell r="F479">
            <v>70</v>
          </cell>
          <cell r="G479" t="str">
            <v>M.</v>
          </cell>
        </row>
        <row r="480">
          <cell r="D480" t="str">
            <v/>
          </cell>
        </row>
        <row r="481">
          <cell r="C481">
            <v>64</v>
          </cell>
          <cell r="D481" t="str">
            <v>CABLE TRAY ; ( 2.0 mm. THICK)</v>
          </cell>
        </row>
        <row r="482">
          <cell r="C482">
            <v>641</v>
          </cell>
          <cell r="D482" t="str">
            <v>-  100 mm. CABLE TRAY</v>
          </cell>
          <cell r="E482">
            <v>423</v>
          </cell>
          <cell r="F482">
            <v>29</v>
          </cell>
          <cell r="G482" t="str">
            <v>M.</v>
          </cell>
        </row>
        <row r="483">
          <cell r="C483">
            <v>642</v>
          </cell>
          <cell r="D483" t="str">
            <v>-  200 mm. CABLE TRAY</v>
          </cell>
          <cell r="E483">
            <v>533</v>
          </cell>
          <cell r="F483">
            <v>32</v>
          </cell>
          <cell r="G483" t="str">
            <v>M.</v>
          </cell>
        </row>
        <row r="484">
          <cell r="C484">
            <v>643</v>
          </cell>
          <cell r="D484" t="str">
            <v>-  300 mm. CABLE TRAY</v>
          </cell>
          <cell r="E484">
            <v>640</v>
          </cell>
          <cell r="F484">
            <v>35</v>
          </cell>
          <cell r="G484" t="str">
            <v>M.</v>
          </cell>
        </row>
        <row r="485">
          <cell r="C485">
            <v>644</v>
          </cell>
          <cell r="D485" t="str">
            <v>-  400 mm. CABLE TRAY</v>
          </cell>
          <cell r="E485">
            <v>747</v>
          </cell>
          <cell r="F485">
            <v>42</v>
          </cell>
          <cell r="G485" t="str">
            <v>M.</v>
          </cell>
        </row>
        <row r="486">
          <cell r="C486">
            <v>645</v>
          </cell>
          <cell r="D486" t="str">
            <v>-  500 mm. CABLE TRAY</v>
          </cell>
          <cell r="E486">
            <v>877</v>
          </cell>
          <cell r="F486">
            <v>50</v>
          </cell>
          <cell r="G486" t="str">
            <v>M.</v>
          </cell>
        </row>
        <row r="487">
          <cell r="C487">
            <v>646</v>
          </cell>
          <cell r="D487" t="str">
            <v>-  600 mm. CABLE TRAY</v>
          </cell>
          <cell r="E487">
            <v>986</v>
          </cell>
          <cell r="F487">
            <v>55</v>
          </cell>
          <cell r="G487" t="str">
            <v>M.</v>
          </cell>
        </row>
        <row r="488">
          <cell r="C488">
            <v>647</v>
          </cell>
          <cell r="D488" t="str">
            <v>-  700 mm. CABLE TRAY</v>
          </cell>
          <cell r="E488">
            <v>1094</v>
          </cell>
          <cell r="F488">
            <v>61</v>
          </cell>
          <cell r="G488" t="str">
            <v>M.</v>
          </cell>
        </row>
        <row r="489">
          <cell r="C489">
            <v>648</v>
          </cell>
          <cell r="D489" t="str">
            <v>-  800 mm. CABLE TRAY</v>
          </cell>
          <cell r="E489">
            <v>1200</v>
          </cell>
          <cell r="F489">
            <v>70</v>
          </cell>
          <cell r="G489" t="str">
            <v>M.</v>
          </cell>
        </row>
        <row r="490">
          <cell r="C490">
            <v>649</v>
          </cell>
          <cell r="D490" t="str">
            <v>-  900 mm. CABLE TRAY</v>
          </cell>
          <cell r="E490">
            <v>1320</v>
          </cell>
          <cell r="F490">
            <v>78</v>
          </cell>
          <cell r="G490" t="str">
            <v>M.</v>
          </cell>
        </row>
        <row r="491">
          <cell r="C491">
            <v>650</v>
          </cell>
          <cell r="D491" t="str">
            <v>-  1,000 mm. CABLE TRAY</v>
          </cell>
          <cell r="E491">
            <v>1440</v>
          </cell>
          <cell r="F491">
            <v>82</v>
          </cell>
          <cell r="G491" t="str">
            <v>M.</v>
          </cell>
        </row>
        <row r="492">
          <cell r="C492">
            <v>65</v>
          </cell>
          <cell r="D492" t="str">
            <v>CABLE LADDER ; ( 2.0 mm. THICK)</v>
          </cell>
        </row>
        <row r="493">
          <cell r="C493">
            <v>651</v>
          </cell>
          <cell r="D493" t="str">
            <v>-  100 mm. CABLE LADDER</v>
          </cell>
          <cell r="E493">
            <v>563</v>
          </cell>
          <cell r="F493">
            <v>34</v>
          </cell>
          <cell r="G493" t="str">
            <v>M.</v>
          </cell>
        </row>
        <row r="494">
          <cell r="C494">
            <v>652</v>
          </cell>
          <cell r="D494" t="str">
            <v>-  200 mm. CABLE LADDER</v>
          </cell>
          <cell r="E494">
            <v>600</v>
          </cell>
          <cell r="F494">
            <v>36</v>
          </cell>
          <cell r="G494" t="str">
            <v>M.</v>
          </cell>
        </row>
        <row r="495">
          <cell r="C495">
            <v>653</v>
          </cell>
          <cell r="D495" t="str">
            <v>-  300 mm. CABLE LADDER</v>
          </cell>
          <cell r="E495">
            <v>650</v>
          </cell>
          <cell r="F495">
            <v>39</v>
          </cell>
          <cell r="G495" t="str">
            <v>M.</v>
          </cell>
        </row>
        <row r="496">
          <cell r="C496">
            <v>654</v>
          </cell>
          <cell r="D496" t="str">
            <v>-  400 mm. CABLE LADDER</v>
          </cell>
          <cell r="E496">
            <v>690</v>
          </cell>
          <cell r="F496">
            <v>41</v>
          </cell>
          <cell r="G496" t="str">
            <v>M.</v>
          </cell>
        </row>
        <row r="497">
          <cell r="C497">
            <v>655</v>
          </cell>
          <cell r="D497" t="str">
            <v>-  500 mm. CABLE LADDER</v>
          </cell>
          <cell r="E497">
            <v>740</v>
          </cell>
          <cell r="F497">
            <v>43</v>
          </cell>
          <cell r="G497" t="str">
            <v>M.</v>
          </cell>
        </row>
        <row r="498">
          <cell r="C498">
            <v>656</v>
          </cell>
          <cell r="D498" t="str">
            <v>-  600 mm. CABLE LADDER</v>
          </cell>
          <cell r="E498">
            <v>785</v>
          </cell>
          <cell r="F498">
            <v>45</v>
          </cell>
          <cell r="G498" t="str">
            <v>M.</v>
          </cell>
        </row>
        <row r="499">
          <cell r="C499">
            <v>657</v>
          </cell>
          <cell r="D499" t="str">
            <v>-  700 mm. CABLE LADDER</v>
          </cell>
          <cell r="E499">
            <v>830</v>
          </cell>
          <cell r="F499">
            <v>48</v>
          </cell>
          <cell r="G499" t="str">
            <v>M.</v>
          </cell>
        </row>
        <row r="500">
          <cell r="C500">
            <v>658</v>
          </cell>
          <cell r="D500" t="str">
            <v>-  800 mm. CABLE LADDER</v>
          </cell>
          <cell r="E500">
            <v>877</v>
          </cell>
          <cell r="F500">
            <v>50</v>
          </cell>
          <cell r="G500" t="str">
            <v>M.</v>
          </cell>
        </row>
        <row r="501">
          <cell r="C501">
            <v>659</v>
          </cell>
          <cell r="D501" t="str">
            <v>-  900 mm. CABLE LADDER</v>
          </cell>
          <cell r="E501">
            <v>920</v>
          </cell>
          <cell r="F501">
            <v>53</v>
          </cell>
          <cell r="G501" t="str">
            <v>M.</v>
          </cell>
        </row>
        <row r="502">
          <cell r="C502">
            <v>660</v>
          </cell>
          <cell r="D502" t="str">
            <v>-  1,000 mm. CABLE LADDER</v>
          </cell>
          <cell r="E502">
            <v>963</v>
          </cell>
          <cell r="F502">
            <v>56</v>
          </cell>
          <cell r="G502" t="str">
            <v>M.</v>
          </cell>
        </row>
      </sheetData>
      <sheetData sheetId="5" refreshError="1">
        <row r="3">
          <cell r="C3" t="str">
            <v>N0.</v>
          </cell>
          <cell r="D3" t="str">
            <v>DESCRIPTION</v>
          </cell>
          <cell r="E3" t="str">
            <v xml:space="preserve">UNIT  </v>
          </cell>
          <cell r="F3" t="str">
            <v xml:space="preserve">LABOUR </v>
          </cell>
          <cell r="G3" t="str">
            <v>UNIT</v>
          </cell>
        </row>
        <row r="4">
          <cell r="E4" t="str">
            <v>COST</v>
          </cell>
          <cell r="F4" t="str">
            <v>COST</v>
          </cell>
        </row>
        <row r="5">
          <cell r="C5" t="str">
            <v/>
          </cell>
          <cell r="D5" t="str">
            <v>TELEPHONE, TELECOMMUNICATION AND</v>
          </cell>
        </row>
        <row r="6">
          <cell r="C6">
            <v>1</v>
          </cell>
          <cell r="D6" t="str">
            <v>FIRE ALARM SYSTEM</v>
          </cell>
        </row>
        <row r="7">
          <cell r="C7">
            <v>1</v>
          </cell>
          <cell r="D7" t="str">
            <v>TELEPHONE</v>
          </cell>
          <cell r="E7">
            <v>2</v>
          </cell>
          <cell r="F7">
            <v>0.5</v>
          </cell>
          <cell r="G7" t="str">
            <v>M.</v>
          </cell>
        </row>
        <row r="8">
          <cell r="C8">
            <v>1</v>
          </cell>
          <cell r="D8" t="str">
            <v>TELEPHONE WIRE</v>
          </cell>
          <cell r="E8">
            <v>1000</v>
          </cell>
          <cell r="F8">
            <v>0</v>
          </cell>
          <cell r="G8" t="str">
            <v>LOT</v>
          </cell>
        </row>
        <row r="9">
          <cell r="C9">
            <v>101</v>
          </cell>
          <cell r="D9" t="str">
            <v>-  2/C - 0.5 MM. TIEV</v>
          </cell>
          <cell r="E9">
            <v>4.7</v>
          </cell>
          <cell r="F9">
            <v>1</v>
          </cell>
          <cell r="G9" t="str">
            <v>M.</v>
          </cell>
        </row>
        <row r="10">
          <cell r="C10">
            <v>102</v>
          </cell>
          <cell r="D10" t="str">
            <v>-  3/C - 0.5 MM. TIEV</v>
          </cell>
          <cell r="E10">
            <v>5.4</v>
          </cell>
          <cell r="F10">
            <v>1</v>
          </cell>
          <cell r="G10" t="str">
            <v>M.</v>
          </cell>
        </row>
        <row r="11">
          <cell r="C11">
            <v>103</v>
          </cell>
          <cell r="D11" t="str">
            <v>-  4/C - 0.5 MM. TIEV</v>
          </cell>
          <cell r="E11">
            <v>6.4</v>
          </cell>
          <cell r="F11">
            <v>1</v>
          </cell>
          <cell r="G11" t="str">
            <v>M.</v>
          </cell>
        </row>
        <row r="12">
          <cell r="C12">
            <v>104</v>
          </cell>
          <cell r="D12" t="str">
            <v>-  5/C - 0.5 MM. TIEV</v>
          </cell>
          <cell r="E12">
            <v>7.9</v>
          </cell>
          <cell r="F12">
            <v>1</v>
          </cell>
          <cell r="G12" t="str">
            <v>M.</v>
          </cell>
        </row>
        <row r="13">
          <cell r="C13">
            <v>105</v>
          </cell>
          <cell r="D13" t="str">
            <v>-  6/C - 0.5 MM. TIEV</v>
          </cell>
          <cell r="E13">
            <v>8.5</v>
          </cell>
          <cell r="F13">
            <v>1</v>
          </cell>
          <cell r="G13" t="str">
            <v>M.</v>
          </cell>
        </row>
        <row r="14">
          <cell r="C14">
            <v>106</v>
          </cell>
          <cell r="D14" t="str">
            <v>-  2/C - 0.65 MM. TIEV</v>
          </cell>
          <cell r="E14">
            <v>6.15</v>
          </cell>
          <cell r="F14">
            <v>1</v>
          </cell>
          <cell r="G14" t="str">
            <v>M.</v>
          </cell>
        </row>
        <row r="15">
          <cell r="C15">
            <v>107</v>
          </cell>
          <cell r="D15" t="str">
            <v>-  3/C - 0.65 MM. TIEV</v>
          </cell>
          <cell r="E15">
            <v>7.35</v>
          </cell>
          <cell r="F15">
            <v>1</v>
          </cell>
          <cell r="G15" t="str">
            <v>M.</v>
          </cell>
        </row>
        <row r="16">
          <cell r="C16">
            <v>108</v>
          </cell>
          <cell r="D16" t="str">
            <v>-  4/C - 0.65 MM. TIEV</v>
          </cell>
          <cell r="E16">
            <v>8.8000000000000007</v>
          </cell>
          <cell r="F16">
            <v>1</v>
          </cell>
          <cell r="G16" t="str">
            <v>M.</v>
          </cell>
        </row>
        <row r="17">
          <cell r="C17">
            <v>109</v>
          </cell>
          <cell r="D17" t="str">
            <v>-  5/C - 0.65 MM. TIEV</v>
          </cell>
          <cell r="E17">
            <v>10.4</v>
          </cell>
          <cell r="F17">
            <v>1</v>
          </cell>
          <cell r="G17" t="str">
            <v>M.</v>
          </cell>
        </row>
        <row r="18">
          <cell r="C18">
            <v>110</v>
          </cell>
          <cell r="D18" t="str">
            <v>-  6/C - 0.65 MM. TIEV</v>
          </cell>
          <cell r="E18">
            <v>12.2</v>
          </cell>
          <cell r="F18">
            <v>1</v>
          </cell>
          <cell r="G18" t="str">
            <v>M.</v>
          </cell>
        </row>
        <row r="19">
          <cell r="C19">
            <v>111</v>
          </cell>
          <cell r="D19" t="str">
            <v>-  4 PRS. - 0.5 MM. TPEV</v>
          </cell>
          <cell r="E19">
            <v>23</v>
          </cell>
          <cell r="F19">
            <v>1</v>
          </cell>
          <cell r="G19" t="str">
            <v>M.</v>
          </cell>
        </row>
        <row r="20">
          <cell r="C20">
            <v>112</v>
          </cell>
          <cell r="D20" t="str">
            <v>-  5 PRS. - 0.5 MM. TPEV</v>
          </cell>
          <cell r="E20">
            <v>30</v>
          </cell>
          <cell r="F20">
            <v>2</v>
          </cell>
          <cell r="G20" t="str">
            <v>M.</v>
          </cell>
        </row>
        <row r="21">
          <cell r="C21">
            <v>113</v>
          </cell>
          <cell r="D21" t="str">
            <v>-  6 PRS. - 0.5 MM. TPEV</v>
          </cell>
          <cell r="E21">
            <v>31</v>
          </cell>
          <cell r="F21">
            <v>2</v>
          </cell>
          <cell r="G21" t="str">
            <v>M.</v>
          </cell>
        </row>
        <row r="22">
          <cell r="C22">
            <v>114</v>
          </cell>
          <cell r="D22" t="str">
            <v>-  8 PRS. - 0.5 MM. TPEV</v>
          </cell>
          <cell r="E22">
            <v>34</v>
          </cell>
          <cell r="F22">
            <v>4</v>
          </cell>
          <cell r="G22" t="str">
            <v>M.</v>
          </cell>
        </row>
        <row r="23">
          <cell r="C23">
            <v>115</v>
          </cell>
          <cell r="D23" t="str">
            <v>-  10 PRS. - 0.5 MM. TPEV</v>
          </cell>
          <cell r="E23">
            <v>40</v>
          </cell>
          <cell r="F23">
            <v>6</v>
          </cell>
          <cell r="G23" t="str">
            <v>M.</v>
          </cell>
        </row>
        <row r="24">
          <cell r="C24">
            <v>116</v>
          </cell>
          <cell r="D24" t="str">
            <v>-  12 PRS. - 0.5 MM. TPEV</v>
          </cell>
          <cell r="E24">
            <v>45</v>
          </cell>
          <cell r="F24">
            <v>7</v>
          </cell>
          <cell r="G24" t="str">
            <v>M.</v>
          </cell>
        </row>
        <row r="25">
          <cell r="C25">
            <v>117</v>
          </cell>
          <cell r="D25" t="str">
            <v>-  15 PRS. - 0.5 MM. TPEV</v>
          </cell>
          <cell r="E25">
            <v>50</v>
          </cell>
          <cell r="F25">
            <v>9</v>
          </cell>
          <cell r="G25" t="str">
            <v>M.</v>
          </cell>
        </row>
        <row r="26">
          <cell r="C26">
            <v>118</v>
          </cell>
          <cell r="D26" t="str">
            <v>-  20 PRS. - 0.5 MM. TPEV</v>
          </cell>
          <cell r="E26">
            <v>60</v>
          </cell>
          <cell r="F26">
            <v>11</v>
          </cell>
          <cell r="G26" t="str">
            <v>M.</v>
          </cell>
        </row>
        <row r="27">
          <cell r="C27">
            <v>119</v>
          </cell>
          <cell r="D27" t="str">
            <v>-  25 PRS. - 0.5 MM. TPEV</v>
          </cell>
          <cell r="E27">
            <v>71</v>
          </cell>
          <cell r="F27">
            <v>13</v>
          </cell>
          <cell r="G27" t="str">
            <v>M.</v>
          </cell>
        </row>
        <row r="28">
          <cell r="C28">
            <v>120</v>
          </cell>
          <cell r="D28" t="str">
            <v>-  30 PRS. - 0.5 MM. TPEV</v>
          </cell>
          <cell r="E28">
            <v>85</v>
          </cell>
          <cell r="F28">
            <v>15</v>
          </cell>
          <cell r="G28" t="str">
            <v>M.</v>
          </cell>
        </row>
        <row r="29">
          <cell r="C29">
            <v>121</v>
          </cell>
          <cell r="D29" t="str">
            <v>-  40 PRS. - 0.5 MM. TPEV</v>
          </cell>
          <cell r="E29">
            <v>103</v>
          </cell>
          <cell r="F29">
            <v>17</v>
          </cell>
          <cell r="G29" t="str">
            <v>M.</v>
          </cell>
        </row>
        <row r="30">
          <cell r="C30">
            <v>122</v>
          </cell>
          <cell r="D30" t="str">
            <v>-  50 PRS. - 0.5 MM. TPEV</v>
          </cell>
          <cell r="E30">
            <v>120</v>
          </cell>
          <cell r="F30">
            <v>20</v>
          </cell>
          <cell r="G30" t="str">
            <v>M.</v>
          </cell>
        </row>
        <row r="31">
          <cell r="C31">
            <v>127</v>
          </cell>
          <cell r="D31" t="str">
            <v>SPACE</v>
          </cell>
          <cell r="E31">
            <v>1800</v>
          </cell>
          <cell r="F31">
            <v>0</v>
          </cell>
          <cell r="G31" t="str">
            <v>EA.</v>
          </cell>
        </row>
        <row r="32">
          <cell r="C32">
            <v>127</v>
          </cell>
          <cell r="D32" t="str">
            <v>-  4 PRS. - 0.65 MM. TPEV</v>
          </cell>
          <cell r="E32">
            <v>34</v>
          </cell>
          <cell r="F32">
            <v>1</v>
          </cell>
          <cell r="G32" t="str">
            <v>M.</v>
          </cell>
        </row>
        <row r="33">
          <cell r="C33">
            <v>128</v>
          </cell>
          <cell r="D33" t="str">
            <v>-  5 PRS. - 0.65 MM. TPEV</v>
          </cell>
          <cell r="E33">
            <v>38</v>
          </cell>
          <cell r="F33">
            <v>2</v>
          </cell>
          <cell r="G33" t="str">
            <v>M.</v>
          </cell>
        </row>
        <row r="34">
          <cell r="C34">
            <v>129</v>
          </cell>
          <cell r="D34" t="str">
            <v>-  6 PRS. - 0.65 MM. TPEV</v>
          </cell>
          <cell r="E34">
            <v>41</v>
          </cell>
          <cell r="F34">
            <v>2</v>
          </cell>
          <cell r="G34" t="str">
            <v>M.</v>
          </cell>
        </row>
        <row r="35">
          <cell r="C35">
            <v>130</v>
          </cell>
          <cell r="D35" t="str">
            <v>-  8 PRS. - 0.65 MM. TPEV</v>
          </cell>
          <cell r="E35">
            <v>47</v>
          </cell>
          <cell r="F35">
            <v>4</v>
          </cell>
          <cell r="G35" t="str">
            <v>M.</v>
          </cell>
        </row>
        <row r="36">
          <cell r="C36">
            <v>131</v>
          </cell>
          <cell r="D36" t="str">
            <v>-  10 PRS. - 0.65 MM. TPEV</v>
          </cell>
          <cell r="E36">
            <v>55</v>
          </cell>
          <cell r="F36">
            <v>6</v>
          </cell>
          <cell r="G36" t="str">
            <v>M.</v>
          </cell>
        </row>
        <row r="37">
          <cell r="C37">
            <v>132</v>
          </cell>
          <cell r="D37" t="str">
            <v>-  12 PRS. - 0.65 MM. TPEV</v>
          </cell>
          <cell r="E37">
            <v>62</v>
          </cell>
          <cell r="F37">
            <v>7</v>
          </cell>
          <cell r="G37" t="str">
            <v>M.</v>
          </cell>
        </row>
        <row r="38">
          <cell r="C38">
            <v>133</v>
          </cell>
          <cell r="D38" t="str">
            <v>-  15 PRS. - 0.65 MM. TPEV</v>
          </cell>
          <cell r="E38">
            <v>70</v>
          </cell>
          <cell r="F38">
            <v>9</v>
          </cell>
          <cell r="G38" t="str">
            <v>M.</v>
          </cell>
        </row>
        <row r="39">
          <cell r="C39">
            <v>134</v>
          </cell>
          <cell r="D39" t="str">
            <v>-  20 PRS. - 0.65 MM. TPEV</v>
          </cell>
          <cell r="E39">
            <v>85</v>
          </cell>
          <cell r="F39">
            <v>11</v>
          </cell>
          <cell r="G39" t="str">
            <v>M.</v>
          </cell>
        </row>
        <row r="40">
          <cell r="C40">
            <v>135</v>
          </cell>
          <cell r="D40" t="str">
            <v>-  25 PRS. - 0.65 MM. TPEV</v>
          </cell>
          <cell r="E40">
            <v>100</v>
          </cell>
          <cell r="F40">
            <v>13</v>
          </cell>
          <cell r="G40" t="str">
            <v>M.</v>
          </cell>
        </row>
        <row r="41">
          <cell r="C41">
            <v>136</v>
          </cell>
          <cell r="D41" t="str">
            <v>-  30 PRS. - 0.65 MM. TPEV</v>
          </cell>
          <cell r="E41">
            <v>116</v>
          </cell>
          <cell r="F41">
            <v>15</v>
          </cell>
          <cell r="G41" t="str">
            <v>M.</v>
          </cell>
        </row>
        <row r="42">
          <cell r="C42">
            <v>137</v>
          </cell>
          <cell r="D42" t="str">
            <v>-  40 PRS. - 0.65 MM. TPEV</v>
          </cell>
          <cell r="E42">
            <v>145</v>
          </cell>
          <cell r="F42">
            <v>17</v>
          </cell>
          <cell r="G42" t="str">
            <v>M.</v>
          </cell>
        </row>
        <row r="43">
          <cell r="C43">
            <v>138</v>
          </cell>
          <cell r="D43" t="str">
            <v>-  50 PRS. - 0.65 MM. TPEV</v>
          </cell>
          <cell r="E43">
            <v>175</v>
          </cell>
          <cell r="F43">
            <v>20</v>
          </cell>
          <cell r="G43" t="str">
            <v>M.</v>
          </cell>
        </row>
        <row r="44">
          <cell r="C44">
            <v>139</v>
          </cell>
          <cell r="D44" t="str">
            <v>-  4 PRS. - 0.5 MM. AP</v>
          </cell>
          <cell r="E44">
            <v>82</v>
          </cell>
          <cell r="F44">
            <v>6</v>
          </cell>
          <cell r="G44" t="str">
            <v>M.</v>
          </cell>
        </row>
        <row r="45">
          <cell r="C45">
            <v>140</v>
          </cell>
          <cell r="D45" t="str">
            <v>-  5 PRS. - 0.5 MM. AP</v>
          </cell>
          <cell r="E45">
            <v>84</v>
          </cell>
          <cell r="F45">
            <v>7</v>
          </cell>
          <cell r="G45" t="str">
            <v>M.</v>
          </cell>
        </row>
        <row r="46">
          <cell r="C46">
            <v>141</v>
          </cell>
          <cell r="D46" t="str">
            <v>-  6 PRS. - 0.5 MM. AP</v>
          </cell>
          <cell r="E46">
            <v>86</v>
          </cell>
          <cell r="F46">
            <v>8</v>
          </cell>
          <cell r="G46" t="str">
            <v>M.</v>
          </cell>
        </row>
        <row r="47">
          <cell r="C47">
            <v>142</v>
          </cell>
          <cell r="D47" t="str">
            <v>-  8 PRS. - 0.5 MM. AP</v>
          </cell>
          <cell r="E47">
            <v>0</v>
          </cell>
          <cell r="F47">
            <v>0</v>
          </cell>
          <cell r="G47" t="str">
            <v>M.</v>
          </cell>
        </row>
        <row r="48">
          <cell r="C48">
            <v>143</v>
          </cell>
          <cell r="D48" t="str">
            <v>-  10 PRS. - 0.5 MM. AP</v>
          </cell>
          <cell r="E48">
            <v>95</v>
          </cell>
          <cell r="F48">
            <v>9</v>
          </cell>
          <cell r="G48" t="str">
            <v>M.</v>
          </cell>
        </row>
        <row r="49">
          <cell r="C49">
            <v>144</v>
          </cell>
          <cell r="D49" t="str">
            <v>-  12 PRS. - 0.5 MM. AP</v>
          </cell>
          <cell r="E49">
            <v>100</v>
          </cell>
          <cell r="F49">
            <v>10</v>
          </cell>
          <cell r="G49" t="str">
            <v>M.</v>
          </cell>
        </row>
        <row r="50">
          <cell r="C50">
            <v>145</v>
          </cell>
          <cell r="D50" t="str">
            <v>-  15 PRS. - 0.5 MM. AP</v>
          </cell>
          <cell r="E50">
            <v>107</v>
          </cell>
          <cell r="F50">
            <v>11</v>
          </cell>
          <cell r="G50" t="str">
            <v>M.</v>
          </cell>
        </row>
        <row r="51">
          <cell r="C51">
            <v>146</v>
          </cell>
          <cell r="D51" t="str">
            <v>-  20 PRS. - 0.5 MM. AP</v>
          </cell>
          <cell r="E51">
            <v>122</v>
          </cell>
          <cell r="F51">
            <v>13</v>
          </cell>
          <cell r="G51" t="str">
            <v>M.</v>
          </cell>
        </row>
        <row r="52">
          <cell r="C52">
            <v>147</v>
          </cell>
          <cell r="D52" t="str">
            <v>-  25 PRS. - 0.5 MM. AP</v>
          </cell>
          <cell r="E52">
            <v>126</v>
          </cell>
          <cell r="F52">
            <v>19</v>
          </cell>
          <cell r="G52" t="str">
            <v>M.</v>
          </cell>
        </row>
        <row r="53">
          <cell r="C53">
            <v>148</v>
          </cell>
          <cell r="D53" t="str">
            <v>-  30 PRS. - 0.5 MM. AP</v>
          </cell>
          <cell r="E53">
            <v>139</v>
          </cell>
          <cell r="F53">
            <v>18</v>
          </cell>
          <cell r="G53" t="str">
            <v>M.</v>
          </cell>
        </row>
        <row r="54">
          <cell r="C54">
            <v>149</v>
          </cell>
          <cell r="D54" t="str">
            <v>-  40 PRS. - 0.5 MM. AP</v>
          </cell>
          <cell r="E54">
            <v>0</v>
          </cell>
          <cell r="F54">
            <v>0</v>
          </cell>
          <cell r="G54" t="str">
            <v>M.</v>
          </cell>
        </row>
        <row r="55">
          <cell r="C55">
            <v>150</v>
          </cell>
          <cell r="D55" t="str">
            <v>-  50 PRS. - 0.5 MM. AP</v>
          </cell>
          <cell r="E55">
            <v>186</v>
          </cell>
          <cell r="F55">
            <v>20</v>
          </cell>
          <cell r="G55" t="str">
            <v>M.</v>
          </cell>
        </row>
        <row r="56">
          <cell r="C56">
            <v>151</v>
          </cell>
          <cell r="D56" t="str">
            <v>-  75 PRS. - 0.5 MM. AP</v>
          </cell>
          <cell r="E56">
            <v>246</v>
          </cell>
          <cell r="F56">
            <v>30</v>
          </cell>
          <cell r="G56" t="str">
            <v>M.</v>
          </cell>
        </row>
        <row r="57">
          <cell r="C57">
            <v>152</v>
          </cell>
          <cell r="D57" t="str">
            <v>-  100 PRS. - 0.5 MM. AP</v>
          </cell>
          <cell r="E57">
            <v>293</v>
          </cell>
          <cell r="F57">
            <v>35</v>
          </cell>
          <cell r="G57" t="str">
            <v>M.</v>
          </cell>
        </row>
        <row r="58">
          <cell r="C58">
            <v>153</v>
          </cell>
          <cell r="D58" t="str">
            <v>-  150 PRS. - 0.5 MM. AP</v>
          </cell>
          <cell r="E58">
            <v>420</v>
          </cell>
          <cell r="F58">
            <v>40</v>
          </cell>
          <cell r="G58" t="str">
            <v>M.</v>
          </cell>
        </row>
        <row r="59">
          <cell r="C59">
            <v>154</v>
          </cell>
          <cell r="D59" t="str">
            <v>-  200 PRS. - 0.5 MM. AP</v>
          </cell>
          <cell r="E59">
            <v>530</v>
          </cell>
          <cell r="F59">
            <v>60</v>
          </cell>
          <cell r="G59" t="str">
            <v>M.</v>
          </cell>
        </row>
        <row r="60">
          <cell r="C60">
            <v>155</v>
          </cell>
          <cell r="D60" t="str">
            <v>-  4 PRS. - 0.65 MM. AP</v>
          </cell>
          <cell r="E60">
            <v>88</v>
          </cell>
          <cell r="F60">
            <v>6</v>
          </cell>
          <cell r="G60" t="str">
            <v>M.</v>
          </cell>
        </row>
        <row r="61">
          <cell r="C61">
            <v>156</v>
          </cell>
          <cell r="D61" t="str">
            <v>-  5 PRS. - 0.65 MM. AP</v>
          </cell>
          <cell r="E61">
            <v>92</v>
          </cell>
          <cell r="F61">
            <v>7</v>
          </cell>
          <cell r="G61" t="str">
            <v>M.</v>
          </cell>
        </row>
        <row r="62">
          <cell r="C62">
            <v>157</v>
          </cell>
          <cell r="D62" t="str">
            <v>-  6 PRS. - 0.65 MM. AP</v>
          </cell>
          <cell r="E62">
            <v>95</v>
          </cell>
          <cell r="F62">
            <v>8</v>
          </cell>
          <cell r="G62" t="str">
            <v>M.</v>
          </cell>
        </row>
        <row r="63">
          <cell r="C63">
            <v>158</v>
          </cell>
          <cell r="D63" t="str">
            <v>-  8 PRS. - 0.65 MM. AP</v>
          </cell>
          <cell r="E63">
            <v>0</v>
          </cell>
          <cell r="F63">
            <v>0</v>
          </cell>
          <cell r="G63" t="str">
            <v>M.</v>
          </cell>
        </row>
        <row r="64">
          <cell r="C64">
            <v>159</v>
          </cell>
          <cell r="D64" t="str">
            <v>-  10 PRS. - 0.65 MM. AP</v>
          </cell>
          <cell r="E64">
            <v>109</v>
          </cell>
          <cell r="F64">
            <v>9</v>
          </cell>
          <cell r="G64" t="str">
            <v>M.</v>
          </cell>
        </row>
        <row r="65">
          <cell r="C65">
            <v>160</v>
          </cell>
          <cell r="D65" t="str">
            <v>-  12 PRS. - 0.65 MM. AP</v>
          </cell>
          <cell r="E65">
            <v>119</v>
          </cell>
          <cell r="F65">
            <v>10</v>
          </cell>
          <cell r="G65" t="str">
            <v>M.</v>
          </cell>
        </row>
        <row r="66">
          <cell r="C66">
            <v>161</v>
          </cell>
          <cell r="D66" t="str">
            <v>-  15 PRS. - 0.65 MM. AP</v>
          </cell>
          <cell r="E66">
            <v>130</v>
          </cell>
          <cell r="F66">
            <v>11</v>
          </cell>
          <cell r="G66" t="str">
            <v>M.</v>
          </cell>
        </row>
        <row r="67">
          <cell r="C67">
            <v>162</v>
          </cell>
          <cell r="D67" t="str">
            <v>-  20 PRS. - 0.65 MM. AP</v>
          </cell>
          <cell r="E67">
            <v>147</v>
          </cell>
          <cell r="F67">
            <v>13</v>
          </cell>
          <cell r="G67" t="str">
            <v>M.</v>
          </cell>
        </row>
        <row r="68">
          <cell r="C68">
            <v>163</v>
          </cell>
          <cell r="D68" t="str">
            <v>-  25 PRS. - 0.65 MM. AP</v>
          </cell>
          <cell r="E68">
            <v>156</v>
          </cell>
          <cell r="F68">
            <v>15</v>
          </cell>
          <cell r="G68" t="str">
            <v>M.</v>
          </cell>
        </row>
        <row r="69">
          <cell r="C69">
            <v>164</v>
          </cell>
          <cell r="D69" t="str">
            <v>-  30 PRS. - 0.65 MM. AP</v>
          </cell>
          <cell r="E69">
            <v>180</v>
          </cell>
          <cell r="F69">
            <v>18</v>
          </cell>
          <cell r="G69" t="str">
            <v>M.</v>
          </cell>
        </row>
        <row r="70">
          <cell r="C70">
            <v>165</v>
          </cell>
          <cell r="D70" t="str">
            <v>-  40 PRS. - 0.65 MM. AP</v>
          </cell>
          <cell r="E70">
            <v>0</v>
          </cell>
          <cell r="F70">
            <v>0</v>
          </cell>
          <cell r="G70" t="str">
            <v>M.</v>
          </cell>
        </row>
        <row r="71">
          <cell r="C71">
            <v>166</v>
          </cell>
          <cell r="D71" t="str">
            <v>-  50 PRS. - 0.65 MM. AP</v>
          </cell>
          <cell r="E71">
            <v>254</v>
          </cell>
          <cell r="F71">
            <v>20</v>
          </cell>
          <cell r="G71" t="str">
            <v>M.</v>
          </cell>
        </row>
        <row r="72">
          <cell r="C72">
            <v>167</v>
          </cell>
          <cell r="D72" t="str">
            <v>-  75 PRS. - 0.65 MM. AP</v>
          </cell>
          <cell r="E72">
            <v>330</v>
          </cell>
          <cell r="F72">
            <v>30</v>
          </cell>
          <cell r="G72" t="str">
            <v>M.</v>
          </cell>
        </row>
        <row r="73">
          <cell r="C73">
            <v>168</v>
          </cell>
          <cell r="D73" t="str">
            <v>-  100 PRS. - 0.65 MM. AP</v>
          </cell>
          <cell r="E73">
            <v>405</v>
          </cell>
          <cell r="F73">
            <v>35</v>
          </cell>
          <cell r="G73" t="str">
            <v>M.</v>
          </cell>
        </row>
        <row r="74">
          <cell r="C74">
            <v>169</v>
          </cell>
          <cell r="D74" t="str">
            <v>-  150 PRS. - 0.65 MM. AP</v>
          </cell>
          <cell r="E74">
            <v>590</v>
          </cell>
          <cell r="F74">
            <v>40</v>
          </cell>
          <cell r="G74" t="str">
            <v>M.</v>
          </cell>
        </row>
        <row r="75">
          <cell r="C75">
            <v>170</v>
          </cell>
          <cell r="D75" t="str">
            <v>-  200 PRS. - 0.65 MM. AP</v>
          </cell>
          <cell r="E75">
            <v>790</v>
          </cell>
          <cell r="F75">
            <v>60</v>
          </cell>
          <cell r="G75" t="str">
            <v>M.</v>
          </cell>
        </row>
        <row r="76">
          <cell r="C76">
            <v>3</v>
          </cell>
          <cell r="D76" t="str">
            <v>SPACE</v>
          </cell>
          <cell r="E76">
            <v>495</v>
          </cell>
          <cell r="F76">
            <v>100</v>
          </cell>
          <cell r="G76" t="str">
            <v>SET</v>
          </cell>
        </row>
        <row r="77">
          <cell r="C77">
            <v>301</v>
          </cell>
          <cell r="D77" t="str">
            <v>FIRE RESISTANT CABLE</v>
          </cell>
          <cell r="E77">
            <v>1150</v>
          </cell>
          <cell r="F77">
            <v>300</v>
          </cell>
          <cell r="G77" t="str">
            <v>SET</v>
          </cell>
        </row>
        <row r="78">
          <cell r="C78">
            <v>171</v>
          </cell>
          <cell r="D78" t="str">
            <v>-  2 PRS. - 1.75 MM. FR TELEPHONE CABLE</v>
          </cell>
          <cell r="E78">
            <v>0</v>
          </cell>
          <cell r="F78">
            <v>3</v>
          </cell>
          <cell r="G78" t="str">
            <v>M.</v>
          </cell>
        </row>
        <row r="79">
          <cell r="C79">
            <v>172</v>
          </cell>
          <cell r="D79" t="str">
            <v>-  3 PRS. - 1.75 MM. FR TELEPHONE CABLE</v>
          </cell>
          <cell r="E79">
            <v>0</v>
          </cell>
          <cell r="F79">
            <v>3</v>
          </cell>
          <cell r="G79" t="str">
            <v>M.</v>
          </cell>
        </row>
        <row r="80">
          <cell r="C80">
            <v>173</v>
          </cell>
          <cell r="D80" t="str">
            <v>-  4 PRS. - 1.75 MM. FR TELEPHONE CABLE</v>
          </cell>
          <cell r="E80">
            <v>0</v>
          </cell>
          <cell r="F80">
            <v>3</v>
          </cell>
          <cell r="G80" t="str">
            <v>M.</v>
          </cell>
        </row>
        <row r="81">
          <cell r="C81">
            <v>174</v>
          </cell>
          <cell r="D81" t="str">
            <v>-  5 PRS. - 1.75 MM. FR TELEPHONE CABLE</v>
          </cell>
          <cell r="E81">
            <v>0</v>
          </cell>
          <cell r="F81">
            <v>3</v>
          </cell>
          <cell r="G81" t="str">
            <v>M.</v>
          </cell>
        </row>
        <row r="82">
          <cell r="C82">
            <v>175</v>
          </cell>
          <cell r="D82" t="str">
            <v>-  6 PRS. - 1.75 MM. FR TELEPHONE CABLE</v>
          </cell>
          <cell r="E82">
            <v>0</v>
          </cell>
          <cell r="F82">
            <v>5</v>
          </cell>
          <cell r="G82" t="str">
            <v>M.</v>
          </cell>
        </row>
        <row r="83">
          <cell r="C83">
            <v>176</v>
          </cell>
          <cell r="D83" t="str">
            <v>-  10 PRS. - 1.75 MM. FR TELEPHONE CABLE</v>
          </cell>
          <cell r="E83">
            <v>0</v>
          </cell>
          <cell r="F83">
            <v>5</v>
          </cell>
          <cell r="G83" t="str">
            <v>M.</v>
          </cell>
        </row>
        <row r="84">
          <cell r="C84">
            <v>177</v>
          </cell>
          <cell r="D84" t="str">
            <v>-  15 PRS. - 1.75 MM. FR TELEPHONE CABLE</v>
          </cell>
          <cell r="E84">
            <v>0</v>
          </cell>
          <cell r="F84">
            <v>5</v>
          </cell>
          <cell r="G84" t="str">
            <v>M.</v>
          </cell>
        </row>
        <row r="85">
          <cell r="C85">
            <v>178</v>
          </cell>
          <cell r="D85" t="str">
            <v>-  20 PRS. - 1.75 MM. FR TELEPHONE CABLE</v>
          </cell>
          <cell r="E85">
            <v>0</v>
          </cell>
          <cell r="F85">
            <v>6</v>
          </cell>
          <cell r="G85" t="str">
            <v>M.</v>
          </cell>
        </row>
        <row r="86">
          <cell r="C86">
            <v>179</v>
          </cell>
          <cell r="D86" t="str">
            <v>-  25 PRS. - 1.75 MM. FR TELEPHONE CABLE</v>
          </cell>
          <cell r="E86">
            <v>0</v>
          </cell>
          <cell r="F86">
            <v>6</v>
          </cell>
          <cell r="G86" t="str">
            <v>M.</v>
          </cell>
        </row>
        <row r="87">
          <cell r="C87">
            <v>180</v>
          </cell>
          <cell r="D87" t="str">
            <v>-  35 PRS. - 1.75 MM. FR TELEPHONE CABLE</v>
          </cell>
          <cell r="E87">
            <v>0</v>
          </cell>
          <cell r="F87">
            <v>7</v>
          </cell>
          <cell r="G87" t="str">
            <v>M.</v>
          </cell>
        </row>
        <row r="88">
          <cell r="C88">
            <v>181</v>
          </cell>
          <cell r="D88" t="str">
            <v>-  50 PRS. - 1.75 MM. FR TELEPHONE CABLE</v>
          </cell>
          <cell r="E88">
            <v>0</v>
          </cell>
          <cell r="F88">
            <v>7</v>
          </cell>
          <cell r="G88" t="str">
            <v>M.</v>
          </cell>
        </row>
        <row r="89">
          <cell r="C89">
            <v>182</v>
          </cell>
          <cell r="D89" t="str">
            <v>-  100 PRS. - 1.75 MM. FR TELEPHONE CABLE</v>
          </cell>
          <cell r="E89">
            <v>0</v>
          </cell>
          <cell r="F89">
            <v>7</v>
          </cell>
          <cell r="G89" t="str">
            <v>M.</v>
          </cell>
        </row>
        <row r="90">
          <cell r="C90">
            <v>314</v>
          </cell>
          <cell r="D90" t="str">
            <v>SPACE</v>
          </cell>
          <cell r="E90">
            <v>1350</v>
          </cell>
          <cell r="F90">
            <v>350</v>
          </cell>
          <cell r="G90" t="str">
            <v>SET</v>
          </cell>
        </row>
        <row r="91">
          <cell r="C91">
            <v>2</v>
          </cell>
          <cell r="D91" t="str">
            <v>TC, MDF, PABX AND ACCESSORIES</v>
          </cell>
          <cell r="E91">
            <v>1750</v>
          </cell>
          <cell r="F91">
            <v>400</v>
          </cell>
          <cell r="G91" t="str">
            <v>SET</v>
          </cell>
        </row>
        <row r="92">
          <cell r="C92">
            <v>201</v>
          </cell>
          <cell r="D92" t="str">
            <v>-  TC 10 PRS.</v>
          </cell>
          <cell r="E92">
            <v>655</v>
          </cell>
          <cell r="F92">
            <v>50</v>
          </cell>
          <cell r="G92" t="str">
            <v>M.</v>
          </cell>
        </row>
        <row r="93">
          <cell r="C93">
            <v>202</v>
          </cell>
          <cell r="D93" t="str">
            <v>-  TC 20 PRS.</v>
          </cell>
          <cell r="E93">
            <v>985</v>
          </cell>
          <cell r="F93">
            <v>70</v>
          </cell>
          <cell r="G93" t="str">
            <v>M.</v>
          </cell>
        </row>
        <row r="94">
          <cell r="C94">
            <v>203</v>
          </cell>
          <cell r="D94" t="str">
            <v>-  TC 30 PRS.</v>
          </cell>
          <cell r="E94">
            <v>1300</v>
          </cell>
          <cell r="F94">
            <v>100</v>
          </cell>
          <cell r="G94" t="str">
            <v>M.</v>
          </cell>
        </row>
        <row r="95">
          <cell r="C95">
            <v>204</v>
          </cell>
          <cell r="D95" t="str">
            <v>-  TC 40 PRS.</v>
          </cell>
          <cell r="E95">
            <v>1750</v>
          </cell>
          <cell r="F95">
            <v>125</v>
          </cell>
          <cell r="G95" t="str">
            <v>SET</v>
          </cell>
        </row>
        <row r="96">
          <cell r="C96">
            <v>205</v>
          </cell>
          <cell r="D96" t="str">
            <v>-  TC 50 PRS.</v>
          </cell>
          <cell r="E96">
            <v>2100</v>
          </cell>
          <cell r="F96">
            <v>150</v>
          </cell>
          <cell r="G96" t="str">
            <v>SET</v>
          </cell>
        </row>
        <row r="97">
          <cell r="C97">
            <v>206</v>
          </cell>
          <cell r="D97" t="str">
            <v>-  TC 60 PRS.</v>
          </cell>
          <cell r="E97">
            <v>2400</v>
          </cell>
          <cell r="F97">
            <v>200</v>
          </cell>
          <cell r="G97" t="str">
            <v>M.</v>
          </cell>
        </row>
        <row r="98">
          <cell r="C98">
            <v>207</v>
          </cell>
          <cell r="D98" t="str">
            <v>-  TC 70 PRS.</v>
          </cell>
          <cell r="E98">
            <v>2700</v>
          </cell>
          <cell r="F98">
            <v>250</v>
          </cell>
          <cell r="G98" t="str">
            <v>M.</v>
          </cell>
        </row>
        <row r="99">
          <cell r="C99">
            <v>208</v>
          </cell>
          <cell r="D99" t="str">
            <v>-  TC 80 PRS.</v>
          </cell>
          <cell r="E99">
            <v>3200</v>
          </cell>
          <cell r="F99">
            <v>250</v>
          </cell>
          <cell r="G99" t="str">
            <v>M.</v>
          </cell>
        </row>
        <row r="100">
          <cell r="C100">
            <v>209</v>
          </cell>
          <cell r="D100" t="str">
            <v>-  TC 90 PRS.</v>
          </cell>
          <cell r="E100">
            <v>3500</v>
          </cell>
          <cell r="F100">
            <v>300</v>
          </cell>
          <cell r="G100" t="str">
            <v>M.</v>
          </cell>
        </row>
        <row r="101">
          <cell r="C101">
            <v>210</v>
          </cell>
          <cell r="D101" t="str">
            <v>-  TC 100 PRS.</v>
          </cell>
          <cell r="E101">
            <v>3800</v>
          </cell>
          <cell r="F101">
            <v>300</v>
          </cell>
          <cell r="G101" t="str">
            <v>M.</v>
          </cell>
        </row>
        <row r="102">
          <cell r="C102">
            <v>211</v>
          </cell>
          <cell r="D102" t="str">
            <v>-  MDF 50 PRS.</v>
          </cell>
          <cell r="E102">
            <v>2600</v>
          </cell>
          <cell r="F102">
            <v>500</v>
          </cell>
          <cell r="G102" t="str">
            <v>M.</v>
          </cell>
        </row>
        <row r="103">
          <cell r="C103">
            <v>212</v>
          </cell>
          <cell r="D103" t="str">
            <v>-  MDF 100 PRS.</v>
          </cell>
          <cell r="E103">
            <v>4700</v>
          </cell>
          <cell r="F103">
            <v>900</v>
          </cell>
          <cell r="G103" t="str">
            <v>M.</v>
          </cell>
        </row>
        <row r="104">
          <cell r="C104">
            <v>213</v>
          </cell>
          <cell r="D104" t="str">
            <v>-  MDF 200 PRS.</v>
          </cell>
          <cell r="E104">
            <v>8000</v>
          </cell>
          <cell r="F104">
            <v>1600</v>
          </cell>
          <cell r="G104" t="str">
            <v>M.</v>
          </cell>
        </row>
        <row r="105">
          <cell r="C105">
            <v>214</v>
          </cell>
          <cell r="D105" t="str">
            <v>-  MDF 300 PRS.</v>
          </cell>
          <cell r="E105">
            <v>12500</v>
          </cell>
          <cell r="F105">
            <v>2500</v>
          </cell>
          <cell r="G105" t="str">
            <v>M.</v>
          </cell>
        </row>
        <row r="106">
          <cell r="C106">
            <v>215</v>
          </cell>
          <cell r="D106" t="str">
            <v>-  MDF 400 PRS.</v>
          </cell>
          <cell r="E106">
            <v>16000</v>
          </cell>
          <cell r="F106">
            <v>3200</v>
          </cell>
          <cell r="G106" t="str">
            <v>M.</v>
          </cell>
        </row>
        <row r="107">
          <cell r="C107">
            <v>216</v>
          </cell>
          <cell r="D107" t="str">
            <v>-  MDF 500 PRS.</v>
          </cell>
          <cell r="E107">
            <v>20000</v>
          </cell>
          <cell r="F107">
            <v>4200</v>
          </cell>
          <cell r="G107" t="str">
            <v>M.</v>
          </cell>
        </row>
        <row r="108">
          <cell r="C108">
            <v>217</v>
          </cell>
          <cell r="D108" t="str">
            <v>-  MDF 600 PRS.</v>
          </cell>
          <cell r="E108">
            <v>25000</v>
          </cell>
          <cell r="F108">
            <v>5100</v>
          </cell>
          <cell r="G108" t="str">
            <v>M.</v>
          </cell>
        </row>
        <row r="109">
          <cell r="C109">
            <v>218</v>
          </cell>
          <cell r="D109" t="str">
            <v>-  MDF 700 PRS.</v>
          </cell>
          <cell r="E109">
            <v>28500</v>
          </cell>
          <cell r="F109">
            <v>5800</v>
          </cell>
          <cell r="G109" t="str">
            <v>M.</v>
          </cell>
        </row>
        <row r="110">
          <cell r="C110">
            <v>219</v>
          </cell>
          <cell r="D110" t="str">
            <v>-  MDF 800 PRS.</v>
          </cell>
          <cell r="E110">
            <v>32000</v>
          </cell>
          <cell r="F110">
            <v>6400</v>
          </cell>
          <cell r="G110" t="str">
            <v>M.</v>
          </cell>
        </row>
        <row r="111">
          <cell r="C111">
            <v>220</v>
          </cell>
          <cell r="D111" t="str">
            <v>-  MDF 900 PRS.</v>
          </cell>
          <cell r="E111">
            <v>36000</v>
          </cell>
          <cell r="F111">
            <v>7400</v>
          </cell>
          <cell r="G111" t="str">
            <v>M.</v>
          </cell>
        </row>
        <row r="112">
          <cell r="C112">
            <v>221</v>
          </cell>
          <cell r="D112" t="str">
            <v>-  MDF 1,000 PRS.</v>
          </cell>
          <cell r="E112">
            <v>40000</v>
          </cell>
          <cell r="F112">
            <v>8400</v>
          </cell>
          <cell r="G112" t="str">
            <v>M.</v>
          </cell>
        </row>
        <row r="113">
          <cell r="C113">
            <v>222</v>
          </cell>
          <cell r="D113" t="str">
            <v>-  MDF 1,200 PRS.</v>
          </cell>
          <cell r="E113">
            <v>50000</v>
          </cell>
          <cell r="F113">
            <v>10000</v>
          </cell>
          <cell r="G113" t="str">
            <v>M.</v>
          </cell>
        </row>
        <row r="114">
          <cell r="C114">
            <v>223</v>
          </cell>
          <cell r="D114" t="str">
            <v>-  MDF 1,500 PRS.</v>
          </cell>
          <cell r="E114">
            <v>60500</v>
          </cell>
          <cell r="F114">
            <v>12000</v>
          </cell>
          <cell r="G114" t="str">
            <v>M.</v>
          </cell>
        </row>
        <row r="115">
          <cell r="C115">
            <v>224</v>
          </cell>
          <cell r="D115" t="str">
            <v>-  MDF 2,000 PRS.</v>
          </cell>
          <cell r="E115">
            <v>80000</v>
          </cell>
          <cell r="F115">
            <v>16000</v>
          </cell>
          <cell r="G115" t="str">
            <v>M.</v>
          </cell>
        </row>
        <row r="116">
          <cell r="C116">
            <v>225</v>
          </cell>
          <cell r="D116" t="str">
            <v>-  MDF 2,500 PRS.</v>
          </cell>
          <cell r="E116">
            <v>100000</v>
          </cell>
          <cell r="F116">
            <v>20000</v>
          </cell>
          <cell r="G116" t="str">
            <v>M.</v>
          </cell>
        </row>
        <row r="117">
          <cell r="C117">
            <v>226</v>
          </cell>
          <cell r="D117" t="str">
            <v>-  MDF 3,000 PRS.</v>
          </cell>
          <cell r="E117">
            <v>120000</v>
          </cell>
          <cell r="F117">
            <v>24000</v>
          </cell>
          <cell r="G117" t="str">
            <v>M.</v>
          </cell>
        </row>
        <row r="118">
          <cell r="C118">
            <v>227</v>
          </cell>
          <cell r="D118" t="str">
            <v>-  MDF 3,500 PRS.</v>
          </cell>
          <cell r="E118">
            <v>140000</v>
          </cell>
          <cell r="F118">
            <v>28000</v>
          </cell>
          <cell r="G118" t="str">
            <v>M.</v>
          </cell>
        </row>
        <row r="119">
          <cell r="C119">
            <v>228</v>
          </cell>
          <cell r="D119" t="str">
            <v>-  MDF 4,000 PRS.</v>
          </cell>
          <cell r="E119">
            <v>160000</v>
          </cell>
          <cell r="F119">
            <v>32000</v>
          </cell>
          <cell r="G119" t="str">
            <v>M.</v>
          </cell>
        </row>
        <row r="120">
          <cell r="C120">
            <v>229</v>
          </cell>
          <cell r="D120" t="str">
            <v>-  MDF 4,500 PRS.</v>
          </cell>
          <cell r="E120">
            <v>180000</v>
          </cell>
          <cell r="F120">
            <v>36000</v>
          </cell>
          <cell r="G120" t="str">
            <v>M.</v>
          </cell>
        </row>
        <row r="121">
          <cell r="C121">
            <v>230</v>
          </cell>
          <cell r="D121" t="str">
            <v>-  MDF 5,000 PRS.</v>
          </cell>
          <cell r="E121">
            <v>200000</v>
          </cell>
          <cell r="F121">
            <v>40000</v>
          </cell>
          <cell r="G121" t="str">
            <v>M.</v>
          </cell>
        </row>
        <row r="122">
          <cell r="C122">
            <v>239</v>
          </cell>
          <cell r="D122" t="str">
            <v>PABX</v>
          </cell>
          <cell r="E122">
            <v>100000</v>
          </cell>
          <cell r="F122">
            <v>1000</v>
          </cell>
          <cell r="G122" t="str">
            <v>EA.</v>
          </cell>
        </row>
        <row r="123">
          <cell r="C123">
            <v>231</v>
          </cell>
          <cell r="D123" t="str">
            <v>-  10/40 LINE PABX</v>
          </cell>
          <cell r="E123">
            <v>450000</v>
          </cell>
          <cell r="F123">
            <v>0</v>
          </cell>
          <cell r="G123" t="str">
            <v>M.</v>
          </cell>
        </row>
        <row r="124">
          <cell r="C124">
            <v>232</v>
          </cell>
          <cell r="D124" t="str">
            <v>-  20/80 LINE PABX</v>
          </cell>
          <cell r="E124">
            <v>800000</v>
          </cell>
          <cell r="F124">
            <v>0</v>
          </cell>
          <cell r="G124" t="str">
            <v>M.</v>
          </cell>
        </row>
        <row r="125">
          <cell r="C125">
            <v>233</v>
          </cell>
          <cell r="D125" t="str">
            <v>-  30/120 LINE PABX</v>
          </cell>
          <cell r="E125">
            <v>950000</v>
          </cell>
          <cell r="F125">
            <v>0</v>
          </cell>
          <cell r="G125" t="str">
            <v>M.</v>
          </cell>
        </row>
        <row r="126">
          <cell r="C126">
            <v>234</v>
          </cell>
          <cell r="D126" t="str">
            <v>-  40/1600 LINE PABX</v>
          </cell>
          <cell r="E126">
            <v>1050000</v>
          </cell>
          <cell r="F126">
            <v>0</v>
          </cell>
          <cell r="G126" t="str">
            <v>M.</v>
          </cell>
        </row>
        <row r="127">
          <cell r="C127">
            <v>235</v>
          </cell>
          <cell r="D127" t="str">
            <v>-  50/200 LINE PABX</v>
          </cell>
          <cell r="E127">
            <v>1200000</v>
          </cell>
          <cell r="F127">
            <v>0</v>
          </cell>
          <cell r="G127" t="str">
            <v>M.</v>
          </cell>
        </row>
        <row r="128">
          <cell r="C128">
            <v>236</v>
          </cell>
          <cell r="D128" t="str">
            <v>-  60/240 LINE PABX</v>
          </cell>
          <cell r="E128">
            <v>1250000</v>
          </cell>
          <cell r="F128">
            <v>0</v>
          </cell>
          <cell r="G128" t="str">
            <v>M.</v>
          </cell>
        </row>
        <row r="129">
          <cell r="C129">
            <v>237</v>
          </cell>
          <cell r="D129" t="str">
            <v>-  70/280 LINE PABX</v>
          </cell>
          <cell r="E129">
            <v>1300000</v>
          </cell>
          <cell r="F129">
            <v>0</v>
          </cell>
          <cell r="G129" t="str">
            <v>M.</v>
          </cell>
        </row>
        <row r="130">
          <cell r="C130">
            <v>238</v>
          </cell>
          <cell r="D130" t="str">
            <v>-  80/320 LINE PABX</v>
          </cell>
          <cell r="E130">
            <v>1500000</v>
          </cell>
          <cell r="F130">
            <v>0</v>
          </cell>
          <cell r="G130" t="str">
            <v>M.</v>
          </cell>
        </row>
        <row r="131">
          <cell r="C131">
            <v>239</v>
          </cell>
          <cell r="D131" t="str">
            <v>-  90/360 LINE PABX</v>
          </cell>
          <cell r="E131">
            <v>1700000</v>
          </cell>
          <cell r="F131">
            <v>0</v>
          </cell>
          <cell r="G131" t="str">
            <v>M.</v>
          </cell>
        </row>
        <row r="132">
          <cell r="C132">
            <v>240</v>
          </cell>
          <cell r="D132" t="str">
            <v>-  100/400 LINE PABX</v>
          </cell>
          <cell r="E132">
            <v>1900000</v>
          </cell>
          <cell r="F132">
            <v>0</v>
          </cell>
          <cell r="G132" t="str">
            <v>M.</v>
          </cell>
        </row>
        <row r="133">
          <cell r="C133">
            <v>253</v>
          </cell>
          <cell r="D133" t="str">
            <v>SPACE</v>
          </cell>
          <cell r="E133">
            <v>410</v>
          </cell>
          <cell r="F133">
            <v>100</v>
          </cell>
          <cell r="G133" t="str">
            <v>EA.</v>
          </cell>
        </row>
        <row r="134">
          <cell r="C134">
            <v>246</v>
          </cell>
          <cell r="D134" t="str">
            <v>-  10/100 LINE PABX</v>
          </cell>
          <cell r="E134">
            <v>600000</v>
          </cell>
          <cell r="F134">
            <v>0</v>
          </cell>
          <cell r="G134" t="str">
            <v>M.</v>
          </cell>
        </row>
        <row r="135">
          <cell r="C135">
            <v>247</v>
          </cell>
          <cell r="D135" t="str">
            <v>-  20/200 LINE PABX</v>
          </cell>
          <cell r="E135">
            <v>1000000</v>
          </cell>
          <cell r="F135">
            <v>0</v>
          </cell>
          <cell r="G135" t="str">
            <v>M.</v>
          </cell>
        </row>
        <row r="136">
          <cell r="C136">
            <v>248</v>
          </cell>
          <cell r="D136" t="str">
            <v>-  30/300 LINE PABX</v>
          </cell>
          <cell r="E136">
            <v>1250000</v>
          </cell>
          <cell r="F136">
            <v>0</v>
          </cell>
          <cell r="G136" t="str">
            <v>M.</v>
          </cell>
        </row>
        <row r="137">
          <cell r="C137">
            <v>249</v>
          </cell>
          <cell r="D137" t="str">
            <v>-  40/400 LINE PABX</v>
          </cell>
          <cell r="E137">
            <v>1650000</v>
          </cell>
          <cell r="F137">
            <v>0</v>
          </cell>
          <cell r="G137" t="str">
            <v>M.</v>
          </cell>
        </row>
        <row r="138">
          <cell r="C138">
            <v>250</v>
          </cell>
          <cell r="D138" t="str">
            <v>-  50/500 LINE PABX</v>
          </cell>
          <cell r="E138">
            <v>1900000</v>
          </cell>
          <cell r="F138">
            <v>0</v>
          </cell>
          <cell r="G138" t="str">
            <v>M.</v>
          </cell>
        </row>
        <row r="139">
          <cell r="C139">
            <v>251</v>
          </cell>
          <cell r="D139" t="str">
            <v>-  60/600 LINE PABX</v>
          </cell>
          <cell r="E139">
            <v>2100000</v>
          </cell>
          <cell r="F139">
            <v>0</v>
          </cell>
          <cell r="G139" t="str">
            <v>M.</v>
          </cell>
        </row>
        <row r="140">
          <cell r="C140">
            <v>252</v>
          </cell>
          <cell r="D140" t="str">
            <v>-  70/700 LINE PABX</v>
          </cell>
          <cell r="E140">
            <v>2400000</v>
          </cell>
          <cell r="F140">
            <v>0</v>
          </cell>
          <cell r="G140" t="str">
            <v>M.</v>
          </cell>
        </row>
        <row r="141">
          <cell r="C141">
            <v>253</v>
          </cell>
          <cell r="D141" t="str">
            <v>-  80/800 LINE PABX</v>
          </cell>
          <cell r="E141">
            <v>0</v>
          </cell>
          <cell r="F141">
            <v>0</v>
          </cell>
          <cell r="G141" t="str">
            <v>M.</v>
          </cell>
        </row>
        <row r="142">
          <cell r="C142">
            <v>254</v>
          </cell>
          <cell r="D142" t="str">
            <v>-  90/900 LINE PABX</v>
          </cell>
          <cell r="E142">
            <v>0</v>
          </cell>
          <cell r="F142">
            <v>0</v>
          </cell>
          <cell r="G142" t="str">
            <v>M.</v>
          </cell>
        </row>
        <row r="143">
          <cell r="C143">
            <v>255</v>
          </cell>
          <cell r="D143" t="str">
            <v>-  100/1,000 LINE PABX</v>
          </cell>
          <cell r="E143">
            <v>0</v>
          </cell>
          <cell r="F143">
            <v>0</v>
          </cell>
          <cell r="G143" t="str">
            <v>M.</v>
          </cell>
        </row>
        <row r="144">
          <cell r="C144">
            <v>264</v>
          </cell>
          <cell r="D144" t="str">
            <v>SPACE</v>
          </cell>
          <cell r="E144">
            <v>1780</v>
          </cell>
          <cell r="F144">
            <v>150</v>
          </cell>
          <cell r="G144" t="str">
            <v>EA.</v>
          </cell>
        </row>
        <row r="145">
          <cell r="C145">
            <v>265</v>
          </cell>
          <cell r="D145" t="str">
            <v>ACCESSORIES</v>
          </cell>
          <cell r="E145">
            <v>2680</v>
          </cell>
          <cell r="F145">
            <v>150</v>
          </cell>
          <cell r="G145" t="str">
            <v>EA.</v>
          </cell>
        </row>
        <row r="146">
          <cell r="C146">
            <v>261</v>
          </cell>
          <cell r="D146" t="str">
            <v>-  LIGHTNING ARRESTER</v>
          </cell>
          <cell r="E146">
            <v>105</v>
          </cell>
          <cell r="F146">
            <v>20</v>
          </cell>
          <cell r="G146" t="str">
            <v>SET</v>
          </cell>
        </row>
        <row r="147">
          <cell r="C147">
            <v>262</v>
          </cell>
          <cell r="D147" t="str">
            <v>-  OPERATER CONSOLE</v>
          </cell>
          <cell r="E147">
            <v>28000</v>
          </cell>
          <cell r="F147">
            <v>0</v>
          </cell>
          <cell r="G147" t="str">
            <v>SET</v>
          </cell>
        </row>
        <row r="148">
          <cell r="C148">
            <v>263</v>
          </cell>
          <cell r="D148" t="str">
            <v>-  TELEPHONE OUTLET (PLASTIC PLATE)</v>
          </cell>
          <cell r="E148">
            <v>160</v>
          </cell>
          <cell r="F148">
            <v>50</v>
          </cell>
          <cell r="G148" t="str">
            <v>SET</v>
          </cell>
        </row>
        <row r="149">
          <cell r="C149">
            <v>264</v>
          </cell>
          <cell r="D149" t="str">
            <v>-  TELEPHONE OUTLET (ALUMINIUM PLATE)</v>
          </cell>
          <cell r="E149">
            <v>190</v>
          </cell>
          <cell r="F149">
            <v>50</v>
          </cell>
          <cell r="G149" t="str">
            <v>SET</v>
          </cell>
        </row>
        <row r="150">
          <cell r="C150">
            <v>265</v>
          </cell>
          <cell r="D150" t="str">
            <v>-  TELEPHONE OUTLET (STAINLESS PLATE)</v>
          </cell>
          <cell r="E150">
            <v>210</v>
          </cell>
          <cell r="F150">
            <v>50</v>
          </cell>
          <cell r="G150" t="str">
            <v>SET</v>
          </cell>
        </row>
        <row r="151">
          <cell r="C151">
            <v>266</v>
          </cell>
          <cell r="D151" t="str">
            <v>-  TELEPHONE OUTLET (ALUMINIUM PLATE, LIVING STYLE)</v>
          </cell>
          <cell r="E151">
            <v>600</v>
          </cell>
          <cell r="F151">
            <v>100</v>
          </cell>
          <cell r="G151" t="str">
            <v>SET</v>
          </cell>
        </row>
        <row r="152">
          <cell r="C152">
            <v>267</v>
          </cell>
          <cell r="D152" t="str">
            <v>-  TELEPHONE OUTLET (CHROMIUM PLATE PLATE, LIVING STYLE)</v>
          </cell>
          <cell r="E152">
            <v>870</v>
          </cell>
          <cell r="F152">
            <v>100</v>
          </cell>
          <cell r="G152" t="str">
            <v>SET</v>
          </cell>
        </row>
        <row r="153">
          <cell r="C153">
            <v>273</v>
          </cell>
          <cell r="D153" t="str">
            <v xml:space="preserve">   SPACE</v>
          </cell>
          <cell r="E153">
            <v>660</v>
          </cell>
          <cell r="F153">
            <v>100</v>
          </cell>
          <cell r="G153" t="str">
            <v>EA.</v>
          </cell>
        </row>
        <row r="154">
          <cell r="C154">
            <v>3</v>
          </cell>
          <cell r="D154" t="str">
            <v>TELECOMMUNICATION</v>
          </cell>
          <cell r="E154">
            <v>930</v>
          </cell>
          <cell r="F154">
            <v>100</v>
          </cell>
          <cell r="G154" t="str">
            <v>EA.</v>
          </cell>
        </row>
        <row r="155">
          <cell r="C155">
            <v>275</v>
          </cell>
          <cell r="D155" t="str">
            <v>MODULE &amp; ACCESSORIES</v>
          </cell>
          <cell r="E155">
            <v>1150</v>
          </cell>
          <cell r="F155">
            <v>100</v>
          </cell>
          <cell r="G155" t="str">
            <v>EA.</v>
          </cell>
        </row>
        <row r="156">
          <cell r="C156">
            <v>301</v>
          </cell>
          <cell r="D156" t="str">
            <v>-  24 PORTS-CAT5 PATCH PANEL</v>
          </cell>
          <cell r="E156">
            <v>5500</v>
          </cell>
          <cell r="F156">
            <v>300</v>
          </cell>
          <cell r="G156" t="str">
            <v>LOT</v>
          </cell>
        </row>
        <row r="157">
          <cell r="C157">
            <v>302</v>
          </cell>
          <cell r="D157" t="str">
            <v>-  32 PORTS-CAT5 PATCH PANEL</v>
          </cell>
          <cell r="E157">
            <v>8500</v>
          </cell>
          <cell r="F157">
            <v>450</v>
          </cell>
          <cell r="G157" t="str">
            <v>LOT</v>
          </cell>
        </row>
        <row r="158">
          <cell r="C158">
            <v>303</v>
          </cell>
          <cell r="D158" t="str">
            <v>-  48 PORTS-CAT5 PATCH PANEL</v>
          </cell>
          <cell r="E158">
            <v>11000</v>
          </cell>
          <cell r="F158">
            <v>600</v>
          </cell>
          <cell r="G158" t="str">
            <v>LOT</v>
          </cell>
        </row>
        <row r="159">
          <cell r="C159">
            <v>304</v>
          </cell>
          <cell r="D159" t="str">
            <v>-  64 PORTS-CAT5 PATCH PANEL</v>
          </cell>
          <cell r="E159">
            <v>16500</v>
          </cell>
          <cell r="F159">
            <v>900</v>
          </cell>
          <cell r="G159" t="str">
            <v>LOT</v>
          </cell>
        </row>
        <row r="160">
          <cell r="C160">
            <v>305</v>
          </cell>
          <cell r="D160" t="str">
            <v>-  96 PORTS-CAT5 PATCH PANEL</v>
          </cell>
          <cell r="E160">
            <v>21000</v>
          </cell>
          <cell r="F160">
            <v>1000</v>
          </cell>
          <cell r="G160" t="str">
            <v>LOT</v>
          </cell>
        </row>
        <row r="161">
          <cell r="C161">
            <v>281</v>
          </cell>
          <cell r="D161" t="str">
            <v>SPACE</v>
          </cell>
          <cell r="E161">
            <v>4480</v>
          </cell>
          <cell r="F161">
            <v>200</v>
          </cell>
          <cell r="G161" t="str">
            <v>EA.</v>
          </cell>
        </row>
        <row r="162">
          <cell r="C162">
            <v>311</v>
          </cell>
          <cell r="D162" t="str">
            <v>-  1xRJ45 MODULAR JACK</v>
          </cell>
          <cell r="E162">
            <v>280</v>
          </cell>
          <cell r="F162">
            <v>70</v>
          </cell>
          <cell r="G162" t="str">
            <v>SET</v>
          </cell>
        </row>
        <row r="163">
          <cell r="C163">
            <v>312</v>
          </cell>
          <cell r="D163" t="str">
            <v>-  2xRJ45 MODULAR JACK</v>
          </cell>
          <cell r="E163">
            <v>440</v>
          </cell>
          <cell r="F163">
            <v>100</v>
          </cell>
          <cell r="G163" t="str">
            <v>SET</v>
          </cell>
        </row>
        <row r="164">
          <cell r="C164">
            <v>313</v>
          </cell>
          <cell r="D164" t="str">
            <v>-  1xRJ45+1xRJ11 MODULAR JACK</v>
          </cell>
          <cell r="E164">
            <v>350</v>
          </cell>
          <cell r="F164">
            <v>100</v>
          </cell>
          <cell r="G164" t="str">
            <v>SET</v>
          </cell>
        </row>
        <row r="165">
          <cell r="C165">
            <v>314</v>
          </cell>
          <cell r="D165" t="str">
            <v>-  4xRJ45 MODULAR JACK</v>
          </cell>
          <cell r="E165">
            <v>760</v>
          </cell>
          <cell r="F165">
            <v>200</v>
          </cell>
          <cell r="G165" t="str">
            <v>SET</v>
          </cell>
        </row>
        <row r="166">
          <cell r="C166">
            <v>315</v>
          </cell>
          <cell r="D166" t="str">
            <v>-  3xRJ45+1xRJ11 MODULAR JACK</v>
          </cell>
          <cell r="E166">
            <v>670</v>
          </cell>
          <cell r="F166">
            <v>200</v>
          </cell>
          <cell r="G166" t="str">
            <v>SET</v>
          </cell>
        </row>
        <row r="167">
          <cell r="C167">
            <v>316</v>
          </cell>
          <cell r="D167" t="str">
            <v>-  2xRJ45+1xRJ11 MODULAR JACK</v>
          </cell>
          <cell r="E167">
            <v>580</v>
          </cell>
          <cell r="F167">
            <v>200</v>
          </cell>
          <cell r="G167" t="str">
            <v>SET</v>
          </cell>
        </row>
        <row r="168">
          <cell r="C168">
            <v>317</v>
          </cell>
          <cell r="D168" t="str">
            <v>-  6xRJ45 MODULAR JACK</v>
          </cell>
          <cell r="E168">
            <v>1140</v>
          </cell>
          <cell r="F168">
            <v>300</v>
          </cell>
          <cell r="G168" t="str">
            <v>SET</v>
          </cell>
        </row>
        <row r="169">
          <cell r="C169">
            <v>318</v>
          </cell>
          <cell r="D169" t="str">
            <v>-  5xRJ45+1xRJ11 MODULAR JACK</v>
          </cell>
          <cell r="E169">
            <v>1050</v>
          </cell>
          <cell r="F169">
            <v>300</v>
          </cell>
          <cell r="G169" t="str">
            <v>SET</v>
          </cell>
        </row>
        <row r="170">
          <cell r="C170">
            <v>319</v>
          </cell>
          <cell r="D170" t="str">
            <v>-  4xRJ45+2xRJ11 MODULAR JACK</v>
          </cell>
          <cell r="E170">
            <v>960</v>
          </cell>
          <cell r="F170">
            <v>300</v>
          </cell>
          <cell r="G170" t="str">
            <v>SET</v>
          </cell>
        </row>
        <row r="171">
          <cell r="C171">
            <v>320</v>
          </cell>
          <cell r="D171" t="str">
            <v>-  3xRJ45+3xRJ11 MODULAR JACK</v>
          </cell>
          <cell r="E171">
            <v>870</v>
          </cell>
          <cell r="F171">
            <v>300</v>
          </cell>
          <cell r="G171" t="str">
            <v>SET</v>
          </cell>
        </row>
        <row r="172">
          <cell r="C172">
            <v>321</v>
          </cell>
          <cell r="D172" t="str">
            <v>-  2xRJ45+4xRJ11 MODULAR JACK</v>
          </cell>
          <cell r="E172">
            <v>780</v>
          </cell>
          <cell r="F172">
            <v>300</v>
          </cell>
          <cell r="G172" t="str">
            <v>SET</v>
          </cell>
        </row>
        <row r="173">
          <cell r="C173">
            <v>267</v>
          </cell>
          <cell r="D173" t="str">
            <v>SPACE</v>
          </cell>
          <cell r="E173">
            <v>106</v>
          </cell>
          <cell r="F173">
            <v>40</v>
          </cell>
          <cell r="G173" t="str">
            <v>M.</v>
          </cell>
        </row>
        <row r="174">
          <cell r="C174">
            <v>296</v>
          </cell>
          <cell r="D174" t="str">
            <v>COMMUNICATION CABLE</v>
          </cell>
          <cell r="E174">
            <v>1000</v>
          </cell>
          <cell r="F174">
            <v>100</v>
          </cell>
          <cell r="G174" t="str">
            <v>EA.</v>
          </cell>
        </row>
        <row r="175">
          <cell r="C175">
            <v>326</v>
          </cell>
          <cell r="D175" t="str">
            <v>-  3 PRS-CAT3 UTP</v>
          </cell>
          <cell r="E175">
            <v>9</v>
          </cell>
          <cell r="F175">
            <v>2</v>
          </cell>
          <cell r="G175" t="str">
            <v>M.</v>
          </cell>
        </row>
        <row r="176">
          <cell r="C176">
            <v>327</v>
          </cell>
          <cell r="D176" t="str">
            <v>-  4 PRS-CAT3 UTP</v>
          </cell>
          <cell r="E176">
            <v>10</v>
          </cell>
          <cell r="F176">
            <v>2</v>
          </cell>
          <cell r="G176" t="str">
            <v>M.</v>
          </cell>
        </row>
        <row r="177">
          <cell r="C177">
            <v>328</v>
          </cell>
          <cell r="D177" t="str">
            <v>-  25 PRS-CAT3 UTP</v>
          </cell>
          <cell r="E177">
            <v>55</v>
          </cell>
          <cell r="F177">
            <v>5</v>
          </cell>
          <cell r="G177" t="str">
            <v>M.</v>
          </cell>
        </row>
        <row r="178">
          <cell r="C178">
            <v>329</v>
          </cell>
          <cell r="D178" t="str">
            <v>-  4 PRS-CAT5 UTP</v>
          </cell>
          <cell r="E178">
            <v>20</v>
          </cell>
          <cell r="F178">
            <v>2</v>
          </cell>
          <cell r="G178" t="str">
            <v>M.</v>
          </cell>
        </row>
        <row r="179">
          <cell r="C179">
            <v>330</v>
          </cell>
          <cell r="D179" t="str">
            <v>-  4 PRS-CAT4 STP</v>
          </cell>
          <cell r="E179">
            <v>25</v>
          </cell>
          <cell r="F179">
            <v>2</v>
          </cell>
          <cell r="G179" t="str">
            <v>M.</v>
          </cell>
        </row>
        <row r="180">
          <cell r="C180">
            <v>331</v>
          </cell>
          <cell r="D180" t="str">
            <v>-  15 PRS-CAT5 STP</v>
          </cell>
          <cell r="E180">
            <v>30</v>
          </cell>
          <cell r="F180">
            <v>4</v>
          </cell>
          <cell r="G180" t="str">
            <v>M.</v>
          </cell>
        </row>
        <row r="181">
          <cell r="C181">
            <v>332</v>
          </cell>
          <cell r="D181" t="str">
            <v>-  1/C - 62.5/125 FIBER OPTIC</v>
          </cell>
          <cell r="E181">
            <v>25</v>
          </cell>
          <cell r="F181">
            <v>3</v>
          </cell>
          <cell r="G181" t="str">
            <v>M.</v>
          </cell>
        </row>
        <row r="182">
          <cell r="C182">
            <v>333</v>
          </cell>
          <cell r="D182" t="str">
            <v>-  2/C - 62.5/125 FIBER OPTIC</v>
          </cell>
          <cell r="E182">
            <v>50</v>
          </cell>
          <cell r="F182">
            <v>4</v>
          </cell>
          <cell r="G182" t="str">
            <v>M.</v>
          </cell>
        </row>
        <row r="183">
          <cell r="C183">
            <v>334</v>
          </cell>
          <cell r="D183" t="str">
            <v>-  2/C - 62.5/125 FIBER OPTIC, TIGHT BUFFER</v>
          </cell>
          <cell r="E183">
            <v>61</v>
          </cell>
          <cell r="F183">
            <v>4</v>
          </cell>
          <cell r="G183" t="str">
            <v>M.</v>
          </cell>
        </row>
        <row r="184">
          <cell r="C184">
            <v>335</v>
          </cell>
          <cell r="D184" t="str">
            <v>-  4/C - 62.5/125 FIBER OPTIC, TIGHT BUFFER</v>
          </cell>
          <cell r="E184">
            <v>100</v>
          </cell>
          <cell r="F184">
            <v>6</v>
          </cell>
          <cell r="G184" t="str">
            <v>M.</v>
          </cell>
        </row>
        <row r="185">
          <cell r="C185">
            <v>336</v>
          </cell>
          <cell r="D185" t="str">
            <v>-  6/C - 62.5/125 FIBER OPTIC, TIGHT BUFFER</v>
          </cell>
          <cell r="E185">
            <v>140</v>
          </cell>
          <cell r="F185">
            <v>8</v>
          </cell>
          <cell r="G185" t="str">
            <v>M.</v>
          </cell>
        </row>
        <row r="186">
          <cell r="C186">
            <v>337</v>
          </cell>
          <cell r="D186" t="str">
            <v>-  8/C - 62.5/125 FIBER OPTIC, TIGHT BUFFER</v>
          </cell>
          <cell r="E186">
            <v>186</v>
          </cell>
          <cell r="F186">
            <v>10</v>
          </cell>
          <cell r="G186" t="str">
            <v>M.</v>
          </cell>
        </row>
        <row r="187">
          <cell r="C187">
            <v>338</v>
          </cell>
          <cell r="D187" t="str">
            <v>-  12/C - 62.5/125 FIBER OPTIC, TIGHT BUFFER</v>
          </cell>
          <cell r="E187">
            <v>259</v>
          </cell>
          <cell r="F187">
            <v>15</v>
          </cell>
          <cell r="G187" t="str">
            <v>M.</v>
          </cell>
        </row>
        <row r="188">
          <cell r="C188">
            <v>339</v>
          </cell>
          <cell r="D188" t="str">
            <v>-  18/C - 62.5/125 FIBER OPTIC, TIGHT BUFFER</v>
          </cell>
          <cell r="E188">
            <v>478</v>
          </cell>
          <cell r="F188">
            <v>20</v>
          </cell>
          <cell r="G188" t="str">
            <v>M.</v>
          </cell>
        </row>
        <row r="189">
          <cell r="C189">
            <v>340</v>
          </cell>
          <cell r="D189" t="str">
            <v>-  24/C - 62.5/125 FIBER OPTIC, TIGHT BUFFER</v>
          </cell>
          <cell r="E189">
            <v>637</v>
          </cell>
          <cell r="F189">
            <v>25</v>
          </cell>
          <cell r="G189" t="str">
            <v>M.</v>
          </cell>
        </row>
        <row r="190">
          <cell r="C190">
            <v>341</v>
          </cell>
          <cell r="D190" t="str">
            <v>-  36/C - 62.5/125 FIBER OPTIC, TIGHT BUFFER</v>
          </cell>
          <cell r="E190">
            <v>960</v>
          </cell>
          <cell r="F190">
            <v>30</v>
          </cell>
          <cell r="G190" t="str">
            <v>M.</v>
          </cell>
        </row>
        <row r="191">
          <cell r="C191">
            <v>342</v>
          </cell>
          <cell r="D191" t="str">
            <v>-  2/C - 62.5/125 FIBER OPTIC, LOOSE BUFFER, SINGLE JACKET</v>
          </cell>
          <cell r="E191">
            <v>100</v>
          </cell>
          <cell r="F191">
            <v>10</v>
          </cell>
          <cell r="G191" t="str">
            <v>M.</v>
          </cell>
        </row>
        <row r="192">
          <cell r="C192">
            <v>343</v>
          </cell>
          <cell r="D192" t="str">
            <v>-  4/C - 62.5/125 FIBER OPTIC, LOOSE BUFFER, SINGLE JACKET</v>
          </cell>
          <cell r="E192">
            <v>130</v>
          </cell>
          <cell r="F192">
            <v>13</v>
          </cell>
          <cell r="G192" t="str">
            <v>M.</v>
          </cell>
        </row>
        <row r="193">
          <cell r="C193">
            <v>344</v>
          </cell>
          <cell r="D193" t="str">
            <v>-  6/C - 62.5/125 FIBER OPTIC, LOOSE BUFFER, SINGLE JACKET</v>
          </cell>
          <cell r="E193">
            <v>165</v>
          </cell>
          <cell r="F193">
            <v>16</v>
          </cell>
          <cell r="G193" t="str">
            <v>M.</v>
          </cell>
        </row>
        <row r="194">
          <cell r="C194">
            <v>345</v>
          </cell>
          <cell r="D194" t="str">
            <v>-  8/C - 62.5/125 FIBER OPTIC, LOOSE BUFFER, SINGLE JACKET</v>
          </cell>
          <cell r="E194">
            <v>203</v>
          </cell>
          <cell r="F194">
            <v>20</v>
          </cell>
          <cell r="G194" t="str">
            <v>M.</v>
          </cell>
        </row>
        <row r="195">
          <cell r="C195">
            <v>346</v>
          </cell>
          <cell r="D195" t="str">
            <v>-  10/C - 62.5/125 FIBER OPTIC, LOOSE BUFFER, SINGLE JACKET</v>
          </cell>
          <cell r="E195">
            <v>250</v>
          </cell>
          <cell r="F195">
            <v>25</v>
          </cell>
          <cell r="G195" t="str">
            <v>M.</v>
          </cell>
        </row>
        <row r="196">
          <cell r="C196">
            <v>347</v>
          </cell>
          <cell r="D196" t="str">
            <v>-  12/C - 62.5/125 FIBER OPTIC, LOOSE BUFFER, SINGLE JACKET</v>
          </cell>
          <cell r="E196">
            <v>273</v>
          </cell>
          <cell r="F196">
            <v>27</v>
          </cell>
          <cell r="G196" t="str">
            <v>M.</v>
          </cell>
        </row>
        <row r="197">
          <cell r="C197">
            <v>348</v>
          </cell>
          <cell r="D197" t="str">
            <v>-  18/C - 62.5/125 FIBER OPTIC, LOOSE BUFFER, SINGLE JACKET</v>
          </cell>
          <cell r="E197">
            <v>390</v>
          </cell>
          <cell r="F197">
            <v>35</v>
          </cell>
          <cell r="G197" t="str">
            <v>M.</v>
          </cell>
        </row>
        <row r="198">
          <cell r="C198">
            <v>349</v>
          </cell>
          <cell r="D198" t="str">
            <v>-  24/C - 62.5/125 FIBER OPTIC, LOOSE BUFFER, SINGLE JACKET</v>
          </cell>
          <cell r="E198">
            <v>500</v>
          </cell>
          <cell r="F198">
            <v>40</v>
          </cell>
          <cell r="G198" t="str">
            <v>M.</v>
          </cell>
        </row>
        <row r="199">
          <cell r="C199">
            <v>350</v>
          </cell>
          <cell r="D199" t="str">
            <v>-  36/C - 62.5/125 FIBER OPTIC, LOOSE BUFFER, SINGLE JACKET</v>
          </cell>
          <cell r="E199">
            <v>760</v>
          </cell>
          <cell r="F199">
            <v>55</v>
          </cell>
          <cell r="G199" t="str">
            <v>M.</v>
          </cell>
        </row>
        <row r="200">
          <cell r="C200">
            <v>351</v>
          </cell>
          <cell r="D200" t="str">
            <v>-  48/C - 62.5/125 FIBER OPTIC, LOOSE BUFFER, SINGLE JACKET</v>
          </cell>
          <cell r="E200">
            <v>1005</v>
          </cell>
          <cell r="F200">
            <v>70</v>
          </cell>
          <cell r="G200" t="str">
            <v>M.</v>
          </cell>
        </row>
        <row r="201">
          <cell r="C201">
            <v>352</v>
          </cell>
          <cell r="D201" t="str">
            <v>-  60/C - 62.5/125 FIBER OPTIC, LOOSE BUFFER, SINGLE JACKET</v>
          </cell>
          <cell r="E201">
            <v>1256</v>
          </cell>
          <cell r="F201">
            <v>80</v>
          </cell>
          <cell r="G201" t="str">
            <v>M.</v>
          </cell>
        </row>
        <row r="202">
          <cell r="C202">
            <v>353</v>
          </cell>
          <cell r="D202" t="str">
            <v>-  72/C - 62.5/125 FIBER OPTIC, LOOSE BUFFER, SINGLE JACKET</v>
          </cell>
          <cell r="E202">
            <v>1503</v>
          </cell>
          <cell r="F202">
            <v>90</v>
          </cell>
          <cell r="G202" t="str">
            <v>M.</v>
          </cell>
        </row>
        <row r="203">
          <cell r="C203">
            <v>354</v>
          </cell>
          <cell r="D203" t="str">
            <v>-  2/C - 62.5/125 FIBER OPTIC, LOOSE BUFFER, DOUBLE JACKET</v>
          </cell>
          <cell r="E203">
            <v>105</v>
          </cell>
          <cell r="F203">
            <v>12</v>
          </cell>
          <cell r="G203" t="str">
            <v>M.</v>
          </cell>
        </row>
        <row r="204">
          <cell r="C204">
            <v>355</v>
          </cell>
          <cell r="D204" t="str">
            <v>-  4/C - 62.5/125 FIBER OPTIC, LOOSE BUFFER, DOUBLE JACKET</v>
          </cell>
          <cell r="E204">
            <v>145</v>
          </cell>
          <cell r="F204">
            <v>15</v>
          </cell>
          <cell r="G204" t="str">
            <v>M.</v>
          </cell>
        </row>
        <row r="205">
          <cell r="C205">
            <v>356</v>
          </cell>
          <cell r="D205" t="str">
            <v>-  6/C - 62.5/125 FIBER OPTIC, LOOSE BUFFER, DOUBLE JACKET</v>
          </cell>
          <cell r="E205">
            <v>225</v>
          </cell>
          <cell r="F205">
            <v>18</v>
          </cell>
          <cell r="G205" t="str">
            <v>M.</v>
          </cell>
        </row>
        <row r="206">
          <cell r="C206">
            <v>357</v>
          </cell>
          <cell r="D206" t="str">
            <v>-  8/C - 62.5/125 FIBER OPTIC, LOOSE BUFFER, DOUBLE JACKET</v>
          </cell>
          <cell r="E206">
            <v>230</v>
          </cell>
          <cell r="F206">
            <v>22</v>
          </cell>
          <cell r="G206" t="str">
            <v>M.</v>
          </cell>
        </row>
        <row r="207">
          <cell r="C207">
            <v>358</v>
          </cell>
          <cell r="D207" t="str">
            <v>-  10/C - 62.5/125 FIBER OPTIC, LOOSE BUFFER, DOUBLE JACKET</v>
          </cell>
          <cell r="E207">
            <v>261</v>
          </cell>
          <cell r="F207">
            <v>27</v>
          </cell>
          <cell r="G207" t="str">
            <v>M.</v>
          </cell>
        </row>
        <row r="208">
          <cell r="C208">
            <v>359</v>
          </cell>
          <cell r="D208" t="str">
            <v>-  12/C - 62.5/125 FIBER OPTIC, LOOSE BUFFER, DOUBLE JACKET</v>
          </cell>
          <cell r="E208">
            <v>290</v>
          </cell>
          <cell r="F208">
            <v>30</v>
          </cell>
          <cell r="G208" t="str">
            <v>M.</v>
          </cell>
        </row>
        <row r="209">
          <cell r="C209">
            <v>360</v>
          </cell>
          <cell r="D209" t="str">
            <v>-  18/C - 62.5/125 FIBER OPTIC, LOOSE BUFFER, DOUBLE JACKET</v>
          </cell>
          <cell r="E209">
            <v>402</v>
          </cell>
          <cell r="F209">
            <v>38</v>
          </cell>
          <cell r="G209" t="str">
            <v>M.</v>
          </cell>
        </row>
        <row r="210">
          <cell r="C210">
            <v>361</v>
          </cell>
          <cell r="D210" t="str">
            <v>-  24/C - 62.5/125 FIBER OPTIC, LOOSE BUFFER, DOUBLE JACKET</v>
          </cell>
          <cell r="E210">
            <v>511</v>
          </cell>
          <cell r="F210">
            <v>43</v>
          </cell>
          <cell r="G210" t="str">
            <v>M.</v>
          </cell>
        </row>
        <row r="211">
          <cell r="C211">
            <v>362</v>
          </cell>
          <cell r="D211" t="str">
            <v>-  36/C - 62.5/125 FIBER OPTIC, LOOSE BUFFER, DOUBLE JACKET</v>
          </cell>
          <cell r="E211">
            <v>771</v>
          </cell>
          <cell r="F211">
            <v>58</v>
          </cell>
          <cell r="G211" t="str">
            <v>M.</v>
          </cell>
        </row>
        <row r="212">
          <cell r="C212">
            <v>363</v>
          </cell>
          <cell r="D212" t="str">
            <v>-  48/C - 62.5/125 FIBER OPTIC, LOOSE BUFFER, DOUBLE JACKET</v>
          </cell>
          <cell r="E212">
            <v>1032</v>
          </cell>
          <cell r="F212">
            <v>75</v>
          </cell>
          <cell r="G212" t="str">
            <v>M.</v>
          </cell>
        </row>
        <row r="213">
          <cell r="C213">
            <v>364</v>
          </cell>
          <cell r="D213" t="str">
            <v>-  60/C - 62.5/125 FIBER OPTIC, LOOSE BUFFER, DOUBLE JACKET</v>
          </cell>
          <cell r="E213">
            <v>1312</v>
          </cell>
          <cell r="F213">
            <v>85</v>
          </cell>
          <cell r="G213" t="str">
            <v>M.</v>
          </cell>
        </row>
        <row r="214">
          <cell r="C214">
            <v>365</v>
          </cell>
          <cell r="D214" t="str">
            <v>-  72/C - 62.5/125 FIBER OPTIC, LOOSE BUFFER, DOUBLE JACKET</v>
          </cell>
          <cell r="E214">
            <v>1526</v>
          </cell>
          <cell r="F214">
            <v>95</v>
          </cell>
          <cell r="G214" t="str">
            <v>M.</v>
          </cell>
        </row>
        <row r="215">
          <cell r="C215">
            <v>366</v>
          </cell>
          <cell r="D215" t="str">
            <v>-  2/C - 62.5/125 FIBER OPTIC, LOOSE BUFFER, ARMORED</v>
          </cell>
          <cell r="E215">
            <v>154</v>
          </cell>
          <cell r="F215">
            <v>15</v>
          </cell>
          <cell r="G215" t="str">
            <v>M.</v>
          </cell>
        </row>
        <row r="216">
          <cell r="C216">
            <v>367</v>
          </cell>
          <cell r="D216" t="str">
            <v>-  4/C - 62.5/125 FIBER OPTIC, LOOSE BUFFER, ARMORED</v>
          </cell>
          <cell r="E216">
            <v>187</v>
          </cell>
          <cell r="F216">
            <v>18</v>
          </cell>
          <cell r="G216" t="str">
            <v>M.</v>
          </cell>
        </row>
        <row r="217">
          <cell r="C217">
            <v>368</v>
          </cell>
          <cell r="D217" t="str">
            <v>-  6/C - 62.5/125 FIBER OPTIC, LOOSE BUFFER, ARMORED</v>
          </cell>
          <cell r="E217">
            <v>218</v>
          </cell>
          <cell r="F217">
            <v>21</v>
          </cell>
          <cell r="G217" t="str">
            <v>M.</v>
          </cell>
        </row>
        <row r="218">
          <cell r="C218">
            <v>369</v>
          </cell>
          <cell r="D218" t="str">
            <v>-  8/C - 62.5/125 FIBER OPTIC, LOOSE BUFFER, ARMORED</v>
          </cell>
          <cell r="E218">
            <v>330</v>
          </cell>
          <cell r="F218">
            <v>25</v>
          </cell>
          <cell r="G218" t="str">
            <v>M.</v>
          </cell>
        </row>
        <row r="219">
          <cell r="C219">
            <v>370</v>
          </cell>
          <cell r="D219" t="str">
            <v>-  10/C - 62.5/125 FIBER OPTIC, LOOSE BUFFER, ARMORED</v>
          </cell>
          <cell r="E219">
            <v>414</v>
          </cell>
          <cell r="F219">
            <v>30</v>
          </cell>
          <cell r="G219" t="str">
            <v>M.</v>
          </cell>
        </row>
        <row r="220">
          <cell r="C220">
            <v>371</v>
          </cell>
          <cell r="D220" t="str">
            <v>-  12/C - 62.5/125 FIBER OPTIC, LOOSE BUFFER, ARMORED</v>
          </cell>
          <cell r="E220">
            <v>457</v>
          </cell>
          <cell r="F220">
            <v>33</v>
          </cell>
          <cell r="G220" t="str">
            <v>M.</v>
          </cell>
        </row>
        <row r="221">
          <cell r="C221">
            <v>372</v>
          </cell>
          <cell r="D221" t="str">
            <v>-  18/C - 62.5/125 FIBER OPTIC, LOOSE BUFFER, ARMORED</v>
          </cell>
          <cell r="E221">
            <v>600</v>
          </cell>
          <cell r="F221">
            <v>41</v>
          </cell>
          <cell r="G221" t="str">
            <v>M.</v>
          </cell>
        </row>
        <row r="222">
          <cell r="C222">
            <v>373</v>
          </cell>
          <cell r="D222" t="str">
            <v>-  24/C - 62.5/125 FIBER OPTIC, LOOSE BUFFER, ARMORED</v>
          </cell>
          <cell r="E222">
            <v>716</v>
          </cell>
          <cell r="F222">
            <v>46</v>
          </cell>
          <cell r="G222" t="str">
            <v>M.</v>
          </cell>
        </row>
        <row r="223">
          <cell r="C223">
            <v>374</v>
          </cell>
          <cell r="D223" t="str">
            <v>-  36/C - 62.5/125 FIBER OPTIC, LOOSE BUFFER, ARMORED</v>
          </cell>
          <cell r="E223">
            <v>991</v>
          </cell>
          <cell r="F223">
            <v>51</v>
          </cell>
          <cell r="G223" t="str">
            <v>M.</v>
          </cell>
        </row>
        <row r="224">
          <cell r="C224">
            <v>375</v>
          </cell>
          <cell r="D224" t="str">
            <v>-  48/C - 62.5/125 FIBER OPTIC, LOOSE BUFFER, ARMORED</v>
          </cell>
          <cell r="E224">
            <v>1210</v>
          </cell>
          <cell r="F224">
            <v>80</v>
          </cell>
          <cell r="G224" t="str">
            <v>M.</v>
          </cell>
        </row>
        <row r="225">
          <cell r="C225">
            <v>376</v>
          </cell>
          <cell r="D225" t="str">
            <v>-  60/C - 62.5/125 FIBER OPTIC, LOOSE BUFFER, ARMORED</v>
          </cell>
          <cell r="E225">
            <v>1513</v>
          </cell>
          <cell r="F225">
            <v>90</v>
          </cell>
          <cell r="G225" t="str">
            <v>M.</v>
          </cell>
        </row>
        <row r="226">
          <cell r="C226">
            <v>377</v>
          </cell>
          <cell r="D226" t="str">
            <v>-  72/C - 62.5/125 FIBER OPTIC, LOOSE BUFFER, ARMORED</v>
          </cell>
          <cell r="E226">
            <v>1745</v>
          </cell>
          <cell r="F226">
            <v>100</v>
          </cell>
          <cell r="G226" t="str">
            <v>M.</v>
          </cell>
        </row>
        <row r="227">
          <cell r="C227">
            <v>326</v>
          </cell>
          <cell r="D227" t="str">
            <v>SPACE</v>
          </cell>
          <cell r="E227">
            <v>1832</v>
          </cell>
          <cell r="F227">
            <v>130</v>
          </cell>
          <cell r="G227" t="str">
            <v>M.</v>
          </cell>
        </row>
        <row r="228">
          <cell r="C228">
            <v>4</v>
          </cell>
          <cell r="D228" t="str">
            <v>FIRE ALARM SYSTEM</v>
          </cell>
          <cell r="E228">
            <v>2131</v>
          </cell>
          <cell r="F228">
            <v>140</v>
          </cell>
          <cell r="G228" t="str">
            <v>M.</v>
          </cell>
        </row>
        <row r="229">
          <cell r="C229">
            <v>401</v>
          </cell>
          <cell r="D229" t="str">
            <v>-  COMBINATION DETECTOR</v>
          </cell>
          <cell r="E229">
            <v>1200</v>
          </cell>
          <cell r="F229">
            <v>100</v>
          </cell>
          <cell r="G229" t="str">
            <v>EA.</v>
          </cell>
        </row>
        <row r="230">
          <cell r="C230">
            <v>402</v>
          </cell>
          <cell r="D230" t="str">
            <v>-  RATE OR RISE DETECTOR</v>
          </cell>
          <cell r="E230">
            <v>700</v>
          </cell>
          <cell r="F230">
            <v>100</v>
          </cell>
          <cell r="G230" t="str">
            <v>EA.</v>
          </cell>
        </row>
        <row r="231">
          <cell r="C231">
            <v>403</v>
          </cell>
          <cell r="D231" t="str">
            <v>-  FIXED TEMP DETECTOR</v>
          </cell>
          <cell r="E231">
            <v>700</v>
          </cell>
          <cell r="F231">
            <v>100</v>
          </cell>
          <cell r="G231" t="str">
            <v>EA.</v>
          </cell>
        </row>
        <row r="232">
          <cell r="C232">
            <v>404</v>
          </cell>
          <cell r="D232" t="str">
            <v>-  IONIZATION SMOKE DETECTOR</v>
          </cell>
          <cell r="E232">
            <v>2000</v>
          </cell>
          <cell r="F232">
            <v>100</v>
          </cell>
          <cell r="G232" t="str">
            <v>EA.</v>
          </cell>
        </row>
        <row r="233">
          <cell r="C233">
            <v>405</v>
          </cell>
          <cell r="D233" t="str">
            <v>-  PHOTO ELECTRIC SMOKE DETECTOR</v>
          </cell>
          <cell r="E233">
            <v>2500</v>
          </cell>
          <cell r="F233">
            <v>100</v>
          </cell>
          <cell r="G233" t="str">
            <v>EA.</v>
          </cell>
        </row>
        <row r="234">
          <cell r="C234">
            <v>406</v>
          </cell>
          <cell r="D234" t="str">
            <v>-  BEAM SMOKE DETECTOR</v>
          </cell>
          <cell r="E234">
            <v>30000</v>
          </cell>
          <cell r="F234">
            <v>500</v>
          </cell>
          <cell r="G234" t="str">
            <v>EA.</v>
          </cell>
        </row>
        <row r="235">
          <cell r="C235">
            <v>407</v>
          </cell>
          <cell r="D235" t="str">
            <v>-  MANUAL STATION</v>
          </cell>
          <cell r="E235">
            <v>2000</v>
          </cell>
          <cell r="F235">
            <v>100</v>
          </cell>
          <cell r="G235" t="str">
            <v>EA.</v>
          </cell>
        </row>
        <row r="236">
          <cell r="C236">
            <v>408</v>
          </cell>
          <cell r="D236" t="str">
            <v>-  MANUAL STATION W./KEY OPERATE</v>
          </cell>
          <cell r="E236">
            <v>2500</v>
          </cell>
          <cell r="F236">
            <v>100</v>
          </cell>
          <cell r="G236" t="str">
            <v>EA.</v>
          </cell>
        </row>
        <row r="237">
          <cell r="C237">
            <v>409</v>
          </cell>
          <cell r="D237" t="str">
            <v>-  TELEPHONE STATION</v>
          </cell>
          <cell r="E237">
            <v>400</v>
          </cell>
          <cell r="F237">
            <v>100</v>
          </cell>
          <cell r="G237" t="str">
            <v>EA.</v>
          </cell>
        </row>
        <row r="238">
          <cell r="C238">
            <v>410</v>
          </cell>
          <cell r="D238" t="str">
            <v>-  6" ELECTRIC BELL</v>
          </cell>
          <cell r="E238">
            <v>2200</v>
          </cell>
          <cell r="F238">
            <v>100</v>
          </cell>
          <cell r="G238" t="str">
            <v>EA.</v>
          </cell>
        </row>
        <row r="239">
          <cell r="C239">
            <v>411</v>
          </cell>
          <cell r="D239" t="str">
            <v>-  STROBE LIGHT</v>
          </cell>
          <cell r="E239">
            <v>3000</v>
          </cell>
          <cell r="F239">
            <v>100</v>
          </cell>
          <cell r="G239" t="str">
            <v>EA.</v>
          </cell>
        </row>
        <row r="240">
          <cell r="C240">
            <v>412</v>
          </cell>
          <cell r="D240" t="str">
            <v>-  STROBE LIGHT W./SPEAKER</v>
          </cell>
          <cell r="E240">
            <v>5500</v>
          </cell>
          <cell r="F240">
            <v>100</v>
          </cell>
          <cell r="G240" t="str">
            <v>EA.</v>
          </cell>
        </row>
        <row r="241">
          <cell r="C241">
            <v>340</v>
          </cell>
          <cell r="D241" t="str">
            <v>SPACE</v>
          </cell>
          <cell r="E241">
            <v>1158</v>
          </cell>
          <cell r="F241">
            <v>150</v>
          </cell>
          <cell r="G241" t="str">
            <v>M.</v>
          </cell>
        </row>
        <row r="242">
          <cell r="C242">
            <v>421</v>
          </cell>
          <cell r="D242" t="str">
            <v>-  16 ZONE TELEPHONE MODULE</v>
          </cell>
          <cell r="E242">
            <v>100000</v>
          </cell>
          <cell r="F242">
            <v>5000</v>
          </cell>
          <cell r="G242" t="str">
            <v>SET</v>
          </cell>
        </row>
        <row r="243">
          <cell r="C243">
            <v>422</v>
          </cell>
          <cell r="D243" t="str">
            <v>-  2 LOOP MULTIPLEX FCP</v>
          </cell>
          <cell r="E243">
            <v>150000</v>
          </cell>
          <cell r="F243">
            <v>20000</v>
          </cell>
          <cell r="G243" t="str">
            <v>SET</v>
          </cell>
        </row>
        <row r="244">
          <cell r="C244">
            <v>423</v>
          </cell>
          <cell r="D244" t="str">
            <v>-  10 LOOP MULTIPLEX FCP</v>
          </cell>
          <cell r="E244">
            <v>400000</v>
          </cell>
          <cell r="F244">
            <v>40000</v>
          </cell>
          <cell r="G244" t="str">
            <v>SET</v>
          </cell>
        </row>
        <row r="245">
          <cell r="C245">
            <v>424</v>
          </cell>
          <cell r="D245" t="str">
            <v>-  8 ZONE HARD-WIRE FCP</v>
          </cell>
          <cell r="E245">
            <v>50000</v>
          </cell>
          <cell r="F245">
            <v>5000</v>
          </cell>
          <cell r="G245" t="str">
            <v>SET</v>
          </cell>
        </row>
        <row r="246">
          <cell r="C246">
            <v>425</v>
          </cell>
          <cell r="D246" t="str">
            <v>-  12 ZONE HARD-WIRE FCP</v>
          </cell>
          <cell r="E246">
            <v>70000</v>
          </cell>
          <cell r="F246">
            <v>8000</v>
          </cell>
          <cell r="G246" t="str">
            <v>SET</v>
          </cell>
        </row>
        <row r="247">
          <cell r="C247">
            <v>426</v>
          </cell>
          <cell r="D247" t="str">
            <v>-  36 ZONE HARD-WIRE FCP</v>
          </cell>
          <cell r="E247">
            <v>105000</v>
          </cell>
          <cell r="F247">
            <v>15000</v>
          </cell>
          <cell r="G247" t="str">
            <v>SET</v>
          </cell>
        </row>
        <row r="248">
          <cell r="C248">
            <v>427</v>
          </cell>
          <cell r="D248" t="str">
            <v>-  52 ZONE HARD-WIRE FCP</v>
          </cell>
          <cell r="E248">
            <v>300000</v>
          </cell>
          <cell r="F248">
            <v>30000</v>
          </cell>
          <cell r="G248" t="str">
            <v>SET</v>
          </cell>
        </row>
        <row r="249">
          <cell r="C249">
            <v>348</v>
          </cell>
          <cell r="D249" t="str">
            <v>SPACE</v>
          </cell>
          <cell r="E249">
            <v>3166</v>
          </cell>
          <cell r="F249">
            <v>220</v>
          </cell>
          <cell r="G249" t="str">
            <v>M.</v>
          </cell>
        </row>
        <row r="250">
          <cell r="C250">
            <v>5</v>
          </cell>
          <cell r="D250" t="str">
            <v>BURGLAR ALARM</v>
          </cell>
          <cell r="E250">
            <v>3709</v>
          </cell>
          <cell r="F250">
            <v>240</v>
          </cell>
          <cell r="G250" t="str">
            <v>M.</v>
          </cell>
        </row>
        <row r="251">
          <cell r="C251">
            <v>501</v>
          </cell>
          <cell r="D251" t="str">
            <v>-  16 ZONE BURGLAR ALARM CONTROL CENTER</v>
          </cell>
          <cell r="E251">
            <v>23000</v>
          </cell>
          <cell r="F251">
            <v>2000</v>
          </cell>
          <cell r="G251" t="str">
            <v>SET</v>
          </cell>
        </row>
        <row r="252">
          <cell r="C252">
            <v>502</v>
          </cell>
          <cell r="D252" t="str">
            <v>-  32 ZONE BURGLAR ALARM CONTROL CENTER</v>
          </cell>
          <cell r="E252">
            <v>32000</v>
          </cell>
          <cell r="F252">
            <v>3000</v>
          </cell>
          <cell r="G252" t="str">
            <v>SET</v>
          </cell>
        </row>
        <row r="253">
          <cell r="C253">
            <v>503</v>
          </cell>
          <cell r="D253" t="str">
            <v>-  6  ZONE BURGLAR ALARM</v>
          </cell>
          <cell r="E253">
            <v>12600</v>
          </cell>
          <cell r="F253">
            <v>1000</v>
          </cell>
          <cell r="G253" t="str">
            <v>SET</v>
          </cell>
        </row>
        <row r="254">
          <cell r="C254">
            <v>504</v>
          </cell>
          <cell r="D254" t="str">
            <v>-  16 ZONE BURGLAR ALARM</v>
          </cell>
          <cell r="E254">
            <v>17000</v>
          </cell>
          <cell r="F254">
            <v>1500</v>
          </cell>
          <cell r="G254" t="str">
            <v>SET</v>
          </cell>
        </row>
        <row r="255">
          <cell r="C255">
            <v>505</v>
          </cell>
          <cell r="D255" t="str">
            <v>-  INFRARED MOTION DETECTOR</v>
          </cell>
          <cell r="E255">
            <v>4250</v>
          </cell>
          <cell r="F255">
            <v>200</v>
          </cell>
          <cell r="G255" t="str">
            <v>EA.</v>
          </cell>
        </row>
        <row r="256">
          <cell r="C256">
            <v>506</v>
          </cell>
          <cell r="D256" t="str">
            <v>-  DUAL MODE MOTION DETECTOR</v>
          </cell>
          <cell r="E256">
            <v>9500</v>
          </cell>
          <cell r="F256">
            <v>500</v>
          </cell>
          <cell r="G256" t="str">
            <v>EA.</v>
          </cell>
        </row>
        <row r="257">
          <cell r="C257">
            <v>507</v>
          </cell>
          <cell r="D257" t="str">
            <v>-  DUAL BEAM MOTION DETECTOR</v>
          </cell>
          <cell r="E257">
            <v>35000</v>
          </cell>
          <cell r="F257">
            <v>500</v>
          </cell>
          <cell r="G257" t="str">
            <v>EA.</v>
          </cell>
        </row>
        <row r="258">
          <cell r="C258">
            <v>508</v>
          </cell>
          <cell r="D258" t="str">
            <v>-  DUAL BEAM MOTION DETECTOR</v>
          </cell>
          <cell r="E258">
            <v>23000</v>
          </cell>
          <cell r="F258">
            <v>500</v>
          </cell>
          <cell r="G258" t="str">
            <v>EA.</v>
          </cell>
        </row>
        <row r="259">
          <cell r="C259">
            <v>509</v>
          </cell>
          <cell r="D259" t="str">
            <v>-  BRAKE GLASS DETECTOR</v>
          </cell>
          <cell r="E259">
            <v>7200</v>
          </cell>
          <cell r="F259">
            <v>200</v>
          </cell>
          <cell r="G259" t="str">
            <v>EA.</v>
          </cell>
        </row>
        <row r="260">
          <cell r="C260">
            <v>510</v>
          </cell>
          <cell r="D260" t="str">
            <v>-  MAGNETIC CONTACTOR</v>
          </cell>
          <cell r="E260">
            <v>580</v>
          </cell>
          <cell r="F260">
            <v>300</v>
          </cell>
          <cell r="G260" t="str">
            <v>EA.</v>
          </cell>
        </row>
        <row r="261">
          <cell r="C261">
            <v>511</v>
          </cell>
          <cell r="D261" t="str">
            <v>-  INITIATING PUSH DUTION</v>
          </cell>
          <cell r="E261">
            <v>710</v>
          </cell>
          <cell r="F261">
            <v>100</v>
          </cell>
          <cell r="G261" t="str">
            <v>EA.</v>
          </cell>
        </row>
        <row r="262">
          <cell r="C262">
            <v>512</v>
          </cell>
          <cell r="D262" t="str">
            <v>-  KEY PAD 8 ZONE</v>
          </cell>
          <cell r="E262">
            <v>4500</v>
          </cell>
          <cell r="F262">
            <v>100</v>
          </cell>
          <cell r="G262" t="str">
            <v>EA.</v>
          </cell>
        </row>
        <row r="263">
          <cell r="C263">
            <v>513</v>
          </cell>
          <cell r="D263" t="str">
            <v>-  KEY PAD 16 ZONE</v>
          </cell>
          <cell r="E263">
            <v>6200</v>
          </cell>
          <cell r="F263">
            <v>200</v>
          </cell>
          <cell r="G263" t="str">
            <v>EA.</v>
          </cell>
        </row>
        <row r="264">
          <cell r="C264">
            <v>514</v>
          </cell>
          <cell r="D264" t="str">
            <v>-  KEY PAD 16 ZONE</v>
          </cell>
          <cell r="E264">
            <v>19000</v>
          </cell>
          <cell r="F264">
            <v>200</v>
          </cell>
          <cell r="G264" t="str">
            <v>EA.</v>
          </cell>
        </row>
        <row r="265">
          <cell r="C265">
            <v>515</v>
          </cell>
          <cell r="D265" t="str">
            <v>-  KEY CARD ACCESS</v>
          </cell>
          <cell r="E265">
            <v>15000</v>
          </cell>
          <cell r="F265">
            <v>200</v>
          </cell>
          <cell r="G265" t="str">
            <v>EA.</v>
          </cell>
        </row>
        <row r="266">
          <cell r="C266">
            <v>365</v>
          </cell>
          <cell r="D266" t="str">
            <v>-  1/C - 150 SQ.MM. 35 KV.XLPE</v>
          </cell>
          <cell r="E266">
            <v>0</v>
          </cell>
          <cell r="F266">
            <v>90</v>
          </cell>
          <cell r="G266" t="str">
            <v>M.</v>
          </cell>
        </row>
        <row r="267">
          <cell r="C267">
            <v>366</v>
          </cell>
          <cell r="D267" t="str">
            <v>-  1/C - 185 SQ.MM. 35 KV.XLPE</v>
          </cell>
          <cell r="E267">
            <v>0</v>
          </cell>
          <cell r="F267">
            <v>100</v>
          </cell>
          <cell r="G267" t="str">
            <v>M.</v>
          </cell>
        </row>
        <row r="268">
          <cell r="C268">
            <v>367</v>
          </cell>
          <cell r="D268" t="str">
            <v>-  1/C - 240 SQ.MM. 35 KV.XLPE</v>
          </cell>
          <cell r="E268">
            <v>0</v>
          </cell>
          <cell r="F268">
            <v>110</v>
          </cell>
          <cell r="G268" t="str">
            <v>M.</v>
          </cell>
        </row>
        <row r="269">
          <cell r="D269" t="str">
            <v>SPACE</v>
          </cell>
        </row>
        <row r="270">
          <cell r="C270">
            <v>369</v>
          </cell>
          <cell r="D270" t="str">
            <v>-  1/C - 35 SQ.MM. 25 KV.PIC</v>
          </cell>
          <cell r="E270">
            <v>108</v>
          </cell>
          <cell r="F270">
            <v>20</v>
          </cell>
          <cell r="G270" t="str">
            <v>M.</v>
          </cell>
        </row>
        <row r="271">
          <cell r="C271">
            <v>370</v>
          </cell>
          <cell r="D271" t="str">
            <v>-  1/C - 50 SQ.MM. 25 KV.PIC</v>
          </cell>
          <cell r="E271">
            <v>128</v>
          </cell>
          <cell r="F271">
            <v>25</v>
          </cell>
          <cell r="G271" t="str">
            <v>M.</v>
          </cell>
        </row>
        <row r="272">
          <cell r="C272">
            <v>371</v>
          </cell>
          <cell r="D272" t="str">
            <v>-  1/C - 70 SQ.MM. 25 KV.PIC</v>
          </cell>
          <cell r="E272">
            <v>148</v>
          </cell>
          <cell r="F272">
            <v>30</v>
          </cell>
          <cell r="G272" t="str">
            <v>M.</v>
          </cell>
        </row>
        <row r="273">
          <cell r="C273">
            <v>372</v>
          </cell>
          <cell r="D273" t="str">
            <v>-  1/C - 95 SQ.MM. 25 KV.PIC</v>
          </cell>
          <cell r="E273">
            <v>178</v>
          </cell>
          <cell r="F273">
            <v>35</v>
          </cell>
          <cell r="G273" t="str">
            <v>M.</v>
          </cell>
        </row>
        <row r="274">
          <cell r="C274">
            <v>373</v>
          </cell>
          <cell r="D274" t="str">
            <v>-  1/C - 120 SQ.MM. 25 KV.PIC</v>
          </cell>
          <cell r="E274">
            <v>208</v>
          </cell>
          <cell r="F274">
            <v>40</v>
          </cell>
          <cell r="G274" t="str">
            <v>M.</v>
          </cell>
        </row>
        <row r="275">
          <cell r="C275">
            <v>374</v>
          </cell>
          <cell r="D275" t="str">
            <v>-  1/C - 150 SQ.MM. 25 KV.PIC</v>
          </cell>
          <cell r="E275">
            <v>248</v>
          </cell>
          <cell r="F275">
            <v>60</v>
          </cell>
          <cell r="G275" t="str">
            <v>M.</v>
          </cell>
        </row>
        <row r="276">
          <cell r="C276">
            <v>375</v>
          </cell>
          <cell r="D276" t="str">
            <v>-  1/C - 185 SQ.MM. 25 KV.PIC</v>
          </cell>
          <cell r="E276">
            <v>288</v>
          </cell>
          <cell r="F276">
            <v>70</v>
          </cell>
          <cell r="G276" t="str">
            <v>M.</v>
          </cell>
        </row>
        <row r="277">
          <cell r="C277">
            <v>376</v>
          </cell>
          <cell r="D277" t="str">
            <v>-  1/C - 240 SQ.MM. 25 KV.PIC</v>
          </cell>
          <cell r="E277">
            <v>348</v>
          </cell>
          <cell r="F277">
            <v>75</v>
          </cell>
          <cell r="G277" t="str">
            <v>M.</v>
          </cell>
        </row>
        <row r="278">
          <cell r="C278">
            <v>377</v>
          </cell>
          <cell r="D278" t="str">
            <v>-  1/C - 35 SQ.MM. 35 KV.PIC</v>
          </cell>
          <cell r="E278">
            <v>0</v>
          </cell>
          <cell r="F278">
            <v>30</v>
          </cell>
          <cell r="G278" t="str">
            <v>M.</v>
          </cell>
        </row>
        <row r="279">
          <cell r="C279">
            <v>378</v>
          </cell>
          <cell r="D279" t="str">
            <v>-  1/C - 50 SQ.MM. 35 KV.PIC</v>
          </cell>
          <cell r="E279">
            <v>0</v>
          </cell>
          <cell r="F279">
            <v>35</v>
          </cell>
          <cell r="G279" t="str">
            <v>M.</v>
          </cell>
        </row>
        <row r="280">
          <cell r="C280">
            <v>379</v>
          </cell>
          <cell r="D280" t="str">
            <v>-  1/C - 70 SQ.MM. 35 KV.PIC</v>
          </cell>
          <cell r="E280">
            <v>0</v>
          </cell>
          <cell r="F280">
            <v>40</v>
          </cell>
          <cell r="G280" t="str">
            <v>M.</v>
          </cell>
        </row>
        <row r="281">
          <cell r="C281">
            <v>380</v>
          </cell>
          <cell r="D281" t="str">
            <v>-  1/C - 95 SQ.MM. 35 KV.PIC</v>
          </cell>
          <cell r="E281">
            <v>0</v>
          </cell>
          <cell r="F281">
            <v>60</v>
          </cell>
          <cell r="G281" t="str">
            <v>M.</v>
          </cell>
        </row>
        <row r="282">
          <cell r="C282">
            <v>381</v>
          </cell>
          <cell r="D282" t="str">
            <v>-  1/C - 120 SQ.MM. 35 KV.PIC</v>
          </cell>
          <cell r="E282">
            <v>0</v>
          </cell>
          <cell r="F282">
            <v>70</v>
          </cell>
          <cell r="G282" t="str">
            <v>M.</v>
          </cell>
        </row>
        <row r="283">
          <cell r="C283">
            <v>382</v>
          </cell>
          <cell r="D283" t="str">
            <v>-  1/C - 150 SQ.MM. 35 KV.PIC</v>
          </cell>
          <cell r="E283">
            <v>0</v>
          </cell>
          <cell r="F283">
            <v>75</v>
          </cell>
          <cell r="G283" t="str">
            <v>M.</v>
          </cell>
        </row>
        <row r="284">
          <cell r="C284">
            <v>383</v>
          </cell>
          <cell r="D284" t="str">
            <v>-  1/C - 185 SQ.MM. 35 KV.PIC</v>
          </cell>
          <cell r="E284">
            <v>0</v>
          </cell>
          <cell r="F284">
            <v>80</v>
          </cell>
          <cell r="G284" t="str">
            <v>M.</v>
          </cell>
        </row>
        <row r="285">
          <cell r="C285">
            <v>384</v>
          </cell>
          <cell r="D285" t="str">
            <v>-  1/C - 240 SQ.MM. 35 KV.PIC</v>
          </cell>
          <cell r="E285">
            <v>0</v>
          </cell>
          <cell r="F285">
            <v>85</v>
          </cell>
          <cell r="G285" t="str">
            <v>M.</v>
          </cell>
        </row>
        <row r="286">
          <cell r="D286" t="str">
            <v>SPACE</v>
          </cell>
        </row>
        <row r="287">
          <cell r="C287">
            <v>386</v>
          </cell>
          <cell r="D287" t="str">
            <v>-  1/C - 35 SQ.MM. 25 KV.SPACED AERIAL</v>
          </cell>
          <cell r="E287">
            <v>160</v>
          </cell>
          <cell r="F287">
            <v>25</v>
          </cell>
          <cell r="G287" t="str">
            <v>M.</v>
          </cell>
        </row>
        <row r="288">
          <cell r="C288">
            <v>387</v>
          </cell>
          <cell r="D288" t="str">
            <v>-  1/C - 50 SQ.MM. 25 KV.SPACED AERIAL</v>
          </cell>
          <cell r="E288">
            <v>190</v>
          </cell>
          <cell r="F288">
            <v>30</v>
          </cell>
          <cell r="G288" t="str">
            <v>M.</v>
          </cell>
        </row>
        <row r="289">
          <cell r="C289">
            <v>388</v>
          </cell>
          <cell r="D289" t="str">
            <v>-  1/C - 70 SQ.MM. 25 KV.SPACED AERIAL</v>
          </cell>
          <cell r="E289">
            <v>220</v>
          </cell>
          <cell r="F289">
            <v>35</v>
          </cell>
          <cell r="G289" t="str">
            <v>M.</v>
          </cell>
        </row>
        <row r="290">
          <cell r="C290">
            <v>389</v>
          </cell>
          <cell r="D290" t="str">
            <v>-  1/C - 95 SQ.MM. 25 KV.SPACED AERIAL</v>
          </cell>
          <cell r="E290">
            <v>260</v>
          </cell>
          <cell r="F290">
            <v>40</v>
          </cell>
          <cell r="G290" t="str">
            <v>M.</v>
          </cell>
        </row>
        <row r="291">
          <cell r="C291">
            <v>390</v>
          </cell>
          <cell r="D291" t="str">
            <v>-  1/C - 120 SQ.MM. 25 KV.SPACED AERIAL</v>
          </cell>
          <cell r="E291">
            <v>300</v>
          </cell>
          <cell r="F291">
            <v>60</v>
          </cell>
          <cell r="G291" t="str">
            <v>M.</v>
          </cell>
        </row>
        <row r="292">
          <cell r="C292">
            <v>391</v>
          </cell>
          <cell r="D292" t="str">
            <v>-  1/C - 150 SQ.MM. 25 KV.SPACED AERIAL</v>
          </cell>
          <cell r="E292">
            <v>340</v>
          </cell>
          <cell r="F292">
            <v>70</v>
          </cell>
          <cell r="G292" t="str">
            <v>M.</v>
          </cell>
        </row>
        <row r="293">
          <cell r="C293">
            <v>392</v>
          </cell>
          <cell r="D293" t="str">
            <v>-  1/C - 185 SQ.MM. 25 KV.SPACED AERIAL</v>
          </cell>
          <cell r="E293">
            <v>390</v>
          </cell>
          <cell r="F293">
            <v>75</v>
          </cell>
          <cell r="G293" t="str">
            <v>M.</v>
          </cell>
        </row>
        <row r="294">
          <cell r="C294">
            <v>393</v>
          </cell>
          <cell r="D294" t="str">
            <v>-  1/C - 240 SQ.MM. 25 KV.SPACED AERIAL</v>
          </cell>
          <cell r="E294">
            <v>470</v>
          </cell>
          <cell r="F294">
            <v>80</v>
          </cell>
          <cell r="G294" t="str">
            <v>M.</v>
          </cell>
        </row>
        <row r="295">
          <cell r="C295">
            <v>394</v>
          </cell>
          <cell r="D295" t="str">
            <v>-  1/C - 35 SQ.MM. 35 KV.SPACED AERIAL</v>
          </cell>
          <cell r="E295">
            <v>0</v>
          </cell>
          <cell r="F295">
            <v>75</v>
          </cell>
          <cell r="G295" t="str">
            <v>M.</v>
          </cell>
        </row>
        <row r="296">
          <cell r="C296">
            <v>395</v>
          </cell>
          <cell r="D296" t="str">
            <v>-  1/C - 50 SQ.MM. 35 KV.SPACED AERIAL</v>
          </cell>
          <cell r="E296">
            <v>0</v>
          </cell>
          <cell r="F296">
            <v>89</v>
          </cell>
          <cell r="G296" t="str">
            <v>M.</v>
          </cell>
        </row>
        <row r="297">
          <cell r="C297">
            <v>396</v>
          </cell>
          <cell r="D297" t="str">
            <v>-  1/C - 70 SQ.MM. 35 KV.SPACED AERIAL</v>
          </cell>
          <cell r="E297">
            <v>0</v>
          </cell>
          <cell r="F297">
            <v>85</v>
          </cell>
          <cell r="G297" t="str">
            <v>M.</v>
          </cell>
        </row>
        <row r="298">
          <cell r="C298">
            <v>397</v>
          </cell>
          <cell r="D298" t="str">
            <v>-  1/C - 95 SQ.MM. 35 KV.SPACED AERIAL</v>
          </cell>
          <cell r="E298">
            <v>0</v>
          </cell>
          <cell r="F298">
            <v>90</v>
          </cell>
          <cell r="G298" t="str">
            <v>M.</v>
          </cell>
        </row>
        <row r="299">
          <cell r="C299">
            <v>398</v>
          </cell>
          <cell r="D299" t="str">
            <v>-  1/C - 120 SQ.MM. 35 KV.SPACED AERIAL</v>
          </cell>
          <cell r="E299">
            <v>0</v>
          </cell>
          <cell r="F299">
            <v>100</v>
          </cell>
          <cell r="G299" t="str">
            <v>M.</v>
          </cell>
        </row>
        <row r="300">
          <cell r="C300">
            <v>399</v>
          </cell>
          <cell r="D300" t="str">
            <v>-  1/C - 150 SQ.MM. 35 KV.SPACED AERIAL</v>
          </cell>
          <cell r="E300">
            <v>0</v>
          </cell>
          <cell r="F300">
            <v>110</v>
          </cell>
          <cell r="G300" t="str">
            <v>M.</v>
          </cell>
        </row>
        <row r="301">
          <cell r="C301">
            <v>400</v>
          </cell>
          <cell r="D301" t="str">
            <v>-  1/C - 185 SQ.MM. 35 KV.SPACED AERIAL</v>
          </cell>
          <cell r="E301">
            <v>0</v>
          </cell>
          <cell r="F301">
            <v>120</v>
          </cell>
          <cell r="G301" t="str">
            <v>M.</v>
          </cell>
        </row>
        <row r="302">
          <cell r="C302">
            <v>401</v>
          </cell>
          <cell r="D302" t="str">
            <v>-  1/C - 240 SQ.MM. 35 KV.SPACED AERIAL</v>
          </cell>
          <cell r="E302">
            <v>0</v>
          </cell>
          <cell r="F302">
            <v>140</v>
          </cell>
          <cell r="G302" t="str">
            <v>M.</v>
          </cell>
        </row>
        <row r="303">
          <cell r="C303">
            <v>402</v>
          </cell>
          <cell r="D303" t="str">
            <v>-  25 SQ.MM. ALL ALUMINIUM CABLE</v>
          </cell>
          <cell r="E303">
            <v>9</v>
          </cell>
          <cell r="F303">
            <v>5</v>
          </cell>
          <cell r="G303" t="str">
            <v>M.</v>
          </cell>
        </row>
        <row r="304">
          <cell r="C304">
            <v>403</v>
          </cell>
          <cell r="D304" t="str">
            <v>-  35 SQ.MM. ALL ALUMINIUM CABLE</v>
          </cell>
          <cell r="E304">
            <v>13</v>
          </cell>
          <cell r="F304">
            <v>6</v>
          </cell>
          <cell r="G304" t="str">
            <v>M.</v>
          </cell>
        </row>
        <row r="305">
          <cell r="C305">
            <v>404</v>
          </cell>
          <cell r="D305" t="str">
            <v>-  50 SQ.MM. ALL ALUMINIUM CABLE</v>
          </cell>
          <cell r="E305">
            <v>18</v>
          </cell>
          <cell r="F305">
            <v>8</v>
          </cell>
          <cell r="G305" t="str">
            <v>M.</v>
          </cell>
        </row>
        <row r="306">
          <cell r="C306">
            <v>405</v>
          </cell>
          <cell r="D306" t="str">
            <v>-  70 SQ.MM. ALL ALUMINIUM CABLE</v>
          </cell>
          <cell r="E306">
            <v>26</v>
          </cell>
          <cell r="F306">
            <v>11</v>
          </cell>
          <cell r="G306" t="str">
            <v>M.</v>
          </cell>
        </row>
        <row r="307">
          <cell r="C307">
            <v>406</v>
          </cell>
          <cell r="D307" t="str">
            <v>-  95 SQ.MM. ALL ALUMINIUM CABLE</v>
          </cell>
          <cell r="E307">
            <v>36</v>
          </cell>
          <cell r="F307">
            <v>16</v>
          </cell>
          <cell r="G307" t="str">
            <v>M.</v>
          </cell>
        </row>
        <row r="308">
          <cell r="C308">
            <v>407</v>
          </cell>
          <cell r="D308" t="str">
            <v>-  120 SQ.MM. ALL ALUMINIUM CABLE</v>
          </cell>
          <cell r="E308">
            <v>46</v>
          </cell>
          <cell r="F308">
            <v>20</v>
          </cell>
          <cell r="G308" t="str">
            <v>M.</v>
          </cell>
        </row>
        <row r="309">
          <cell r="C309">
            <v>408</v>
          </cell>
          <cell r="D309" t="str">
            <v>-  150 SQ.MM. ALL ALUMINIUM CABLE</v>
          </cell>
          <cell r="E309">
            <v>56</v>
          </cell>
          <cell r="F309">
            <v>25</v>
          </cell>
          <cell r="G309" t="str">
            <v>M.</v>
          </cell>
        </row>
        <row r="310">
          <cell r="C310">
            <v>409</v>
          </cell>
          <cell r="D310" t="str">
            <v>-  185 SQ.MM. ALL ALUMINIUM CABLE</v>
          </cell>
          <cell r="E310">
            <v>64</v>
          </cell>
          <cell r="F310">
            <v>30</v>
          </cell>
          <cell r="G310" t="str">
            <v>M.</v>
          </cell>
        </row>
        <row r="311">
          <cell r="C311">
            <v>410</v>
          </cell>
          <cell r="D311" t="str">
            <v>-  25 SQ.MM. ACSR</v>
          </cell>
          <cell r="E311">
            <v>11</v>
          </cell>
          <cell r="F311">
            <v>5</v>
          </cell>
          <cell r="G311" t="str">
            <v>M.</v>
          </cell>
        </row>
        <row r="312">
          <cell r="C312">
            <v>411</v>
          </cell>
          <cell r="D312" t="str">
            <v>-  35 SQ.MM. ACSR</v>
          </cell>
          <cell r="E312">
            <v>15</v>
          </cell>
          <cell r="F312">
            <v>6</v>
          </cell>
          <cell r="G312" t="str">
            <v>M.</v>
          </cell>
        </row>
        <row r="313">
          <cell r="C313">
            <v>412</v>
          </cell>
          <cell r="D313" t="str">
            <v>-  50 SQ.MM. ACSR</v>
          </cell>
          <cell r="E313">
            <v>21</v>
          </cell>
          <cell r="F313">
            <v>8</v>
          </cell>
          <cell r="G313" t="str">
            <v>M.</v>
          </cell>
        </row>
        <row r="314">
          <cell r="C314">
            <v>413</v>
          </cell>
          <cell r="D314" t="str">
            <v>-  70 SQ.MM. ACSR</v>
          </cell>
          <cell r="E314">
            <v>30</v>
          </cell>
          <cell r="F314">
            <v>11</v>
          </cell>
          <cell r="G314" t="str">
            <v>M.</v>
          </cell>
        </row>
        <row r="315">
          <cell r="C315">
            <v>414</v>
          </cell>
          <cell r="D315" t="str">
            <v>-  95 SQ.MM. ACSR</v>
          </cell>
          <cell r="E315">
            <v>42</v>
          </cell>
          <cell r="F315">
            <v>16</v>
          </cell>
          <cell r="G315" t="str">
            <v>M.</v>
          </cell>
        </row>
        <row r="316">
          <cell r="C316">
            <v>415</v>
          </cell>
          <cell r="D316" t="str">
            <v>-  120 SQ.MM. ACSR</v>
          </cell>
          <cell r="E316">
            <v>54</v>
          </cell>
          <cell r="F316">
            <v>20</v>
          </cell>
          <cell r="G316" t="str">
            <v>M.</v>
          </cell>
        </row>
        <row r="317">
          <cell r="C317">
            <v>416</v>
          </cell>
          <cell r="D317" t="str">
            <v>-  150 SQ.MM. ACSR</v>
          </cell>
          <cell r="E317">
            <v>83</v>
          </cell>
          <cell r="F317">
            <v>25</v>
          </cell>
          <cell r="G317" t="str">
            <v>M.</v>
          </cell>
        </row>
        <row r="318">
          <cell r="C318">
            <v>417</v>
          </cell>
          <cell r="D318" t="str">
            <v>-  185 SQ.MM. ACSR</v>
          </cell>
          <cell r="E318">
            <v>0</v>
          </cell>
          <cell r="F318">
            <v>0</v>
          </cell>
          <cell r="G318" t="str">
            <v>M.</v>
          </cell>
        </row>
        <row r="319">
          <cell r="D319" t="str">
            <v>SPACE</v>
          </cell>
        </row>
        <row r="320">
          <cell r="C320">
            <v>45</v>
          </cell>
          <cell r="D320" t="str">
            <v>FIRE - RESISTANT CABLE</v>
          </cell>
        </row>
        <row r="321">
          <cell r="C321">
            <v>451</v>
          </cell>
          <cell r="D321" t="str">
            <v>-  1/C - 0.75 SQ.MM. FR.</v>
          </cell>
          <cell r="E321">
            <v>17</v>
          </cell>
          <cell r="F321">
            <v>1</v>
          </cell>
          <cell r="G321" t="str">
            <v>M.</v>
          </cell>
        </row>
        <row r="322">
          <cell r="C322">
            <v>452</v>
          </cell>
          <cell r="D322" t="str">
            <v>-  1/C - 1.0 SQ.MM. FR.</v>
          </cell>
          <cell r="E322">
            <v>19</v>
          </cell>
          <cell r="F322">
            <v>1</v>
          </cell>
          <cell r="G322" t="str">
            <v>M.</v>
          </cell>
        </row>
        <row r="323">
          <cell r="C323">
            <v>453</v>
          </cell>
          <cell r="D323" t="str">
            <v>-  1/C - 1.5 SQ.MM. FR.</v>
          </cell>
          <cell r="E323">
            <v>20</v>
          </cell>
          <cell r="F323">
            <v>1</v>
          </cell>
          <cell r="G323" t="str">
            <v>M.</v>
          </cell>
        </row>
        <row r="324">
          <cell r="C324">
            <v>454</v>
          </cell>
          <cell r="D324" t="str">
            <v>-  1/C - 2.5 SQ.MM. FR.</v>
          </cell>
          <cell r="E324">
            <v>26</v>
          </cell>
          <cell r="F324">
            <v>2</v>
          </cell>
          <cell r="G324" t="str">
            <v>M.</v>
          </cell>
        </row>
        <row r="325">
          <cell r="C325">
            <v>455</v>
          </cell>
          <cell r="D325" t="str">
            <v>-  1/C - 4 SQ.MM. FR.</v>
          </cell>
          <cell r="E325">
            <v>36</v>
          </cell>
          <cell r="F325">
            <v>2</v>
          </cell>
          <cell r="G325" t="str">
            <v>M.</v>
          </cell>
        </row>
        <row r="326">
          <cell r="C326">
            <v>456</v>
          </cell>
          <cell r="D326" t="str">
            <v>-  1/C - 6 SQ.MM. FR.</v>
          </cell>
          <cell r="E326">
            <v>60</v>
          </cell>
          <cell r="F326">
            <v>3</v>
          </cell>
          <cell r="G326" t="str">
            <v>M.</v>
          </cell>
        </row>
        <row r="327">
          <cell r="C327">
            <v>457</v>
          </cell>
          <cell r="D327" t="str">
            <v>-  1/C - 10 SQ.MM. FR.</v>
          </cell>
          <cell r="E327">
            <v>82</v>
          </cell>
          <cell r="F327">
            <v>5</v>
          </cell>
          <cell r="G327" t="str">
            <v>M.</v>
          </cell>
        </row>
        <row r="328">
          <cell r="C328">
            <v>458</v>
          </cell>
          <cell r="D328" t="str">
            <v>-  1/C - 16 SQ.MM. FR.</v>
          </cell>
          <cell r="E328">
            <v>96</v>
          </cell>
          <cell r="F328">
            <v>6</v>
          </cell>
          <cell r="G328" t="str">
            <v>M.</v>
          </cell>
        </row>
        <row r="329">
          <cell r="C329">
            <v>459</v>
          </cell>
          <cell r="D329" t="str">
            <v>-  1/C - 25 SQ.MM. FR.</v>
          </cell>
          <cell r="E329">
            <v>130</v>
          </cell>
          <cell r="F329">
            <v>8</v>
          </cell>
          <cell r="G329" t="str">
            <v>M.</v>
          </cell>
        </row>
        <row r="330">
          <cell r="C330">
            <v>460</v>
          </cell>
          <cell r="D330" t="str">
            <v>-  1/C - 35 SQ.MM. FR.</v>
          </cell>
          <cell r="E330">
            <v>184</v>
          </cell>
          <cell r="F330">
            <v>11</v>
          </cell>
          <cell r="G330" t="str">
            <v>M.</v>
          </cell>
        </row>
        <row r="331">
          <cell r="C331">
            <v>461</v>
          </cell>
          <cell r="D331" t="str">
            <v>-  1/C - 50 SQ.MM. FR.</v>
          </cell>
          <cell r="E331">
            <v>264</v>
          </cell>
          <cell r="F331">
            <v>16</v>
          </cell>
          <cell r="G331" t="str">
            <v>M.</v>
          </cell>
        </row>
        <row r="332">
          <cell r="C332">
            <v>462</v>
          </cell>
          <cell r="D332" t="str">
            <v>-  1/C - 70 SQ.MM. FR.</v>
          </cell>
          <cell r="E332">
            <v>330</v>
          </cell>
          <cell r="F332">
            <v>20</v>
          </cell>
          <cell r="G332" t="str">
            <v>M.</v>
          </cell>
        </row>
        <row r="333">
          <cell r="C333">
            <v>463</v>
          </cell>
          <cell r="D333" t="str">
            <v>-  1/C - 95 SQ.MM. FR.</v>
          </cell>
          <cell r="E333">
            <v>396</v>
          </cell>
          <cell r="F333">
            <v>25</v>
          </cell>
          <cell r="G333" t="str">
            <v>M.</v>
          </cell>
        </row>
        <row r="334">
          <cell r="C334">
            <v>464</v>
          </cell>
          <cell r="D334" t="str">
            <v>-  1/C - 120 SQ.MM. FR.</v>
          </cell>
          <cell r="E334">
            <v>488</v>
          </cell>
          <cell r="F334">
            <v>30</v>
          </cell>
          <cell r="G334" t="str">
            <v>M.</v>
          </cell>
        </row>
        <row r="335">
          <cell r="C335">
            <v>465</v>
          </cell>
          <cell r="D335" t="str">
            <v>-  1/C - 150 SQ.MM. FR.</v>
          </cell>
          <cell r="E335">
            <v>589</v>
          </cell>
          <cell r="F335">
            <v>35</v>
          </cell>
          <cell r="G335" t="str">
            <v>M.</v>
          </cell>
        </row>
        <row r="336">
          <cell r="C336">
            <v>466</v>
          </cell>
          <cell r="D336" t="str">
            <v>-  1/C - 185 SQ.MM. FR.</v>
          </cell>
          <cell r="E336">
            <v>688</v>
          </cell>
          <cell r="F336">
            <v>40</v>
          </cell>
          <cell r="G336" t="str">
            <v>M.</v>
          </cell>
        </row>
        <row r="337">
          <cell r="C337">
            <v>467</v>
          </cell>
          <cell r="D337" t="str">
            <v>-  1/C - 240 SQ.MM. FR.</v>
          </cell>
          <cell r="E337">
            <v>852</v>
          </cell>
          <cell r="F337">
            <v>50</v>
          </cell>
          <cell r="G337" t="str">
            <v>M.</v>
          </cell>
        </row>
        <row r="338">
          <cell r="C338">
            <v>468</v>
          </cell>
          <cell r="D338" t="str">
            <v>-  1/C - 300 SQ.MM. FR.</v>
          </cell>
          <cell r="E338">
            <v>1088</v>
          </cell>
          <cell r="F338">
            <v>60</v>
          </cell>
          <cell r="G338" t="str">
            <v>M.</v>
          </cell>
        </row>
        <row r="339">
          <cell r="C339">
            <v>469</v>
          </cell>
          <cell r="D339" t="str">
            <v>-  1/C - 400 SQ.MM. FR.</v>
          </cell>
          <cell r="E339">
            <v>1308</v>
          </cell>
          <cell r="F339">
            <v>70</v>
          </cell>
          <cell r="G339" t="str">
            <v>M.</v>
          </cell>
        </row>
        <row r="340">
          <cell r="C340">
            <v>470</v>
          </cell>
          <cell r="D340" t="str">
            <v>-  1/C - 500 SQ.MM. FR.</v>
          </cell>
          <cell r="E340">
            <v>1548</v>
          </cell>
          <cell r="F340">
            <v>90</v>
          </cell>
          <cell r="G340" t="str">
            <v>M.</v>
          </cell>
        </row>
        <row r="341">
          <cell r="C341">
            <v>471</v>
          </cell>
          <cell r="D341" t="str">
            <v>-  1/C - 630 SQ.MM. FR.</v>
          </cell>
          <cell r="E341">
            <v>1904</v>
          </cell>
          <cell r="F341">
            <v>105</v>
          </cell>
          <cell r="G341" t="str">
            <v>M.</v>
          </cell>
        </row>
        <row r="342">
          <cell r="C342">
            <v>472</v>
          </cell>
          <cell r="D342" t="str">
            <v>-  1/C - 2.5 SQ.MM. FR. W./SHEET</v>
          </cell>
          <cell r="E342">
            <v>44</v>
          </cell>
          <cell r="F342">
            <v>2</v>
          </cell>
          <cell r="G342" t="str">
            <v>M.</v>
          </cell>
        </row>
        <row r="343">
          <cell r="C343">
            <v>473</v>
          </cell>
          <cell r="D343" t="str">
            <v>-  1/C - 4 SQ.MM. FR. W./SHEET</v>
          </cell>
          <cell r="E343">
            <v>58</v>
          </cell>
          <cell r="F343">
            <v>3</v>
          </cell>
          <cell r="G343" t="str">
            <v>M.</v>
          </cell>
        </row>
        <row r="344">
          <cell r="C344">
            <v>474</v>
          </cell>
          <cell r="D344" t="str">
            <v>-  1/C - 6 SQ.MM. FR. W./SHEET</v>
          </cell>
          <cell r="E344">
            <v>71</v>
          </cell>
          <cell r="F344">
            <v>5</v>
          </cell>
          <cell r="G344" t="str">
            <v>M.</v>
          </cell>
        </row>
        <row r="345">
          <cell r="C345">
            <v>475</v>
          </cell>
          <cell r="D345" t="str">
            <v>-  1/C - 10 SQ.MM. FR. W./SHEET</v>
          </cell>
          <cell r="E345">
            <v>97</v>
          </cell>
          <cell r="F345">
            <v>6</v>
          </cell>
          <cell r="G345" t="str">
            <v>M.</v>
          </cell>
        </row>
        <row r="346">
          <cell r="C346">
            <v>476</v>
          </cell>
          <cell r="D346" t="str">
            <v>-  1/C - 16 SQ.MM. FR. W./SHEET</v>
          </cell>
          <cell r="E346">
            <v>112</v>
          </cell>
          <cell r="F346">
            <v>8</v>
          </cell>
          <cell r="G346" t="str">
            <v>M.</v>
          </cell>
        </row>
        <row r="347">
          <cell r="C347">
            <v>477</v>
          </cell>
          <cell r="D347" t="str">
            <v>-  1/C - 25 SQ.MM. FR. W./SHEET</v>
          </cell>
          <cell r="E347">
            <v>154</v>
          </cell>
          <cell r="F347">
            <v>11</v>
          </cell>
          <cell r="G347" t="str">
            <v>M.</v>
          </cell>
        </row>
        <row r="348">
          <cell r="C348">
            <v>478</v>
          </cell>
          <cell r="D348" t="str">
            <v>-  1/C - 35 SQ.MM. FR. W./SHEET</v>
          </cell>
          <cell r="E348">
            <v>211</v>
          </cell>
          <cell r="F348">
            <v>16</v>
          </cell>
          <cell r="G348" t="str">
            <v>M.</v>
          </cell>
        </row>
        <row r="349">
          <cell r="C349">
            <v>479</v>
          </cell>
          <cell r="D349" t="str">
            <v>-  1/C - 50 SQ.MM. FR. W./SHEET</v>
          </cell>
          <cell r="E349">
            <v>303</v>
          </cell>
          <cell r="F349">
            <v>20</v>
          </cell>
          <cell r="G349" t="str">
            <v>M.</v>
          </cell>
        </row>
        <row r="350">
          <cell r="C350">
            <v>480</v>
          </cell>
          <cell r="D350" t="str">
            <v>-  1/C - 70 SQ.MM. FR. W./SHEET</v>
          </cell>
          <cell r="E350">
            <v>389</v>
          </cell>
          <cell r="F350">
            <v>25</v>
          </cell>
          <cell r="G350" t="str">
            <v>M.</v>
          </cell>
        </row>
        <row r="351">
          <cell r="C351">
            <v>481</v>
          </cell>
          <cell r="D351" t="str">
            <v>-  1/C - 95 SQ.MM. FR. W./SHEET</v>
          </cell>
          <cell r="E351">
            <v>470</v>
          </cell>
          <cell r="F351">
            <v>30</v>
          </cell>
          <cell r="G351" t="str">
            <v>M.</v>
          </cell>
        </row>
        <row r="352">
          <cell r="C352">
            <v>482</v>
          </cell>
          <cell r="D352" t="str">
            <v>-  1/C - 120 SQ.MM. FR. W./SHEET</v>
          </cell>
          <cell r="E352">
            <v>570</v>
          </cell>
          <cell r="F352">
            <v>35</v>
          </cell>
          <cell r="G352" t="str">
            <v>M.</v>
          </cell>
        </row>
        <row r="353">
          <cell r="C353">
            <v>483</v>
          </cell>
          <cell r="D353" t="str">
            <v>-  1/C - 150 SQ.MM. FR. W./SHEET</v>
          </cell>
          <cell r="E353">
            <v>716</v>
          </cell>
          <cell r="F353">
            <v>40</v>
          </cell>
          <cell r="G353" t="str">
            <v>M.</v>
          </cell>
        </row>
        <row r="354">
          <cell r="C354">
            <v>484</v>
          </cell>
          <cell r="D354" t="str">
            <v>-  1/C - 185 SQ.MM. FR. W./SHEET</v>
          </cell>
          <cell r="E354">
            <v>835</v>
          </cell>
          <cell r="F354">
            <v>50</v>
          </cell>
          <cell r="G354" t="str">
            <v>M.</v>
          </cell>
        </row>
        <row r="355">
          <cell r="C355">
            <v>485</v>
          </cell>
          <cell r="D355" t="str">
            <v>-  1/C - 240 SQ.MM. FR. W./SHEET</v>
          </cell>
          <cell r="E355">
            <v>1051</v>
          </cell>
          <cell r="F355">
            <v>60</v>
          </cell>
          <cell r="G355" t="str">
            <v>M.</v>
          </cell>
        </row>
        <row r="356">
          <cell r="C356">
            <v>486</v>
          </cell>
          <cell r="D356" t="str">
            <v>-  1/C - 300 SQ.MM. FR. W./SHEET</v>
          </cell>
          <cell r="E356">
            <v>1390</v>
          </cell>
          <cell r="F356">
            <v>70</v>
          </cell>
          <cell r="G356" t="str">
            <v>M.</v>
          </cell>
        </row>
        <row r="357">
          <cell r="C357">
            <v>487</v>
          </cell>
          <cell r="D357" t="str">
            <v>-  1/C - 400 SQ.MM. FR. W./SHEET</v>
          </cell>
          <cell r="E357">
            <v>1679</v>
          </cell>
          <cell r="F357">
            <v>90</v>
          </cell>
          <cell r="G357" t="str">
            <v>M.</v>
          </cell>
        </row>
        <row r="358">
          <cell r="C358">
            <v>488</v>
          </cell>
          <cell r="D358" t="str">
            <v>-  1/C - 500 SQ.MM. FR. W./SHEET</v>
          </cell>
          <cell r="E358">
            <v>1818</v>
          </cell>
          <cell r="F358">
            <v>105</v>
          </cell>
          <cell r="G358" t="str">
            <v>M.</v>
          </cell>
        </row>
        <row r="359">
          <cell r="C359">
            <v>489</v>
          </cell>
          <cell r="D359" t="str">
            <v>-  1/C - 630 SQ.MM. FR. W./SHEET</v>
          </cell>
          <cell r="E359">
            <v>2183</v>
          </cell>
          <cell r="F359">
            <v>120</v>
          </cell>
          <cell r="G359" t="str">
            <v>M.</v>
          </cell>
        </row>
        <row r="360">
          <cell r="C360">
            <v>5</v>
          </cell>
          <cell r="D360" t="str">
            <v>CABLE RACEWAY</v>
          </cell>
        </row>
        <row r="361">
          <cell r="C361">
            <v>501</v>
          </cell>
          <cell r="D361" t="str">
            <v>-  DIA. 1/2" EMT</v>
          </cell>
          <cell r="E361">
            <v>23</v>
          </cell>
          <cell r="F361">
            <v>10</v>
          </cell>
          <cell r="G361" t="str">
            <v>M.</v>
          </cell>
        </row>
        <row r="362">
          <cell r="C362">
            <v>502</v>
          </cell>
          <cell r="D362" t="str">
            <v>-  DIA. 3/4" EMT</v>
          </cell>
          <cell r="E362">
            <v>34</v>
          </cell>
          <cell r="F362">
            <v>15</v>
          </cell>
          <cell r="G362" t="str">
            <v>M.</v>
          </cell>
        </row>
        <row r="363">
          <cell r="C363">
            <v>503</v>
          </cell>
          <cell r="D363" t="str">
            <v>-  DIA. 1" EMT</v>
          </cell>
          <cell r="E363">
            <v>48</v>
          </cell>
          <cell r="F363">
            <v>18</v>
          </cell>
          <cell r="G363" t="str">
            <v>M.</v>
          </cell>
        </row>
        <row r="364">
          <cell r="C364">
            <v>504</v>
          </cell>
          <cell r="D364" t="str">
            <v>-  DIA. 1 1/4" EMT</v>
          </cell>
          <cell r="E364">
            <v>79</v>
          </cell>
          <cell r="F364">
            <v>25</v>
          </cell>
          <cell r="G364" t="str">
            <v>M.</v>
          </cell>
        </row>
        <row r="365">
          <cell r="C365">
            <v>505</v>
          </cell>
          <cell r="D365" t="str">
            <v>-  DIA. 1 1/2" EMT</v>
          </cell>
          <cell r="E365">
            <v>92</v>
          </cell>
          <cell r="F365">
            <v>30</v>
          </cell>
          <cell r="G365" t="str">
            <v>M.</v>
          </cell>
        </row>
        <row r="366">
          <cell r="C366">
            <v>506</v>
          </cell>
          <cell r="D366" t="str">
            <v>-  DIA. 2" EMT</v>
          </cell>
          <cell r="E366">
            <v>114</v>
          </cell>
          <cell r="F366">
            <v>40</v>
          </cell>
          <cell r="G366" t="str">
            <v>M.</v>
          </cell>
        </row>
        <row r="367">
          <cell r="C367">
            <v>507</v>
          </cell>
          <cell r="D367" t="str">
            <v>-  DIA. 1/2" IMC</v>
          </cell>
          <cell r="E367">
            <v>45</v>
          </cell>
          <cell r="F367">
            <v>13</v>
          </cell>
          <cell r="G367" t="str">
            <v>M.</v>
          </cell>
        </row>
        <row r="368">
          <cell r="C368">
            <v>508</v>
          </cell>
          <cell r="D368" t="str">
            <v>-  DIA. 3/4" IMC</v>
          </cell>
          <cell r="E368">
            <v>61</v>
          </cell>
          <cell r="F368">
            <v>15</v>
          </cell>
          <cell r="G368" t="str">
            <v>M.</v>
          </cell>
        </row>
        <row r="369">
          <cell r="C369">
            <v>509</v>
          </cell>
          <cell r="D369" t="str">
            <v>-  DIA. 1" IMC</v>
          </cell>
          <cell r="E369">
            <v>82</v>
          </cell>
          <cell r="F369">
            <v>20</v>
          </cell>
          <cell r="G369" t="str">
            <v>M.</v>
          </cell>
        </row>
        <row r="370">
          <cell r="C370">
            <v>510</v>
          </cell>
          <cell r="D370" t="str">
            <v>-  DIA. 1 1/4" IMC</v>
          </cell>
          <cell r="E370">
            <v>105</v>
          </cell>
          <cell r="F370">
            <v>25</v>
          </cell>
          <cell r="G370" t="str">
            <v>M.</v>
          </cell>
        </row>
        <row r="371">
          <cell r="C371">
            <v>511</v>
          </cell>
          <cell r="D371" t="str">
            <v>-  DIA. 1 1/2" IMC</v>
          </cell>
          <cell r="E371">
            <v>130</v>
          </cell>
          <cell r="F371">
            <v>30</v>
          </cell>
          <cell r="G371" t="str">
            <v>M.</v>
          </cell>
        </row>
        <row r="372">
          <cell r="C372">
            <v>512</v>
          </cell>
          <cell r="D372" t="str">
            <v>-  DIA. 2" IMC</v>
          </cell>
          <cell r="E372">
            <v>174</v>
          </cell>
          <cell r="F372">
            <v>35</v>
          </cell>
          <cell r="G372" t="str">
            <v>M.</v>
          </cell>
        </row>
        <row r="373">
          <cell r="C373">
            <v>513</v>
          </cell>
          <cell r="D373" t="str">
            <v>-  DIA. 2 1/2" IMC</v>
          </cell>
          <cell r="E373">
            <v>282</v>
          </cell>
          <cell r="F373">
            <v>45</v>
          </cell>
          <cell r="G373" t="str">
            <v>M.</v>
          </cell>
        </row>
        <row r="374">
          <cell r="C374">
            <v>514</v>
          </cell>
          <cell r="D374" t="str">
            <v>-  DIA. 3" IMC</v>
          </cell>
          <cell r="E374">
            <v>342</v>
          </cell>
          <cell r="F374">
            <v>50</v>
          </cell>
          <cell r="G374" t="str">
            <v>M.</v>
          </cell>
        </row>
        <row r="375">
          <cell r="C375">
            <v>515</v>
          </cell>
          <cell r="D375" t="str">
            <v>-  DIA. 3 1/2" IMC</v>
          </cell>
          <cell r="E375">
            <v>397</v>
          </cell>
          <cell r="F375">
            <v>55</v>
          </cell>
          <cell r="G375" t="str">
            <v>M.</v>
          </cell>
        </row>
        <row r="376">
          <cell r="C376">
            <v>516</v>
          </cell>
          <cell r="D376" t="str">
            <v>-  DIA. 4" IMC</v>
          </cell>
          <cell r="E376">
            <v>433</v>
          </cell>
          <cell r="F376">
            <v>60</v>
          </cell>
          <cell r="G376" t="str">
            <v>M.</v>
          </cell>
        </row>
        <row r="377">
          <cell r="C377">
            <v>517</v>
          </cell>
          <cell r="D377" t="str">
            <v>-  DIA. 5" IMC</v>
          </cell>
          <cell r="E377">
            <v>747</v>
          </cell>
          <cell r="F377">
            <v>70</v>
          </cell>
          <cell r="G377" t="str">
            <v>M.</v>
          </cell>
        </row>
        <row r="378">
          <cell r="C378">
            <v>518</v>
          </cell>
          <cell r="D378" t="str">
            <v>-  DIA. 1/2" RSC</v>
          </cell>
          <cell r="E378">
            <v>64</v>
          </cell>
          <cell r="F378">
            <v>15</v>
          </cell>
          <cell r="G378" t="str">
            <v>M.</v>
          </cell>
        </row>
        <row r="379">
          <cell r="C379">
            <v>519</v>
          </cell>
          <cell r="D379" t="str">
            <v>-  DIA. 3/4" RSC</v>
          </cell>
          <cell r="E379">
            <v>82</v>
          </cell>
          <cell r="F379">
            <v>20</v>
          </cell>
          <cell r="G379" t="str">
            <v>M.</v>
          </cell>
        </row>
        <row r="380">
          <cell r="C380">
            <v>520</v>
          </cell>
          <cell r="D380" t="str">
            <v>-  DIA. 1" RSC</v>
          </cell>
          <cell r="E380">
            <v>120</v>
          </cell>
          <cell r="F380">
            <v>25</v>
          </cell>
          <cell r="G380" t="str">
            <v>M.</v>
          </cell>
        </row>
        <row r="381">
          <cell r="C381">
            <v>521</v>
          </cell>
          <cell r="D381" t="str">
            <v>-  DIA. 1 1/4" RSC</v>
          </cell>
          <cell r="E381">
            <v>153</v>
          </cell>
          <cell r="F381">
            <v>35</v>
          </cell>
          <cell r="G381" t="str">
            <v>M.</v>
          </cell>
        </row>
        <row r="382">
          <cell r="C382">
            <v>522</v>
          </cell>
          <cell r="D382" t="str">
            <v>-  DIA. 1 1/2" RSC</v>
          </cell>
          <cell r="E382">
            <v>182</v>
          </cell>
          <cell r="F382">
            <v>45</v>
          </cell>
          <cell r="G382" t="str">
            <v>M.</v>
          </cell>
        </row>
        <row r="383">
          <cell r="C383">
            <v>523</v>
          </cell>
          <cell r="D383" t="str">
            <v>-  DIA. 2" RSC</v>
          </cell>
          <cell r="E383">
            <v>243</v>
          </cell>
          <cell r="F383">
            <v>55</v>
          </cell>
          <cell r="G383" t="str">
            <v>M.</v>
          </cell>
        </row>
        <row r="384">
          <cell r="C384">
            <v>524</v>
          </cell>
          <cell r="D384" t="str">
            <v>-  DIA. 2 1/2" RSC</v>
          </cell>
          <cell r="E384">
            <v>373</v>
          </cell>
          <cell r="F384">
            <v>80</v>
          </cell>
          <cell r="G384" t="str">
            <v>M.</v>
          </cell>
        </row>
        <row r="385">
          <cell r="C385">
            <v>525</v>
          </cell>
          <cell r="D385" t="str">
            <v>-  DIA. 3" RSC</v>
          </cell>
          <cell r="E385">
            <v>480</v>
          </cell>
          <cell r="F385">
            <v>90</v>
          </cell>
          <cell r="G385" t="str">
            <v>M.</v>
          </cell>
        </row>
        <row r="386">
          <cell r="C386">
            <v>526</v>
          </cell>
          <cell r="D386" t="str">
            <v>-  DIA. 3 1/2" RSC</v>
          </cell>
          <cell r="E386">
            <v>606</v>
          </cell>
          <cell r="F386">
            <v>100</v>
          </cell>
          <cell r="G386" t="str">
            <v>M.</v>
          </cell>
        </row>
        <row r="387">
          <cell r="C387">
            <v>527</v>
          </cell>
          <cell r="D387" t="str">
            <v>-  DIA. 4" RSC</v>
          </cell>
          <cell r="E387">
            <v>706</v>
          </cell>
          <cell r="F387">
            <v>125</v>
          </cell>
          <cell r="G387" t="str">
            <v>M.</v>
          </cell>
        </row>
        <row r="388">
          <cell r="C388">
            <v>528</v>
          </cell>
          <cell r="D388" t="str">
            <v>-  DIA. 5" RSC</v>
          </cell>
          <cell r="E388">
            <v>1016</v>
          </cell>
          <cell r="F388">
            <v>140</v>
          </cell>
          <cell r="G388" t="str">
            <v>M.</v>
          </cell>
        </row>
        <row r="389">
          <cell r="D389" t="str">
            <v>SPACE</v>
          </cell>
        </row>
        <row r="390">
          <cell r="C390">
            <v>530</v>
          </cell>
          <cell r="D390" t="str">
            <v>-  DIA. 25 MM. HDPE-PN4</v>
          </cell>
          <cell r="E390">
            <v>20</v>
          </cell>
          <cell r="F390">
            <v>10</v>
          </cell>
          <cell r="G390" t="str">
            <v>M.</v>
          </cell>
        </row>
        <row r="391">
          <cell r="C391">
            <v>531</v>
          </cell>
          <cell r="D391" t="str">
            <v>-  DIA. 32 MM. HDPE-PN4</v>
          </cell>
          <cell r="E391">
            <v>25</v>
          </cell>
          <cell r="F391">
            <v>15</v>
          </cell>
          <cell r="G391" t="str">
            <v>M.</v>
          </cell>
        </row>
        <row r="392">
          <cell r="C392">
            <v>532</v>
          </cell>
          <cell r="D392" t="str">
            <v>-  DIA. 40 MM. HDPE-PN4</v>
          </cell>
          <cell r="E392">
            <v>34</v>
          </cell>
          <cell r="F392">
            <v>18</v>
          </cell>
          <cell r="G392" t="str">
            <v>M.</v>
          </cell>
        </row>
        <row r="393">
          <cell r="C393">
            <v>533</v>
          </cell>
          <cell r="D393" t="str">
            <v>-  DIA. 50 MM. HDPE-PN4</v>
          </cell>
          <cell r="E393">
            <v>38</v>
          </cell>
          <cell r="F393">
            <v>25</v>
          </cell>
          <cell r="G393" t="str">
            <v>M.</v>
          </cell>
        </row>
        <row r="394">
          <cell r="C394">
            <v>534</v>
          </cell>
          <cell r="D394" t="str">
            <v>-  DIA. 63 MM. HDPE-PN4</v>
          </cell>
          <cell r="E394">
            <v>56</v>
          </cell>
          <cell r="F394">
            <v>30</v>
          </cell>
          <cell r="G394" t="str">
            <v>M.</v>
          </cell>
        </row>
        <row r="395">
          <cell r="C395">
            <v>535</v>
          </cell>
          <cell r="D395" t="str">
            <v>-  DIA. 75 MM. HDPE-PN4</v>
          </cell>
          <cell r="E395">
            <v>81</v>
          </cell>
          <cell r="F395">
            <v>40</v>
          </cell>
          <cell r="G395" t="str">
            <v>M.</v>
          </cell>
        </row>
        <row r="396">
          <cell r="C396">
            <v>536</v>
          </cell>
          <cell r="D396" t="str">
            <v>-  DIA. 90 MM. HDPE-PN4</v>
          </cell>
          <cell r="E396">
            <v>116</v>
          </cell>
          <cell r="F396">
            <v>47</v>
          </cell>
          <cell r="G396" t="str">
            <v>M.</v>
          </cell>
        </row>
        <row r="397">
          <cell r="C397">
            <v>537</v>
          </cell>
          <cell r="D397" t="str">
            <v>-  DIA. 110 MM. HDPE-PN4</v>
          </cell>
          <cell r="E397">
            <v>170</v>
          </cell>
          <cell r="F397">
            <v>55</v>
          </cell>
          <cell r="G397" t="str">
            <v>M.</v>
          </cell>
        </row>
        <row r="398">
          <cell r="C398">
            <v>538</v>
          </cell>
          <cell r="D398" t="str">
            <v>-  DIA. 125 MM. HDPE-PN4</v>
          </cell>
          <cell r="E398">
            <v>220</v>
          </cell>
          <cell r="F398">
            <v>65</v>
          </cell>
          <cell r="G398" t="str">
            <v>M.</v>
          </cell>
        </row>
        <row r="399">
          <cell r="C399">
            <v>539</v>
          </cell>
          <cell r="D399" t="str">
            <v>-  DIA. 140 MM. HDPE-PN4</v>
          </cell>
          <cell r="E399">
            <v>278</v>
          </cell>
          <cell r="F399">
            <v>70</v>
          </cell>
          <cell r="G399" t="str">
            <v>M.</v>
          </cell>
        </row>
        <row r="400">
          <cell r="C400">
            <v>540</v>
          </cell>
          <cell r="D400" t="str">
            <v>-  DIA. 160 MM. HDPE-PN4</v>
          </cell>
          <cell r="E400">
            <v>363</v>
          </cell>
          <cell r="F400">
            <v>75</v>
          </cell>
          <cell r="G400" t="str">
            <v>M.</v>
          </cell>
        </row>
        <row r="401">
          <cell r="C401">
            <v>541</v>
          </cell>
          <cell r="D401" t="str">
            <v>-  DIA. 180 MM. HDPE-PN4</v>
          </cell>
          <cell r="E401">
            <v>462</v>
          </cell>
          <cell r="F401">
            <v>80</v>
          </cell>
          <cell r="G401" t="str">
            <v>M.</v>
          </cell>
        </row>
        <row r="402">
          <cell r="D402" t="str">
            <v>SPACE</v>
          </cell>
        </row>
        <row r="403">
          <cell r="C403">
            <v>546</v>
          </cell>
          <cell r="D403" t="str">
            <v>-  DIA. 25 MM. HDPE-PN6</v>
          </cell>
          <cell r="E403">
            <v>20</v>
          </cell>
          <cell r="F403">
            <v>10</v>
          </cell>
          <cell r="G403" t="str">
            <v>M.</v>
          </cell>
        </row>
        <row r="404">
          <cell r="C404">
            <v>547</v>
          </cell>
          <cell r="D404" t="str">
            <v>-  DIA. 32 MM. HDPE-PN6</v>
          </cell>
          <cell r="E404">
            <v>25</v>
          </cell>
          <cell r="F404">
            <v>15</v>
          </cell>
          <cell r="G404" t="str">
            <v>M.</v>
          </cell>
        </row>
        <row r="405">
          <cell r="C405">
            <v>548</v>
          </cell>
          <cell r="D405" t="str">
            <v>-  DIA. 40 MM. HDPE-PN6</v>
          </cell>
          <cell r="E405">
            <v>34</v>
          </cell>
          <cell r="F405">
            <v>18</v>
          </cell>
          <cell r="G405" t="str">
            <v>M.</v>
          </cell>
        </row>
        <row r="406">
          <cell r="C406">
            <v>549</v>
          </cell>
          <cell r="D406" t="str">
            <v>-  DIA. 50 MM. HDPE-PN6</v>
          </cell>
          <cell r="E406">
            <v>53</v>
          </cell>
          <cell r="F406">
            <v>25</v>
          </cell>
          <cell r="G406" t="str">
            <v>M.</v>
          </cell>
        </row>
        <row r="407">
          <cell r="C407">
            <v>550</v>
          </cell>
          <cell r="D407" t="str">
            <v>-  DIA. 63 MM. HDPE-PN6</v>
          </cell>
          <cell r="E407">
            <v>83</v>
          </cell>
          <cell r="F407">
            <v>30</v>
          </cell>
          <cell r="G407" t="str">
            <v>M.</v>
          </cell>
        </row>
        <row r="408">
          <cell r="C408">
            <v>551</v>
          </cell>
          <cell r="D408" t="str">
            <v>-  DIA. 75 MM. HDPE-PN6</v>
          </cell>
          <cell r="E408">
            <v>116</v>
          </cell>
          <cell r="F408">
            <v>40</v>
          </cell>
          <cell r="G408" t="str">
            <v>M.</v>
          </cell>
        </row>
        <row r="409">
          <cell r="C409">
            <v>552</v>
          </cell>
          <cell r="D409" t="str">
            <v>-  DIA. 90 MM. HDPE-PN6</v>
          </cell>
          <cell r="E409">
            <v>166</v>
          </cell>
          <cell r="F409">
            <v>47</v>
          </cell>
          <cell r="G409" t="str">
            <v>M.</v>
          </cell>
        </row>
        <row r="410">
          <cell r="C410">
            <v>553</v>
          </cell>
          <cell r="D410" t="str">
            <v>-  DIA. 110 MM. HDPE-PN6</v>
          </cell>
          <cell r="E410">
            <v>248</v>
          </cell>
          <cell r="F410">
            <v>55</v>
          </cell>
          <cell r="G410" t="str">
            <v>M.</v>
          </cell>
        </row>
        <row r="411">
          <cell r="C411">
            <v>554</v>
          </cell>
          <cell r="D411" t="str">
            <v>-  DIA. 125 MM. HDPE-PN6</v>
          </cell>
          <cell r="E411">
            <v>318</v>
          </cell>
          <cell r="F411">
            <v>65</v>
          </cell>
          <cell r="G411" t="str">
            <v>M.</v>
          </cell>
        </row>
        <row r="412">
          <cell r="C412">
            <v>555</v>
          </cell>
          <cell r="D412" t="str">
            <v>-  DIA. 140 MM. HDPE-PN6</v>
          </cell>
          <cell r="E412">
            <v>399</v>
          </cell>
          <cell r="F412">
            <v>70</v>
          </cell>
          <cell r="G412" t="str">
            <v>M.</v>
          </cell>
        </row>
        <row r="413">
          <cell r="C413">
            <v>556</v>
          </cell>
          <cell r="D413" t="str">
            <v>-  DIA. 160 MM. HDPE-PN6</v>
          </cell>
          <cell r="E413">
            <v>520</v>
          </cell>
          <cell r="F413">
            <v>75</v>
          </cell>
          <cell r="G413" t="str">
            <v>M.</v>
          </cell>
        </row>
        <row r="414">
          <cell r="C414">
            <v>557</v>
          </cell>
          <cell r="D414" t="str">
            <v>-  DIA. 180 MM. HDPE-PN6</v>
          </cell>
          <cell r="E414">
            <v>655</v>
          </cell>
          <cell r="F414">
            <v>80</v>
          </cell>
          <cell r="G414" t="str">
            <v>M.</v>
          </cell>
        </row>
        <row r="415">
          <cell r="D415" t="str">
            <v>SPACE</v>
          </cell>
        </row>
        <row r="416">
          <cell r="C416">
            <v>561</v>
          </cell>
          <cell r="D416" t="str">
            <v>-  DIA. 2" FRE</v>
          </cell>
          <cell r="E416">
            <v>380</v>
          </cell>
          <cell r="F416">
            <v>50</v>
          </cell>
          <cell r="G416" t="str">
            <v>M.</v>
          </cell>
        </row>
        <row r="417">
          <cell r="C417">
            <v>562</v>
          </cell>
          <cell r="D417" t="str">
            <v>-  DIA. 2 1/2" FRE</v>
          </cell>
          <cell r="E417">
            <v>430</v>
          </cell>
          <cell r="F417">
            <v>60</v>
          </cell>
          <cell r="G417" t="str">
            <v>M.</v>
          </cell>
        </row>
        <row r="418">
          <cell r="C418">
            <v>563</v>
          </cell>
          <cell r="D418" t="str">
            <v>-  DIA. 3" FRE</v>
          </cell>
          <cell r="E418">
            <v>490</v>
          </cell>
          <cell r="F418">
            <v>70</v>
          </cell>
          <cell r="G418" t="str">
            <v>M.</v>
          </cell>
        </row>
        <row r="419">
          <cell r="C419">
            <v>564</v>
          </cell>
          <cell r="D419" t="str">
            <v>-  DIA. 4" FRE</v>
          </cell>
          <cell r="E419">
            <v>550</v>
          </cell>
          <cell r="F419">
            <v>70</v>
          </cell>
          <cell r="G419" t="str">
            <v>M.</v>
          </cell>
        </row>
        <row r="420">
          <cell r="C420">
            <v>565</v>
          </cell>
          <cell r="D420" t="str">
            <v>-  DIA. 5" FRE</v>
          </cell>
          <cell r="E420">
            <v>830</v>
          </cell>
          <cell r="F420">
            <v>100</v>
          </cell>
          <cell r="G420" t="str">
            <v>M.</v>
          </cell>
        </row>
        <row r="421">
          <cell r="C421">
            <v>566</v>
          </cell>
          <cell r="D421" t="str">
            <v>-  DIA. 6" FRE</v>
          </cell>
          <cell r="E421">
            <v>1330</v>
          </cell>
          <cell r="F421">
            <v>150</v>
          </cell>
          <cell r="G421" t="str">
            <v>M.</v>
          </cell>
        </row>
        <row r="422">
          <cell r="D422" t="str">
            <v>SPACE</v>
          </cell>
        </row>
        <row r="423">
          <cell r="D423" t="str">
            <v>5"CONDUIT IN DUCT BANK</v>
          </cell>
        </row>
        <row r="424">
          <cell r="C424">
            <v>571</v>
          </cell>
          <cell r="D424" t="str">
            <v xml:space="preserve">-  DIA. 125 MM. HDPE-PN6 (2x1) DUCT BANK </v>
          </cell>
          <cell r="E424">
            <v>1480</v>
          </cell>
          <cell r="F424">
            <v>600</v>
          </cell>
          <cell r="G424" t="str">
            <v>M.</v>
          </cell>
        </row>
        <row r="425">
          <cell r="C425">
            <v>572</v>
          </cell>
          <cell r="D425" t="str">
            <v xml:space="preserve">-  DIA. 125 MM. HDPE-PN6 (2x2) DUCT BANK </v>
          </cell>
          <cell r="E425">
            <v>2420</v>
          </cell>
          <cell r="F425">
            <v>800</v>
          </cell>
          <cell r="G425" t="str">
            <v>M.</v>
          </cell>
        </row>
        <row r="426">
          <cell r="C426">
            <v>573</v>
          </cell>
          <cell r="D426" t="str">
            <v xml:space="preserve">-  DIA. 125 MM. HDPE-PN6 (2x3) DUCT BANK </v>
          </cell>
          <cell r="E426">
            <v>3400</v>
          </cell>
          <cell r="F426">
            <v>1000</v>
          </cell>
          <cell r="G426" t="str">
            <v>M.</v>
          </cell>
        </row>
        <row r="427">
          <cell r="D427" t="str">
            <v>SPACE</v>
          </cell>
        </row>
        <row r="428">
          <cell r="C428">
            <v>576</v>
          </cell>
          <cell r="D428" t="str">
            <v xml:space="preserve">-  DIA. 5" FRE (2x1) CONDUIT </v>
          </cell>
          <cell r="E428">
            <v>1480</v>
          </cell>
          <cell r="F428">
            <v>300</v>
          </cell>
          <cell r="G428" t="str">
            <v>M.</v>
          </cell>
        </row>
        <row r="429">
          <cell r="C429">
            <v>577</v>
          </cell>
          <cell r="D429" t="str">
            <v xml:space="preserve">-  DIA. 5" FRE (2x2) CONDUIT </v>
          </cell>
          <cell r="E429">
            <v>2830</v>
          </cell>
          <cell r="F429">
            <v>400</v>
          </cell>
          <cell r="G429" t="str">
            <v>M.</v>
          </cell>
        </row>
        <row r="430">
          <cell r="C430">
            <v>578</v>
          </cell>
          <cell r="D430" t="str">
            <v xml:space="preserve">-  DIA. 5" FRE (2x3) CONDUIT </v>
          </cell>
          <cell r="E430">
            <v>3970</v>
          </cell>
          <cell r="F430">
            <v>600</v>
          </cell>
          <cell r="G430" t="str">
            <v>M.</v>
          </cell>
        </row>
        <row r="431">
          <cell r="D431" t="str">
            <v>SPACE</v>
          </cell>
        </row>
        <row r="432">
          <cell r="C432">
            <v>591</v>
          </cell>
          <cell r="D432" t="str">
            <v>-  DIA. 1/2" PVC-CLASS2</v>
          </cell>
          <cell r="E432">
            <v>11</v>
          </cell>
          <cell r="F432">
            <v>5</v>
          </cell>
          <cell r="G432" t="str">
            <v>M.</v>
          </cell>
        </row>
        <row r="433">
          <cell r="C433">
            <v>592</v>
          </cell>
          <cell r="D433" t="str">
            <v>-  DIA. 3/4" PVC-CLASS2</v>
          </cell>
          <cell r="E433">
            <v>13</v>
          </cell>
          <cell r="F433">
            <v>8</v>
          </cell>
          <cell r="G433" t="str">
            <v>M.</v>
          </cell>
        </row>
        <row r="434">
          <cell r="C434">
            <v>593</v>
          </cell>
          <cell r="D434" t="str">
            <v>-  DIA. 1" PVC-CLASS2</v>
          </cell>
          <cell r="E434">
            <v>24</v>
          </cell>
          <cell r="F434">
            <v>12</v>
          </cell>
          <cell r="G434" t="str">
            <v>M.</v>
          </cell>
        </row>
        <row r="435">
          <cell r="C435">
            <v>594</v>
          </cell>
          <cell r="D435" t="str">
            <v>-  DIA. 1 1/4" PVC-CLASS2</v>
          </cell>
          <cell r="E435">
            <v>34</v>
          </cell>
          <cell r="F435">
            <v>18</v>
          </cell>
          <cell r="G435" t="str">
            <v>M.</v>
          </cell>
        </row>
        <row r="436">
          <cell r="C436">
            <v>595</v>
          </cell>
          <cell r="D436" t="str">
            <v>-  DIA. 1 1/2" PVC-CLASS2</v>
          </cell>
          <cell r="E436">
            <v>44</v>
          </cell>
          <cell r="F436">
            <v>20</v>
          </cell>
          <cell r="G436" t="str">
            <v>M.</v>
          </cell>
        </row>
        <row r="437">
          <cell r="C437">
            <v>596</v>
          </cell>
          <cell r="D437" t="str">
            <v>-  DIA. 2" PVC-CLASS2</v>
          </cell>
          <cell r="E437">
            <v>62</v>
          </cell>
          <cell r="F437">
            <v>24</v>
          </cell>
          <cell r="G437" t="str">
            <v>M.</v>
          </cell>
        </row>
        <row r="438">
          <cell r="C438">
            <v>597</v>
          </cell>
          <cell r="D438" t="str">
            <v>-  DIA. 2 1/2" PVC-CLASS3</v>
          </cell>
          <cell r="E438">
            <v>80</v>
          </cell>
          <cell r="F438">
            <v>30</v>
          </cell>
          <cell r="G438" t="str">
            <v>M.</v>
          </cell>
        </row>
        <row r="439">
          <cell r="C439">
            <v>598</v>
          </cell>
          <cell r="D439" t="str">
            <v>-  DIA. 3" PVC-CLASS2</v>
          </cell>
          <cell r="E439">
            <v>126</v>
          </cell>
          <cell r="F439">
            <v>35</v>
          </cell>
          <cell r="G439" t="str">
            <v>M.</v>
          </cell>
        </row>
        <row r="440">
          <cell r="C440">
            <v>599</v>
          </cell>
          <cell r="D440" t="str">
            <v>-  DIA. 4" PVC-CLASS2</v>
          </cell>
          <cell r="E440">
            <v>192</v>
          </cell>
          <cell r="F440">
            <v>40</v>
          </cell>
          <cell r="G440" t="str">
            <v>M.</v>
          </cell>
        </row>
        <row r="441">
          <cell r="D441" t="str">
            <v>SPACE</v>
          </cell>
        </row>
        <row r="442">
          <cell r="C442">
            <v>6</v>
          </cell>
          <cell r="D442" t="str">
            <v>WIRE WAY (1.6 mm.THICK)</v>
          </cell>
        </row>
        <row r="443">
          <cell r="C443">
            <v>601</v>
          </cell>
          <cell r="D443" t="str">
            <v>-  50 mm.x50 mm. WIRE WAY</v>
          </cell>
          <cell r="E443">
            <v>192</v>
          </cell>
          <cell r="F443">
            <v>11</v>
          </cell>
          <cell r="G443" t="str">
            <v>M.</v>
          </cell>
        </row>
        <row r="444">
          <cell r="C444">
            <v>602</v>
          </cell>
          <cell r="D444" t="str">
            <v>-  50 mm.x75 mm. WIRE WAY</v>
          </cell>
          <cell r="E444">
            <v>230</v>
          </cell>
          <cell r="F444">
            <v>14</v>
          </cell>
          <cell r="G444" t="str">
            <v>M.</v>
          </cell>
        </row>
        <row r="445">
          <cell r="C445">
            <v>603</v>
          </cell>
          <cell r="D445" t="str">
            <v>-  50 mm.x100 mm. WIRE WAY</v>
          </cell>
          <cell r="E445">
            <v>263</v>
          </cell>
          <cell r="F445">
            <v>17</v>
          </cell>
          <cell r="G445" t="str">
            <v>M.</v>
          </cell>
        </row>
        <row r="446">
          <cell r="C446">
            <v>604</v>
          </cell>
          <cell r="D446" t="str">
            <v>-  50 mm.x125 mm. WIRE WAY</v>
          </cell>
          <cell r="E446">
            <v>300</v>
          </cell>
          <cell r="F446">
            <v>20</v>
          </cell>
          <cell r="G446" t="str">
            <v>M.</v>
          </cell>
        </row>
        <row r="447">
          <cell r="C447">
            <v>605</v>
          </cell>
          <cell r="D447" t="str">
            <v>-  50 mm.x150 mm. WIRE WAY</v>
          </cell>
          <cell r="E447">
            <v>340</v>
          </cell>
          <cell r="F447">
            <v>23</v>
          </cell>
          <cell r="G447" t="str">
            <v>M.</v>
          </cell>
        </row>
        <row r="448">
          <cell r="C448">
            <v>606</v>
          </cell>
          <cell r="D448" t="str">
            <v>-  50 mm.x200 mm. WIRE WAY</v>
          </cell>
          <cell r="E448">
            <v>400</v>
          </cell>
          <cell r="F448">
            <v>26</v>
          </cell>
          <cell r="G448" t="str">
            <v>M.</v>
          </cell>
        </row>
        <row r="449">
          <cell r="C449">
            <v>607</v>
          </cell>
          <cell r="D449" t="str">
            <v>-  50 mm.x250 mm. WIRE WAY</v>
          </cell>
          <cell r="E449">
            <v>483</v>
          </cell>
          <cell r="F449">
            <v>29</v>
          </cell>
          <cell r="G449" t="str">
            <v>M.</v>
          </cell>
        </row>
        <row r="450">
          <cell r="C450">
            <v>608</v>
          </cell>
          <cell r="D450" t="str">
            <v>-  75 mm.x100 mm. WIRE WAY</v>
          </cell>
          <cell r="E450">
            <v>300</v>
          </cell>
          <cell r="F450">
            <v>20</v>
          </cell>
          <cell r="G450" t="str">
            <v>M.</v>
          </cell>
        </row>
        <row r="451">
          <cell r="C451">
            <v>609</v>
          </cell>
          <cell r="D451" t="str">
            <v>-  75 mm.x150 mm. WIRE WAY</v>
          </cell>
          <cell r="E451">
            <v>375</v>
          </cell>
          <cell r="F451">
            <v>25</v>
          </cell>
          <cell r="G451" t="str">
            <v>M.</v>
          </cell>
        </row>
        <row r="452">
          <cell r="C452">
            <v>610</v>
          </cell>
          <cell r="D452" t="str">
            <v>-  75 mm.x200 mm. WIRE WAY</v>
          </cell>
          <cell r="E452">
            <v>446</v>
          </cell>
          <cell r="F452">
            <v>28</v>
          </cell>
          <cell r="G452" t="str">
            <v>M.</v>
          </cell>
        </row>
        <row r="453">
          <cell r="C453">
            <v>611</v>
          </cell>
          <cell r="D453" t="str">
            <v>-  75 mm.x250 mm. WIRE WAY</v>
          </cell>
          <cell r="E453">
            <v>520</v>
          </cell>
          <cell r="F453">
            <v>32</v>
          </cell>
          <cell r="G453" t="str">
            <v>M.</v>
          </cell>
        </row>
        <row r="454">
          <cell r="C454">
            <v>612</v>
          </cell>
          <cell r="D454" t="str">
            <v>-  75 mm.x300 mm. WIRE WAY</v>
          </cell>
          <cell r="E454">
            <v>590</v>
          </cell>
          <cell r="F454">
            <v>35</v>
          </cell>
          <cell r="G454" t="str">
            <v>M.</v>
          </cell>
        </row>
        <row r="455">
          <cell r="C455">
            <v>613</v>
          </cell>
          <cell r="D455" t="str">
            <v>-  100 mm.x100 mm. WIRE WAY</v>
          </cell>
          <cell r="E455">
            <v>340</v>
          </cell>
          <cell r="F455">
            <v>23</v>
          </cell>
          <cell r="G455" t="str">
            <v>M.</v>
          </cell>
        </row>
        <row r="456">
          <cell r="C456">
            <v>614</v>
          </cell>
          <cell r="D456" t="str">
            <v>-  100 mm.x150 mm. WIRE WAY</v>
          </cell>
          <cell r="E456">
            <v>400</v>
          </cell>
          <cell r="F456">
            <v>26</v>
          </cell>
          <cell r="G456" t="str">
            <v>M.</v>
          </cell>
        </row>
        <row r="457">
          <cell r="C457">
            <v>615</v>
          </cell>
          <cell r="D457" t="str">
            <v>-  100 mm.x200 mm. WIRE WAY</v>
          </cell>
          <cell r="E457">
            <v>483</v>
          </cell>
          <cell r="F457">
            <v>29</v>
          </cell>
          <cell r="G457" t="str">
            <v>M.</v>
          </cell>
        </row>
        <row r="458">
          <cell r="C458">
            <v>616</v>
          </cell>
          <cell r="D458" t="str">
            <v>-  100 mm.x250 mm. WIRE WAY</v>
          </cell>
          <cell r="E458">
            <v>550</v>
          </cell>
          <cell r="F458">
            <v>34</v>
          </cell>
          <cell r="G458" t="str">
            <v>M.</v>
          </cell>
        </row>
        <row r="459">
          <cell r="C459">
            <v>617</v>
          </cell>
          <cell r="D459" t="str">
            <v>-  100 mm.x300 mm. WIRE WAY</v>
          </cell>
          <cell r="E459">
            <v>630</v>
          </cell>
          <cell r="F459">
            <v>37</v>
          </cell>
          <cell r="G459" t="str">
            <v>M.</v>
          </cell>
        </row>
        <row r="460">
          <cell r="C460">
            <v>618</v>
          </cell>
          <cell r="D460" t="str">
            <v>-  100 mm.x350 mm. WIRE WAY</v>
          </cell>
          <cell r="E460">
            <v>700</v>
          </cell>
          <cell r="F460">
            <v>40</v>
          </cell>
          <cell r="G460" t="str">
            <v>M.</v>
          </cell>
        </row>
        <row r="461">
          <cell r="C461">
            <v>619</v>
          </cell>
          <cell r="D461" t="str">
            <v>-  150 mm.x150 mm. WIRE WAY</v>
          </cell>
          <cell r="E461">
            <v>483</v>
          </cell>
          <cell r="F461">
            <v>29</v>
          </cell>
          <cell r="G461" t="str">
            <v>M.</v>
          </cell>
        </row>
        <row r="462">
          <cell r="C462">
            <v>620</v>
          </cell>
          <cell r="D462" t="str">
            <v>-  150 mm.x200 mm. WIRE WAY</v>
          </cell>
          <cell r="E462">
            <v>550</v>
          </cell>
          <cell r="F462">
            <v>34</v>
          </cell>
          <cell r="G462" t="str">
            <v>M.</v>
          </cell>
        </row>
        <row r="463">
          <cell r="C463">
            <v>621</v>
          </cell>
          <cell r="D463" t="str">
            <v>-  150 mm.x250 mm. WIRE WAY</v>
          </cell>
          <cell r="E463">
            <v>630</v>
          </cell>
          <cell r="F463">
            <v>37</v>
          </cell>
          <cell r="G463" t="str">
            <v>M.</v>
          </cell>
        </row>
        <row r="464">
          <cell r="C464">
            <v>622</v>
          </cell>
          <cell r="D464" t="str">
            <v>-  150 mm.x300 mm. WIRE WAY</v>
          </cell>
          <cell r="E464">
            <v>700</v>
          </cell>
          <cell r="F464">
            <v>40</v>
          </cell>
          <cell r="G464" t="str">
            <v>M.</v>
          </cell>
        </row>
        <row r="465">
          <cell r="C465">
            <v>623</v>
          </cell>
          <cell r="D465" t="str">
            <v>-  150 mm.x350 mm. WIRE WAY</v>
          </cell>
          <cell r="E465">
            <v>775</v>
          </cell>
          <cell r="F465">
            <v>45</v>
          </cell>
          <cell r="G465" t="str">
            <v>M.</v>
          </cell>
        </row>
        <row r="466">
          <cell r="C466">
            <v>624</v>
          </cell>
          <cell r="D466" t="str">
            <v>-  150 mm.x400 mm. WIRE WAY</v>
          </cell>
          <cell r="E466">
            <v>846</v>
          </cell>
          <cell r="F466">
            <v>48</v>
          </cell>
          <cell r="G466" t="str">
            <v>M.</v>
          </cell>
        </row>
        <row r="467">
          <cell r="C467">
            <v>625</v>
          </cell>
          <cell r="D467" t="str">
            <v>-  200 mm.x200 mm. WIRE WAY</v>
          </cell>
          <cell r="E467">
            <v>500</v>
          </cell>
          <cell r="F467">
            <v>31</v>
          </cell>
          <cell r="G467" t="str">
            <v>M.</v>
          </cell>
        </row>
        <row r="468">
          <cell r="C468">
            <v>626</v>
          </cell>
          <cell r="D468" t="str">
            <v>-  200 mm.x250 mm. WIRE WAY</v>
          </cell>
          <cell r="E468">
            <v>575</v>
          </cell>
          <cell r="F468">
            <v>35</v>
          </cell>
          <cell r="G468" t="str">
            <v>M.</v>
          </cell>
        </row>
        <row r="469">
          <cell r="C469">
            <v>627</v>
          </cell>
          <cell r="D469" t="str">
            <v>-  200 mm.x300 mm. WIRE WAY</v>
          </cell>
          <cell r="E469">
            <v>775</v>
          </cell>
          <cell r="F469">
            <v>45</v>
          </cell>
          <cell r="G469" t="str">
            <v>M.</v>
          </cell>
        </row>
        <row r="470">
          <cell r="C470">
            <v>628</v>
          </cell>
          <cell r="D470" t="str">
            <v>-  200 mm.x350 mm. WIRE WAY</v>
          </cell>
          <cell r="E470">
            <v>846</v>
          </cell>
          <cell r="F470">
            <v>48</v>
          </cell>
          <cell r="G470" t="str">
            <v>M.</v>
          </cell>
        </row>
        <row r="471">
          <cell r="C471">
            <v>629</v>
          </cell>
          <cell r="D471" t="str">
            <v>-  200 mm.x400 mm. WIRE WAY</v>
          </cell>
          <cell r="E471">
            <v>920</v>
          </cell>
          <cell r="F471">
            <v>53</v>
          </cell>
          <cell r="G471" t="str">
            <v>M.</v>
          </cell>
        </row>
        <row r="472">
          <cell r="C472">
            <v>630</v>
          </cell>
          <cell r="D472" t="str">
            <v>-  200 mm.x450 mm. WIRE WAY</v>
          </cell>
          <cell r="E472">
            <v>990</v>
          </cell>
          <cell r="F472">
            <v>56</v>
          </cell>
          <cell r="G472" t="str">
            <v>M.</v>
          </cell>
        </row>
        <row r="473">
          <cell r="C473">
            <v>631</v>
          </cell>
          <cell r="D473" t="str">
            <v>-  250 mm.x250 mm. WIRE WAY</v>
          </cell>
          <cell r="E473">
            <v>775</v>
          </cell>
          <cell r="F473">
            <v>45</v>
          </cell>
          <cell r="G473" t="str">
            <v>M.</v>
          </cell>
        </row>
        <row r="474">
          <cell r="C474">
            <v>632</v>
          </cell>
          <cell r="D474" t="str">
            <v>-  250 mm.x300 mm. WIRE WAY</v>
          </cell>
          <cell r="E474">
            <v>846</v>
          </cell>
          <cell r="F474">
            <v>48</v>
          </cell>
          <cell r="G474" t="str">
            <v>M.</v>
          </cell>
        </row>
        <row r="475">
          <cell r="C475">
            <v>633</v>
          </cell>
          <cell r="D475" t="str">
            <v>-  250 mm.x350 mm. WIRE WAY</v>
          </cell>
          <cell r="E475">
            <v>920</v>
          </cell>
          <cell r="F475">
            <v>53</v>
          </cell>
          <cell r="G475" t="str">
            <v>M.</v>
          </cell>
        </row>
        <row r="476">
          <cell r="C476">
            <v>634</v>
          </cell>
          <cell r="D476" t="str">
            <v>-  250 mm.x400 mm. WIRE WAY</v>
          </cell>
          <cell r="E476">
            <v>990</v>
          </cell>
          <cell r="F476">
            <v>56</v>
          </cell>
          <cell r="G476" t="str">
            <v>M.</v>
          </cell>
        </row>
        <row r="477">
          <cell r="C477">
            <v>635</v>
          </cell>
          <cell r="D477" t="str">
            <v>-  250 mm.x450 mm. WIRE WAY</v>
          </cell>
          <cell r="E477">
            <v>1066</v>
          </cell>
          <cell r="F477">
            <v>60</v>
          </cell>
          <cell r="G477" t="str">
            <v>M.</v>
          </cell>
        </row>
        <row r="478">
          <cell r="C478">
            <v>636</v>
          </cell>
          <cell r="D478" t="str">
            <v>-  250 mm.x500 mm. WIRE WAY</v>
          </cell>
          <cell r="E478">
            <v>1138</v>
          </cell>
          <cell r="F478">
            <v>64</v>
          </cell>
          <cell r="G478" t="str">
            <v>M.</v>
          </cell>
        </row>
        <row r="479">
          <cell r="C479">
            <v>637</v>
          </cell>
          <cell r="D479" t="str">
            <v>-  250 mm.x550 mm. WIRE WAY</v>
          </cell>
          <cell r="E479">
            <v>1213</v>
          </cell>
          <cell r="F479">
            <v>70</v>
          </cell>
          <cell r="G479" t="str">
            <v>M.</v>
          </cell>
        </row>
        <row r="480">
          <cell r="D480" t="str">
            <v/>
          </cell>
        </row>
        <row r="481">
          <cell r="C481">
            <v>64</v>
          </cell>
          <cell r="D481" t="str">
            <v>CABLE TRAY ; ( 2.0 mm. THICK)</v>
          </cell>
        </row>
        <row r="482">
          <cell r="C482">
            <v>641</v>
          </cell>
          <cell r="D482" t="str">
            <v>-  100 mm. CABLE TRAY</v>
          </cell>
          <cell r="E482">
            <v>423</v>
          </cell>
          <cell r="F482">
            <v>29</v>
          </cell>
          <cell r="G482" t="str">
            <v>M.</v>
          </cell>
        </row>
        <row r="483">
          <cell r="C483">
            <v>642</v>
          </cell>
          <cell r="D483" t="str">
            <v>-  200 mm. CABLE TRAY</v>
          </cell>
          <cell r="E483">
            <v>533</v>
          </cell>
          <cell r="F483">
            <v>32</v>
          </cell>
          <cell r="G483" t="str">
            <v>M.</v>
          </cell>
        </row>
        <row r="484">
          <cell r="C484">
            <v>643</v>
          </cell>
          <cell r="D484" t="str">
            <v>-  300 mm. CABLE TRAY</v>
          </cell>
          <cell r="E484">
            <v>640</v>
          </cell>
          <cell r="F484">
            <v>35</v>
          </cell>
          <cell r="G484" t="str">
            <v>M.</v>
          </cell>
        </row>
        <row r="485">
          <cell r="C485">
            <v>644</v>
          </cell>
          <cell r="D485" t="str">
            <v>-  400 mm. CABLE TRAY</v>
          </cell>
          <cell r="E485">
            <v>747</v>
          </cell>
          <cell r="F485">
            <v>42</v>
          </cell>
          <cell r="G485" t="str">
            <v>M.</v>
          </cell>
        </row>
        <row r="486">
          <cell r="C486">
            <v>645</v>
          </cell>
          <cell r="D486" t="str">
            <v>-  500 mm. CABLE TRAY</v>
          </cell>
          <cell r="E486">
            <v>877</v>
          </cell>
          <cell r="F486">
            <v>50</v>
          </cell>
          <cell r="G486" t="str">
            <v>M.</v>
          </cell>
        </row>
        <row r="487">
          <cell r="C487">
            <v>646</v>
          </cell>
          <cell r="D487" t="str">
            <v>-  600 mm. CABLE TRAY</v>
          </cell>
          <cell r="E487">
            <v>986</v>
          </cell>
          <cell r="F487">
            <v>55</v>
          </cell>
          <cell r="G487" t="str">
            <v>M.</v>
          </cell>
        </row>
        <row r="488">
          <cell r="C488">
            <v>647</v>
          </cell>
          <cell r="D488" t="str">
            <v>-  700 mm. CABLE TRAY</v>
          </cell>
          <cell r="E488">
            <v>1094</v>
          </cell>
          <cell r="F488">
            <v>61</v>
          </cell>
          <cell r="G488" t="str">
            <v>M.</v>
          </cell>
        </row>
        <row r="489">
          <cell r="C489">
            <v>648</v>
          </cell>
          <cell r="D489" t="str">
            <v>-  800 mm. CABLE TRAY</v>
          </cell>
          <cell r="E489">
            <v>1200</v>
          </cell>
          <cell r="F489">
            <v>70</v>
          </cell>
          <cell r="G489" t="str">
            <v>M.</v>
          </cell>
        </row>
        <row r="490">
          <cell r="C490">
            <v>649</v>
          </cell>
          <cell r="D490" t="str">
            <v>-  900 mm. CABLE TRAY</v>
          </cell>
          <cell r="E490">
            <v>1320</v>
          </cell>
          <cell r="F490">
            <v>78</v>
          </cell>
          <cell r="G490" t="str">
            <v>M.</v>
          </cell>
        </row>
        <row r="491">
          <cell r="C491">
            <v>650</v>
          </cell>
          <cell r="D491" t="str">
            <v>-  1,000 mm. CABLE TRAY</v>
          </cell>
          <cell r="E491">
            <v>1440</v>
          </cell>
          <cell r="F491">
            <v>82</v>
          </cell>
          <cell r="G491" t="str">
            <v>M.</v>
          </cell>
        </row>
        <row r="492">
          <cell r="C492">
            <v>65</v>
          </cell>
          <cell r="D492" t="str">
            <v>CABLE LADDER ; ( 2.0 mm. THICK)</v>
          </cell>
        </row>
        <row r="493">
          <cell r="C493">
            <v>651</v>
          </cell>
          <cell r="D493" t="str">
            <v>-  100 mm. CABLE LADDER</v>
          </cell>
          <cell r="E493">
            <v>563</v>
          </cell>
          <cell r="F493">
            <v>34</v>
          </cell>
          <cell r="G493" t="str">
            <v>M.</v>
          </cell>
        </row>
        <row r="494">
          <cell r="C494">
            <v>652</v>
          </cell>
          <cell r="D494" t="str">
            <v>-  200 mm. CABLE LADDER</v>
          </cell>
          <cell r="E494">
            <v>600</v>
          </cell>
          <cell r="F494">
            <v>36</v>
          </cell>
          <cell r="G494" t="str">
            <v>M.</v>
          </cell>
        </row>
        <row r="495">
          <cell r="C495">
            <v>653</v>
          </cell>
          <cell r="D495" t="str">
            <v>-  300 mm. CABLE LADDER</v>
          </cell>
          <cell r="E495">
            <v>650</v>
          </cell>
          <cell r="F495">
            <v>39</v>
          </cell>
          <cell r="G495" t="str">
            <v>M.</v>
          </cell>
        </row>
        <row r="496">
          <cell r="C496">
            <v>654</v>
          </cell>
          <cell r="D496" t="str">
            <v>-  400 mm. CABLE LADDER</v>
          </cell>
          <cell r="E496">
            <v>690</v>
          </cell>
          <cell r="F496">
            <v>41</v>
          </cell>
          <cell r="G496" t="str">
            <v>M.</v>
          </cell>
        </row>
        <row r="497">
          <cell r="C497">
            <v>655</v>
          </cell>
          <cell r="D497" t="str">
            <v>-  500 mm. CABLE LADDER</v>
          </cell>
          <cell r="E497">
            <v>740</v>
          </cell>
          <cell r="F497">
            <v>43</v>
          </cell>
          <cell r="G497" t="str">
            <v>M.</v>
          </cell>
        </row>
        <row r="498">
          <cell r="C498">
            <v>656</v>
          </cell>
          <cell r="D498" t="str">
            <v>-  600 mm. CABLE LADDER</v>
          </cell>
          <cell r="E498">
            <v>785</v>
          </cell>
          <cell r="F498">
            <v>45</v>
          </cell>
          <cell r="G498" t="str">
            <v>M.</v>
          </cell>
        </row>
        <row r="499">
          <cell r="C499">
            <v>657</v>
          </cell>
          <cell r="D499" t="str">
            <v>-  700 mm. CABLE LADDER</v>
          </cell>
          <cell r="E499">
            <v>830</v>
          </cell>
          <cell r="F499">
            <v>48</v>
          </cell>
          <cell r="G499" t="str">
            <v>M.</v>
          </cell>
        </row>
        <row r="500">
          <cell r="C500">
            <v>658</v>
          </cell>
          <cell r="D500" t="str">
            <v>-  800 mm. CABLE LADDER</v>
          </cell>
          <cell r="E500">
            <v>877</v>
          </cell>
          <cell r="F500">
            <v>50</v>
          </cell>
          <cell r="G500" t="str">
            <v>M.</v>
          </cell>
        </row>
        <row r="501">
          <cell r="C501">
            <v>659</v>
          </cell>
          <cell r="D501" t="str">
            <v>-  900 mm. CABLE LADDER</v>
          </cell>
          <cell r="E501">
            <v>920</v>
          </cell>
          <cell r="F501">
            <v>53</v>
          </cell>
          <cell r="G501" t="str">
            <v>M.</v>
          </cell>
        </row>
        <row r="502">
          <cell r="C502">
            <v>660</v>
          </cell>
          <cell r="D502" t="str">
            <v>-  1,000 mm. CABLE LADDER</v>
          </cell>
          <cell r="E502">
            <v>963</v>
          </cell>
          <cell r="F502">
            <v>56</v>
          </cell>
          <cell r="G502" t="str">
            <v>M.</v>
          </cell>
        </row>
      </sheetData>
      <sheetData sheetId="6" refreshError="1">
        <row r="3">
          <cell r="C3" t="str">
            <v>N0.</v>
          </cell>
          <cell r="D3" t="str">
            <v>DESCRIPTION</v>
          </cell>
          <cell r="E3" t="str">
            <v xml:space="preserve">UNIT  </v>
          </cell>
          <cell r="F3" t="str">
            <v xml:space="preserve">LABOUR </v>
          </cell>
          <cell r="G3" t="str">
            <v>UNIT</v>
          </cell>
        </row>
        <row r="4">
          <cell r="E4" t="str">
            <v>COST</v>
          </cell>
          <cell r="F4" t="str">
            <v>COST</v>
          </cell>
        </row>
        <row r="5">
          <cell r="C5" t="str">
            <v/>
          </cell>
          <cell r="D5" t="str">
            <v>MATV, CCTV, SOUND, LIGHTING CONTROL, ACCESS CONTROL</v>
          </cell>
        </row>
        <row r="6">
          <cell r="C6">
            <v>1</v>
          </cell>
          <cell r="D6" t="str">
            <v>AND LIGHTNING PROTECTION</v>
          </cell>
        </row>
        <row r="7">
          <cell r="C7">
            <v>1</v>
          </cell>
          <cell r="D7" t="str">
            <v>HEAD END SET</v>
          </cell>
          <cell r="E7">
            <v>1200</v>
          </cell>
          <cell r="F7">
            <v>0</v>
          </cell>
          <cell r="G7" t="str">
            <v>EA.</v>
          </cell>
        </row>
        <row r="8">
          <cell r="C8">
            <v>101</v>
          </cell>
          <cell r="D8" t="str">
            <v>-  MULTIBAND AMPLIFIER</v>
          </cell>
          <cell r="E8">
            <v>5000</v>
          </cell>
          <cell r="F8">
            <v>0</v>
          </cell>
          <cell r="G8" t="str">
            <v>EA.</v>
          </cell>
        </row>
        <row r="9">
          <cell r="C9">
            <v>102</v>
          </cell>
          <cell r="D9" t="str">
            <v>-  CHANNEL AMPLIFIER</v>
          </cell>
          <cell r="E9">
            <v>7000</v>
          </cell>
          <cell r="F9">
            <v>0</v>
          </cell>
          <cell r="G9" t="str">
            <v>EA.</v>
          </cell>
        </row>
        <row r="10">
          <cell r="C10">
            <v>103</v>
          </cell>
          <cell r="D10" t="str">
            <v>-  BOOSTER</v>
          </cell>
          <cell r="E10">
            <v>3000</v>
          </cell>
          <cell r="F10">
            <v>0</v>
          </cell>
          <cell r="G10" t="str">
            <v>EA.</v>
          </cell>
        </row>
        <row r="11">
          <cell r="C11">
            <v>104</v>
          </cell>
          <cell r="D11" t="str">
            <v>-  RECEIVER AND MODULATOR</v>
          </cell>
          <cell r="E11">
            <v>16000</v>
          </cell>
          <cell r="F11">
            <v>0</v>
          </cell>
          <cell r="G11" t="str">
            <v>EA.</v>
          </cell>
        </row>
        <row r="12">
          <cell r="C12">
            <v>105</v>
          </cell>
          <cell r="D12" t="str">
            <v>-  POWER SUPPLY</v>
          </cell>
          <cell r="E12">
            <v>5000</v>
          </cell>
          <cell r="F12">
            <v>0</v>
          </cell>
          <cell r="G12" t="str">
            <v>EA.</v>
          </cell>
        </row>
        <row r="13">
          <cell r="C13">
            <v>106</v>
          </cell>
          <cell r="D13" t="str">
            <v>-  MIXER</v>
          </cell>
          <cell r="E13">
            <v>5000</v>
          </cell>
          <cell r="F13">
            <v>0</v>
          </cell>
          <cell r="G13" t="str">
            <v>EA.</v>
          </cell>
        </row>
        <row r="14">
          <cell r="C14">
            <v>107</v>
          </cell>
          <cell r="D14" t="str">
            <v>-  2-WAY SPLITTER</v>
          </cell>
          <cell r="E14">
            <v>400</v>
          </cell>
          <cell r="F14">
            <v>100</v>
          </cell>
          <cell r="G14" t="str">
            <v>EA.</v>
          </cell>
        </row>
        <row r="15">
          <cell r="C15">
            <v>108</v>
          </cell>
          <cell r="D15" t="str">
            <v>-  3-WAY SPLITTER</v>
          </cell>
          <cell r="E15">
            <v>600</v>
          </cell>
          <cell r="F15">
            <v>100</v>
          </cell>
          <cell r="G15" t="str">
            <v>EA.</v>
          </cell>
        </row>
        <row r="16">
          <cell r="C16">
            <v>109</v>
          </cell>
          <cell r="D16" t="str">
            <v>-  4-WAY SPLITTER</v>
          </cell>
          <cell r="E16">
            <v>800</v>
          </cell>
          <cell r="F16">
            <v>100</v>
          </cell>
          <cell r="G16" t="str">
            <v>EA.</v>
          </cell>
        </row>
        <row r="17">
          <cell r="C17">
            <v>110</v>
          </cell>
          <cell r="D17" t="str">
            <v>-  6-WAY SPLITTER</v>
          </cell>
          <cell r="E17">
            <v>600</v>
          </cell>
          <cell r="F17">
            <v>150</v>
          </cell>
          <cell r="G17" t="str">
            <v>EA.</v>
          </cell>
        </row>
        <row r="18">
          <cell r="C18">
            <v>111</v>
          </cell>
          <cell r="D18" t="str">
            <v>-  2-WAY TAP-OFF</v>
          </cell>
          <cell r="E18">
            <v>600</v>
          </cell>
          <cell r="F18">
            <v>100</v>
          </cell>
          <cell r="G18" t="str">
            <v>EA.</v>
          </cell>
        </row>
        <row r="19">
          <cell r="C19">
            <v>112</v>
          </cell>
          <cell r="D19" t="str">
            <v>-  3-WAY TAP-OFF</v>
          </cell>
          <cell r="E19">
            <v>800</v>
          </cell>
          <cell r="F19">
            <v>100</v>
          </cell>
          <cell r="G19" t="str">
            <v>EA.</v>
          </cell>
        </row>
        <row r="20">
          <cell r="C20">
            <v>113</v>
          </cell>
          <cell r="D20" t="str">
            <v>-  4-WAY TAP-OFF</v>
          </cell>
          <cell r="E20">
            <v>800</v>
          </cell>
          <cell r="F20">
            <v>150</v>
          </cell>
          <cell r="G20" t="str">
            <v>EA.</v>
          </cell>
        </row>
        <row r="21">
          <cell r="C21">
            <v>121</v>
          </cell>
          <cell r="D21" t="str">
            <v>SPACE</v>
          </cell>
          <cell r="E21">
            <v>34000</v>
          </cell>
          <cell r="F21">
            <v>0</v>
          </cell>
          <cell r="G21" t="str">
            <v>EA.</v>
          </cell>
        </row>
        <row r="22">
          <cell r="C22">
            <v>122</v>
          </cell>
          <cell r="D22" t="str">
            <v>ANTENNA AND SATTELLITE</v>
          </cell>
          <cell r="E22">
            <v>38000</v>
          </cell>
          <cell r="F22">
            <v>0</v>
          </cell>
          <cell r="G22" t="str">
            <v>EA.</v>
          </cell>
        </row>
        <row r="23">
          <cell r="C23">
            <v>121</v>
          </cell>
          <cell r="D23" t="str">
            <v>-  TV ANTENNA</v>
          </cell>
          <cell r="E23">
            <v>15000</v>
          </cell>
          <cell r="F23">
            <v>0</v>
          </cell>
          <cell r="G23" t="str">
            <v>SET</v>
          </cell>
        </row>
        <row r="24">
          <cell r="C24">
            <v>122</v>
          </cell>
          <cell r="D24" t="str">
            <v>-  TV AND FM ANTENNA</v>
          </cell>
          <cell r="E24">
            <v>16000</v>
          </cell>
          <cell r="F24">
            <v>0</v>
          </cell>
          <cell r="G24" t="str">
            <v>SET</v>
          </cell>
        </row>
        <row r="25">
          <cell r="C25">
            <v>123</v>
          </cell>
          <cell r="D25" t="str">
            <v>-  TV ANTENNA  (HOME USE)</v>
          </cell>
          <cell r="E25">
            <v>1500</v>
          </cell>
          <cell r="F25">
            <v>1000</v>
          </cell>
          <cell r="G25" t="str">
            <v>SET</v>
          </cell>
        </row>
        <row r="26">
          <cell r="C26">
            <v>124</v>
          </cell>
          <cell r="D26" t="str">
            <v>-  72 CM.DIGITAL SATELLITE DISH</v>
          </cell>
          <cell r="E26">
            <v>4000</v>
          </cell>
          <cell r="F26">
            <v>1000</v>
          </cell>
          <cell r="G26" t="str">
            <v>SET</v>
          </cell>
        </row>
        <row r="27">
          <cell r="C27">
            <v>125</v>
          </cell>
          <cell r="D27" t="str">
            <v>-  8" SATELLITE DISH</v>
          </cell>
          <cell r="E27">
            <v>24000</v>
          </cell>
          <cell r="F27">
            <v>5000</v>
          </cell>
          <cell r="G27" t="str">
            <v>SET</v>
          </cell>
        </row>
        <row r="28">
          <cell r="C28">
            <v>126</v>
          </cell>
          <cell r="D28" t="str">
            <v>-  10" SATELLITE DISH</v>
          </cell>
          <cell r="E28">
            <v>26000</v>
          </cell>
          <cell r="F28">
            <v>6000</v>
          </cell>
          <cell r="G28" t="str">
            <v>SET</v>
          </cell>
        </row>
        <row r="29">
          <cell r="C29">
            <v>135</v>
          </cell>
          <cell r="D29" t="str">
            <v>SPACE</v>
          </cell>
          <cell r="E29">
            <v>7000</v>
          </cell>
          <cell r="F29">
            <v>0</v>
          </cell>
          <cell r="G29" t="str">
            <v>EA.</v>
          </cell>
        </row>
        <row r="30">
          <cell r="C30">
            <v>136</v>
          </cell>
          <cell r="D30" t="str">
            <v>OUTLET AND CABLE</v>
          </cell>
          <cell r="E30">
            <v>8000</v>
          </cell>
          <cell r="F30">
            <v>0</v>
          </cell>
          <cell r="G30" t="str">
            <v>EA.</v>
          </cell>
        </row>
        <row r="31">
          <cell r="C31">
            <v>131</v>
          </cell>
          <cell r="D31" t="str">
            <v>-  TV OUTLET, PLASTIC PLATE</v>
          </cell>
          <cell r="E31">
            <v>160</v>
          </cell>
          <cell r="F31">
            <v>80</v>
          </cell>
          <cell r="G31" t="str">
            <v>SET</v>
          </cell>
        </row>
        <row r="32">
          <cell r="C32">
            <v>132</v>
          </cell>
          <cell r="D32" t="str">
            <v>-  TV AND FM OUTLET, PLASTIC PLATE</v>
          </cell>
          <cell r="E32">
            <v>280</v>
          </cell>
          <cell r="F32">
            <v>120</v>
          </cell>
          <cell r="G32" t="str">
            <v>SET</v>
          </cell>
        </row>
        <row r="33">
          <cell r="C33">
            <v>133</v>
          </cell>
          <cell r="D33" t="str">
            <v>-  TV OUTLET, ALUMINIUM PLATE</v>
          </cell>
          <cell r="E33">
            <v>190</v>
          </cell>
          <cell r="F33">
            <v>80</v>
          </cell>
          <cell r="G33" t="str">
            <v>SET</v>
          </cell>
        </row>
        <row r="34">
          <cell r="C34">
            <v>134</v>
          </cell>
          <cell r="D34" t="str">
            <v>-  TV AND FM OUTLET, ALUMINIUM PLATE</v>
          </cell>
          <cell r="E34">
            <v>310</v>
          </cell>
          <cell r="F34">
            <v>120</v>
          </cell>
          <cell r="G34" t="str">
            <v>SET</v>
          </cell>
        </row>
        <row r="35">
          <cell r="C35">
            <v>135</v>
          </cell>
          <cell r="D35" t="str">
            <v>-  TV OUTLET, STAINLESS PLATE</v>
          </cell>
          <cell r="E35">
            <v>205</v>
          </cell>
          <cell r="F35">
            <v>80</v>
          </cell>
          <cell r="G35" t="str">
            <v>SET</v>
          </cell>
        </row>
        <row r="36">
          <cell r="C36">
            <v>136</v>
          </cell>
          <cell r="D36" t="str">
            <v>-  TV AND FM OUTLET, STAINLESS PLATE</v>
          </cell>
          <cell r="E36">
            <v>325</v>
          </cell>
          <cell r="F36">
            <v>120</v>
          </cell>
          <cell r="G36" t="str">
            <v>SET</v>
          </cell>
        </row>
        <row r="37">
          <cell r="C37">
            <v>137</v>
          </cell>
          <cell r="D37" t="str">
            <v>-  TV OUTLET,  ALUMINIUM PLATE ; LIVING STYLE</v>
          </cell>
          <cell r="E37">
            <v>655</v>
          </cell>
          <cell r="F37">
            <v>80</v>
          </cell>
          <cell r="G37" t="str">
            <v>SET</v>
          </cell>
        </row>
        <row r="38">
          <cell r="C38">
            <v>138</v>
          </cell>
          <cell r="D38" t="str">
            <v>-  TV AND FM OUTLET,  ALUMINIUM PLATE ; LIVING STYLE</v>
          </cell>
          <cell r="E38">
            <v>1000</v>
          </cell>
          <cell r="F38">
            <v>120</v>
          </cell>
          <cell r="G38" t="str">
            <v>SET</v>
          </cell>
        </row>
        <row r="39">
          <cell r="C39">
            <v>139</v>
          </cell>
          <cell r="D39" t="str">
            <v>-  TV OUTLET,  CHROMIUM PLATE ; LIVING STYLE</v>
          </cell>
          <cell r="E39">
            <v>915</v>
          </cell>
          <cell r="F39">
            <v>80</v>
          </cell>
          <cell r="G39" t="str">
            <v>SET</v>
          </cell>
        </row>
        <row r="40">
          <cell r="C40">
            <v>140</v>
          </cell>
          <cell r="D40" t="str">
            <v>-  TV AND FM OUTLET,  CHROMIUM PLATE ; LIVING STYLE</v>
          </cell>
          <cell r="E40">
            <v>1300</v>
          </cell>
          <cell r="F40">
            <v>120</v>
          </cell>
          <cell r="G40" t="str">
            <v>SET</v>
          </cell>
        </row>
        <row r="41">
          <cell r="C41">
            <v>141</v>
          </cell>
          <cell r="D41" t="str">
            <v>-  RG59/U, 60% SHIELD</v>
          </cell>
          <cell r="E41">
            <v>13</v>
          </cell>
          <cell r="F41">
            <v>2</v>
          </cell>
          <cell r="G41" t="str">
            <v>M.</v>
          </cell>
        </row>
        <row r="42">
          <cell r="C42">
            <v>142</v>
          </cell>
          <cell r="D42" t="str">
            <v>-  RG6/U, 60% SHIELD</v>
          </cell>
          <cell r="E42">
            <v>15</v>
          </cell>
          <cell r="F42">
            <v>3</v>
          </cell>
          <cell r="G42" t="str">
            <v>M.</v>
          </cell>
        </row>
        <row r="43">
          <cell r="C43">
            <v>143</v>
          </cell>
          <cell r="D43" t="str">
            <v>-  RG11/U, 60% SHIELD</v>
          </cell>
          <cell r="E43">
            <v>31</v>
          </cell>
          <cell r="F43">
            <v>4</v>
          </cell>
          <cell r="G43" t="str">
            <v>M.</v>
          </cell>
        </row>
        <row r="44">
          <cell r="C44">
            <v>144</v>
          </cell>
          <cell r="D44" t="str">
            <v>-  RG59/U, 90% SHIELD</v>
          </cell>
          <cell r="E44">
            <v>15</v>
          </cell>
          <cell r="F44">
            <v>2</v>
          </cell>
          <cell r="G44" t="str">
            <v>M.</v>
          </cell>
        </row>
        <row r="45">
          <cell r="C45">
            <v>145</v>
          </cell>
          <cell r="D45" t="str">
            <v>-  RG6/U, 90% SHIELD</v>
          </cell>
          <cell r="E45">
            <v>22</v>
          </cell>
          <cell r="F45">
            <v>3</v>
          </cell>
          <cell r="G45" t="str">
            <v>M.</v>
          </cell>
        </row>
        <row r="46">
          <cell r="C46">
            <v>146</v>
          </cell>
          <cell r="D46" t="str">
            <v>-  RG11/U, 90% SHIELD</v>
          </cell>
          <cell r="E46">
            <v>33</v>
          </cell>
          <cell r="F46">
            <v>4</v>
          </cell>
          <cell r="G46" t="str">
            <v>M.</v>
          </cell>
        </row>
        <row r="47">
          <cell r="C47">
            <v>3</v>
          </cell>
          <cell r="D47" t="str">
            <v>SPACE</v>
          </cell>
          <cell r="E47">
            <v>80</v>
          </cell>
          <cell r="F47">
            <v>50</v>
          </cell>
          <cell r="G47" t="str">
            <v>SET</v>
          </cell>
        </row>
        <row r="48">
          <cell r="C48">
            <v>2</v>
          </cell>
          <cell r="D48" t="str">
            <v>CCTV SYSTEM</v>
          </cell>
          <cell r="E48">
            <v>167000</v>
          </cell>
          <cell r="F48">
            <v>0</v>
          </cell>
          <cell r="G48" t="str">
            <v>EA.</v>
          </cell>
        </row>
        <row r="49">
          <cell r="C49">
            <v>201</v>
          </cell>
          <cell r="D49" t="str">
            <v>-  VIDEO MULTIPLEXER 16 OUTPUT</v>
          </cell>
          <cell r="E49">
            <v>315000</v>
          </cell>
          <cell r="F49">
            <v>10000</v>
          </cell>
          <cell r="G49" t="str">
            <v>SET</v>
          </cell>
        </row>
        <row r="50">
          <cell r="C50">
            <v>202</v>
          </cell>
          <cell r="D50" t="str">
            <v>-  BLACK &amp; WHITE CCTV CAMERA FIXED LENS AUTO IRIS</v>
          </cell>
          <cell r="E50">
            <v>20000</v>
          </cell>
          <cell r="F50">
            <v>2000</v>
          </cell>
          <cell r="G50" t="str">
            <v>SET</v>
          </cell>
        </row>
        <row r="51">
          <cell r="C51">
            <v>203</v>
          </cell>
          <cell r="D51" t="str">
            <v>-  COLOUR CCTV CAMERA FIXED LENS AUTO IRIS</v>
          </cell>
          <cell r="E51">
            <v>27000</v>
          </cell>
          <cell r="F51">
            <v>2000</v>
          </cell>
          <cell r="G51" t="str">
            <v>SET</v>
          </cell>
        </row>
        <row r="52">
          <cell r="C52">
            <v>204</v>
          </cell>
          <cell r="D52" t="str">
            <v>-  TIME-LAPSE VCR</v>
          </cell>
          <cell r="E52">
            <v>54000</v>
          </cell>
          <cell r="F52">
            <v>3000</v>
          </cell>
          <cell r="G52" t="str">
            <v>SET</v>
          </cell>
        </row>
        <row r="53">
          <cell r="C53">
            <v>205</v>
          </cell>
          <cell r="D53" t="str">
            <v>-  CONTROL CONSOLE</v>
          </cell>
          <cell r="E53">
            <v>20000</v>
          </cell>
          <cell r="F53">
            <v>3000</v>
          </cell>
          <cell r="G53" t="str">
            <v>SET</v>
          </cell>
        </row>
        <row r="54">
          <cell r="C54">
            <v>307</v>
          </cell>
          <cell r="D54" t="str">
            <v>SPACE</v>
          </cell>
          <cell r="E54">
            <v>300000</v>
          </cell>
          <cell r="F54">
            <v>0</v>
          </cell>
          <cell r="G54" t="str">
            <v>EA.</v>
          </cell>
        </row>
        <row r="55">
          <cell r="C55">
            <v>211</v>
          </cell>
          <cell r="D55" t="str">
            <v>-  12" BLACK &amp; WHITE MONITOR</v>
          </cell>
          <cell r="E55">
            <v>10000</v>
          </cell>
          <cell r="F55">
            <v>1000</v>
          </cell>
          <cell r="G55" t="str">
            <v>SET</v>
          </cell>
        </row>
        <row r="56">
          <cell r="C56">
            <v>212</v>
          </cell>
          <cell r="D56" t="str">
            <v>-  14" BLACK &amp; WHITE MONITOR</v>
          </cell>
          <cell r="E56">
            <v>15000</v>
          </cell>
          <cell r="F56">
            <v>1000</v>
          </cell>
          <cell r="G56" t="str">
            <v>SET</v>
          </cell>
        </row>
        <row r="57">
          <cell r="C57">
            <v>213</v>
          </cell>
          <cell r="D57" t="str">
            <v>-  19" BLACK &amp; WHITE MONITOR</v>
          </cell>
          <cell r="E57">
            <v>20000</v>
          </cell>
          <cell r="F57">
            <v>1000</v>
          </cell>
          <cell r="G57" t="str">
            <v>SET</v>
          </cell>
        </row>
        <row r="58">
          <cell r="C58">
            <v>214</v>
          </cell>
          <cell r="D58" t="str">
            <v>-  12" COLOUR MONITOR</v>
          </cell>
          <cell r="E58">
            <v>25000</v>
          </cell>
          <cell r="F58">
            <v>1000</v>
          </cell>
          <cell r="G58" t="str">
            <v>SET</v>
          </cell>
        </row>
        <row r="59">
          <cell r="C59">
            <v>215</v>
          </cell>
          <cell r="D59" t="str">
            <v>-  14" COLOUR MONITOR</v>
          </cell>
          <cell r="E59">
            <v>40000</v>
          </cell>
          <cell r="F59">
            <v>1000</v>
          </cell>
          <cell r="G59" t="str">
            <v>SET</v>
          </cell>
        </row>
        <row r="60">
          <cell r="C60">
            <v>216</v>
          </cell>
          <cell r="D60" t="str">
            <v>-  20" COLOUR MONITOR</v>
          </cell>
          <cell r="E60">
            <v>70000</v>
          </cell>
          <cell r="F60">
            <v>1000</v>
          </cell>
          <cell r="G60" t="str">
            <v>SET</v>
          </cell>
        </row>
        <row r="61">
          <cell r="C61">
            <v>322</v>
          </cell>
          <cell r="D61" t="str">
            <v>-  ACB 3P 1,200/1,200 AF ; IC 65 KA.</v>
          </cell>
          <cell r="E61">
            <v>180000</v>
          </cell>
          <cell r="F61">
            <v>0</v>
          </cell>
          <cell r="G61" t="str">
            <v>EA.</v>
          </cell>
        </row>
        <row r="62">
          <cell r="C62">
            <v>3</v>
          </cell>
          <cell r="D62" t="str">
            <v>SOUND SYSTEM</v>
          </cell>
          <cell r="E62">
            <v>200000</v>
          </cell>
          <cell r="F62">
            <v>0</v>
          </cell>
          <cell r="G62" t="str">
            <v>EA.</v>
          </cell>
        </row>
        <row r="63">
          <cell r="C63">
            <v>301</v>
          </cell>
          <cell r="D63" t="str">
            <v>-  HAND-HELD MICROPHONE</v>
          </cell>
          <cell r="E63">
            <v>6570</v>
          </cell>
          <cell r="F63">
            <v>0</v>
          </cell>
          <cell r="G63" t="str">
            <v>SET</v>
          </cell>
        </row>
        <row r="64">
          <cell r="C64">
            <v>302</v>
          </cell>
          <cell r="D64" t="str">
            <v>-  TIE-CLIP MICROPHONE</v>
          </cell>
          <cell r="E64">
            <v>24600</v>
          </cell>
          <cell r="F64">
            <v>0</v>
          </cell>
          <cell r="G64" t="str">
            <v>SET</v>
          </cell>
        </row>
        <row r="65">
          <cell r="C65">
            <v>303</v>
          </cell>
          <cell r="D65" t="str">
            <v>-  TABLE-STAND MICROPHONE</v>
          </cell>
          <cell r="E65">
            <v>5830</v>
          </cell>
          <cell r="F65">
            <v>0</v>
          </cell>
          <cell r="G65" t="str">
            <v>SET</v>
          </cell>
        </row>
        <row r="66">
          <cell r="C66">
            <v>304</v>
          </cell>
          <cell r="D66" t="str">
            <v>-  TABLE-STAND MICROPHONE WITH REMOTE ZONE SELECTER</v>
          </cell>
          <cell r="E66">
            <v>17730</v>
          </cell>
          <cell r="F66">
            <v>0</v>
          </cell>
          <cell r="G66" t="str">
            <v>SET</v>
          </cell>
        </row>
        <row r="67">
          <cell r="C67">
            <v>305</v>
          </cell>
          <cell r="D67" t="str">
            <v>-  WIRELESS MICROPHONE</v>
          </cell>
          <cell r="E67">
            <v>18100</v>
          </cell>
          <cell r="F67">
            <v>0</v>
          </cell>
          <cell r="G67" t="str">
            <v>SET</v>
          </cell>
        </row>
        <row r="68">
          <cell r="C68">
            <v>306</v>
          </cell>
          <cell r="D68" t="str">
            <v>-  WIRELESS RECEIVER MODULE</v>
          </cell>
          <cell r="E68">
            <v>36000</v>
          </cell>
          <cell r="F68">
            <v>0</v>
          </cell>
          <cell r="G68" t="str">
            <v>SET</v>
          </cell>
        </row>
        <row r="69">
          <cell r="C69">
            <v>309</v>
          </cell>
          <cell r="D69" t="str">
            <v>-  8-CHANNEL SPACE AUDIO MIXER</v>
          </cell>
          <cell r="E69">
            <v>89960</v>
          </cell>
          <cell r="F69">
            <v>2000</v>
          </cell>
          <cell r="G69" t="str">
            <v>SET</v>
          </cell>
        </row>
        <row r="70">
          <cell r="C70">
            <v>310</v>
          </cell>
          <cell r="D70" t="str">
            <v>-  GRAPHIC EQUALIZER</v>
          </cell>
          <cell r="E70">
            <v>440000</v>
          </cell>
          <cell r="F70">
            <v>0</v>
          </cell>
          <cell r="G70" t="str">
            <v>SET</v>
          </cell>
        </row>
        <row r="71">
          <cell r="C71">
            <v>311</v>
          </cell>
          <cell r="D71" t="str">
            <v>-  100 W. (MAX.) POWER AMPLIFIER</v>
          </cell>
          <cell r="E71">
            <v>69200</v>
          </cell>
          <cell r="F71">
            <v>1000</v>
          </cell>
          <cell r="G71" t="str">
            <v>SET</v>
          </cell>
        </row>
        <row r="72">
          <cell r="C72">
            <v>312</v>
          </cell>
          <cell r="D72" t="str">
            <v>-  200 W. (MAX.) POWER AMPLIFIER</v>
          </cell>
          <cell r="E72">
            <v>108120</v>
          </cell>
          <cell r="F72">
            <v>1500</v>
          </cell>
          <cell r="G72" t="str">
            <v>SET</v>
          </cell>
        </row>
        <row r="73">
          <cell r="C73">
            <v>313</v>
          </cell>
          <cell r="D73" t="str">
            <v>-  300 W. (MAX.) POWER AMPLIFIER</v>
          </cell>
          <cell r="E73">
            <v>177320</v>
          </cell>
          <cell r="F73">
            <v>2000</v>
          </cell>
          <cell r="G73" t="str">
            <v>SET</v>
          </cell>
        </row>
        <row r="74">
          <cell r="C74">
            <v>314</v>
          </cell>
          <cell r="D74" t="str">
            <v>-  400 W. (MAX.) POWER AMPLIFIER</v>
          </cell>
          <cell r="E74">
            <v>178610</v>
          </cell>
          <cell r="F74">
            <v>2000</v>
          </cell>
          <cell r="G74" t="str">
            <v>SET</v>
          </cell>
        </row>
        <row r="75">
          <cell r="C75">
            <v>315</v>
          </cell>
          <cell r="D75" t="str">
            <v>-  500 W. (MAX.) POWER AMPLIFIER</v>
          </cell>
          <cell r="E75">
            <v>220000</v>
          </cell>
          <cell r="F75">
            <v>2500</v>
          </cell>
          <cell r="G75" t="str">
            <v>SET</v>
          </cell>
        </row>
        <row r="76">
          <cell r="C76">
            <v>316</v>
          </cell>
          <cell r="D76" t="str">
            <v>-  1x600 W. (MAX.) POWER AMPLIFIER</v>
          </cell>
          <cell r="E76">
            <v>250000</v>
          </cell>
          <cell r="F76">
            <v>3000</v>
          </cell>
          <cell r="G76" t="str">
            <v>SET</v>
          </cell>
        </row>
        <row r="77">
          <cell r="C77">
            <v>317</v>
          </cell>
          <cell r="D77" t="str">
            <v>-  PRE-AMPLIFIER</v>
          </cell>
          <cell r="E77">
            <v>32900</v>
          </cell>
          <cell r="F77">
            <v>1000</v>
          </cell>
          <cell r="G77" t="str">
            <v>SET</v>
          </cell>
        </row>
        <row r="78">
          <cell r="C78">
            <v>321</v>
          </cell>
          <cell r="D78" t="str">
            <v>-  SINGLE SPACE TYPE DECK</v>
          </cell>
          <cell r="E78">
            <v>7550</v>
          </cell>
          <cell r="F78">
            <v>200</v>
          </cell>
          <cell r="G78" t="str">
            <v>SET</v>
          </cell>
        </row>
        <row r="79">
          <cell r="C79">
            <v>322</v>
          </cell>
          <cell r="D79" t="str">
            <v>-  DOUBLE TAPE DECK</v>
          </cell>
          <cell r="E79">
            <v>15000</v>
          </cell>
          <cell r="F79">
            <v>200</v>
          </cell>
          <cell r="G79" t="str">
            <v>SET</v>
          </cell>
        </row>
        <row r="80">
          <cell r="C80">
            <v>323</v>
          </cell>
          <cell r="D80" t="str">
            <v>-  1 D.CD.PLAYER</v>
          </cell>
          <cell r="E80">
            <v>0</v>
          </cell>
          <cell r="F80">
            <v>0</v>
          </cell>
          <cell r="G80" t="str">
            <v>SET</v>
          </cell>
        </row>
        <row r="81">
          <cell r="C81">
            <v>324</v>
          </cell>
          <cell r="D81" t="str">
            <v>-  3 D.CD.PLAYER</v>
          </cell>
          <cell r="E81">
            <v>0</v>
          </cell>
          <cell r="F81">
            <v>0</v>
          </cell>
          <cell r="G81" t="str">
            <v>SET</v>
          </cell>
        </row>
        <row r="82">
          <cell r="C82">
            <v>325</v>
          </cell>
          <cell r="D82" t="str">
            <v>-  5D.CD.PLAYER</v>
          </cell>
          <cell r="E82">
            <v>0</v>
          </cell>
          <cell r="F82">
            <v>0</v>
          </cell>
          <cell r="G82" t="str">
            <v>SET</v>
          </cell>
        </row>
        <row r="83">
          <cell r="C83">
            <v>326</v>
          </cell>
          <cell r="D83" t="str">
            <v>-  10 D.CD PLAYER</v>
          </cell>
          <cell r="E83">
            <v>0</v>
          </cell>
          <cell r="F83">
            <v>0</v>
          </cell>
          <cell r="G83" t="str">
            <v>SET</v>
          </cell>
        </row>
        <row r="84">
          <cell r="C84">
            <v>327</v>
          </cell>
          <cell r="D84" t="str">
            <v>-  TUNER &amp; ANTENNA</v>
          </cell>
          <cell r="E84">
            <v>5870</v>
          </cell>
          <cell r="F84">
            <v>200</v>
          </cell>
          <cell r="G84" t="str">
            <v>SET</v>
          </cell>
        </row>
        <row r="85">
          <cell r="C85">
            <v>408</v>
          </cell>
          <cell r="D85" t="str">
            <v>SPACE</v>
          </cell>
          <cell r="E85">
            <v>2800</v>
          </cell>
          <cell r="F85">
            <v>0</v>
          </cell>
          <cell r="G85" t="str">
            <v>EA.</v>
          </cell>
        </row>
        <row r="86">
          <cell r="C86">
            <v>331</v>
          </cell>
          <cell r="D86" t="str">
            <v>-  18 ZONE CALL STATION</v>
          </cell>
          <cell r="E86">
            <v>54000</v>
          </cell>
          <cell r="F86">
            <v>0</v>
          </cell>
          <cell r="G86" t="str">
            <v>SET</v>
          </cell>
        </row>
        <row r="87">
          <cell r="C87">
            <v>332</v>
          </cell>
          <cell r="D87" t="str">
            <v>-  36 ZONE CALL STATION</v>
          </cell>
          <cell r="E87">
            <v>75600</v>
          </cell>
          <cell r="F87">
            <v>0</v>
          </cell>
          <cell r="G87" t="str">
            <v>SET</v>
          </cell>
        </row>
        <row r="88">
          <cell r="C88">
            <v>333</v>
          </cell>
          <cell r="D88" t="str">
            <v>-  SYSTEM MANAGEMENT</v>
          </cell>
          <cell r="E88">
            <v>150500</v>
          </cell>
          <cell r="F88">
            <v>5000</v>
          </cell>
          <cell r="G88" t="str">
            <v>SET</v>
          </cell>
        </row>
        <row r="89">
          <cell r="C89">
            <v>412</v>
          </cell>
          <cell r="D89" t="str">
            <v>SPACE</v>
          </cell>
          <cell r="E89">
            <v>10000</v>
          </cell>
          <cell r="F89">
            <v>0</v>
          </cell>
          <cell r="G89" t="str">
            <v>EA.</v>
          </cell>
        </row>
        <row r="90">
          <cell r="C90">
            <v>413</v>
          </cell>
          <cell r="D90" t="str">
            <v>LOUDSPEAKER</v>
          </cell>
          <cell r="E90">
            <v>10000</v>
          </cell>
          <cell r="F90">
            <v>0</v>
          </cell>
          <cell r="G90" t="str">
            <v>EA.</v>
          </cell>
        </row>
        <row r="91">
          <cell r="C91">
            <v>341</v>
          </cell>
          <cell r="D91" t="str">
            <v>-  3 W. CABINET SPEAKER</v>
          </cell>
          <cell r="E91">
            <v>2240</v>
          </cell>
          <cell r="F91">
            <v>200</v>
          </cell>
          <cell r="G91" t="str">
            <v>SET</v>
          </cell>
        </row>
        <row r="92">
          <cell r="C92">
            <v>342</v>
          </cell>
          <cell r="D92" t="str">
            <v>-  6 W. CABINET SPEAKER</v>
          </cell>
          <cell r="E92">
            <v>2310</v>
          </cell>
          <cell r="F92">
            <v>200</v>
          </cell>
          <cell r="G92" t="str">
            <v>SET</v>
          </cell>
        </row>
        <row r="93">
          <cell r="C93">
            <v>343</v>
          </cell>
          <cell r="D93" t="str">
            <v>-  12 W. (MAX) COLUMN SPEAKER</v>
          </cell>
          <cell r="E93">
            <v>10590</v>
          </cell>
          <cell r="F93">
            <v>100</v>
          </cell>
          <cell r="G93" t="str">
            <v>SET</v>
          </cell>
        </row>
        <row r="94">
          <cell r="C94">
            <v>344</v>
          </cell>
          <cell r="D94" t="str">
            <v>-  24 W (MAX) COLUMN SPEAKER</v>
          </cell>
          <cell r="E94">
            <v>14510</v>
          </cell>
          <cell r="F94">
            <v>100</v>
          </cell>
          <cell r="G94" t="str">
            <v>SET</v>
          </cell>
        </row>
        <row r="95">
          <cell r="C95">
            <v>345</v>
          </cell>
          <cell r="D95" t="str">
            <v>-  36 W.(MAX) COLUMN SPEAKER</v>
          </cell>
          <cell r="E95">
            <v>1499</v>
          </cell>
          <cell r="F95">
            <v>100</v>
          </cell>
          <cell r="G95" t="str">
            <v>SET</v>
          </cell>
        </row>
        <row r="96">
          <cell r="C96">
            <v>346</v>
          </cell>
          <cell r="D96" t="str">
            <v>-  12 W. CARDIOID COLUMN SPEAKER</v>
          </cell>
          <cell r="E96">
            <v>24000</v>
          </cell>
          <cell r="F96">
            <v>500</v>
          </cell>
          <cell r="G96" t="str">
            <v>SET</v>
          </cell>
        </row>
        <row r="97">
          <cell r="C97">
            <v>347</v>
          </cell>
          <cell r="D97" t="str">
            <v>-  24 W. CARDIOID COLUMN SPEAKER</v>
          </cell>
          <cell r="E97">
            <v>36000</v>
          </cell>
          <cell r="F97">
            <v>500</v>
          </cell>
          <cell r="G97" t="str">
            <v>SET</v>
          </cell>
        </row>
        <row r="98">
          <cell r="C98">
            <v>348</v>
          </cell>
          <cell r="D98" t="str">
            <v>-  30 W. CARDIOID COLUMN SPEAKER</v>
          </cell>
          <cell r="E98">
            <v>46000</v>
          </cell>
          <cell r="F98">
            <v>500</v>
          </cell>
          <cell r="G98" t="str">
            <v>SET</v>
          </cell>
        </row>
        <row r="99">
          <cell r="C99">
            <v>349</v>
          </cell>
          <cell r="D99" t="str">
            <v>-  36 W. CARDIOID COLUMN SPEAKER (OUT DOOR)</v>
          </cell>
          <cell r="E99">
            <v>52000</v>
          </cell>
          <cell r="F99">
            <v>500</v>
          </cell>
          <cell r="G99" t="str">
            <v>SET</v>
          </cell>
        </row>
        <row r="100">
          <cell r="C100" t="str">
            <v/>
          </cell>
          <cell r="D100" t="str">
            <v>SPACE</v>
          </cell>
          <cell r="E100">
            <v>6000</v>
          </cell>
          <cell r="F100">
            <v>0</v>
          </cell>
          <cell r="G100" t="str">
            <v>EA.</v>
          </cell>
        </row>
        <row r="101">
          <cell r="C101">
            <v>351</v>
          </cell>
          <cell r="D101" t="str">
            <v>-  6 W. PANEL SPEAKER</v>
          </cell>
          <cell r="E101">
            <v>3500</v>
          </cell>
          <cell r="F101">
            <v>100</v>
          </cell>
          <cell r="G101" t="str">
            <v>SET</v>
          </cell>
        </row>
        <row r="102">
          <cell r="C102">
            <v>352</v>
          </cell>
          <cell r="D102" t="str">
            <v>-  6 W. CEILING LOUD SPEAKER</v>
          </cell>
          <cell r="E102">
            <v>1900</v>
          </cell>
          <cell r="F102">
            <v>200</v>
          </cell>
          <cell r="G102" t="str">
            <v>SET</v>
          </cell>
        </row>
        <row r="103">
          <cell r="C103">
            <v>353</v>
          </cell>
          <cell r="D103" t="str">
            <v>-  24 W. PANEL CEILING SPEAKER</v>
          </cell>
          <cell r="E103">
            <v>0</v>
          </cell>
          <cell r="F103">
            <v>200</v>
          </cell>
          <cell r="G103" t="str">
            <v>SET</v>
          </cell>
        </row>
        <row r="104">
          <cell r="C104">
            <v>507</v>
          </cell>
          <cell r="D104" t="str">
            <v>SPACE</v>
          </cell>
          <cell r="E104">
            <v>15000</v>
          </cell>
          <cell r="F104">
            <v>0</v>
          </cell>
          <cell r="G104" t="str">
            <v>EA.</v>
          </cell>
        </row>
        <row r="105">
          <cell r="C105">
            <v>356</v>
          </cell>
          <cell r="D105" t="str">
            <v xml:space="preserve">-  6 W. B1-DIRECTIONAL SOUND PROJECTOR                       </v>
          </cell>
          <cell r="E105">
            <v>3570</v>
          </cell>
          <cell r="F105">
            <v>100</v>
          </cell>
          <cell r="G105" t="str">
            <v>SET</v>
          </cell>
        </row>
        <row r="106">
          <cell r="C106">
            <v>357</v>
          </cell>
          <cell r="D106" t="str">
            <v>-  6 W. SOUND PROJECTOR</v>
          </cell>
          <cell r="E106">
            <v>2950</v>
          </cell>
          <cell r="F106">
            <v>100</v>
          </cell>
          <cell r="G106" t="str">
            <v>SET</v>
          </cell>
        </row>
        <row r="107">
          <cell r="C107">
            <v>358</v>
          </cell>
          <cell r="D107" t="str">
            <v>-  10 W. SOUND PROJECTOR</v>
          </cell>
          <cell r="E107">
            <v>3810</v>
          </cell>
          <cell r="F107">
            <v>100</v>
          </cell>
          <cell r="G107" t="str">
            <v>SET</v>
          </cell>
        </row>
        <row r="108">
          <cell r="C108">
            <v>359</v>
          </cell>
          <cell r="D108" t="str">
            <v>-  10 W. PENDANT SPHERE SPEAKER</v>
          </cell>
          <cell r="E108">
            <v>3590</v>
          </cell>
          <cell r="F108">
            <v>100</v>
          </cell>
          <cell r="G108" t="str">
            <v>SET</v>
          </cell>
        </row>
        <row r="109">
          <cell r="C109">
            <v>360</v>
          </cell>
          <cell r="D109" t="str">
            <v>-  25 W. (MAX.) SOUND PROJECTOR</v>
          </cell>
          <cell r="E109">
            <v>0</v>
          </cell>
          <cell r="F109">
            <v>0</v>
          </cell>
          <cell r="G109" t="str">
            <v>SET</v>
          </cell>
        </row>
        <row r="110">
          <cell r="C110">
            <v>361</v>
          </cell>
          <cell r="D110" t="str">
            <v xml:space="preserve">-  25 W. (MAX.) SOUND PROJECTOR (OUTDOOR)                      </v>
          </cell>
          <cell r="E110">
            <v>0</v>
          </cell>
          <cell r="F110">
            <v>0</v>
          </cell>
          <cell r="G110" t="str">
            <v>SET</v>
          </cell>
        </row>
        <row r="111">
          <cell r="C111">
            <v>605</v>
          </cell>
          <cell r="D111" t="str">
            <v>SPACE</v>
          </cell>
          <cell r="E111">
            <v>130000</v>
          </cell>
          <cell r="F111">
            <v>0</v>
          </cell>
          <cell r="G111" t="str">
            <v>EA.</v>
          </cell>
        </row>
        <row r="112">
          <cell r="C112">
            <v>366</v>
          </cell>
          <cell r="D112" t="str">
            <v xml:space="preserve">-  10 W. HORN  </v>
          </cell>
          <cell r="E112">
            <v>4100</v>
          </cell>
          <cell r="F112">
            <v>100</v>
          </cell>
          <cell r="G112" t="str">
            <v>SET</v>
          </cell>
        </row>
        <row r="113">
          <cell r="C113">
            <v>367</v>
          </cell>
          <cell r="D113" t="str">
            <v>-  15 W. HORN</v>
          </cell>
          <cell r="E113">
            <v>0</v>
          </cell>
          <cell r="F113">
            <v>0</v>
          </cell>
          <cell r="G113" t="str">
            <v>SET</v>
          </cell>
        </row>
        <row r="114">
          <cell r="C114">
            <v>368</v>
          </cell>
          <cell r="D114" t="str">
            <v>-  20 W. HORN</v>
          </cell>
          <cell r="E114">
            <v>7370</v>
          </cell>
          <cell r="F114">
            <v>100</v>
          </cell>
          <cell r="G114" t="str">
            <v>SET</v>
          </cell>
        </row>
        <row r="115">
          <cell r="C115">
            <v>369</v>
          </cell>
          <cell r="D115" t="str">
            <v>-  30 W. HORN</v>
          </cell>
          <cell r="E115">
            <v>8380</v>
          </cell>
          <cell r="F115">
            <v>100</v>
          </cell>
          <cell r="G115" t="str">
            <v>SET</v>
          </cell>
        </row>
        <row r="116">
          <cell r="C116">
            <v>610</v>
          </cell>
          <cell r="D116" t="str">
            <v>SPACE</v>
          </cell>
          <cell r="E116">
            <v>747000</v>
          </cell>
          <cell r="F116">
            <v>0</v>
          </cell>
          <cell r="G116" t="str">
            <v>EA.</v>
          </cell>
        </row>
        <row r="117">
          <cell r="C117">
            <v>234</v>
          </cell>
          <cell r="D117" t="str">
            <v>SPACE</v>
          </cell>
          <cell r="E117">
            <v>6000</v>
          </cell>
          <cell r="F117">
            <v>300</v>
          </cell>
          <cell r="G117" t="str">
            <v>EA.</v>
          </cell>
        </row>
        <row r="118">
          <cell r="C118">
            <v>4</v>
          </cell>
          <cell r="D118" t="str">
            <v>LIGHTING CONTROL</v>
          </cell>
          <cell r="E118">
            <v>10000</v>
          </cell>
          <cell r="F118">
            <v>400</v>
          </cell>
          <cell r="G118" t="str">
            <v>EA.</v>
          </cell>
        </row>
        <row r="119">
          <cell r="C119">
            <v>701</v>
          </cell>
          <cell r="D119" t="str">
            <v>NATIONAL 2W. REMOTE CONTROL</v>
          </cell>
          <cell r="E119">
            <v>10000</v>
          </cell>
          <cell r="F119">
            <v>500</v>
          </cell>
          <cell r="G119" t="str">
            <v>EA.</v>
          </cell>
        </row>
        <row r="120">
          <cell r="C120">
            <v>702</v>
          </cell>
          <cell r="D120" t="str">
            <v>-  2 W, NATIONAL</v>
          </cell>
          <cell r="E120">
            <v>11000</v>
          </cell>
          <cell r="F120">
            <v>500</v>
          </cell>
          <cell r="G120" t="str">
            <v>EA.</v>
          </cell>
        </row>
        <row r="121">
          <cell r="C121">
            <v>703</v>
          </cell>
          <cell r="D121" t="str">
            <v>-  DILITE</v>
          </cell>
          <cell r="E121">
            <v>14000</v>
          </cell>
          <cell r="F121">
            <v>500</v>
          </cell>
          <cell r="G121" t="str">
            <v>SET</v>
          </cell>
        </row>
        <row r="122">
          <cell r="C122">
            <v>401</v>
          </cell>
          <cell r="D122" t="str">
            <v>-  TRANSMISSION UNIT</v>
          </cell>
          <cell r="E122">
            <v>25200</v>
          </cell>
          <cell r="F122">
            <v>500</v>
          </cell>
          <cell r="G122" t="str">
            <v>SET</v>
          </cell>
        </row>
        <row r="123">
          <cell r="C123">
            <v>402</v>
          </cell>
          <cell r="D123" t="str">
            <v>-  TRANSFORMER</v>
          </cell>
          <cell r="E123">
            <v>4650</v>
          </cell>
          <cell r="F123">
            <v>200</v>
          </cell>
          <cell r="G123" t="str">
            <v>SET</v>
          </cell>
        </row>
        <row r="124">
          <cell r="C124">
            <v>403</v>
          </cell>
          <cell r="D124" t="str">
            <v>-  CONTACT INPUT TERMINAL UNIT</v>
          </cell>
          <cell r="E124">
            <v>5960</v>
          </cell>
          <cell r="F124">
            <v>200</v>
          </cell>
          <cell r="G124" t="str">
            <v>SET</v>
          </cell>
        </row>
        <row r="125">
          <cell r="C125">
            <v>404</v>
          </cell>
          <cell r="D125" t="str">
            <v>-  PATTERN SWITCH (4 PATTERN)</v>
          </cell>
          <cell r="E125">
            <v>2830</v>
          </cell>
          <cell r="F125">
            <v>200</v>
          </cell>
          <cell r="G125" t="str">
            <v>SET</v>
          </cell>
        </row>
        <row r="126">
          <cell r="C126">
            <v>405</v>
          </cell>
          <cell r="D126" t="str">
            <v xml:space="preserve">-  PATTERN SETTING SWITCH </v>
          </cell>
          <cell r="E126">
            <v>2830</v>
          </cell>
          <cell r="F126">
            <v>200</v>
          </cell>
          <cell r="G126" t="str">
            <v>SET</v>
          </cell>
        </row>
        <row r="127">
          <cell r="C127">
            <v>406</v>
          </cell>
          <cell r="D127" t="str">
            <v>-  ZONE PATTERN SWITCH (3 PATTERN)</v>
          </cell>
          <cell r="E127">
            <v>2900</v>
          </cell>
          <cell r="F127">
            <v>200</v>
          </cell>
          <cell r="G127" t="str">
            <v>SET</v>
          </cell>
        </row>
        <row r="128">
          <cell r="C128">
            <v>407</v>
          </cell>
          <cell r="D128" t="str">
            <v>-  GROUP SWITCH 1 GROUP</v>
          </cell>
          <cell r="E128">
            <v>2450</v>
          </cell>
          <cell r="F128">
            <v>200</v>
          </cell>
          <cell r="G128" t="str">
            <v>SET</v>
          </cell>
        </row>
        <row r="129">
          <cell r="C129">
            <v>408</v>
          </cell>
          <cell r="D129" t="str">
            <v>-  GROUP SWITCH 4 GROUP</v>
          </cell>
          <cell r="E129">
            <v>3050</v>
          </cell>
          <cell r="F129">
            <v>200</v>
          </cell>
          <cell r="G129" t="str">
            <v>SET</v>
          </cell>
        </row>
        <row r="130">
          <cell r="C130">
            <v>409</v>
          </cell>
          <cell r="D130" t="str">
            <v xml:space="preserve">-  GROUP SETTING SWITCH </v>
          </cell>
          <cell r="E130">
            <v>2830</v>
          </cell>
          <cell r="F130">
            <v>200</v>
          </cell>
          <cell r="G130" t="str">
            <v>SET</v>
          </cell>
        </row>
        <row r="131">
          <cell r="C131">
            <v>410</v>
          </cell>
          <cell r="D131" t="str">
            <v>-  TIMER SETTING UNIT</v>
          </cell>
          <cell r="E131">
            <v>54400</v>
          </cell>
          <cell r="F131">
            <v>200</v>
          </cell>
          <cell r="G131" t="str">
            <v>SET</v>
          </cell>
        </row>
        <row r="132">
          <cell r="C132">
            <v>411</v>
          </cell>
          <cell r="D132" t="str">
            <v>-  HID RELAY 20A. (SINGLE POLE)</v>
          </cell>
          <cell r="E132">
            <v>1420</v>
          </cell>
          <cell r="F132">
            <v>100</v>
          </cell>
          <cell r="G132" t="str">
            <v>SET</v>
          </cell>
        </row>
        <row r="133">
          <cell r="C133">
            <v>412</v>
          </cell>
          <cell r="D133" t="str">
            <v>-  HID RELAY 20A. (DOUBLE POLE)</v>
          </cell>
          <cell r="E133">
            <v>2870</v>
          </cell>
          <cell r="F133">
            <v>100</v>
          </cell>
          <cell r="G133" t="str">
            <v>SET</v>
          </cell>
        </row>
        <row r="134">
          <cell r="C134">
            <v>413</v>
          </cell>
          <cell r="D134" t="str">
            <v>-  RELAY CONTROL T/U (4 CIRCUIT)</v>
          </cell>
          <cell r="E134">
            <v>4100</v>
          </cell>
          <cell r="F134">
            <v>200</v>
          </cell>
          <cell r="G134" t="str">
            <v>SET</v>
          </cell>
        </row>
        <row r="135">
          <cell r="C135">
            <v>414</v>
          </cell>
          <cell r="D135" t="str">
            <v>-  RELAY CONTROL T/U (1 CIRCUIT)</v>
          </cell>
          <cell r="E135">
            <v>2600</v>
          </cell>
          <cell r="F135">
            <v>200</v>
          </cell>
          <cell r="G135" t="str">
            <v>SET</v>
          </cell>
        </row>
        <row r="136">
          <cell r="C136">
            <v>415</v>
          </cell>
          <cell r="D136" t="str">
            <v>-  6A. CONTACT OUTPUT T/U (4 CIRCUIT)</v>
          </cell>
          <cell r="E136">
            <v>6350</v>
          </cell>
          <cell r="F136">
            <v>200</v>
          </cell>
          <cell r="G136" t="str">
            <v>SET</v>
          </cell>
        </row>
        <row r="137">
          <cell r="C137">
            <v>416</v>
          </cell>
          <cell r="D137" t="str">
            <v>-  6A. CONTACT OUTPUT T/U (1 CIRCUIT)</v>
          </cell>
          <cell r="E137">
            <v>3100</v>
          </cell>
          <cell r="F137">
            <v>200</v>
          </cell>
          <cell r="G137" t="str">
            <v>SET</v>
          </cell>
        </row>
        <row r="138">
          <cell r="C138">
            <v>417</v>
          </cell>
          <cell r="D138" t="str">
            <v>-  INTERFACE</v>
          </cell>
          <cell r="E138">
            <v>133900</v>
          </cell>
          <cell r="F138">
            <v>0</v>
          </cell>
          <cell r="G138" t="str">
            <v>SET</v>
          </cell>
        </row>
        <row r="139">
          <cell r="C139">
            <v>418</v>
          </cell>
          <cell r="D139" t="str">
            <v>-  AMPLIFIER</v>
          </cell>
          <cell r="E139">
            <v>8230</v>
          </cell>
          <cell r="F139">
            <v>200</v>
          </cell>
          <cell r="G139" t="str">
            <v>SET</v>
          </cell>
        </row>
        <row r="140">
          <cell r="C140">
            <v>419</v>
          </cell>
          <cell r="D140" t="str">
            <v>-  WIRE LESS PANEL UNIT</v>
          </cell>
          <cell r="E140">
            <v>7500</v>
          </cell>
          <cell r="F140">
            <v>200</v>
          </cell>
          <cell r="G140" t="str">
            <v>SET</v>
          </cell>
        </row>
        <row r="141">
          <cell r="C141">
            <v>420</v>
          </cell>
          <cell r="D141" t="str">
            <v>-  WIRE LESS 4 SWITCH</v>
          </cell>
          <cell r="E141">
            <v>3500</v>
          </cell>
          <cell r="F141">
            <v>200</v>
          </cell>
          <cell r="G141" t="str">
            <v>SET</v>
          </cell>
        </row>
        <row r="142">
          <cell r="C142">
            <v>806</v>
          </cell>
          <cell r="D142" t="str">
            <v>SPACE</v>
          </cell>
          <cell r="E142">
            <v>207000</v>
          </cell>
          <cell r="F142">
            <v>800</v>
          </cell>
          <cell r="G142" t="str">
            <v>M.</v>
          </cell>
        </row>
        <row r="143">
          <cell r="C143" t="str">
            <v/>
          </cell>
          <cell r="D143" t="str">
            <v xml:space="preserve">   DILITE LIGHTING CONTROL</v>
          </cell>
          <cell r="E143">
            <v>23000</v>
          </cell>
          <cell r="F143">
            <v>1000</v>
          </cell>
          <cell r="G143" t="str">
            <v>M.</v>
          </cell>
        </row>
        <row r="144">
          <cell r="C144">
            <v>432</v>
          </cell>
          <cell r="D144" t="str">
            <v>-  BOX RELAY</v>
          </cell>
          <cell r="E144">
            <v>9650</v>
          </cell>
          <cell r="F144">
            <v>250</v>
          </cell>
          <cell r="G144" t="str">
            <v>SET</v>
          </cell>
        </row>
        <row r="145">
          <cell r="C145">
            <v>433</v>
          </cell>
          <cell r="D145" t="str">
            <v>-  SWITCH TIMER</v>
          </cell>
          <cell r="E145">
            <v>1750</v>
          </cell>
          <cell r="F145">
            <v>250</v>
          </cell>
          <cell r="G145" t="str">
            <v>SET</v>
          </cell>
        </row>
        <row r="146">
          <cell r="C146">
            <v>434</v>
          </cell>
          <cell r="D146" t="str">
            <v>-  SWITCH 8</v>
          </cell>
          <cell r="E146">
            <v>1450</v>
          </cell>
          <cell r="F146">
            <v>250</v>
          </cell>
          <cell r="G146" t="str">
            <v>SET</v>
          </cell>
        </row>
        <row r="147">
          <cell r="C147">
            <v>435</v>
          </cell>
          <cell r="D147" t="str">
            <v>-  SWITCH 8 PLUS INFRARED</v>
          </cell>
          <cell r="E147">
            <v>1650</v>
          </cell>
          <cell r="F147">
            <v>250</v>
          </cell>
          <cell r="G147" t="str">
            <v>SET</v>
          </cell>
        </row>
        <row r="148">
          <cell r="C148">
            <v>436</v>
          </cell>
          <cell r="D148" t="str">
            <v>-  SWITCH ZONE</v>
          </cell>
          <cell r="E148">
            <v>1950</v>
          </cell>
          <cell r="F148">
            <v>250</v>
          </cell>
          <cell r="G148" t="str">
            <v>SET</v>
          </cell>
        </row>
        <row r="149">
          <cell r="C149">
            <v>437</v>
          </cell>
          <cell r="D149" t="str">
            <v>-  SWITCH ZONE PLUS INFRARED</v>
          </cell>
          <cell r="E149">
            <v>2150</v>
          </cell>
          <cell r="F149">
            <v>250</v>
          </cell>
          <cell r="G149" t="str">
            <v>SET</v>
          </cell>
        </row>
        <row r="150">
          <cell r="C150">
            <v>438</v>
          </cell>
          <cell r="D150" t="str">
            <v>-  ADAPTER SWITCH</v>
          </cell>
          <cell r="E150">
            <v>1400</v>
          </cell>
          <cell r="F150">
            <v>250</v>
          </cell>
          <cell r="G150" t="str">
            <v>SET</v>
          </cell>
        </row>
        <row r="151">
          <cell r="C151">
            <v>439</v>
          </cell>
          <cell r="D151" t="str">
            <v>-  PHONE CONTROL PLUS</v>
          </cell>
          <cell r="E151">
            <v>3550</v>
          </cell>
          <cell r="F151">
            <v>250</v>
          </cell>
          <cell r="G151" t="str">
            <v>SET</v>
          </cell>
        </row>
        <row r="152">
          <cell r="C152">
            <v>440</v>
          </cell>
          <cell r="D152" t="str">
            <v>-  INFRARED RECEIVER</v>
          </cell>
          <cell r="E152">
            <v>1400</v>
          </cell>
          <cell r="F152">
            <v>250</v>
          </cell>
          <cell r="G152" t="str">
            <v>SET</v>
          </cell>
        </row>
        <row r="153">
          <cell r="C153">
            <v>441</v>
          </cell>
          <cell r="D153" t="str">
            <v>-  REMOTE ALARM</v>
          </cell>
          <cell r="E153">
            <v>1500</v>
          </cell>
          <cell r="F153">
            <v>250</v>
          </cell>
          <cell r="G153" t="str">
            <v>SET</v>
          </cell>
        </row>
        <row r="154">
          <cell r="C154">
            <v>442</v>
          </cell>
          <cell r="D154" t="str">
            <v>-  REMOTE ALARM WITH INDICATOR</v>
          </cell>
          <cell r="E154">
            <v>3400</v>
          </cell>
          <cell r="F154">
            <v>250</v>
          </cell>
          <cell r="G154" t="str">
            <v>SET</v>
          </cell>
        </row>
        <row r="155">
          <cell r="C155">
            <v>443</v>
          </cell>
          <cell r="D155" t="str">
            <v>-  COMPUTER CONTROL</v>
          </cell>
          <cell r="E155">
            <v>2600</v>
          </cell>
          <cell r="F155">
            <v>250</v>
          </cell>
          <cell r="G155" t="str">
            <v>SET</v>
          </cell>
        </row>
        <row r="156">
          <cell r="C156">
            <v>444</v>
          </cell>
          <cell r="D156" t="str">
            <v>-  SWITCH PROGRAMMABLE</v>
          </cell>
          <cell r="E156">
            <v>3100</v>
          </cell>
          <cell r="F156">
            <v>250</v>
          </cell>
          <cell r="G156" t="str">
            <v>SET</v>
          </cell>
        </row>
        <row r="157">
          <cell r="C157">
            <v>445</v>
          </cell>
          <cell r="D157" t="str">
            <v>-  ADAPTER PROGRAMMABLE</v>
          </cell>
          <cell r="E157">
            <v>2700</v>
          </cell>
          <cell r="F157">
            <v>250</v>
          </cell>
          <cell r="G157" t="str">
            <v>SET</v>
          </cell>
        </row>
        <row r="158">
          <cell r="C158">
            <v>446</v>
          </cell>
          <cell r="D158" t="str">
            <v>-  TEMPERATURE FARM</v>
          </cell>
          <cell r="E158">
            <v>3200</v>
          </cell>
          <cell r="F158">
            <v>250</v>
          </cell>
          <cell r="G158" t="str">
            <v>SET</v>
          </cell>
        </row>
        <row r="159">
          <cell r="C159">
            <v>447</v>
          </cell>
          <cell r="D159" t="str">
            <v>-  TEMPERATURE AIR/RELAY</v>
          </cell>
          <cell r="E159">
            <v>2800</v>
          </cell>
          <cell r="F159">
            <v>250</v>
          </cell>
          <cell r="G159" t="str">
            <v>SET</v>
          </cell>
        </row>
        <row r="160">
          <cell r="C160">
            <v>448</v>
          </cell>
          <cell r="D160" t="str">
            <v>-  20 A. RELAY</v>
          </cell>
          <cell r="E160">
            <v>500</v>
          </cell>
          <cell r="F160">
            <v>100</v>
          </cell>
          <cell r="G160" t="str">
            <v>SET</v>
          </cell>
        </row>
        <row r="161">
          <cell r="C161">
            <v>824</v>
          </cell>
          <cell r="D161" t="str">
            <v>SPACE</v>
          </cell>
          <cell r="E161">
            <v>14000</v>
          </cell>
          <cell r="F161">
            <v>500</v>
          </cell>
          <cell r="G161" t="str">
            <v>M.</v>
          </cell>
        </row>
        <row r="162">
          <cell r="C162">
            <v>5</v>
          </cell>
          <cell r="D162" t="str">
            <v>ACCESS, CONTROL</v>
          </cell>
          <cell r="E162">
            <v>14800</v>
          </cell>
          <cell r="F162">
            <v>500</v>
          </cell>
          <cell r="G162" t="str">
            <v>M.</v>
          </cell>
        </row>
        <row r="163">
          <cell r="C163">
            <v>501</v>
          </cell>
          <cell r="D163" t="str">
            <v>-  CONTROLLER</v>
          </cell>
          <cell r="E163">
            <v>33000</v>
          </cell>
          <cell r="F163">
            <v>9000</v>
          </cell>
          <cell r="G163" t="str">
            <v>SET</v>
          </cell>
        </row>
        <row r="164">
          <cell r="C164">
            <v>502</v>
          </cell>
          <cell r="D164" t="str">
            <v>-  DOOR STRIKE WITH DOOR LATCH</v>
          </cell>
          <cell r="E164">
            <v>6000</v>
          </cell>
          <cell r="F164">
            <v>1000</v>
          </cell>
          <cell r="G164" t="str">
            <v>SET</v>
          </cell>
        </row>
        <row r="165">
          <cell r="C165">
            <v>503</v>
          </cell>
          <cell r="D165" t="str">
            <v>-  POWER SUPPLY WITH BATTERY CHARGER</v>
          </cell>
          <cell r="E165">
            <v>2000</v>
          </cell>
          <cell r="F165">
            <v>500</v>
          </cell>
          <cell r="G165" t="str">
            <v>SET</v>
          </cell>
        </row>
        <row r="166">
          <cell r="C166">
            <v>504</v>
          </cell>
          <cell r="D166" t="str">
            <v>-  EXIT BUTTON</v>
          </cell>
          <cell r="E166">
            <v>500</v>
          </cell>
          <cell r="F166">
            <v>300</v>
          </cell>
          <cell r="G166" t="str">
            <v>SET</v>
          </cell>
        </row>
        <row r="167">
          <cell r="C167">
            <v>505</v>
          </cell>
          <cell r="D167" t="str">
            <v>-  ELECTROMAGNETIC LOCK</v>
          </cell>
          <cell r="E167">
            <v>10000</v>
          </cell>
          <cell r="F167">
            <v>1000</v>
          </cell>
          <cell r="G167" t="str">
            <v>SET</v>
          </cell>
        </row>
        <row r="168">
          <cell r="C168">
            <v>831</v>
          </cell>
          <cell r="D168" t="str">
            <v>SPACE</v>
          </cell>
          <cell r="E168">
            <v>37000</v>
          </cell>
          <cell r="F168">
            <v>1000</v>
          </cell>
          <cell r="G168" t="str">
            <v>M.</v>
          </cell>
        </row>
        <row r="169">
          <cell r="C169">
            <v>832</v>
          </cell>
          <cell r="D169" t="str">
            <v>CARD READER</v>
          </cell>
          <cell r="E169">
            <v>44000</v>
          </cell>
          <cell r="F169">
            <v>1000</v>
          </cell>
          <cell r="G169" t="str">
            <v>M.</v>
          </cell>
        </row>
        <row r="170">
          <cell r="C170">
            <v>511</v>
          </cell>
          <cell r="D170" t="str">
            <v>-  MAGNETIC CARD READER</v>
          </cell>
          <cell r="E170">
            <v>6000</v>
          </cell>
          <cell r="F170">
            <v>1000</v>
          </cell>
          <cell r="G170" t="str">
            <v>SET</v>
          </cell>
        </row>
        <row r="171">
          <cell r="C171">
            <v>512</v>
          </cell>
          <cell r="D171" t="str">
            <v>-  MAGNETIC INSERT READER</v>
          </cell>
          <cell r="E171">
            <v>8500</v>
          </cell>
          <cell r="F171">
            <v>1000</v>
          </cell>
          <cell r="G171" t="str">
            <v>SET</v>
          </cell>
        </row>
        <row r="172">
          <cell r="C172">
            <v>513</v>
          </cell>
          <cell r="D172" t="str">
            <v>-  BAR CODE READER</v>
          </cell>
          <cell r="E172">
            <v>7000</v>
          </cell>
          <cell r="F172">
            <v>1000</v>
          </cell>
          <cell r="G172" t="str">
            <v>SET</v>
          </cell>
        </row>
        <row r="173">
          <cell r="C173">
            <v>514</v>
          </cell>
          <cell r="D173" t="str">
            <v xml:space="preserve">-  KEYPAD, METAL CASING WATERPROOF </v>
          </cell>
          <cell r="E173">
            <v>4800</v>
          </cell>
          <cell r="F173">
            <v>1000</v>
          </cell>
          <cell r="G173" t="str">
            <v>SET</v>
          </cell>
        </row>
        <row r="174">
          <cell r="C174">
            <v>515</v>
          </cell>
          <cell r="D174" t="str">
            <v>-  MAGNETIC CARD READER WITH KEY PAD &amp; DISPLAY</v>
          </cell>
          <cell r="E174">
            <v>7000</v>
          </cell>
          <cell r="F174">
            <v>1000</v>
          </cell>
          <cell r="G174" t="str">
            <v>SET</v>
          </cell>
        </row>
        <row r="175">
          <cell r="C175">
            <v>516</v>
          </cell>
          <cell r="D175" t="str">
            <v>-  BAR CODE READER</v>
          </cell>
          <cell r="E175">
            <v>7000</v>
          </cell>
          <cell r="F175">
            <v>1000</v>
          </cell>
          <cell r="G175" t="str">
            <v>SET</v>
          </cell>
        </row>
        <row r="176">
          <cell r="C176">
            <v>517</v>
          </cell>
          <cell r="D176" t="str">
            <v>-  SMART CARD READER WITH KEY PAD &amp; DISPLAY</v>
          </cell>
          <cell r="E176" t="str">
            <v>(ON REQ)</v>
          </cell>
          <cell r="F176">
            <v>0</v>
          </cell>
          <cell r="G176" t="str">
            <v>SET</v>
          </cell>
        </row>
        <row r="177">
          <cell r="C177">
            <v>840</v>
          </cell>
          <cell r="D177" t="str">
            <v>SPACE</v>
          </cell>
          <cell r="E177">
            <v>25000</v>
          </cell>
          <cell r="F177">
            <v>800</v>
          </cell>
          <cell r="G177" t="str">
            <v>M.</v>
          </cell>
        </row>
        <row r="178">
          <cell r="C178">
            <v>841</v>
          </cell>
          <cell r="D178" t="str">
            <v>CARD</v>
          </cell>
          <cell r="E178">
            <v>28000</v>
          </cell>
          <cell r="F178">
            <v>800</v>
          </cell>
          <cell r="G178" t="str">
            <v>M.</v>
          </cell>
        </row>
        <row r="179">
          <cell r="C179">
            <v>521</v>
          </cell>
          <cell r="D179" t="str">
            <v>-  CUSTOMER LOGO CARD</v>
          </cell>
          <cell r="E179">
            <v>100</v>
          </cell>
          <cell r="F179">
            <v>0</v>
          </cell>
          <cell r="G179" t="str">
            <v>SET</v>
          </cell>
        </row>
        <row r="180">
          <cell r="C180">
            <v>843</v>
          </cell>
          <cell r="D180" t="str">
            <v>SPACE</v>
          </cell>
          <cell r="E180">
            <v>50000</v>
          </cell>
          <cell r="F180">
            <v>1000</v>
          </cell>
          <cell r="G180" t="str">
            <v>M.</v>
          </cell>
        </row>
        <row r="181">
          <cell r="C181">
            <v>844</v>
          </cell>
          <cell r="D181" t="str">
            <v>COMMUNICATOR</v>
          </cell>
          <cell r="E181">
            <v>67000</v>
          </cell>
          <cell r="F181">
            <v>1000</v>
          </cell>
          <cell r="G181" t="str">
            <v>M.</v>
          </cell>
        </row>
        <row r="182">
          <cell r="C182">
            <v>526</v>
          </cell>
          <cell r="D182" t="str">
            <v>-  SERIAL COMMUNICATOR LINK UP TO 16 CONTROLLERS</v>
          </cell>
          <cell r="E182">
            <v>15000</v>
          </cell>
          <cell r="F182">
            <v>5000</v>
          </cell>
          <cell r="G182" t="str">
            <v>SET</v>
          </cell>
        </row>
        <row r="183">
          <cell r="C183">
            <v>527</v>
          </cell>
          <cell r="D183" t="str">
            <v>-  PARALLEL COMMUNICATOR LINK UP TO 16 CONTROLLERS</v>
          </cell>
          <cell r="E183">
            <v>20000</v>
          </cell>
          <cell r="F183">
            <v>10000</v>
          </cell>
          <cell r="G183" t="str">
            <v>SET</v>
          </cell>
        </row>
        <row r="184">
          <cell r="C184">
            <v>528</v>
          </cell>
          <cell r="D184" t="str">
            <v>-  INTELLIGENT COMMUNICATOR LINK UP TO 64 CONTROLLERS</v>
          </cell>
          <cell r="E184">
            <v>85000</v>
          </cell>
          <cell r="F184">
            <v>15000</v>
          </cell>
          <cell r="G184" t="str">
            <v>SET</v>
          </cell>
        </row>
        <row r="185">
          <cell r="C185">
            <v>851</v>
          </cell>
          <cell r="D185" t="str">
            <v>SOFTWARE MANAGEMENT</v>
          </cell>
          <cell r="E185">
            <v>13000</v>
          </cell>
          <cell r="F185">
            <v>500</v>
          </cell>
          <cell r="G185" t="str">
            <v>M.</v>
          </cell>
        </row>
        <row r="186">
          <cell r="C186">
            <v>852</v>
          </cell>
          <cell r="D186" t="str">
            <v>-  16 CONTROLLERS ACCESS CONTROL MANAGEMENT</v>
          </cell>
          <cell r="E186">
            <v>22000</v>
          </cell>
          <cell r="F186">
            <v>10000</v>
          </cell>
          <cell r="G186" t="str">
            <v>SET</v>
          </cell>
        </row>
        <row r="187">
          <cell r="C187">
            <v>853</v>
          </cell>
          <cell r="D187" t="str">
            <v>-  64 CONTROLLERS ACCESS CONTROL MANAGEMENT</v>
          </cell>
          <cell r="E187">
            <v>35000</v>
          </cell>
          <cell r="F187">
            <v>15000</v>
          </cell>
          <cell r="G187" t="str">
            <v>SET</v>
          </cell>
        </row>
        <row r="188">
          <cell r="C188">
            <v>854</v>
          </cell>
          <cell r="D188" t="str">
            <v>-  AL. RISER BUSDUCT 1,350 A.</v>
          </cell>
          <cell r="E188">
            <v>15000</v>
          </cell>
          <cell r="F188">
            <v>700</v>
          </cell>
          <cell r="G188" t="str">
            <v>M.</v>
          </cell>
        </row>
        <row r="189">
          <cell r="C189">
            <v>855</v>
          </cell>
          <cell r="D189" t="str">
            <v>-  AL. RISER BUSDUCT 1,600 A.</v>
          </cell>
          <cell r="E189">
            <v>16000</v>
          </cell>
          <cell r="F189">
            <v>800</v>
          </cell>
          <cell r="G189" t="str">
            <v>M.</v>
          </cell>
        </row>
        <row r="190">
          <cell r="C190">
            <v>856</v>
          </cell>
          <cell r="D190" t="str">
            <v>-  AL. RISER BUSDUCT 2,000 A.</v>
          </cell>
          <cell r="E190">
            <v>25000</v>
          </cell>
          <cell r="F190">
            <v>800</v>
          </cell>
          <cell r="G190" t="str">
            <v>M.</v>
          </cell>
        </row>
        <row r="191">
          <cell r="C191">
            <v>857</v>
          </cell>
          <cell r="D191" t="str">
            <v>-  AL. RISER BUSDUCT 2,500 A.</v>
          </cell>
          <cell r="E191">
            <v>26600</v>
          </cell>
          <cell r="F191">
            <v>1000</v>
          </cell>
          <cell r="G191" t="str">
            <v>M.</v>
          </cell>
        </row>
        <row r="192">
          <cell r="C192">
            <v>858</v>
          </cell>
          <cell r="D192" t="str">
            <v>-  AL. RISER BUSDUCT 3,000 A.</v>
          </cell>
          <cell r="E192">
            <v>34000</v>
          </cell>
          <cell r="F192">
            <v>1000</v>
          </cell>
          <cell r="G192" t="str">
            <v>M.</v>
          </cell>
        </row>
        <row r="193">
          <cell r="C193">
            <v>859</v>
          </cell>
          <cell r="D193" t="str">
            <v>-  AL. RISER BUSDUCT 4,000 A.</v>
          </cell>
          <cell r="E193">
            <v>40000</v>
          </cell>
          <cell r="F193">
            <v>1000</v>
          </cell>
          <cell r="G193" t="str">
            <v>M.</v>
          </cell>
        </row>
        <row r="194">
          <cell r="C194">
            <v>860</v>
          </cell>
          <cell r="D194" t="str">
            <v>-  CU. RISER BUSDUCT 800 A.</v>
          </cell>
          <cell r="E194">
            <v>16000</v>
          </cell>
          <cell r="F194">
            <v>500</v>
          </cell>
          <cell r="G194" t="str">
            <v>M.</v>
          </cell>
        </row>
        <row r="195">
          <cell r="C195">
            <v>861</v>
          </cell>
          <cell r="D195" t="str">
            <v>-  CU. RISER BUSDUCT 1,000 A.</v>
          </cell>
          <cell r="E195">
            <v>17300</v>
          </cell>
          <cell r="F195">
            <v>500</v>
          </cell>
          <cell r="G195" t="str">
            <v>M.</v>
          </cell>
        </row>
        <row r="196">
          <cell r="C196">
            <v>862</v>
          </cell>
          <cell r="D196" t="str">
            <v>-  CU. RISER BUSDUCT 1,200 A.</v>
          </cell>
          <cell r="E196">
            <v>19300</v>
          </cell>
          <cell r="F196">
            <v>700</v>
          </cell>
          <cell r="G196" t="str">
            <v>M.</v>
          </cell>
        </row>
        <row r="197">
          <cell r="C197">
            <v>863</v>
          </cell>
          <cell r="D197" t="str">
            <v>-  CU. RISER BUSDUCT 1,350 A.</v>
          </cell>
          <cell r="E197">
            <v>21000</v>
          </cell>
          <cell r="F197">
            <v>700</v>
          </cell>
          <cell r="G197" t="str">
            <v>M.</v>
          </cell>
        </row>
        <row r="198">
          <cell r="C198">
            <v>864</v>
          </cell>
          <cell r="D198" t="str">
            <v>-  CU. RISER BUSDUCT 1,600 A.</v>
          </cell>
          <cell r="E198">
            <v>22000</v>
          </cell>
          <cell r="F198">
            <v>800</v>
          </cell>
          <cell r="G198" t="str">
            <v>M.</v>
          </cell>
        </row>
        <row r="199">
          <cell r="C199">
            <v>865</v>
          </cell>
          <cell r="D199" t="str">
            <v>-  CU. RISER BUSDUCT 2,000 A.</v>
          </cell>
          <cell r="E199">
            <v>26000</v>
          </cell>
          <cell r="F199">
            <v>800</v>
          </cell>
          <cell r="G199" t="str">
            <v>M.</v>
          </cell>
        </row>
        <row r="200">
          <cell r="C200">
            <v>866</v>
          </cell>
          <cell r="D200" t="str">
            <v>-  CU. RISER BUSDUCT 2,500 A.</v>
          </cell>
          <cell r="E200">
            <v>40000</v>
          </cell>
          <cell r="F200">
            <v>1000</v>
          </cell>
          <cell r="G200" t="str">
            <v>M.</v>
          </cell>
        </row>
        <row r="201">
          <cell r="C201">
            <v>867</v>
          </cell>
          <cell r="D201" t="str">
            <v>-  CU. RISER BUSDUCT 3,000 A.</v>
          </cell>
          <cell r="E201">
            <v>46600</v>
          </cell>
          <cell r="F201">
            <v>1000</v>
          </cell>
          <cell r="G201" t="str">
            <v>M.</v>
          </cell>
        </row>
        <row r="202">
          <cell r="C202">
            <v>868</v>
          </cell>
          <cell r="D202" t="str">
            <v>-  CU. RISER BUSDUCT 4,000 A.</v>
          </cell>
          <cell r="E202">
            <v>60000</v>
          </cell>
          <cell r="F202">
            <v>1000</v>
          </cell>
          <cell r="G202" t="str">
            <v>M.</v>
          </cell>
        </row>
        <row r="203">
          <cell r="C203">
            <v>869</v>
          </cell>
          <cell r="D203" t="str">
            <v>-  CU. RISER BUSDUCT 5,000 A.</v>
          </cell>
          <cell r="E203">
            <v>67000</v>
          </cell>
          <cell r="F203">
            <v>1000</v>
          </cell>
          <cell r="G203" t="str">
            <v>M.</v>
          </cell>
        </row>
        <row r="204">
          <cell r="C204">
            <v>298</v>
          </cell>
          <cell r="D204" t="str">
            <v>SPACE</v>
          </cell>
          <cell r="E204">
            <v>55</v>
          </cell>
          <cell r="F204">
            <v>8</v>
          </cell>
          <cell r="G204" t="str">
            <v>M.</v>
          </cell>
        </row>
        <row r="205">
          <cell r="C205">
            <v>299</v>
          </cell>
          <cell r="D205" t="str">
            <v>OUTDOOR BUSDUCT</v>
          </cell>
          <cell r="E205">
            <v>74</v>
          </cell>
          <cell r="F205">
            <v>11</v>
          </cell>
          <cell r="G205" t="str">
            <v>M.</v>
          </cell>
        </row>
        <row r="206">
          <cell r="C206">
            <v>871</v>
          </cell>
          <cell r="D206" t="str">
            <v>-  AL. BUSDUCT (OUTDOOR) 800 A.</v>
          </cell>
          <cell r="E206">
            <v>18000</v>
          </cell>
          <cell r="F206">
            <v>500</v>
          </cell>
          <cell r="G206" t="str">
            <v>M.</v>
          </cell>
        </row>
        <row r="207">
          <cell r="C207">
            <v>872</v>
          </cell>
          <cell r="D207" t="str">
            <v>-  AL. BUSDUCT (OUTDOOR) 1,000 A.</v>
          </cell>
          <cell r="E207">
            <v>20000</v>
          </cell>
          <cell r="F207">
            <v>500</v>
          </cell>
          <cell r="G207" t="str">
            <v>M.</v>
          </cell>
        </row>
        <row r="208">
          <cell r="C208">
            <v>873</v>
          </cell>
          <cell r="D208" t="str">
            <v>-  AL. BUSDUCT (OUTDOOR) 1,200 A.</v>
          </cell>
          <cell r="E208">
            <v>21000</v>
          </cell>
          <cell r="F208">
            <v>700</v>
          </cell>
          <cell r="G208" t="str">
            <v>M.</v>
          </cell>
        </row>
        <row r="209">
          <cell r="C209">
            <v>874</v>
          </cell>
          <cell r="D209" t="str">
            <v>-  AL. BUSDUCT (OUTDOOR) 1,350 A.</v>
          </cell>
          <cell r="E209">
            <v>22000</v>
          </cell>
          <cell r="F209">
            <v>700</v>
          </cell>
          <cell r="G209" t="str">
            <v>M.</v>
          </cell>
        </row>
        <row r="210">
          <cell r="C210">
            <v>875</v>
          </cell>
          <cell r="D210" t="str">
            <v>-  AL. BUSDUCT (OUTDOOR) 1,600 A.</v>
          </cell>
          <cell r="E210">
            <v>24000</v>
          </cell>
          <cell r="F210">
            <v>800</v>
          </cell>
          <cell r="G210" t="str">
            <v>M.</v>
          </cell>
        </row>
        <row r="211">
          <cell r="C211">
            <v>876</v>
          </cell>
          <cell r="D211" t="str">
            <v>-  AL. BUSDUCT (OUTDOOR) 2,000 A.</v>
          </cell>
          <cell r="E211">
            <v>30000</v>
          </cell>
          <cell r="F211">
            <v>800</v>
          </cell>
          <cell r="G211" t="str">
            <v>M.</v>
          </cell>
        </row>
        <row r="212">
          <cell r="C212">
            <v>877</v>
          </cell>
          <cell r="D212" t="str">
            <v>-  AL. BUSDUCT (OUTDOOR) 2,500 A.</v>
          </cell>
          <cell r="E212">
            <v>33000</v>
          </cell>
          <cell r="F212">
            <v>1000</v>
          </cell>
          <cell r="G212" t="str">
            <v>M.</v>
          </cell>
        </row>
        <row r="213">
          <cell r="C213">
            <v>878</v>
          </cell>
          <cell r="D213" t="str">
            <v>-  AL. BUSDUCT (OUTDOOR) 3,000 A.</v>
          </cell>
          <cell r="E213">
            <v>40000</v>
          </cell>
          <cell r="F213">
            <v>1000</v>
          </cell>
          <cell r="G213" t="str">
            <v>M.</v>
          </cell>
        </row>
        <row r="214">
          <cell r="C214">
            <v>879</v>
          </cell>
          <cell r="D214" t="str">
            <v>-  AL. BUSDUCT (OUTDOOR) 4,000 A.</v>
          </cell>
          <cell r="E214">
            <v>53000</v>
          </cell>
          <cell r="F214">
            <v>1000</v>
          </cell>
          <cell r="G214" t="str">
            <v>M.</v>
          </cell>
        </row>
        <row r="215">
          <cell r="C215">
            <v>880</v>
          </cell>
          <cell r="D215" t="str">
            <v>-  CU BUSDUCT (OUTDOOR) 800 A.</v>
          </cell>
          <cell r="E215">
            <v>22000</v>
          </cell>
          <cell r="F215">
            <v>500</v>
          </cell>
          <cell r="G215" t="str">
            <v>M.</v>
          </cell>
        </row>
        <row r="216">
          <cell r="C216">
            <v>881</v>
          </cell>
          <cell r="D216" t="str">
            <v>-  CU. BUSDUCT (OUTDOOR) 1,000 A.</v>
          </cell>
          <cell r="E216">
            <v>24000</v>
          </cell>
          <cell r="F216">
            <v>500</v>
          </cell>
          <cell r="G216" t="str">
            <v>M.</v>
          </cell>
        </row>
        <row r="217">
          <cell r="C217">
            <v>882</v>
          </cell>
          <cell r="D217" t="str">
            <v>-  CU. BUSDUCT (OUTDOOR) 1,200 A.</v>
          </cell>
          <cell r="E217">
            <v>28000</v>
          </cell>
          <cell r="F217">
            <v>700</v>
          </cell>
          <cell r="G217" t="str">
            <v>M.</v>
          </cell>
        </row>
        <row r="218">
          <cell r="C218">
            <v>883</v>
          </cell>
          <cell r="D218" t="str">
            <v>-  CU. BUSDUCT (OUTDOOR) 1,350 A.</v>
          </cell>
          <cell r="E218">
            <v>30000</v>
          </cell>
          <cell r="F218">
            <v>700</v>
          </cell>
          <cell r="G218" t="str">
            <v>M.</v>
          </cell>
        </row>
        <row r="219">
          <cell r="C219">
            <v>884</v>
          </cell>
          <cell r="D219" t="str">
            <v>-  CU. BUSDUCT (OUTDOOR) 1,600 A.</v>
          </cell>
          <cell r="E219">
            <v>32000</v>
          </cell>
          <cell r="F219">
            <v>800</v>
          </cell>
          <cell r="G219" t="str">
            <v>M.</v>
          </cell>
        </row>
        <row r="220">
          <cell r="C220">
            <v>885</v>
          </cell>
          <cell r="D220" t="str">
            <v>-  CU. BUSDUCT (OUTDOOR) 2,000 A.</v>
          </cell>
          <cell r="E220">
            <v>33000</v>
          </cell>
          <cell r="F220">
            <v>800</v>
          </cell>
          <cell r="G220" t="str">
            <v>M.</v>
          </cell>
        </row>
        <row r="221">
          <cell r="C221">
            <v>886</v>
          </cell>
          <cell r="D221" t="str">
            <v>-  CU. BUSDUCT (OUTDOOR) 2,500 A.</v>
          </cell>
          <cell r="E221">
            <v>50000</v>
          </cell>
          <cell r="F221">
            <v>1000</v>
          </cell>
          <cell r="G221" t="str">
            <v>M.</v>
          </cell>
        </row>
        <row r="222">
          <cell r="C222">
            <v>887</v>
          </cell>
          <cell r="D222" t="str">
            <v>-  CU. BUSDUCT (OUTDOOR) 3,000 A.</v>
          </cell>
          <cell r="E222">
            <v>58000</v>
          </cell>
          <cell r="F222">
            <v>1000</v>
          </cell>
          <cell r="G222" t="str">
            <v>M.</v>
          </cell>
        </row>
        <row r="223">
          <cell r="C223">
            <v>888</v>
          </cell>
          <cell r="D223" t="str">
            <v>-  CU. BUSDUCT (OUTDOOR) 4,000 A.</v>
          </cell>
          <cell r="E223">
            <v>67000</v>
          </cell>
          <cell r="F223">
            <v>1000</v>
          </cell>
          <cell r="G223" t="str">
            <v>M.</v>
          </cell>
        </row>
        <row r="224">
          <cell r="C224">
            <v>889</v>
          </cell>
          <cell r="D224" t="str">
            <v>-  CU. BUSDUCT (OUTDOOR) 5,000 A.</v>
          </cell>
          <cell r="E224">
            <v>80000</v>
          </cell>
          <cell r="F224">
            <v>1000</v>
          </cell>
          <cell r="G224" t="str">
            <v>M.</v>
          </cell>
        </row>
        <row r="225">
          <cell r="C225">
            <v>324</v>
          </cell>
          <cell r="D225" t="str">
            <v>SPACE</v>
          </cell>
          <cell r="E225">
            <v>1258</v>
          </cell>
          <cell r="F225">
            <v>110</v>
          </cell>
          <cell r="G225" t="str">
            <v>M.</v>
          </cell>
        </row>
        <row r="226">
          <cell r="C226">
            <v>325</v>
          </cell>
          <cell r="D226" t="str">
            <v>-  3/C - 120 SQ.MM. 12/20(24) KVCV</v>
          </cell>
          <cell r="E226">
            <v>1613</v>
          </cell>
          <cell r="F226">
            <v>120</v>
          </cell>
          <cell r="G226" t="str">
            <v>M.</v>
          </cell>
        </row>
        <row r="227">
          <cell r="C227">
            <v>326</v>
          </cell>
          <cell r="D227" t="str">
            <v>-  3/C - 150 SQ.MM. 12/20(24) KVCV</v>
          </cell>
          <cell r="E227">
            <v>1832</v>
          </cell>
          <cell r="F227">
            <v>130</v>
          </cell>
          <cell r="G227" t="str">
            <v>M.</v>
          </cell>
        </row>
        <row r="228">
          <cell r="C228">
            <v>327</v>
          </cell>
          <cell r="D228" t="str">
            <v>-  3/C - 185 SQ.MM. 12/20(24) KVCV</v>
          </cell>
          <cell r="E228">
            <v>2131</v>
          </cell>
          <cell r="F228">
            <v>140</v>
          </cell>
          <cell r="G228" t="str">
            <v>M.</v>
          </cell>
        </row>
        <row r="229">
          <cell r="C229">
            <v>328</v>
          </cell>
          <cell r="D229" t="str">
            <v>-  3/C - 240 SQ.MM. 12/20(24) KVCV</v>
          </cell>
          <cell r="E229">
            <v>2566</v>
          </cell>
          <cell r="F229">
            <v>160</v>
          </cell>
          <cell r="G229" t="str">
            <v>M.</v>
          </cell>
        </row>
        <row r="230">
          <cell r="C230">
            <v>329</v>
          </cell>
          <cell r="D230" t="str">
            <v>-  3/C - 300 SQ.MM. 12/20(24) KVCV</v>
          </cell>
          <cell r="E230">
            <v>3084</v>
          </cell>
          <cell r="F230">
            <v>180</v>
          </cell>
          <cell r="G230" t="str">
            <v>M.</v>
          </cell>
        </row>
        <row r="231">
          <cell r="C231">
            <v>330</v>
          </cell>
          <cell r="D231" t="str">
            <v>-  3/C - 400 SQ.MM. 12/20(24) KVCV</v>
          </cell>
          <cell r="E231">
            <v>3712</v>
          </cell>
          <cell r="F231">
            <v>200</v>
          </cell>
          <cell r="G231" t="str">
            <v>M.</v>
          </cell>
        </row>
        <row r="232">
          <cell r="C232">
            <v>331</v>
          </cell>
          <cell r="D232" t="str">
            <v>-  1/C - 35 SQ.MM. 18/30(36) KVCV</v>
          </cell>
          <cell r="E232">
            <v>260</v>
          </cell>
          <cell r="F232">
            <v>60</v>
          </cell>
          <cell r="G232" t="str">
            <v>M.</v>
          </cell>
        </row>
        <row r="233">
          <cell r="C233">
            <v>332</v>
          </cell>
          <cell r="D233" t="str">
            <v>-  1/C - 50 SQ.MM. 18/30(36) KVCV</v>
          </cell>
          <cell r="E233">
            <v>281</v>
          </cell>
          <cell r="F233">
            <v>70</v>
          </cell>
          <cell r="G233" t="str">
            <v>M.</v>
          </cell>
        </row>
        <row r="234">
          <cell r="C234">
            <v>333</v>
          </cell>
          <cell r="D234" t="str">
            <v>-  1/C - 70 SQ.MM. 18/30(36) KVCV</v>
          </cell>
          <cell r="E234">
            <v>325</v>
          </cell>
          <cell r="F234">
            <v>75</v>
          </cell>
          <cell r="G234" t="str">
            <v>M.</v>
          </cell>
        </row>
        <row r="235">
          <cell r="C235">
            <v>334</v>
          </cell>
          <cell r="D235" t="str">
            <v>-  1/C - 95 SQ.MM. 18/30(36) KVCV</v>
          </cell>
          <cell r="E235">
            <v>396</v>
          </cell>
          <cell r="F235">
            <v>80</v>
          </cell>
          <cell r="G235" t="str">
            <v>M.</v>
          </cell>
        </row>
        <row r="236">
          <cell r="C236">
            <v>335</v>
          </cell>
          <cell r="D236" t="str">
            <v>-  1/C - 120 SQ.MM. 18/30(36) KVCV</v>
          </cell>
          <cell r="E236">
            <v>490</v>
          </cell>
          <cell r="F236">
            <v>85</v>
          </cell>
          <cell r="G236" t="str">
            <v>M.</v>
          </cell>
        </row>
        <row r="237">
          <cell r="C237">
            <v>336</v>
          </cell>
          <cell r="D237" t="str">
            <v>-  1/C - 150 SQ.MM. 18/30(36) KVCV</v>
          </cell>
          <cell r="E237">
            <v>560</v>
          </cell>
          <cell r="F237">
            <v>90</v>
          </cell>
          <cell r="G237" t="str">
            <v>M.</v>
          </cell>
        </row>
        <row r="238">
          <cell r="C238">
            <v>337</v>
          </cell>
          <cell r="D238" t="str">
            <v>-  1/C - 185 SQ.MM. 18/30(36) KVCV</v>
          </cell>
          <cell r="E238">
            <v>654</v>
          </cell>
          <cell r="F238">
            <v>100</v>
          </cell>
          <cell r="G238" t="str">
            <v>M.</v>
          </cell>
        </row>
        <row r="239">
          <cell r="C239">
            <v>338</v>
          </cell>
          <cell r="D239" t="str">
            <v>-  1/C - 240 SQ.MM. 18/30(36) KVCV</v>
          </cell>
          <cell r="E239">
            <v>802</v>
          </cell>
          <cell r="F239">
            <v>110</v>
          </cell>
          <cell r="G239" t="str">
            <v>M.</v>
          </cell>
        </row>
        <row r="240">
          <cell r="C240">
            <v>339</v>
          </cell>
          <cell r="D240" t="str">
            <v>-  1/C - 300 SQ.MM. 18/30(36) KVCV</v>
          </cell>
          <cell r="E240">
            <v>962</v>
          </cell>
          <cell r="F240">
            <v>130</v>
          </cell>
          <cell r="G240" t="str">
            <v>M.</v>
          </cell>
        </row>
        <row r="241">
          <cell r="C241">
            <v>340</v>
          </cell>
          <cell r="D241" t="str">
            <v>-  1/C - 400 SQ.MM. 18/30(36) KVCV</v>
          </cell>
          <cell r="E241">
            <v>1158</v>
          </cell>
          <cell r="F241">
            <v>150</v>
          </cell>
          <cell r="G241" t="str">
            <v>M.</v>
          </cell>
        </row>
        <row r="242">
          <cell r="C242">
            <v>341</v>
          </cell>
          <cell r="D242" t="str">
            <v>-  3/C - 50 SQ.MM. 18/30(36) KVCV</v>
          </cell>
          <cell r="E242">
            <v>930</v>
          </cell>
          <cell r="F242">
            <v>100</v>
          </cell>
          <cell r="G242" t="str">
            <v>M.</v>
          </cell>
        </row>
        <row r="243">
          <cell r="C243">
            <v>342</v>
          </cell>
          <cell r="D243" t="str">
            <v>-  3/C - 70 SQ.MM. 18/30(36) KVCV</v>
          </cell>
          <cell r="E243">
            <v>1088</v>
          </cell>
          <cell r="F243">
            <v>110</v>
          </cell>
          <cell r="G243" t="str">
            <v>M.</v>
          </cell>
        </row>
        <row r="244">
          <cell r="C244">
            <v>343</v>
          </cell>
          <cell r="D244" t="str">
            <v>-  3/C - 95 SQ.MM. 18/30(36) KVCV</v>
          </cell>
          <cell r="E244">
            <v>1303</v>
          </cell>
          <cell r="F244">
            <v>130</v>
          </cell>
          <cell r="G244" t="str">
            <v>M.</v>
          </cell>
        </row>
        <row r="245">
          <cell r="C245">
            <v>344</v>
          </cell>
          <cell r="D245" t="str">
            <v>-  3/C - 120 SQ.MM. 18/30(36) KVCV</v>
          </cell>
          <cell r="E245">
            <v>1670</v>
          </cell>
          <cell r="F245">
            <v>150</v>
          </cell>
          <cell r="G245" t="str">
            <v>M.</v>
          </cell>
        </row>
        <row r="246">
          <cell r="C246">
            <v>345</v>
          </cell>
          <cell r="D246" t="str">
            <v>-  3/C - 150 SQ.MM. 18/30(36) KVCV</v>
          </cell>
          <cell r="E246">
            <v>1897</v>
          </cell>
          <cell r="F246">
            <v>170</v>
          </cell>
          <cell r="G246" t="str">
            <v>M.</v>
          </cell>
        </row>
        <row r="247">
          <cell r="C247">
            <v>346</v>
          </cell>
          <cell r="D247" t="str">
            <v>-  3/C - 185 SQ.MM. 18/30(36) KVCV</v>
          </cell>
          <cell r="E247">
            <v>2206</v>
          </cell>
          <cell r="F247">
            <v>180</v>
          </cell>
          <cell r="G247" t="str">
            <v>M.</v>
          </cell>
        </row>
        <row r="248">
          <cell r="C248">
            <v>347</v>
          </cell>
          <cell r="D248" t="str">
            <v>-  3/C - 240 SQ.MM. 18/30(36) KVCV</v>
          </cell>
          <cell r="E248">
            <v>2660</v>
          </cell>
          <cell r="F248">
            <v>200</v>
          </cell>
          <cell r="G248" t="str">
            <v>M.</v>
          </cell>
        </row>
        <row r="249">
          <cell r="C249">
            <v>348</v>
          </cell>
          <cell r="D249" t="str">
            <v>-  3/C - 300 SQ.MM. 18/30(36) KVCV</v>
          </cell>
          <cell r="E249">
            <v>3166</v>
          </cell>
          <cell r="F249">
            <v>220</v>
          </cell>
          <cell r="G249" t="str">
            <v>M.</v>
          </cell>
        </row>
        <row r="250">
          <cell r="C250">
            <v>349</v>
          </cell>
          <cell r="D250" t="str">
            <v>-  3/C - 400 SQ.MM. 18/30(36) KVCV</v>
          </cell>
          <cell r="E250">
            <v>3709</v>
          </cell>
          <cell r="F250">
            <v>240</v>
          </cell>
          <cell r="G250" t="str">
            <v>M.</v>
          </cell>
        </row>
        <row r="251">
          <cell r="C251">
            <v>501</v>
          </cell>
          <cell r="D251" t="str">
            <v>SPACE</v>
          </cell>
          <cell r="E251">
            <v>23000</v>
          </cell>
          <cell r="F251">
            <v>2000</v>
          </cell>
          <cell r="G251" t="str">
            <v>SET</v>
          </cell>
        </row>
        <row r="252">
          <cell r="C252">
            <v>351</v>
          </cell>
          <cell r="D252" t="str">
            <v>-  1/C - 25 SQ.MM. 25 KV.XLPE</v>
          </cell>
          <cell r="E252">
            <v>0</v>
          </cell>
          <cell r="F252">
            <v>0</v>
          </cell>
          <cell r="G252" t="str">
            <v>M.</v>
          </cell>
        </row>
        <row r="253">
          <cell r="C253">
            <v>352</v>
          </cell>
          <cell r="D253" t="str">
            <v>-  1/C - 35 SQ.MM. 25 KV.XLPE</v>
          </cell>
          <cell r="E253">
            <v>305</v>
          </cell>
          <cell r="F253">
            <v>35</v>
          </cell>
          <cell r="G253" t="str">
            <v>M.</v>
          </cell>
        </row>
        <row r="254">
          <cell r="C254">
            <v>353</v>
          </cell>
          <cell r="D254" t="str">
            <v>-  1/C - 50 SQ.MM. 25 KV.XLPE</v>
          </cell>
          <cell r="E254">
            <v>345</v>
          </cell>
          <cell r="F254">
            <v>40</v>
          </cell>
          <cell r="G254" t="str">
            <v>M.</v>
          </cell>
        </row>
        <row r="255">
          <cell r="C255">
            <v>354</v>
          </cell>
          <cell r="D255" t="str">
            <v>-  1/C - 70 SQ.MM. 25 KV.XLPE</v>
          </cell>
          <cell r="E255">
            <v>415</v>
          </cell>
          <cell r="F255">
            <v>60</v>
          </cell>
          <cell r="G255" t="str">
            <v>M.</v>
          </cell>
        </row>
        <row r="256">
          <cell r="C256">
            <v>355</v>
          </cell>
          <cell r="D256" t="str">
            <v>-  1/C - 95 SQ.MM. 25 KV.XLPE</v>
          </cell>
          <cell r="E256">
            <v>515</v>
          </cell>
          <cell r="F256">
            <v>70</v>
          </cell>
          <cell r="G256" t="str">
            <v>M.</v>
          </cell>
        </row>
        <row r="257">
          <cell r="C257">
            <v>356</v>
          </cell>
          <cell r="D257" t="str">
            <v>-  1/C - 120 SQ.MM. 25 KV.XLPE</v>
          </cell>
          <cell r="E257">
            <v>605</v>
          </cell>
          <cell r="F257">
            <v>75</v>
          </cell>
          <cell r="G257" t="str">
            <v>M.</v>
          </cell>
        </row>
        <row r="258">
          <cell r="C258">
            <v>357</v>
          </cell>
          <cell r="D258" t="str">
            <v>-  1/C - 150 SQ.MM. 25 KV.XLPE</v>
          </cell>
          <cell r="E258">
            <v>705</v>
          </cell>
          <cell r="F258">
            <v>80</v>
          </cell>
          <cell r="G258" t="str">
            <v>M.</v>
          </cell>
        </row>
        <row r="259">
          <cell r="C259">
            <v>358</v>
          </cell>
          <cell r="D259" t="str">
            <v>-  1/C - 185 SQ.MM. 25 KV.XLPE</v>
          </cell>
          <cell r="E259">
            <v>835</v>
          </cell>
          <cell r="F259">
            <v>85</v>
          </cell>
          <cell r="G259" t="str">
            <v>M.</v>
          </cell>
        </row>
        <row r="260">
          <cell r="C260">
            <v>359</v>
          </cell>
          <cell r="D260" t="str">
            <v>-  1/C - 240 SQ.MM. 25 KV.XLPE</v>
          </cell>
          <cell r="E260">
            <v>995</v>
          </cell>
          <cell r="F260">
            <v>90</v>
          </cell>
          <cell r="G260" t="str">
            <v>M.</v>
          </cell>
        </row>
        <row r="261">
          <cell r="C261">
            <v>360</v>
          </cell>
          <cell r="D261" t="str">
            <v>-  1/C - 35 SQ.MM. 35 KV.XLPE</v>
          </cell>
          <cell r="E261">
            <v>0</v>
          </cell>
          <cell r="F261">
            <v>60</v>
          </cell>
          <cell r="G261" t="str">
            <v>M.</v>
          </cell>
        </row>
        <row r="262">
          <cell r="C262">
            <v>361</v>
          </cell>
          <cell r="D262" t="str">
            <v>-  1/C - 50 SQ.MM. 35 KV.XLPE</v>
          </cell>
          <cell r="E262">
            <v>0</v>
          </cell>
          <cell r="F262">
            <v>70</v>
          </cell>
          <cell r="G262" t="str">
            <v>M.</v>
          </cell>
        </row>
        <row r="263">
          <cell r="C263">
            <v>362</v>
          </cell>
          <cell r="D263" t="str">
            <v>-  1/C - 70 SQ.MM. 35 KV.XLPE</v>
          </cell>
          <cell r="E263">
            <v>0</v>
          </cell>
          <cell r="F263">
            <v>75</v>
          </cell>
          <cell r="G263" t="str">
            <v>M.</v>
          </cell>
        </row>
        <row r="264">
          <cell r="C264">
            <v>363</v>
          </cell>
          <cell r="D264" t="str">
            <v>-  1/C - 95 SQ.MM. 35 KV.XLPE</v>
          </cell>
          <cell r="E264">
            <v>0</v>
          </cell>
          <cell r="F264">
            <v>80</v>
          </cell>
          <cell r="G264" t="str">
            <v>M.</v>
          </cell>
        </row>
        <row r="265">
          <cell r="C265">
            <v>364</v>
          </cell>
          <cell r="D265" t="str">
            <v>-  1/C - 120 SQ.MM. 35 KV.XLPE</v>
          </cell>
          <cell r="E265">
            <v>0</v>
          </cell>
          <cell r="F265">
            <v>85</v>
          </cell>
          <cell r="G265" t="str">
            <v>M.</v>
          </cell>
        </row>
        <row r="266">
          <cell r="C266">
            <v>365</v>
          </cell>
          <cell r="D266" t="str">
            <v>-  1/C - 150 SQ.MM. 35 KV.XLPE</v>
          </cell>
          <cell r="E266">
            <v>0</v>
          </cell>
          <cell r="F266">
            <v>90</v>
          </cell>
          <cell r="G266" t="str">
            <v>M.</v>
          </cell>
        </row>
        <row r="267">
          <cell r="C267">
            <v>366</v>
          </cell>
          <cell r="D267" t="str">
            <v>-  1/C - 185 SQ.MM. 35 KV.XLPE</v>
          </cell>
          <cell r="E267">
            <v>0</v>
          </cell>
          <cell r="F267">
            <v>100</v>
          </cell>
          <cell r="G267" t="str">
            <v>M.</v>
          </cell>
        </row>
        <row r="268">
          <cell r="C268">
            <v>367</v>
          </cell>
          <cell r="D268" t="str">
            <v>-  1/C - 240 SQ.MM. 35 KV.XLPE</v>
          </cell>
          <cell r="E268">
            <v>0</v>
          </cell>
          <cell r="F268">
            <v>110</v>
          </cell>
          <cell r="G268" t="str">
            <v>M.</v>
          </cell>
        </row>
        <row r="269">
          <cell r="D269" t="str">
            <v>SPACE</v>
          </cell>
        </row>
        <row r="270">
          <cell r="C270">
            <v>369</v>
          </cell>
          <cell r="D270" t="str">
            <v>-  1/C - 35 SQ.MM. 25 KV.PIC</v>
          </cell>
          <cell r="E270">
            <v>108</v>
          </cell>
          <cell r="F270">
            <v>20</v>
          </cell>
          <cell r="G270" t="str">
            <v>M.</v>
          </cell>
        </row>
        <row r="271">
          <cell r="C271">
            <v>370</v>
          </cell>
          <cell r="D271" t="str">
            <v>-  1/C - 50 SQ.MM. 25 KV.PIC</v>
          </cell>
          <cell r="E271">
            <v>128</v>
          </cell>
          <cell r="F271">
            <v>25</v>
          </cell>
          <cell r="G271" t="str">
            <v>M.</v>
          </cell>
        </row>
        <row r="272">
          <cell r="C272">
            <v>371</v>
          </cell>
          <cell r="D272" t="str">
            <v>-  1/C - 70 SQ.MM. 25 KV.PIC</v>
          </cell>
          <cell r="E272">
            <v>148</v>
          </cell>
          <cell r="F272">
            <v>30</v>
          </cell>
          <cell r="G272" t="str">
            <v>M.</v>
          </cell>
        </row>
        <row r="273">
          <cell r="C273">
            <v>372</v>
          </cell>
          <cell r="D273" t="str">
            <v>-  1/C - 95 SQ.MM. 25 KV.PIC</v>
          </cell>
          <cell r="E273">
            <v>178</v>
          </cell>
          <cell r="F273">
            <v>35</v>
          </cell>
          <cell r="G273" t="str">
            <v>M.</v>
          </cell>
        </row>
        <row r="274">
          <cell r="C274">
            <v>373</v>
          </cell>
          <cell r="D274" t="str">
            <v>-  1/C - 120 SQ.MM. 25 KV.PIC</v>
          </cell>
          <cell r="E274">
            <v>208</v>
          </cell>
          <cell r="F274">
            <v>40</v>
          </cell>
          <cell r="G274" t="str">
            <v>M.</v>
          </cell>
        </row>
        <row r="275">
          <cell r="C275">
            <v>374</v>
          </cell>
          <cell r="D275" t="str">
            <v>-  1/C - 150 SQ.MM. 25 KV.PIC</v>
          </cell>
          <cell r="E275">
            <v>248</v>
          </cell>
          <cell r="F275">
            <v>60</v>
          </cell>
          <cell r="G275" t="str">
            <v>M.</v>
          </cell>
        </row>
        <row r="276">
          <cell r="C276">
            <v>375</v>
          </cell>
          <cell r="D276" t="str">
            <v>-  1/C - 185 SQ.MM. 25 KV.PIC</v>
          </cell>
          <cell r="E276">
            <v>288</v>
          </cell>
          <cell r="F276">
            <v>70</v>
          </cell>
          <cell r="G276" t="str">
            <v>M.</v>
          </cell>
        </row>
        <row r="277">
          <cell r="C277">
            <v>376</v>
          </cell>
          <cell r="D277" t="str">
            <v>-  1/C - 240 SQ.MM. 25 KV.PIC</v>
          </cell>
          <cell r="E277">
            <v>348</v>
          </cell>
          <cell r="F277">
            <v>75</v>
          </cell>
          <cell r="G277" t="str">
            <v>M.</v>
          </cell>
        </row>
        <row r="278">
          <cell r="C278">
            <v>377</v>
          </cell>
          <cell r="D278" t="str">
            <v>-  1/C - 35 SQ.MM. 35 KV.PIC</v>
          </cell>
          <cell r="E278">
            <v>0</v>
          </cell>
          <cell r="F278">
            <v>30</v>
          </cell>
          <cell r="G278" t="str">
            <v>M.</v>
          </cell>
        </row>
        <row r="279">
          <cell r="C279">
            <v>378</v>
          </cell>
          <cell r="D279" t="str">
            <v>-  1/C - 50 SQ.MM. 35 KV.PIC</v>
          </cell>
          <cell r="E279">
            <v>0</v>
          </cell>
          <cell r="F279">
            <v>35</v>
          </cell>
          <cell r="G279" t="str">
            <v>M.</v>
          </cell>
        </row>
        <row r="280">
          <cell r="C280">
            <v>379</v>
          </cell>
          <cell r="D280" t="str">
            <v>-  1/C - 70 SQ.MM. 35 KV.PIC</v>
          </cell>
          <cell r="E280">
            <v>0</v>
          </cell>
          <cell r="F280">
            <v>40</v>
          </cell>
          <cell r="G280" t="str">
            <v>M.</v>
          </cell>
        </row>
        <row r="281">
          <cell r="C281">
            <v>380</v>
          </cell>
          <cell r="D281" t="str">
            <v>-  1/C - 95 SQ.MM. 35 KV.PIC</v>
          </cell>
          <cell r="E281">
            <v>0</v>
          </cell>
          <cell r="F281">
            <v>60</v>
          </cell>
          <cell r="G281" t="str">
            <v>M.</v>
          </cell>
        </row>
        <row r="282">
          <cell r="C282">
            <v>381</v>
          </cell>
          <cell r="D282" t="str">
            <v>-  1/C - 120 SQ.MM. 35 KV.PIC</v>
          </cell>
          <cell r="E282">
            <v>0</v>
          </cell>
          <cell r="F282">
            <v>70</v>
          </cell>
          <cell r="G282" t="str">
            <v>M.</v>
          </cell>
        </row>
        <row r="283">
          <cell r="C283">
            <v>382</v>
          </cell>
          <cell r="D283" t="str">
            <v>-  1/C - 150 SQ.MM. 35 KV.PIC</v>
          </cell>
          <cell r="E283">
            <v>0</v>
          </cell>
          <cell r="F283">
            <v>75</v>
          </cell>
          <cell r="G283" t="str">
            <v>M.</v>
          </cell>
        </row>
        <row r="284">
          <cell r="C284">
            <v>383</v>
          </cell>
          <cell r="D284" t="str">
            <v>-  1/C - 185 SQ.MM. 35 KV.PIC</v>
          </cell>
          <cell r="E284">
            <v>0</v>
          </cell>
          <cell r="F284">
            <v>80</v>
          </cell>
          <cell r="G284" t="str">
            <v>M.</v>
          </cell>
        </row>
        <row r="285">
          <cell r="C285">
            <v>384</v>
          </cell>
          <cell r="D285" t="str">
            <v>-  1/C - 240 SQ.MM. 35 KV.PIC</v>
          </cell>
          <cell r="E285">
            <v>0</v>
          </cell>
          <cell r="F285">
            <v>85</v>
          </cell>
          <cell r="G285" t="str">
            <v>M.</v>
          </cell>
        </row>
        <row r="286">
          <cell r="D286" t="str">
            <v>SPACE</v>
          </cell>
        </row>
        <row r="287">
          <cell r="C287">
            <v>386</v>
          </cell>
          <cell r="D287" t="str">
            <v>-  1/C - 35 SQ.MM. 25 KV.SPACED AERIAL</v>
          </cell>
          <cell r="E287">
            <v>160</v>
          </cell>
          <cell r="F287">
            <v>25</v>
          </cell>
          <cell r="G287" t="str">
            <v>M.</v>
          </cell>
        </row>
        <row r="288">
          <cell r="C288">
            <v>387</v>
          </cell>
          <cell r="D288" t="str">
            <v>-  1/C - 50 SQ.MM. 25 KV.SPACED AERIAL</v>
          </cell>
          <cell r="E288">
            <v>190</v>
          </cell>
          <cell r="F288">
            <v>30</v>
          </cell>
          <cell r="G288" t="str">
            <v>M.</v>
          </cell>
        </row>
        <row r="289">
          <cell r="C289">
            <v>388</v>
          </cell>
          <cell r="D289" t="str">
            <v>-  1/C - 70 SQ.MM. 25 KV.SPACED AERIAL</v>
          </cell>
          <cell r="E289">
            <v>220</v>
          </cell>
          <cell r="F289">
            <v>35</v>
          </cell>
          <cell r="G289" t="str">
            <v>M.</v>
          </cell>
        </row>
        <row r="290">
          <cell r="C290">
            <v>389</v>
          </cell>
          <cell r="D290" t="str">
            <v>-  1/C - 95 SQ.MM. 25 KV.SPACED AERIAL</v>
          </cell>
          <cell r="E290">
            <v>260</v>
          </cell>
          <cell r="F290">
            <v>40</v>
          </cell>
          <cell r="G290" t="str">
            <v>M.</v>
          </cell>
        </row>
        <row r="291">
          <cell r="C291">
            <v>390</v>
          </cell>
          <cell r="D291" t="str">
            <v>-  1/C - 120 SQ.MM. 25 KV.SPACED AERIAL</v>
          </cell>
          <cell r="E291">
            <v>300</v>
          </cell>
          <cell r="F291">
            <v>60</v>
          </cell>
          <cell r="G291" t="str">
            <v>M.</v>
          </cell>
        </row>
        <row r="292">
          <cell r="C292">
            <v>391</v>
          </cell>
          <cell r="D292" t="str">
            <v>-  1/C - 150 SQ.MM. 25 KV.SPACED AERIAL</v>
          </cell>
          <cell r="E292">
            <v>340</v>
          </cell>
          <cell r="F292">
            <v>70</v>
          </cell>
          <cell r="G292" t="str">
            <v>M.</v>
          </cell>
        </row>
        <row r="293">
          <cell r="C293">
            <v>392</v>
          </cell>
          <cell r="D293" t="str">
            <v>-  1/C - 185 SQ.MM. 25 KV.SPACED AERIAL</v>
          </cell>
          <cell r="E293">
            <v>390</v>
          </cell>
          <cell r="F293">
            <v>75</v>
          </cell>
          <cell r="G293" t="str">
            <v>M.</v>
          </cell>
        </row>
        <row r="294">
          <cell r="C294">
            <v>393</v>
          </cell>
          <cell r="D294" t="str">
            <v>-  1/C - 240 SQ.MM. 25 KV.SPACED AERIAL</v>
          </cell>
          <cell r="E294">
            <v>470</v>
          </cell>
          <cell r="F294">
            <v>80</v>
          </cell>
          <cell r="G294" t="str">
            <v>M.</v>
          </cell>
        </row>
        <row r="295">
          <cell r="C295">
            <v>394</v>
          </cell>
          <cell r="D295" t="str">
            <v>-  1/C - 35 SQ.MM. 35 KV.SPACED AERIAL</v>
          </cell>
          <cell r="E295">
            <v>0</v>
          </cell>
          <cell r="F295">
            <v>75</v>
          </cell>
          <cell r="G295" t="str">
            <v>M.</v>
          </cell>
        </row>
        <row r="296">
          <cell r="C296">
            <v>395</v>
          </cell>
          <cell r="D296" t="str">
            <v>-  1/C - 50 SQ.MM. 35 KV.SPACED AERIAL</v>
          </cell>
          <cell r="E296">
            <v>0</v>
          </cell>
          <cell r="F296">
            <v>89</v>
          </cell>
          <cell r="G296" t="str">
            <v>M.</v>
          </cell>
        </row>
        <row r="297">
          <cell r="C297">
            <v>396</v>
          </cell>
          <cell r="D297" t="str">
            <v>-  1/C - 70 SQ.MM. 35 KV.SPACED AERIAL</v>
          </cell>
          <cell r="E297">
            <v>0</v>
          </cell>
          <cell r="F297">
            <v>85</v>
          </cell>
          <cell r="G297" t="str">
            <v>M.</v>
          </cell>
        </row>
        <row r="298">
          <cell r="C298">
            <v>397</v>
          </cell>
          <cell r="D298" t="str">
            <v>-  1/C - 95 SQ.MM. 35 KV.SPACED AERIAL</v>
          </cell>
          <cell r="E298">
            <v>0</v>
          </cell>
          <cell r="F298">
            <v>90</v>
          </cell>
          <cell r="G298" t="str">
            <v>M.</v>
          </cell>
        </row>
        <row r="299">
          <cell r="C299">
            <v>398</v>
          </cell>
          <cell r="D299" t="str">
            <v>-  1/C - 120 SQ.MM. 35 KV.SPACED AERIAL</v>
          </cell>
          <cell r="E299">
            <v>0</v>
          </cell>
          <cell r="F299">
            <v>100</v>
          </cell>
          <cell r="G299" t="str">
            <v>M.</v>
          </cell>
        </row>
        <row r="300">
          <cell r="C300">
            <v>399</v>
          </cell>
          <cell r="D300" t="str">
            <v>-  1/C - 150 SQ.MM. 35 KV.SPACED AERIAL</v>
          </cell>
          <cell r="E300">
            <v>0</v>
          </cell>
          <cell r="F300">
            <v>110</v>
          </cell>
          <cell r="G300" t="str">
            <v>M.</v>
          </cell>
        </row>
        <row r="301">
          <cell r="C301">
            <v>400</v>
          </cell>
          <cell r="D301" t="str">
            <v>-  1/C - 185 SQ.MM. 35 KV.SPACED AERIAL</v>
          </cell>
          <cell r="E301">
            <v>0</v>
          </cell>
          <cell r="F301">
            <v>120</v>
          </cell>
          <cell r="G301" t="str">
            <v>M.</v>
          </cell>
        </row>
        <row r="302">
          <cell r="C302">
            <v>401</v>
          </cell>
          <cell r="D302" t="str">
            <v>-  1/C - 240 SQ.MM. 35 KV.SPACED AERIAL</v>
          </cell>
          <cell r="E302">
            <v>0</v>
          </cell>
          <cell r="F302">
            <v>140</v>
          </cell>
          <cell r="G302" t="str">
            <v>M.</v>
          </cell>
        </row>
        <row r="303">
          <cell r="C303">
            <v>402</v>
          </cell>
          <cell r="D303" t="str">
            <v>-  25 SQ.MM. ALL ALUMINIUM CABLE</v>
          </cell>
          <cell r="E303">
            <v>9</v>
          </cell>
          <cell r="F303">
            <v>5</v>
          </cell>
          <cell r="G303" t="str">
            <v>M.</v>
          </cell>
        </row>
        <row r="304">
          <cell r="C304">
            <v>403</v>
          </cell>
          <cell r="D304" t="str">
            <v>-  35 SQ.MM. ALL ALUMINIUM CABLE</v>
          </cell>
          <cell r="E304">
            <v>13</v>
          </cell>
          <cell r="F304">
            <v>6</v>
          </cell>
          <cell r="G304" t="str">
            <v>M.</v>
          </cell>
        </row>
        <row r="305">
          <cell r="C305">
            <v>404</v>
          </cell>
          <cell r="D305" t="str">
            <v>-  50 SQ.MM. ALL ALUMINIUM CABLE</v>
          </cell>
          <cell r="E305">
            <v>18</v>
          </cell>
          <cell r="F305">
            <v>8</v>
          </cell>
          <cell r="G305" t="str">
            <v>M.</v>
          </cell>
        </row>
        <row r="306">
          <cell r="C306">
            <v>405</v>
          </cell>
          <cell r="D306" t="str">
            <v>-  70 SQ.MM. ALL ALUMINIUM CABLE</v>
          </cell>
          <cell r="E306">
            <v>26</v>
          </cell>
          <cell r="F306">
            <v>11</v>
          </cell>
          <cell r="G306" t="str">
            <v>M.</v>
          </cell>
        </row>
        <row r="307">
          <cell r="C307">
            <v>406</v>
          </cell>
          <cell r="D307" t="str">
            <v>-  95 SQ.MM. ALL ALUMINIUM CABLE</v>
          </cell>
          <cell r="E307">
            <v>36</v>
          </cell>
          <cell r="F307">
            <v>16</v>
          </cell>
          <cell r="G307" t="str">
            <v>M.</v>
          </cell>
        </row>
        <row r="308">
          <cell r="C308">
            <v>407</v>
          </cell>
          <cell r="D308" t="str">
            <v>-  120 SQ.MM. ALL ALUMINIUM CABLE</v>
          </cell>
          <cell r="E308">
            <v>46</v>
          </cell>
          <cell r="F308">
            <v>20</v>
          </cell>
          <cell r="G308" t="str">
            <v>M.</v>
          </cell>
        </row>
        <row r="309">
          <cell r="C309">
            <v>408</v>
          </cell>
          <cell r="D309" t="str">
            <v>-  150 SQ.MM. ALL ALUMINIUM CABLE</v>
          </cell>
          <cell r="E309">
            <v>56</v>
          </cell>
          <cell r="F309">
            <v>25</v>
          </cell>
          <cell r="G309" t="str">
            <v>M.</v>
          </cell>
        </row>
        <row r="310">
          <cell r="C310">
            <v>409</v>
          </cell>
          <cell r="D310" t="str">
            <v>-  185 SQ.MM. ALL ALUMINIUM CABLE</v>
          </cell>
          <cell r="E310">
            <v>64</v>
          </cell>
          <cell r="F310">
            <v>30</v>
          </cell>
          <cell r="G310" t="str">
            <v>M.</v>
          </cell>
        </row>
        <row r="311">
          <cell r="C311">
            <v>410</v>
          </cell>
          <cell r="D311" t="str">
            <v>-  25 SQ.MM. ACSR</v>
          </cell>
          <cell r="E311">
            <v>11</v>
          </cell>
          <cell r="F311">
            <v>5</v>
          </cell>
          <cell r="G311" t="str">
            <v>M.</v>
          </cell>
        </row>
        <row r="312">
          <cell r="C312">
            <v>411</v>
          </cell>
          <cell r="D312" t="str">
            <v>-  35 SQ.MM. ACSR</v>
          </cell>
          <cell r="E312">
            <v>15</v>
          </cell>
          <cell r="F312">
            <v>6</v>
          </cell>
          <cell r="G312" t="str">
            <v>M.</v>
          </cell>
        </row>
        <row r="313">
          <cell r="C313">
            <v>412</v>
          </cell>
          <cell r="D313" t="str">
            <v>-  50 SQ.MM. ACSR</v>
          </cell>
          <cell r="E313">
            <v>21</v>
          </cell>
          <cell r="F313">
            <v>8</v>
          </cell>
          <cell r="G313" t="str">
            <v>M.</v>
          </cell>
        </row>
        <row r="314">
          <cell r="C314">
            <v>413</v>
          </cell>
          <cell r="D314" t="str">
            <v>-  70 SQ.MM. ACSR</v>
          </cell>
          <cell r="E314">
            <v>30</v>
          </cell>
          <cell r="F314">
            <v>11</v>
          </cell>
          <cell r="G314" t="str">
            <v>M.</v>
          </cell>
        </row>
        <row r="315">
          <cell r="C315">
            <v>414</v>
          </cell>
          <cell r="D315" t="str">
            <v>-  95 SQ.MM. ACSR</v>
          </cell>
          <cell r="E315">
            <v>42</v>
          </cell>
          <cell r="F315">
            <v>16</v>
          </cell>
          <cell r="G315" t="str">
            <v>M.</v>
          </cell>
        </row>
        <row r="316">
          <cell r="C316">
            <v>415</v>
          </cell>
          <cell r="D316" t="str">
            <v>-  120 SQ.MM. ACSR</v>
          </cell>
          <cell r="E316">
            <v>54</v>
          </cell>
          <cell r="F316">
            <v>20</v>
          </cell>
          <cell r="G316" t="str">
            <v>M.</v>
          </cell>
        </row>
        <row r="317">
          <cell r="C317">
            <v>416</v>
          </cell>
          <cell r="D317" t="str">
            <v>-  150 SQ.MM. ACSR</v>
          </cell>
          <cell r="E317">
            <v>83</v>
          </cell>
          <cell r="F317">
            <v>25</v>
          </cell>
          <cell r="G317" t="str">
            <v>M.</v>
          </cell>
        </row>
        <row r="318">
          <cell r="C318">
            <v>417</v>
          </cell>
          <cell r="D318" t="str">
            <v>-  185 SQ.MM. ACSR</v>
          </cell>
          <cell r="E318">
            <v>0</v>
          </cell>
          <cell r="F318">
            <v>0</v>
          </cell>
          <cell r="G318" t="str">
            <v>M.</v>
          </cell>
        </row>
        <row r="319">
          <cell r="D319" t="str">
            <v>SPACE</v>
          </cell>
        </row>
        <row r="320">
          <cell r="C320">
            <v>45</v>
          </cell>
          <cell r="D320" t="str">
            <v>FIRE - RESISTANT CABLE</v>
          </cell>
        </row>
        <row r="321">
          <cell r="C321">
            <v>451</v>
          </cell>
          <cell r="D321" t="str">
            <v>-  1/C - 0.75 SQ.MM. FR.</v>
          </cell>
          <cell r="E321">
            <v>17</v>
          </cell>
          <cell r="F321">
            <v>1</v>
          </cell>
          <cell r="G321" t="str">
            <v>M.</v>
          </cell>
        </row>
        <row r="322">
          <cell r="C322">
            <v>452</v>
          </cell>
          <cell r="D322" t="str">
            <v>-  1/C - 1.0 SQ.MM. FR.</v>
          </cell>
          <cell r="E322">
            <v>19</v>
          </cell>
          <cell r="F322">
            <v>1</v>
          </cell>
          <cell r="G322" t="str">
            <v>M.</v>
          </cell>
        </row>
        <row r="323">
          <cell r="C323">
            <v>453</v>
          </cell>
          <cell r="D323" t="str">
            <v>-  1/C - 1.5 SQ.MM. FR.</v>
          </cell>
          <cell r="E323">
            <v>20</v>
          </cell>
          <cell r="F323">
            <v>1</v>
          </cell>
          <cell r="G323" t="str">
            <v>M.</v>
          </cell>
        </row>
        <row r="324">
          <cell r="C324">
            <v>454</v>
          </cell>
          <cell r="D324" t="str">
            <v>-  1/C - 2.5 SQ.MM. FR.</v>
          </cell>
          <cell r="E324">
            <v>26</v>
          </cell>
          <cell r="F324">
            <v>2</v>
          </cell>
          <cell r="G324" t="str">
            <v>M.</v>
          </cell>
        </row>
        <row r="325">
          <cell r="C325">
            <v>455</v>
          </cell>
          <cell r="D325" t="str">
            <v>-  1/C - 4 SQ.MM. FR.</v>
          </cell>
          <cell r="E325">
            <v>36</v>
          </cell>
          <cell r="F325">
            <v>2</v>
          </cell>
          <cell r="G325" t="str">
            <v>M.</v>
          </cell>
        </row>
        <row r="326">
          <cell r="C326">
            <v>456</v>
          </cell>
          <cell r="D326" t="str">
            <v>-  1/C - 6 SQ.MM. FR.</v>
          </cell>
          <cell r="E326">
            <v>60</v>
          </cell>
          <cell r="F326">
            <v>3</v>
          </cell>
          <cell r="G326" t="str">
            <v>M.</v>
          </cell>
        </row>
        <row r="327">
          <cell r="C327">
            <v>457</v>
          </cell>
          <cell r="D327" t="str">
            <v>-  1/C - 10 SQ.MM. FR.</v>
          </cell>
          <cell r="E327">
            <v>82</v>
          </cell>
          <cell r="F327">
            <v>5</v>
          </cell>
          <cell r="G327" t="str">
            <v>M.</v>
          </cell>
        </row>
        <row r="328">
          <cell r="C328">
            <v>458</v>
          </cell>
          <cell r="D328" t="str">
            <v>-  1/C - 16 SQ.MM. FR.</v>
          </cell>
          <cell r="E328">
            <v>96</v>
          </cell>
          <cell r="F328">
            <v>6</v>
          </cell>
          <cell r="G328" t="str">
            <v>M.</v>
          </cell>
        </row>
        <row r="329">
          <cell r="C329">
            <v>459</v>
          </cell>
          <cell r="D329" t="str">
            <v>-  1/C - 25 SQ.MM. FR.</v>
          </cell>
          <cell r="E329">
            <v>130</v>
          </cell>
          <cell r="F329">
            <v>8</v>
          </cell>
          <cell r="G329" t="str">
            <v>M.</v>
          </cell>
        </row>
        <row r="330">
          <cell r="C330">
            <v>460</v>
          </cell>
          <cell r="D330" t="str">
            <v>-  1/C - 35 SQ.MM. FR.</v>
          </cell>
          <cell r="E330">
            <v>184</v>
          </cell>
          <cell r="F330">
            <v>11</v>
          </cell>
          <cell r="G330" t="str">
            <v>M.</v>
          </cell>
        </row>
        <row r="331">
          <cell r="C331">
            <v>461</v>
          </cell>
          <cell r="D331" t="str">
            <v>-  1/C - 50 SQ.MM. FR.</v>
          </cell>
          <cell r="E331">
            <v>264</v>
          </cell>
          <cell r="F331">
            <v>16</v>
          </cell>
          <cell r="G331" t="str">
            <v>M.</v>
          </cell>
        </row>
        <row r="332">
          <cell r="C332">
            <v>462</v>
          </cell>
          <cell r="D332" t="str">
            <v>-  1/C - 70 SQ.MM. FR.</v>
          </cell>
          <cell r="E332">
            <v>330</v>
          </cell>
          <cell r="F332">
            <v>20</v>
          </cell>
          <cell r="G332" t="str">
            <v>M.</v>
          </cell>
        </row>
        <row r="333">
          <cell r="C333">
            <v>463</v>
          </cell>
          <cell r="D333" t="str">
            <v>-  1/C - 95 SQ.MM. FR.</v>
          </cell>
          <cell r="E333">
            <v>396</v>
          </cell>
          <cell r="F333">
            <v>25</v>
          </cell>
          <cell r="G333" t="str">
            <v>M.</v>
          </cell>
        </row>
        <row r="334">
          <cell r="C334">
            <v>464</v>
          </cell>
          <cell r="D334" t="str">
            <v>-  1/C - 120 SQ.MM. FR.</v>
          </cell>
          <cell r="E334">
            <v>488</v>
          </cell>
          <cell r="F334">
            <v>30</v>
          </cell>
          <cell r="G334" t="str">
            <v>M.</v>
          </cell>
        </row>
        <row r="335">
          <cell r="C335">
            <v>465</v>
          </cell>
          <cell r="D335" t="str">
            <v>-  1/C - 150 SQ.MM. FR.</v>
          </cell>
          <cell r="E335">
            <v>589</v>
          </cell>
          <cell r="F335">
            <v>35</v>
          </cell>
          <cell r="G335" t="str">
            <v>M.</v>
          </cell>
        </row>
        <row r="336">
          <cell r="C336">
            <v>466</v>
          </cell>
          <cell r="D336" t="str">
            <v>-  1/C - 185 SQ.MM. FR.</v>
          </cell>
          <cell r="E336">
            <v>688</v>
          </cell>
          <cell r="F336">
            <v>40</v>
          </cell>
          <cell r="G336" t="str">
            <v>M.</v>
          </cell>
        </row>
        <row r="337">
          <cell r="C337">
            <v>467</v>
          </cell>
          <cell r="D337" t="str">
            <v>-  1/C - 240 SQ.MM. FR.</v>
          </cell>
          <cell r="E337">
            <v>852</v>
          </cell>
          <cell r="F337">
            <v>50</v>
          </cell>
          <cell r="G337" t="str">
            <v>M.</v>
          </cell>
        </row>
        <row r="338">
          <cell r="C338">
            <v>468</v>
          </cell>
          <cell r="D338" t="str">
            <v>-  1/C - 300 SQ.MM. FR.</v>
          </cell>
          <cell r="E338">
            <v>1088</v>
          </cell>
          <cell r="F338">
            <v>60</v>
          </cell>
          <cell r="G338" t="str">
            <v>M.</v>
          </cell>
        </row>
        <row r="339">
          <cell r="C339">
            <v>469</v>
          </cell>
          <cell r="D339" t="str">
            <v>-  1/C - 400 SQ.MM. FR.</v>
          </cell>
          <cell r="E339">
            <v>1308</v>
          </cell>
          <cell r="F339">
            <v>70</v>
          </cell>
          <cell r="G339" t="str">
            <v>M.</v>
          </cell>
        </row>
        <row r="340">
          <cell r="C340">
            <v>470</v>
          </cell>
          <cell r="D340" t="str">
            <v>-  1/C - 500 SQ.MM. FR.</v>
          </cell>
          <cell r="E340">
            <v>1548</v>
          </cell>
          <cell r="F340">
            <v>90</v>
          </cell>
          <cell r="G340" t="str">
            <v>M.</v>
          </cell>
        </row>
        <row r="341">
          <cell r="C341">
            <v>471</v>
          </cell>
          <cell r="D341" t="str">
            <v>-  1/C - 630 SQ.MM. FR.</v>
          </cell>
          <cell r="E341">
            <v>1904</v>
          </cell>
          <cell r="F341">
            <v>105</v>
          </cell>
          <cell r="G341" t="str">
            <v>M.</v>
          </cell>
        </row>
        <row r="342">
          <cell r="C342">
            <v>472</v>
          </cell>
          <cell r="D342" t="str">
            <v>-  1/C - 2.5 SQ.MM. FR. W./SHEET</v>
          </cell>
          <cell r="E342">
            <v>44</v>
          </cell>
          <cell r="F342">
            <v>2</v>
          </cell>
          <cell r="G342" t="str">
            <v>M.</v>
          </cell>
        </row>
        <row r="343">
          <cell r="C343">
            <v>473</v>
          </cell>
          <cell r="D343" t="str">
            <v>-  1/C - 4 SQ.MM. FR. W./SHEET</v>
          </cell>
          <cell r="E343">
            <v>58</v>
          </cell>
          <cell r="F343">
            <v>3</v>
          </cell>
          <cell r="G343" t="str">
            <v>M.</v>
          </cell>
        </row>
        <row r="344">
          <cell r="C344">
            <v>474</v>
          </cell>
          <cell r="D344" t="str">
            <v>-  1/C - 6 SQ.MM. FR. W./SHEET</v>
          </cell>
          <cell r="E344">
            <v>71</v>
          </cell>
          <cell r="F344">
            <v>5</v>
          </cell>
          <cell r="G344" t="str">
            <v>M.</v>
          </cell>
        </row>
        <row r="345">
          <cell r="C345">
            <v>475</v>
          </cell>
          <cell r="D345" t="str">
            <v>-  1/C - 10 SQ.MM. FR. W./SHEET</v>
          </cell>
          <cell r="E345">
            <v>97</v>
          </cell>
          <cell r="F345">
            <v>6</v>
          </cell>
          <cell r="G345" t="str">
            <v>M.</v>
          </cell>
        </row>
        <row r="346">
          <cell r="C346">
            <v>476</v>
          </cell>
          <cell r="D346" t="str">
            <v>-  1/C - 16 SQ.MM. FR. W./SHEET</v>
          </cell>
          <cell r="E346">
            <v>112</v>
          </cell>
          <cell r="F346">
            <v>8</v>
          </cell>
          <cell r="G346" t="str">
            <v>M.</v>
          </cell>
        </row>
        <row r="347">
          <cell r="C347">
            <v>477</v>
          </cell>
          <cell r="D347" t="str">
            <v>-  1/C - 25 SQ.MM. FR. W./SHEET</v>
          </cell>
          <cell r="E347">
            <v>154</v>
          </cell>
          <cell r="F347">
            <v>11</v>
          </cell>
          <cell r="G347" t="str">
            <v>M.</v>
          </cell>
        </row>
        <row r="348">
          <cell r="C348">
            <v>478</v>
          </cell>
          <cell r="D348" t="str">
            <v>-  1/C - 35 SQ.MM. FR. W./SHEET</v>
          </cell>
          <cell r="E348">
            <v>211</v>
          </cell>
          <cell r="F348">
            <v>16</v>
          </cell>
          <cell r="G348" t="str">
            <v>M.</v>
          </cell>
        </row>
        <row r="349">
          <cell r="C349">
            <v>479</v>
          </cell>
          <cell r="D349" t="str">
            <v>-  1/C - 50 SQ.MM. FR. W./SHEET</v>
          </cell>
          <cell r="E349">
            <v>303</v>
          </cell>
          <cell r="F349">
            <v>20</v>
          </cell>
          <cell r="G349" t="str">
            <v>M.</v>
          </cell>
        </row>
        <row r="350">
          <cell r="C350">
            <v>480</v>
          </cell>
          <cell r="D350" t="str">
            <v>-  1/C - 70 SQ.MM. FR. W./SHEET</v>
          </cell>
          <cell r="E350">
            <v>389</v>
          </cell>
          <cell r="F350">
            <v>25</v>
          </cell>
          <cell r="G350" t="str">
            <v>M.</v>
          </cell>
        </row>
        <row r="351">
          <cell r="C351">
            <v>481</v>
          </cell>
          <cell r="D351" t="str">
            <v>-  1/C - 95 SQ.MM. FR. W./SHEET</v>
          </cell>
          <cell r="E351">
            <v>470</v>
          </cell>
          <cell r="F351">
            <v>30</v>
          </cell>
          <cell r="G351" t="str">
            <v>M.</v>
          </cell>
        </row>
        <row r="352">
          <cell r="C352">
            <v>482</v>
          </cell>
          <cell r="D352" t="str">
            <v>-  1/C - 120 SQ.MM. FR. W./SHEET</v>
          </cell>
          <cell r="E352">
            <v>570</v>
          </cell>
          <cell r="F352">
            <v>35</v>
          </cell>
          <cell r="G352" t="str">
            <v>M.</v>
          </cell>
        </row>
        <row r="353">
          <cell r="C353">
            <v>483</v>
          </cell>
          <cell r="D353" t="str">
            <v>-  1/C - 150 SQ.MM. FR. W./SHEET</v>
          </cell>
          <cell r="E353">
            <v>716</v>
          </cell>
          <cell r="F353">
            <v>40</v>
          </cell>
          <cell r="G353" t="str">
            <v>M.</v>
          </cell>
        </row>
        <row r="354">
          <cell r="C354">
            <v>484</v>
          </cell>
          <cell r="D354" t="str">
            <v>-  1/C - 185 SQ.MM. FR. W./SHEET</v>
          </cell>
          <cell r="E354">
            <v>835</v>
          </cell>
          <cell r="F354">
            <v>50</v>
          </cell>
          <cell r="G354" t="str">
            <v>M.</v>
          </cell>
        </row>
        <row r="355">
          <cell r="C355">
            <v>485</v>
          </cell>
          <cell r="D355" t="str">
            <v>-  1/C - 240 SQ.MM. FR. W./SHEET</v>
          </cell>
          <cell r="E355">
            <v>1051</v>
          </cell>
          <cell r="F355">
            <v>60</v>
          </cell>
          <cell r="G355" t="str">
            <v>M.</v>
          </cell>
        </row>
        <row r="356">
          <cell r="C356">
            <v>486</v>
          </cell>
          <cell r="D356" t="str">
            <v>-  1/C - 300 SQ.MM. FR. W./SHEET</v>
          </cell>
          <cell r="E356">
            <v>1390</v>
          </cell>
          <cell r="F356">
            <v>70</v>
          </cell>
          <cell r="G356" t="str">
            <v>M.</v>
          </cell>
        </row>
        <row r="357">
          <cell r="C357">
            <v>487</v>
          </cell>
          <cell r="D357" t="str">
            <v>-  1/C - 400 SQ.MM. FR. W./SHEET</v>
          </cell>
          <cell r="E357">
            <v>1679</v>
          </cell>
          <cell r="F357">
            <v>90</v>
          </cell>
          <cell r="G357" t="str">
            <v>M.</v>
          </cell>
        </row>
        <row r="358">
          <cell r="C358">
            <v>488</v>
          </cell>
          <cell r="D358" t="str">
            <v>-  1/C - 500 SQ.MM. FR. W./SHEET</v>
          </cell>
          <cell r="E358">
            <v>1818</v>
          </cell>
          <cell r="F358">
            <v>105</v>
          </cell>
          <cell r="G358" t="str">
            <v>M.</v>
          </cell>
        </row>
        <row r="359">
          <cell r="C359">
            <v>489</v>
          </cell>
          <cell r="D359" t="str">
            <v>-  1/C - 630 SQ.MM. FR. W./SHEET</v>
          </cell>
          <cell r="E359">
            <v>2183</v>
          </cell>
          <cell r="F359">
            <v>120</v>
          </cell>
          <cell r="G359" t="str">
            <v>M.</v>
          </cell>
        </row>
        <row r="360">
          <cell r="C360">
            <v>5</v>
          </cell>
          <cell r="D360" t="str">
            <v>CABLE RACEWAY</v>
          </cell>
        </row>
        <row r="361">
          <cell r="C361">
            <v>501</v>
          </cell>
          <cell r="D361" t="str">
            <v>-  DIA. 1/2" EMT</v>
          </cell>
          <cell r="E361">
            <v>23</v>
          </cell>
          <cell r="F361">
            <v>10</v>
          </cell>
          <cell r="G361" t="str">
            <v>M.</v>
          </cell>
        </row>
        <row r="362">
          <cell r="C362">
            <v>502</v>
          </cell>
          <cell r="D362" t="str">
            <v>-  DIA. 3/4" EMT</v>
          </cell>
          <cell r="E362">
            <v>34</v>
          </cell>
          <cell r="F362">
            <v>15</v>
          </cell>
          <cell r="G362" t="str">
            <v>M.</v>
          </cell>
        </row>
        <row r="363">
          <cell r="C363">
            <v>503</v>
          </cell>
          <cell r="D363" t="str">
            <v>-  DIA. 1" EMT</v>
          </cell>
          <cell r="E363">
            <v>48</v>
          </cell>
          <cell r="F363">
            <v>18</v>
          </cell>
          <cell r="G363" t="str">
            <v>M.</v>
          </cell>
        </row>
        <row r="364">
          <cell r="C364">
            <v>504</v>
          </cell>
          <cell r="D364" t="str">
            <v>-  DIA. 1 1/4" EMT</v>
          </cell>
          <cell r="E364">
            <v>79</v>
          </cell>
          <cell r="F364">
            <v>25</v>
          </cell>
          <cell r="G364" t="str">
            <v>M.</v>
          </cell>
        </row>
        <row r="365">
          <cell r="C365">
            <v>505</v>
          </cell>
          <cell r="D365" t="str">
            <v>-  DIA. 1 1/2" EMT</v>
          </cell>
          <cell r="E365">
            <v>92</v>
          </cell>
          <cell r="F365">
            <v>30</v>
          </cell>
          <cell r="G365" t="str">
            <v>M.</v>
          </cell>
        </row>
        <row r="366">
          <cell r="C366">
            <v>506</v>
          </cell>
          <cell r="D366" t="str">
            <v>-  DIA. 2" EMT</v>
          </cell>
          <cell r="E366">
            <v>114</v>
          </cell>
          <cell r="F366">
            <v>40</v>
          </cell>
          <cell r="G366" t="str">
            <v>M.</v>
          </cell>
        </row>
        <row r="367">
          <cell r="C367">
            <v>507</v>
          </cell>
          <cell r="D367" t="str">
            <v>-  DIA. 1/2" IMC</v>
          </cell>
          <cell r="E367">
            <v>45</v>
          </cell>
          <cell r="F367">
            <v>13</v>
          </cell>
          <cell r="G367" t="str">
            <v>M.</v>
          </cell>
        </row>
        <row r="368">
          <cell r="C368">
            <v>508</v>
          </cell>
          <cell r="D368" t="str">
            <v>-  DIA. 3/4" IMC</v>
          </cell>
          <cell r="E368">
            <v>61</v>
          </cell>
          <cell r="F368">
            <v>15</v>
          </cell>
          <cell r="G368" t="str">
            <v>M.</v>
          </cell>
        </row>
        <row r="369">
          <cell r="C369">
            <v>509</v>
          </cell>
          <cell r="D369" t="str">
            <v>-  DIA. 1" IMC</v>
          </cell>
          <cell r="E369">
            <v>82</v>
          </cell>
          <cell r="F369">
            <v>20</v>
          </cell>
          <cell r="G369" t="str">
            <v>M.</v>
          </cell>
        </row>
        <row r="370">
          <cell r="C370">
            <v>510</v>
          </cell>
          <cell r="D370" t="str">
            <v>-  DIA. 1 1/4" IMC</v>
          </cell>
          <cell r="E370">
            <v>105</v>
          </cell>
          <cell r="F370">
            <v>25</v>
          </cell>
          <cell r="G370" t="str">
            <v>M.</v>
          </cell>
        </row>
        <row r="371">
          <cell r="C371">
            <v>511</v>
          </cell>
          <cell r="D371" t="str">
            <v>-  DIA. 1 1/2" IMC</v>
          </cell>
          <cell r="E371">
            <v>130</v>
          </cell>
          <cell r="F371">
            <v>30</v>
          </cell>
          <cell r="G371" t="str">
            <v>M.</v>
          </cell>
        </row>
        <row r="372">
          <cell r="C372">
            <v>512</v>
          </cell>
          <cell r="D372" t="str">
            <v>-  DIA. 2" IMC</v>
          </cell>
          <cell r="E372">
            <v>174</v>
          </cell>
          <cell r="F372">
            <v>35</v>
          </cell>
          <cell r="G372" t="str">
            <v>M.</v>
          </cell>
        </row>
        <row r="373">
          <cell r="C373">
            <v>513</v>
          </cell>
          <cell r="D373" t="str">
            <v>-  DIA. 2 1/2" IMC</v>
          </cell>
          <cell r="E373">
            <v>282</v>
          </cell>
          <cell r="F373">
            <v>45</v>
          </cell>
          <cell r="G373" t="str">
            <v>M.</v>
          </cell>
        </row>
        <row r="374">
          <cell r="C374">
            <v>514</v>
          </cell>
          <cell r="D374" t="str">
            <v>-  DIA. 3" IMC</v>
          </cell>
          <cell r="E374">
            <v>342</v>
          </cell>
          <cell r="F374">
            <v>50</v>
          </cell>
          <cell r="G374" t="str">
            <v>M.</v>
          </cell>
        </row>
        <row r="375">
          <cell r="C375">
            <v>515</v>
          </cell>
          <cell r="D375" t="str">
            <v>-  DIA. 3 1/2" IMC</v>
          </cell>
          <cell r="E375">
            <v>397</v>
          </cell>
          <cell r="F375">
            <v>55</v>
          </cell>
          <cell r="G375" t="str">
            <v>M.</v>
          </cell>
        </row>
        <row r="376">
          <cell r="C376">
            <v>516</v>
          </cell>
          <cell r="D376" t="str">
            <v>-  DIA. 4" IMC</v>
          </cell>
          <cell r="E376">
            <v>433</v>
          </cell>
          <cell r="F376">
            <v>60</v>
          </cell>
          <cell r="G376" t="str">
            <v>M.</v>
          </cell>
        </row>
        <row r="377">
          <cell r="C377">
            <v>517</v>
          </cell>
          <cell r="D377" t="str">
            <v>-  DIA. 5" IMC</v>
          </cell>
          <cell r="E377">
            <v>747</v>
          </cell>
          <cell r="F377">
            <v>70</v>
          </cell>
          <cell r="G377" t="str">
            <v>M.</v>
          </cell>
        </row>
        <row r="378">
          <cell r="C378">
            <v>518</v>
          </cell>
          <cell r="D378" t="str">
            <v>-  DIA. 1/2" RSC</v>
          </cell>
          <cell r="E378">
            <v>64</v>
          </cell>
          <cell r="F378">
            <v>15</v>
          </cell>
          <cell r="G378" t="str">
            <v>M.</v>
          </cell>
        </row>
        <row r="379">
          <cell r="C379">
            <v>519</v>
          </cell>
          <cell r="D379" t="str">
            <v>-  DIA. 3/4" RSC</v>
          </cell>
          <cell r="E379">
            <v>82</v>
          </cell>
          <cell r="F379">
            <v>20</v>
          </cell>
          <cell r="G379" t="str">
            <v>M.</v>
          </cell>
        </row>
        <row r="380">
          <cell r="C380">
            <v>520</v>
          </cell>
          <cell r="D380" t="str">
            <v>-  DIA. 1" RSC</v>
          </cell>
          <cell r="E380">
            <v>120</v>
          </cell>
          <cell r="F380">
            <v>25</v>
          </cell>
          <cell r="G380" t="str">
            <v>M.</v>
          </cell>
        </row>
        <row r="381">
          <cell r="C381">
            <v>521</v>
          </cell>
          <cell r="D381" t="str">
            <v>-  DIA. 1 1/4" RSC</v>
          </cell>
          <cell r="E381">
            <v>153</v>
          </cell>
          <cell r="F381">
            <v>35</v>
          </cell>
          <cell r="G381" t="str">
            <v>M.</v>
          </cell>
        </row>
        <row r="382">
          <cell r="C382">
            <v>522</v>
          </cell>
          <cell r="D382" t="str">
            <v>-  DIA. 1 1/2" RSC</v>
          </cell>
          <cell r="E382">
            <v>182</v>
          </cell>
          <cell r="F382">
            <v>45</v>
          </cell>
          <cell r="G382" t="str">
            <v>M.</v>
          </cell>
        </row>
        <row r="383">
          <cell r="C383">
            <v>523</v>
          </cell>
          <cell r="D383" t="str">
            <v>-  DIA. 2" RSC</v>
          </cell>
          <cell r="E383">
            <v>243</v>
          </cell>
          <cell r="F383">
            <v>55</v>
          </cell>
          <cell r="G383" t="str">
            <v>M.</v>
          </cell>
        </row>
        <row r="384">
          <cell r="C384">
            <v>524</v>
          </cell>
          <cell r="D384" t="str">
            <v>-  DIA. 2 1/2" RSC</v>
          </cell>
          <cell r="E384">
            <v>373</v>
          </cell>
          <cell r="F384">
            <v>80</v>
          </cell>
          <cell r="G384" t="str">
            <v>M.</v>
          </cell>
        </row>
        <row r="385">
          <cell r="C385">
            <v>525</v>
          </cell>
          <cell r="D385" t="str">
            <v>-  DIA. 3" RSC</v>
          </cell>
          <cell r="E385">
            <v>480</v>
          </cell>
          <cell r="F385">
            <v>90</v>
          </cell>
          <cell r="G385" t="str">
            <v>M.</v>
          </cell>
        </row>
        <row r="386">
          <cell r="C386">
            <v>526</v>
          </cell>
          <cell r="D386" t="str">
            <v>-  DIA. 3 1/2" RSC</v>
          </cell>
          <cell r="E386">
            <v>606</v>
          </cell>
          <cell r="F386">
            <v>100</v>
          </cell>
          <cell r="G386" t="str">
            <v>M.</v>
          </cell>
        </row>
        <row r="387">
          <cell r="C387">
            <v>527</v>
          </cell>
          <cell r="D387" t="str">
            <v>-  DIA. 4" RSC</v>
          </cell>
          <cell r="E387">
            <v>706</v>
          </cell>
          <cell r="F387">
            <v>125</v>
          </cell>
          <cell r="G387" t="str">
            <v>M.</v>
          </cell>
        </row>
        <row r="388">
          <cell r="C388">
            <v>528</v>
          </cell>
          <cell r="D388" t="str">
            <v>-  DIA. 5" RSC</v>
          </cell>
          <cell r="E388">
            <v>1016</v>
          </cell>
          <cell r="F388">
            <v>140</v>
          </cell>
          <cell r="G388" t="str">
            <v>M.</v>
          </cell>
        </row>
        <row r="389">
          <cell r="D389" t="str">
            <v>SPACE</v>
          </cell>
        </row>
        <row r="390">
          <cell r="C390">
            <v>530</v>
          </cell>
          <cell r="D390" t="str">
            <v>-  DIA. 25 MM. HDPE-PN4</v>
          </cell>
          <cell r="E390">
            <v>20</v>
          </cell>
          <cell r="F390">
            <v>10</v>
          </cell>
          <cell r="G390" t="str">
            <v>M.</v>
          </cell>
        </row>
        <row r="391">
          <cell r="C391">
            <v>531</v>
          </cell>
          <cell r="D391" t="str">
            <v>-  DIA. 32 MM. HDPE-PN4</v>
          </cell>
          <cell r="E391">
            <v>25</v>
          </cell>
          <cell r="F391">
            <v>15</v>
          </cell>
          <cell r="G391" t="str">
            <v>M.</v>
          </cell>
        </row>
        <row r="392">
          <cell r="C392">
            <v>532</v>
          </cell>
          <cell r="D392" t="str">
            <v>-  DIA. 40 MM. HDPE-PN4</v>
          </cell>
          <cell r="E392">
            <v>34</v>
          </cell>
          <cell r="F392">
            <v>18</v>
          </cell>
          <cell r="G392" t="str">
            <v>M.</v>
          </cell>
        </row>
        <row r="393">
          <cell r="C393">
            <v>533</v>
          </cell>
          <cell r="D393" t="str">
            <v>-  DIA. 50 MM. HDPE-PN4</v>
          </cell>
          <cell r="E393">
            <v>38</v>
          </cell>
          <cell r="F393">
            <v>25</v>
          </cell>
          <cell r="G393" t="str">
            <v>M.</v>
          </cell>
        </row>
        <row r="394">
          <cell r="C394">
            <v>534</v>
          </cell>
          <cell r="D394" t="str">
            <v>-  DIA. 63 MM. HDPE-PN4</v>
          </cell>
          <cell r="E394">
            <v>56</v>
          </cell>
          <cell r="F394">
            <v>30</v>
          </cell>
          <cell r="G394" t="str">
            <v>M.</v>
          </cell>
        </row>
        <row r="395">
          <cell r="C395">
            <v>535</v>
          </cell>
          <cell r="D395" t="str">
            <v>-  DIA. 75 MM. HDPE-PN4</v>
          </cell>
          <cell r="E395">
            <v>81</v>
          </cell>
          <cell r="F395">
            <v>40</v>
          </cell>
          <cell r="G395" t="str">
            <v>M.</v>
          </cell>
        </row>
        <row r="396">
          <cell r="C396">
            <v>536</v>
          </cell>
          <cell r="D396" t="str">
            <v>-  DIA. 90 MM. HDPE-PN4</v>
          </cell>
          <cell r="E396">
            <v>116</v>
          </cell>
          <cell r="F396">
            <v>47</v>
          </cell>
          <cell r="G396" t="str">
            <v>M.</v>
          </cell>
        </row>
        <row r="397">
          <cell r="C397">
            <v>537</v>
          </cell>
          <cell r="D397" t="str">
            <v>-  DIA. 110 MM. HDPE-PN4</v>
          </cell>
          <cell r="E397">
            <v>170</v>
          </cell>
          <cell r="F397">
            <v>55</v>
          </cell>
          <cell r="G397" t="str">
            <v>M.</v>
          </cell>
        </row>
        <row r="398">
          <cell r="C398">
            <v>538</v>
          </cell>
          <cell r="D398" t="str">
            <v>-  DIA. 125 MM. HDPE-PN4</v>
          </cell>
          <cell r="E398">
            <v>220</v>
          </cell>
          <cell r="F398">
            <v>65</v>
          </cell>
          <cell r="G398" t="str">
            <v>M.</v>
          </cell>
        </row>
        <row r="399">
          <cell r="C399">
            <v>539</v>
          </cell>
          <cell r="D399" t="str">
            <v>-  DIA. 140 MM. HDPE-PN4</v>
          </cell>
          <cell r="E399">
            <v>278</v>
          </cell>
          <cell r="F399">
            <v>70</v>
          </cell>
          <cell r="G399" t="str">
            <v>M.</v>
          </cell>
        </row>
        <row r="400">
          <cell r="C400">
            <v>540</v>
          </cell>
          <cell r="D400" t="str">
            <v>-  DIA. 160 MM. HDPE-PN4</v>
          </cell>
          <cell r="E400">
            <v>363</v>
          </cell>
          <cell r="F400">
            <v>75</v>
          </cell>
          <cell r="G400" t="str">
            <v>M.</v>
          </cell>
        </row>
        <row r="401">
          <cell r="C401">
            <v>541</v>
          </cell>
          <cell r="D401" t="str">
            <v>-  DIA. 180 MM. HDPE-PN4</v>
          </cell>
          <cell r="E401">
            <v>462</v>
          </cell>
          <cell r="F401">
            <v>80</v>
          </cell>
          <cell r="G401" t="str">
            <v>M.</v>
          </cell>
        </row>
        <row r="402">
          <cell r="D402" t="str">
            <v>SPACE</v>
          </cell>
        </row>
        <row r="403">
          <cell r="C403">
            <v>546</v>
          </cell>
          <cell r="D403" t="str">
            <v>-  DIA. 25 MM. HDPE-PN6</v>
          </cell>
          <cell r="E403">
            <v>20</v>
          </cell>
          <cell r="F403">
            <v>10</v>
          </cell>
          <cell r="G403" t="str">
            <v>M.</v>
          </cell>
        </row>
        <row r="404">
          <cell r="C404">
            <v>547</v>
          </cell>
          <cell r="D404" t="str">
            <v>-  DIA. 32 MM. HDPE-PN6</v>
          </cell>
          <cell r="E404">
            <v>25</v>
          </cell>
          <cell r="F404">
            <v>15</v>
          </cell>
          <cell r="G404" t="str">
            <v>M.</v>
          </cell>
        </row>
        <row r="405">
          <cell r="C405">
            <v>548</v>
          </cell>
          <cell r="D405" t="str">
            <v>-  DIA. 40 MM. HDPE-PN6</v>
          </cell>
          <cell r="E405">
            <v>34</v>
          </cell>
          <cell r="F405">
            <v>18</v>
          </cell>
          <cell r="G405" t="str">
            <v>M.</v>
          </cell>
        </row>
        <row r="406">
          <cell r="C406">
            <v>549</v>
          </cell>
          <cell r="D406" t="str">
            <v>-  DIA. 50 MM. HDPE-PN6</v>
          </cell>
          <cell r="E406">
            <v>53</v>
          </cell>
          <cell r="F406">
            <v>25</v>
          </cell>
          <cell r="G406" t="str">
            <v>M.</v>
          </cell>
        </row>
        <row r="407">
          <cell r="C407">
            <v>550</v>
          </cell>
          <cell r="D407" t="str">
            <v>-  DIA. 63 MM. HDPE-PN6</v>
          </cell>
          <cell r="E407">
            <v>83</v>
          </cell>
          <cell r="F407">
            <v>30</v>
          </cell>
          <cell r="G407" t="str">
            <v>M.</v>
          </cell>
        </row>
        <row r="408">
          <cell r="C408">
            <v>551</v>
          </cell>
          <cell r="D408" t="str">
            <v>-  DIA. 75 MM. HDPE-PN6</v>
          </cell>
          <cell r="E408">
            <v>116</v>
          </cell>
          <cell r="F408">
            <v>40</v>
          </cell>
          <cell r="G408" t="str">
            <v>M.</v>
          </cell>
        </row>
        <row r="409">
          <cell r="C409">
            <v>552</v>
          </cell>
          <cell r="D409" t="str">
            <v>-  DIA. 90 MM. HDPE-PN6</v>
          </cell>
          <cell r="E409">
            <v>166</v>
          </cell>
          <cell r="F409">
            <v>47</v>
          </cell>
          <cell r="G409" t="str">
            <v>M.</v>
          </cell>
        </row>
        <row r="410">
          <cell r="C410">
            <v>553</v>
          </cell>
          <cell r="D410" t="str">
            <v>-  DIA. 110 MM. HDPE-PN6</v>
          </cell>
          <cell r="E410">
            <v>248</v>
          </cell>
          <cell r="F410">
            <v>55</v>
          </cell>
          <cell r="G410" t="str">
            <v>M.</v>
          </cell>
        </row>
        <row r="411">
          <cell r="C411">
            <v>554</v>
          </cell>
          <cell r="D411" t="str">
            <v>-  DIA. 125 MM. HDPE-PN6</v>
          </cell>
          <cell r="E411">
            <v>318</v>
          </cell>
          <cell r="F411">
            <v>65</v>
          </cell>
          <cell r="G411" t="str">
            <v>M.</v>
          </cell>
        </row>
        <row r="412">
          <cell r="C412">
            <v>555</v>
          </cell>
          <cell r="D412" t="str">
            <v>-  DIA. 140 MM. HDPE-PN6</v>
          </cell>
          <cell r="E412">
            <v>399</v>
          </cell>
          <cell r="F412">
            <v>70</v>
          </cell>
          <cell r="G412" t="str">
            <v>M.</v>
          </cell>
        </row>
        <row r="413">
          <cell r="C413">
            <v>556</v>
          </cell>
          <cell r="D413" t="str">
            <v>-  DIA. 160 MM. HDPE-PN6</v>
          </cell>
          <cell r="E413">
            <v>520</v>
          </cell>
          <cell r="F413">
            <v>75</v>
          </cell>
          <cell r="G413" t="str">
            <v>M.</v>
          </cell>
        </row>
        <row r="414">
          <cell r="C414">
            <v>557</v>
          </cell>
          <cell r="D414" t="str">
            <v>-  DIA. 180 MM. HDPE-PN6</v>
          </cell>
          <cell r="E414">
            <v>655</v>
          </cell>
          <cell r="F414">
            <v>80</v>
          </cell>
          <cell r="G414" t="str">
            <v>M.</v>
          </cell>
        </row>
        <row r="415">
          <cell r="D415" t="str">
            <v>SPACE</v>
          </cell>
        </row>
        <row r="416">
          <cell r="C416">
            <v>561</v>
          </cell>
          <cell r="D416" t="str">
            <v>-  DIA. 2" FRE</v>
          </cell>
          <cell r="E416">
            <v>380</v>
          </cell>
          <cell r="F416">
            <v>50</v>
          </cell>
          <cell r="G416" t="str">
            <v>M.</v>
          </cell>
        </row>
        <row r="417">
          <cell r="C417">
            <v>562</v>
          </cell>
          <cell r="D417" t="str">
            <v>-  DIA. 2 1/2" FRE</v>
          </cell>
          <cell r="E417">
            <v>430</v>
          </cell>
          <cell r="F417">
            <v>60</v>
          </cell>
          <cell r="G417" t="str">
            <v>M.</v>
          </cell>
        </row>
        <row r="418">
          <cell r="C418">
            <v>563</v>
          </cell>
          <cell r="D418" t="str">
            <v>-  DIA. 3" FRE</v>
          </cell>
          <cell r="E418">
            <v>490</v>
          </cell>
          <cell r="F418">
            <v>70</v>
          </cell>
          <cell r="G418" t="str">
            <v>M.</v>
          </cell>
        </row>
        <row r="419">
          <cell r="C419">
            <v>564</v>
          </cell>
          <cell r="D419" t="str">
            <v>-  DIA. 4" FRE</v>
          </cell>
          <cell r="E419">
            <v>550</v>
          </cell>
          <cell r="F419">
            <v>70</v>
          </cell>
          <cell r="G419" t="str">
            <v>M.</v>
          </cell>
        </row>
        <row r="420">
          <cell r="C420">
            <v>565</v>
          </cell>
          <cell r="D420" t="str">
            <v>-  DIA. 5" FRE</v>
          </cell>
          <cell r="E420">
            <v>830</v>
          </cell>
          <cell r="F420">
            <v>100</v>
          </cell>
          <cell r="G420" t="str">
            <v>M.</v>
          </cell>
        </row>
        <row r="421">
          <cell r="C421">
            <v>566</v>
          </cell>
          <cell r="D421" t="str">
            <v>-  DIA. 6" FRE</v>
          </cell>
          <cell r="E421">
            <v>1330</v>
          </cell>
          <cell r="F421">
            <v>150</v>
          </cell>
          <cell r="G421" t="str">
            <v>M.</v>
          </cell>
        </row>
        <row r="422">
          <cell r="D422" t="str">
            <v>SPACE</v>
          </cell>
        </row>
        <row r="423">
          <cell r="D423" t="str">
            <v>5"CONDUIT IN DUCT BANK</v>
          </cell>
        </row>
        <row r="424">
          <cell r="C424">
            <v>571</v>
          </cell>
          <cell r="D424" t="str">
            <v xml:space="preserve">-  DIA. 125 MM. HDPE-PN6 (2x1) DUCT BANK </v>
          </cell>
          <cell r="E424">
            <v>1480</v>
          </cell>
          <cell r="F424">
            <v>600</v>
          </cell>
          <cell r="G424" t="str">
            <v>M.</v>
          </cell>
        </row>
        <row r="425">
          <cell r="C425">
            <v>572</v>
          </cell>
          <cell r="D425" t="str">
            <v xml:space="preserve">-  DIA. 125 MM. HDPE-PN6 (2x2) DUCT BANK </v>
          </cell>
          <cell r="E425">
            <v>2420</v>
          </cell>
          <cell r="F425">
            <v>800</v>
          </cell>
          <cell r="G425" t="str">
            <v>M.</v>
          </cell>
        </row>
        <row r="426">
          <cell r="C426">
            <v>573</v>
          </cell>
          <cell r="D426" t="str">
            <v xml:space="preserve">-  DIA. 125 MM. HDPE-PN6 (2x3) DUCT BANK </v>
          </cell>
          <cell r="E426">
            <v>3400</v>
          </cell>
          <cell r="F426">
            <v>1000</v>
          </cell>
          <cell r="G426" t="str">
            <v>M.</v>
          </cell>
        </row>
        <row r="427">
          <cell r="D427" t="str">
            <v>SPACE</v>
          </cell>
        </row>
        <row r="428">
          <cell r="C428">
            <v>576</v>
          </cell>
          <cell r="D428" t="str">
            <v xml:space="preserve">-  DIA. 5" FRE (2x1) CONDUIT </v>
          </cell>
          <cell r="E428">
            <v>1480</v>
          </cell>
          <cell r="F428">
            <v>300</v>
          </cell>
          <cell r="G428" t="str">
            <v>M.</v>
          </cell>
        </row>
        <row r="429">
          <cell r="C429">
            <v>577</v>
          </cell>
          <cell r="D429" t="str">
            <v xml:space="preserve">-  DIA. 5" FRE (2x2) CONDUIT </v>
          </cell>
          <cell r="E429">
            <v>2830</v>
          </cell>
          <cell r="F429">
            <v>400</v>
          </cell>
          <cell r="G429" t="str">
            <v>M.</v>
          </cell>
        </row>
        <row r="430">
          <cell r="C430">
            <v>578</v>
          </cell>
          <cell r="D430" t="str">
            <v xml:space="preserve">-  DIA. 5" FRE (2x3) CONDUIT </v>
          </cell>
          <cell r="E430">
            <v>3970</v>
          </cell>
          <cell r="F430">
            <v>600</v>
          </cell>
          <cell r="G430" t="str">
            <v>M.</v>
          </cell>
        </row>
        <row r="431">
          <cell r="D431" t="str">
            <v>SPACE</v>
          </cell>
        </row>
        <row r="432">
          <cell r="C432">
            <v>591</v>
          </cell>
          <cell r="D432" t="str">
            <v>-  DIA. 1/2" PVC-CLASS2</v>
          </cell>
          <cell r="E432">
            <v>11</v>
          </cell>
          <cell r="F432">
            <v>5</v>
          </cell>
          <cell r="G432" t="str">
            <v>M.</v>
          </cell>
        </row>
        <row r="433">
          <cell r="C433">
            <v>592</v>
          </cell>
          <cell r="D433" t="str">
            <v>-  DIA. 3/4" PVC-CLASS2</v>
          </cell>
          <cell r="E433">
            <v>13</v>
          </cell>
          <cell r="F433">
            <v>8</v>
          </cell>
          <cell r="G433" t="str">
            <v>M.</v>
          </cell>
        </row>
        <row r="434">
          <cell r="C434">
            <v>593</v>
          </cell>
          <cell r="D434" t="str">
            <v>-  DIA. 1" PVC-CLASS2</v>
          </cell>
          <cell r="E434">
            <v>24</v>
          </cell>
          <cell r="F434">
            <v>12</v>
          </cell>
          <cell r="G434" t="str">
            <v>M.</v>
          </cell>
        </row>
        <row r="435">
          <cell r="C435">
            <v>594</v>
          </cell>
          <cell r="D435" t="str">
            <v>-  DIA. 1 1/4" PVC-CLASS2</v>
          </cell>
          <cell r="E435">
            <v>34</v>
          </cell>
          <cell r="F435">
            <v>18</v>
          </cell>
          <cell r="G435" t="str">
            <v>M.</v>
          </cell>
        </row>
        <row r="436">
          <cell r="C436">
            <v>595</v>
          </cell>
          <cell r="D436" t="str">
            <v>-  DIA. 1 1/2" PVC-CLASS2</v>
          </cell>
          <cell r="E436">
            <v>44</v>
          </cell>
          <cell r="F436">
            <v>20</v>
          </cell>
          <cell r="G436" t="str">
            <v>M.</v>
          </cell>
        </row>
        <row r="437">
          <cell r="C437">
            <v>596</v>
          </cell>
          <cell r="D437" t="str">
            <v>-  DIA. 2" PVC-CLASS2</v>
          </cell>
          <cell r="E437">
            <v>62</v>
          </cell>
          <cell r="F437">
            <v>24</v>
          </cell>
          <cell r="G437" t="str">
            <v>M.</v>
          </cell>
        </row>
        <row r="438">
          <cell r="C438">
            <v>597</v>
          </cell>
          <cell r="D438" t="str">
            <v>-  DIA. 2 1/2" PVC-CLASS3</v>
          </cell>
          <cell r="E438">
            <v>80</v>
          </cell>
          <cell r="F438">
            <v>30</v>
          </cell>
          <cell r="G438" t="str">
            <v>M.</v>
          </cell>
        </row>
        <row r="439">
          <cell r="C439">
            <v>598</v>
          </cell>
          <cell r="D439" t="str">
            <v>-  DIA. 3" PVC-CLASS2</v>
          </cell>
          <cell r="E439">
            <v>126</v>
          </cell>
          <cell r="F439">
            <v>35</v>
          </cell>
          <cell r="G439" t="str">
            <v>M.</v>
          </cell>
        </row>
        <row r="440">
          <cell r="C440">
            <v>599</v>
          </cell>
          <cell r="D440" t="str">
            <v>-  DIA. 4" PVC-CLASS2</v>
          </cell>
          <cell r="E440">
            <v>192</v>
          </cell>
          <cell r="F440">
            <v>40</v>
          </cell>
          <cell r="G440" t="str">
            <v>M.</v>
          </cell>
        </row>
        <row r="441">
          <cell r="D441" t="str">
            <v>SPACE</v>
          </cell>
        </row>
        <row r="442">
          <cell r="C442">
            <v>6</v>
          </cell>
          <cell r="D442" t="str">
            <v>WIRE WAY (1.6 mm.THICK)</v>
          </cell>
        </row>
        <row r="443">
          <cell r="C443">
            <v>601</v>
          </cell>
          <cell r="D443" t="str">
            <v>-  50 mm.x50 mm. WIRE WAY</v>
          </cell>
          <cell r="E443">
            <v>192</v>
          </cell>
          <cell r="F443">
            <v>11</v>
          </cell>
          <cell r="G443" t="str">
            <v>M.</v>
          </cell>
        </row>
        <row r="444">
          <cell r="C444">
            <v>602</v>
          </cell>
          <cell r="D444" t="str">
            <v>-  50 mm.x75 mm. WIRE WAY</v>
          </cell>
          <cell r="E444">
            <v>230</v>
          </cell>
          <cell r="F444">
            <v>14</v>
          </cell>
          <cell r="G444" t="str">
            <v>M.</v>
          </cell>
        </row>
        <row r="445">
          <cell r="C445">
            <v>603</v>
          </cell>
          <cell r="D445" t="str">
            <v>-  50 mm.x100 mm. WIRE WAY</v>
          </cell>
          <cell r="E445">
            <v>263</v>
          </cell>
          <cell r="F445">
            <v>17</v>
          </cell>
          <cell r="G445" t="str">
            <v>M.</v>
          </cell>
        </row>
        <row r="446">
          <cell r="C446">
            <v>604</v>
          </cell>
          <cell r="D446" t="str">
            <v>-  50 mm.x125 mm. WIRE WAY</v>
          </cell>
          <cell r="E446">
            <v>300</v>
          </cell>
          <cell r="F446">
            <v>20</v>
          </cell>
          <cell r="G446" t="str">
            <v>M.</v>
          </cell>
        </row>
        <row r="447">
          <cell r="C447">
            <v>605</v>
          </cell>
          <cell r="D447" t="str">
            <v>-  50 mm.x150 mm. WIRE WAY</v>
          </cell>
          <cell r="E447">
            <v>340</v>
          </cell>
          <cell r="F447">
            <v>23</v>
          </cell>
          <cell r="G447" t="str">
            <v>M.</v>
          </cell>
        </row>
        <row r="448">
          <cell r="C448">
            <v>606</v>
          </cell>
          <cell r="D448" t="str">
            <v>-  50 mm.x200 mm. WIRE WAY</v>
          </cell>
          <cell r="E448">
            <v>400</v>
          </cell>
          <cell r="F448">
            <v>26</v>
          </cell>
          <cell r="G448" t="str">
            <v>M.</v>
          </cell>
        </row>
        <row r="449">
          <cell r="C449">
            <v>607</v>
          </cell>
          <cell r="D449" t="str">
            <v>-  50 mm.x250 mm. WIRE WAY</v>
          </cell>
          <cell r="E449">
            <v>483</v>
          </cell>
          <cell r="F449">
            <v>29</v>
          </cell>
          <cell r="G449" t="str">
            <v>M.</v>
          </cell>
        </row>
        <row r="450">
          <cell r="C450">
            <v>608</v>
          </cell>
          <cell r="D450" t="str">
            <v>-  75 mm.x100 mm. WIRE WAY</v>
          </cell>
          <cell r="E450">
            <v>300</v>
          </cell>
          <cell r="F450">
            <v>20</v>
          </cell>
          <cell r="G450" t="str">
            <v>M.</v>
          </cell>
        </row>
        <row r="451">
          <cell r="C451">
            <v>609</v>
          </cell>
          <cell r="D451" t="str">
            <v>-  75 mm.x150 mm. WIRE WAY</v>
          </cell>
          <cell r="E451">
            <v>375</v>
          </cell>
          <cell r="F451">
            <v>25</v>
          </cell>
          <cell r="G451" t="str">
            <v>M.</v>
          </cell>
        </row>
        <row r="452">
          <cell r="C452">
            <v>610</v>
          </cell>
          <cell r="D452" t="str">
            <v>-  75 mm.x200 mm. WIRE WAY</v>
          </cell>
          <cell r="E452">
            <v>446</v>
          </cell>
          <cell r="F452">
            <v>28</v>
          </cell>
          <cell r="G452" t="str">
            <v>M.</v>
          </cell>
        </row>
        <row r="453">
          <cell r="C453">
            <v>611</v>
          </cell>
          <cell r="D453" t="str">
            <v>-  75 mm.x250 mm. WIRE WAY</v>
          </cell>
          <cell r="E453">
            <v>520</v>
          </cell>
          <cell r="F453">
            <v>32</v>
          </cell>
          <cell r="G453" t="str">
            <v>M.</v>
          </cell>
        </row>
        <row r="454">
          <cell r="C454">
            <v>612</v>
          </cell>
          <cell r="D454" t="str">
            <v>-  75 mm.x300 mm. WIRE WAY</v>
          </cell>
          <cell r="E454">
            <v>590</v>
          </cell>
          <cell r="F454">
            <v>35</v>
          </cell>
          <cell r="G454" t="str">
            <v>M.</v>
          </cell>
        </row>
        <row r="455">
          <cell r="C455">
            <v>613</v>
          </cell>
          <cell r="D455" t="str">
            <v>-  100 mm.x100 mm. WIRE WAY</v>
          </cell>
          <cell r="E455">
            <v>340</v>
          </cell>
          <cell r="F455">
            <v>23</v>
          </cell>
          <cell r="G455" t="str">
            <v>M.</v>
          </cell>
        </row>
        <row r="456">
          <cell r="C456">
            <v>614</v>
          </cell>
          <cell r="D456" t="str">
            <v>-  100 mm.x150 mm. WIRE WAY</v>
          </cell>
          <cell r="E456">
            <v>400</v>
          </cell>
          <cell r="F456">
            <v>26</v>
          </cell>
          <cell r="G456" t="str">
            <v>M.</v>
          </cell>
        </row>
        <row r="457">
          <cell r="C457">
            <v>615</v>
          </cell>
          <cell r="D457" t="str">
            <v>-  100 mm.x200 mm. WIRE WAY</v>
          </cell>
          <cell r="E457">
            <v>483</v>
          </cell>
          <cell r="F457">
            <v>29</v>
          </cell>
          <cell r="G457" t="str">
            <v>M.</v>
          </cell>
        </row>
        <row r="458">
          <cell r="C458">
            <v>616</v>
          </cell>
          <cell r="D458" t="str">
            <v>-  100 mm.x250 mm. WIRE WAY</v>
          </cell>
          <cell r="E458">
            <v>550</v>
          </cell>
          <cell r="F458">
            <v>34</v>
          </cell>
          <cell r="G458" t="str">
            <v>M.</v>
          </cell>
        </row>
        <row r="459">
          <cell r="C459">
            <v>617</v>
          </cell>
          <cell r="D459" t="str">
            <v>-  100 mm.x300 mm. WIRE WAY</v>
          </cell>
          <cell r="E459">
            <v>630</v>
          </cell>
          <cell r="F459">
            <v>37</v>
          </cell>
          <cell r="G459" t="str">
            <v>M.</v>
          </cell>
        </row>
        <row r="460">
          <cell r="C460">
            <v>618</v>
          </cell>
          <cell r="D460" t="str">
            <v>-  100 mm.x350 mm. WIRE WAY</v>
          </cell>
          <cell r="E460">
            <v>700</v>
          </cell>
          <cell r="F460">
            <v>40</v>
          </cell>
          <cell r="G460" t="str">
            <v>M.</v>
          </cell>
        </row>
        <row r="461">
          <cell r="C461">
            <v>619</v>
          </cell>
          <cell r="D461" t="str">
            <v>-  150 mm.x150 mm. WIRE WAY</v>
          </cell>
          <cell r="E461">
            <v>483</v>
          </cell>
          <cell r="F461">
            <v>29</v>
          </cell>
          <cell r="G461" t="str">
            <v>M.</v>
          </cell>
        </row>
        <row r="462">
          <cell r="C462">
            <v>620</v>
          </cell>
          <cell r="D462" t="str">
            <v>-  150 mm.x200 mm. WIRE WAY</v>
          </cell>
          <cell r="E462">
            <v>550</v>
          </cell>
          <cell r="F462">
            <v>34</v>
          </cell>
          <cell r="G462" t="str">
            <v>M.</v>
          </cell>
        </row>
        <row r="463">
          <cell r="C463">
            <v>621</v>
          </cell>
          <cell r="D463" t="str">
            <v>-  150 mm.x250 mm. WIRE WAY</v>
          </cell>
          <cell r="E463">
            <v>630</v>
          </cell>
          <cell r="F463">
            <v>37</v>
          </cell>
          <cell r="G463" t="str">
            <v>M.</v>
          </cell>
        </row>
        <row r="464">
          <cell r="C464">
            <v>622</v>
          </cell>
          <cell r="D464" t="str">
            <v>-  150 mm.x300 mm. WIRE WAY</v>
          </cell>
          <cell r="E464">
            <v>700</v>
          </cell>
          <cell r="F464">
            <v>40</v>
          </cell>
          <cell r="G464" t="str">
            <v>M.</v>
          </cell>
        </row>
        <row r="465">
          <cell r="C465">
            <v>623</v>
          </cell>
          <cell r="D465" t="str">
            <v>-  150 mm.x350 mm. WIRE WAY</v>
          </cell>
          <cell r="E465">
            <v>775</v>
          </cell>
          <cell r="F465">
            <v>45</v>
          </cell>
          <cell r="G465" t="str">
            <v>M.</v>
          </cell>
        </row>
        <row r="466">
          <cell r="C466">
            <v>624</v>
          </cell>
          <cell r="D466" t="str">
            <v>-  150 mm.x400 mm. WIRE WAY</v>
          </cell>
          <cell r="E466">
            <v>846</v>
          </cell>
          <cell r="F466">
            <v>48</v>
          </cell>
          <cell r="G466" t="str">
            <v>M.</v>
          </cell>
        </row>
        <row r="467">
          <cell r="C467">
            <v>625</v>
          </cell>
          <cell r="D467" t="str">
            <v>-  200 mm.x200 mm. WIRE WAY</v>
          </cell>
          <cell r="E467">
            <v>500</v>
          </cell>
          <cell r="F467">
            <v>31</v>
          </cell>
          <cell r="G467" t="str">
            <v>M.</v>
          </cell>
        </row>
        <row r="468">
          <cell r="C468">
            <v>626</v>
          </cell>
          <cell r="D468" t="str">
            <v>-  200 mm.x250 mm. WIRE WAY</v>
          </cell>
          <cell r="E468">
            <v>575</v>
          </cell>
          <cell r="F468">
            <v>35</v>
          </cell>
          <cell r="G468" t="str">
            <v>M.</v>
          </cell>
        </row>
        <row r="469">
          <cell r="C469">
            <v>627</v>
          </cell>
          <cell r="D469" t="str">
            <v>-  200 mm.x300 mm. WIRE WAY</v>
          </cell>
          <cell r="E469">
            <v>775</v>
          </cell>
          <cell r="F469">
            <v>45</v>
          </cell>
          <cell r="G469" t="str">
            <v>M.</v>
          </cell>
        </row>
        <row r="470">
          <cell r="C470">
            <v>628</v>
          </cell>
          <cell r="D470" t="str">
            <v>-  200 mm.x350 mm. WIRE WAY</v>
          </cell>
          <cell r="E470">
            <v>846</v>
          </cell>
          <cell r="F470">
            <v>48</v>
          </cell>
          <cell r="G470" t="str">
            <v>M.</v>
          </cell>
        </row>
        <row r="471">
          <cell r="C471">
            <v>629</v>
          </cell>
          <cell r="D471" t="str">
            <v>-  200 mm.x400 mm. WIRE WAY</v>
          </cell>
          <cell r="E471">
            <v>920</v>
          </cell>
          <cell r="F471">
            <v>53</v>
          </cell>
          <cell r="G471" t="str">
            <v>M.</v>
          </cell>
        </row>
        <row r="472">
          <cell r="C472">
            <v>630</v>
          </cell>
          <cell r="D472" t="str">
            <v>-  200 mm.x450 mm. WIRE WAY</v>
          </cell>
          <cell r="E472">
            <v>990</v>
          </cell>
          <cell r="F472">
            <v>56</v>
          </cell>
          <cell r="G472" t="str">
            <v>M.</v>
          </cell>
        </row>
        <row r="473">
          <cell r="C473">
            <v>631</v>
          </cell>
          <cell r="D473" t="str">
            <v>-  250 mm.x250 mm. WIRE WAY</v>
          </cell>
          <cell r="E473">
            <v>775</v>
          </cell>
          <cell r="F473">
            <v>45</v>
          </cell>
          <cell r="G473" t="str">
            <v>M.</v>
          </cell>
        </row>
        <row r="474">
          <cell r="C474">
            <v>632</v>
          </cell>
          <cell r="D474" t="str">
            <v>-  250 mm.x300 mm. WIRE WAY</v>
          </cell>
          <cell r="E474">
            <v>846</v>
          </cell>
          <cell r="F474">
            <v>48</v>
          </cell>
          <cell r="G474" t="str">
            <v>M.</v>
          </cell>
        </row>
        <row r="475">
          <cell r="C475">
            <v>633</v>
          </cell>
          <cell r="D475" t="str">
            <v>-  250 mm.x350 mm. WIRE WAY</v>
          </cell>
          <cell r="E475">
            <v>920</v>
          </cell>
          <cell r="F475">
            <v>53</v>
          </cell>
          <cell r="G475" t="str">
            <v>M.</v>
          </cell>
        </row>
        <row r="476">
          <cell r="C476">
            <v>634</v>
          </cell>
          <cell r="D476" t="str">
            <v>-  250 mm.x400 mm. WIRE WAY</v>
          </cell>
          <cell r="E476">
            <v>990</v>
          </cell>
          <cell r="F476">
            <v>56</v>
          </cell>
          <cell r="G476" t="str">
            <v>M.</v>
          </cell>
        </row>
        <row r="477">
          <cell r="C477">
            <v>635</v>
          </cell>
          <cell r="D477" t="str">
            <v>-  250 mm.x450 mm. WIRE WAY</v>
          </cell>
          <cell r="E477">
            <v>1066</v>
          </cell>
          <cell r="F477">
            <v>60</v>
          </cell>
          <cell r="G477" t="str">
            <v>M.</v>
          </cell>
        </row>
        <row r="478">
          <cell r="C478">
            <v>636</v>
          </cell>
          <cell r="D478" t="str">
            <v>-  250 mm.x500 mm. WIRE WAY</v>
          </cell>
          <cell r="E478">
            <v>1138</v>
          </cell>
          <cell r="F478">
            <v>64</v>
          </cell>
          <cell r="G478" t="str">
            <v>M.</v>
          </cell>
        </row>
        <row r="479">
          <cell r="C479">
            <v>637</v>
          </cell>
          <cell r="D479" t="str">
            <v>-  250 mm.x550 mm. WIRE WAY</v>
          </cell>
          <cell r="E479">
            <v>1213</v>
          </cell>
          <cell r="F479">
            <v>70</v>
          </cell>
          <cell r="G479" t="str">
            <v>M.</v>
          </cell>
        </row>
        <row r="480">
          <cell r="D480" t="str">
            <v xml:space="preserve">     </v>
          </cell>
        </row>
        <row r="481">
          <cell r="C481">
            <v>64</v>
          </cell>
          <cell r="D481" t="str">
            <v>CABLE TRAY ; ( 2.0 mm. THICK)</v>
          </cell>
        </row>
        <row r="482">
          <cell r="C482">
            <v>641</v>
          </cell>
          <cell r="D482" t="str">
            <v>-  100 mm. CABLE TRAY</v>
          </cell>
          <cell r="E482">
            <v>423</v>
          </cell>
          <cell r="F482">
            <v>29</v>
          </cell>
          <cell r="G482" t="str">
            <v>M.</v>
          </cell>
        </row>
        <row r="483">
          <cell r="C483">
            <v>642</v>
          </cell>
          <cell r="D483" t="str">
            <v>-  200 mm. CABLE TRAY</v>
          </cell>
          <cell r="E483">
            <v>533</v>
          </cell>
          <cell r="F483">
            <v>32</v>
          </cell>
          <cell r="G483" t="str">
            <v>M.</v>
          </cell>
        </row>
        <row r="484">
          <cell r="C484">
            <v>643</v>
          </cell>
          <cell r="D484" t="str">
            <v>-  300 mm. CABLE TRAY</v>
          </cell>
          <cell r="E484">
            <v>640</v>
          </cell>
          <cell r="F484">
            <v>35</v>
          </cell>
          <cell r="G484" t="str">
            <v>M.</v>
          </cell>
        </row>
        <row r="485">
          <cell r="C485">
            <v>644</v>
          </cell>
          <cell r="D485" t="str">
            <v>-  400 mm. CABLE TRAY</v>
          </cell>
          <cell r="E485">
            <v>747</v>
          </cell>
          <cell r="F485">
            <v>42</v>
          </cell>
          <cell r="G485" t="str">
            <v>M.</v>
          </cell>
        </row>
        <row r="486">
          <cell r="C486">
            <v>645</v>
          </cell>
          <cell r="D486" t="str">
            <v>-  500 mm. CABLE TRAY</v>
          </cell>
          <cell r="E486">
            <v>877</v>
          </cell>
          <cell r="F486">
            <v>50</v>
          </cell>
          <cell r="G486" t="str">
            <v>M.</v>
          </cell>
        </row>
        <row r="487">
          <cell r="C487">
            <v>646</v>
          </cell>
          <cell r="D487" t="str">
            <v>-  600 mm. CABLE TRAY</v>
          </cell>
          <cell r="E487">
            <v>986</v>
          </cell>
          <cell r="F487">
            <v>55</v>
          </cell>
          <cell r="G487" t="str">
            <v>M.</v>
          </cell>
        </row>
        <row r="488">
          <cell r="C488">
            <v>647</v>
          </cell>
          <cell r="D488" t="str">
            <v>-  700 mm. CABLE TRAY</v>
          </cell>
          <cell r="E488">
            <v>1094</v>
          </cell>
          <cell r="F488">
            <v>61</v>
          </cell>
          <cell r="G488" t="str">
            <v>M.</v>
          </cell>
        </row>
        <row r="489">
          <cell r="C489">
            <v>648</v>
          </cell>
          <cell r="D489" t="str">
            <v>-  800 mm. CABLE TRAY</v>
          </cell>
          <cell r="E489">
            <v>1200</v>
          </cell>
          <cell r="F489">
            <v>70</v>
          </cell>
          <cell r="G489" t="str">
            <v>M.</v>
          </cell>
        </row>
        <row r="490">
          <cell r="C490">
            <v>649</v>
          </cell>
          <cell r="D490" t="str">
            <v>-  900 mm. CABLE TRAY</v>
          </cell>
          <cell r="E490">
            <v>1320</v>
          </cell>
          <cell r="F490">
            <v>78</v>
          </cell>
          <cell r="G490" t="str">
            <v>M.</v>
          </cell>
        </row>
        <row r="491">
          <cell r="C491">
            <v>650</v>
          </cell>
          <cell r="D491" t="str">
            <v>-  1,000 mm. CABLE TRAY</v>
          </cell>
          <cell r="E491">
            <v>1440</v>
          </cell>
          <cell r="F491">
            <v>82</v>
          </cell>
          <cell r="G491" t="str">
            <v>M.</v>
          </cell>
        </row>
        <row r="492">
          <cell r="C492">
            <v>65</v>
          </cell>
          <cell r="D492" t="str">
            <v>CABLE LADDER ; ( 2.0 mm. THICK)</v>
          </cell>
        </row>
        <row r="493">
          <cell r="C493">
            <v>651</v>
          </cell>
          <cell r="D493" t="str">
            <v>-  100 mm. CABLE LADDER</v>
          </cell>
          <cell r="E493">
            <v>563</v>
          </cell>
          <cell r="F493">
            <v>34</v>
          </cell>
          <cell r="G493" t="str">
            <v>M.</v>
          </cell>
        </row>
        <row r="494">
          <cell r="C494">
            <v>652</v>
          </cell>
          <cell r="D494" t="str">
            <v>-  200 mm. CABLE LADDER</v>
          </cell>
          <cell r="E494">
            <v>600</v>
          </cell>
          <cell r="F494">
            <v>36</v>
          </cell>
          <cell r="G494" t="str">
            <v>M.</v>
          </cell>
        </row>
        <row r="495">
          <cell r="C495">
            <v>653</v>
          </cell>
          <cell r="D495" t="str">
            <v>-  300 mm. CABLE LADDER</v>
          </cell>
          <cell r="E495">
            <v>650</v>
          </cell>
          <cell r="F495">
            <v>39</v>
          </cell>
          <cell r="G495" t="str">
            <v>M.</v>
          </cell>
        </row>
        <row r="496">
          <cell r="C496">
            <v>654</v>
          </cell>
          <cell r="D496" t="str">
            <v>-  400 mm. CABLE LADDER</v>
          </cell>
          <cell r="E496">
            <v>690</v>
          </cell>
          <cell r="F496">
            <v>41</v>
          </cell>
          <cell r="G496" t="str">
            <v>M.</v>
          </cell>
        </row>
        <row r="497">
          <cell r="C497">
            <v>655</v>
          </cell>
          <cell r="D497" t="str">
            <v>-  500 mm. CABLE LADDER</v>
          </cell>
          <cell r="E497">
            <v>740</v>
          </cell>
          <cell r="F497">
            <v>43</v>
          </cell>
          <cell r="G497" t="str">
            <v>M.</v>
          </cell>
        </row>
        <row r="498">
          <cell r="C498">
            <v>656</v>
          </cell>
          <cell r="D498" t="str">
            <v>-  600 mm. CABLE LADDER</v>
          </cell>
          <cell r="E498">
            <v>785</v>
          </cell>
          <cell r="F498">
            <v>45</v>
          </cell>
          <cell r="G498" t="str">
            <v>M.</v>
          </cell>
        </row>
        <row r="499">
          <cell r="C499">
            <v>657</v>
          </cell>
          <cell r="D499" t="str">
            <v>-  700 mm. CABLE LADDER</v>
          </cell>
          <cell r="E499">
            <v>830</v>
          </cell>
          <cell r="F499">
            <v>48</v>
          </cell>
          <cell r="G499" t="str">
            <v>M.</v>
          </cell>
        </row>
        <row r="500">
          <cell r="C500">
            <v>658</v>
          </cell>
          <cell r="D500" t="str">
            <v>-  800 mm. CABLE LADDER</v>
          </cell>
          <cell r="E500">
            <v>877</v>
          </cell>
          <cell r="F500">
            <v>50</v>
          </cell>
          <cell r="G500" t="str">
            <v>M.</v>
          </cell>
        </row>
        <row r="501">
          <cell r="C501">
            <v>659</v>
          </cell>
          <cell r="D501" t="str">
            <v>-  900 mm. CABLE LADDER</v>
          </cell>
          <cell r="E501">
            <v>920</v>
          </cell>
          <cell r="F501">
            <v>53</v>
          </cell>
          <cell r="G501" t="str">
            <v>M.</v>
          </cell>
        </row>
        <row r="502">
          <cell r="C502">
            <v>660</v>
          </cell>
          <cell r="D502" t="str">
            <v>-  1,000 mm. CABLE LADDER</v>
          </cell>
          <cell r="E502">
            <v>963</v>
          </cell>
          <cell r="F502">
            <v>56</v>
          </cell>
          <cell r="G502" t="str">
            <v>M.</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ow r="1">
          <cell r="C1">
            <v>0</v>
          </cell>
        </row>
      </sheetData>
      <sheetData sheetId="690" refreshError="1"/>
      <sheetData sheetId="691">
        <row r="1">
          <cell r="C1">
            <v>0</v>
          </cell>
        </row>
      </sheetData>
      <sheetData sheetId="692">
        <row r="1">
          <cell r="C1">
            <v>0</v>
          </cell>
        </row>
      </sheetData>
      <sheetData sheetId="693">
        <row r="1">
          <cell r="C1">
            <v>0</v>
          </cell>
        </row>
      </sheetData>
      <sheetData sheetId="694">
        <row r="1">
          <cell r="C1">
            <v>0</v>
          </cell>
        </row>
      </sheetData>
      <sheetData sheetId="695">
        <row r="1">
          <cell r="C1">
            <v>0</v>
          </cell>
        </row>
      </sheetData>
      <sheetData sheetId="696">
        <row r="1">
          <cell r="C1">
            <v>0</v>
          </cell>
        </row>
      </sheetData>
      <sheetData sheetId="697">
        <row r="1">
          <cell r="C1">
            <v>0</v>
          </cell>
        </row>
      </sheetData>
      <sheetData sheetId="698">
        <row r="1">
          <cell r="C1">
            <v>0</v>
          </cell>
        </row>
      </sheetData>
      <sheetData sheetId="699">
        <row r="1">
          <cell r="C1">
            <v>0</v>
          </cell>
        </row>
      </sheetData>
      <sheetData sheetId="700">
        <row r="1">
          <cell r="C1">
            <v>0</v>
          </cell>
        </row>
      </sheetData>
      <sheetData sheetId="701">
        <row r="1">
          <cell r="C1">
            <v>0</v>
          </cell>
        </row>
      </sheetData>
      <sheetData sheetId="702">
        <row r="1">
          <cell r="C1">
            <v>0</v>
          </cell>
        </row>
      </sheetData>
      <sheetData sheetId="703">
        <row r="1">
          <cell r="C1">
            <v>0</v>
          </cell>
        </row>
      </sheetData>
      <sheetData sheetId="704">
        <row r="1">
          <cell r="C1">
            <v>0</v>
          </cell>
        </row>
      </sheetData>
      <sheetData sheetId="705">
        <row r="1">
          <cell r="C1">
            <v>0</v>
          </cell>
        </row>
      </sheetData>
      <sheetData sheetId="706">
        <row r="1">
          <cell r="C1">
            <v>0</v>
          </cell>
        </row>
      </sheetData>
      <sheetData sheetId="707">
        <row r="1">
          <cell r="C1">
            <v>0</v>
          </cell>
        </row>
      </sheetData>
      <sheetData sheetId="708">
        <row r="1">
          <cell r="C1">
            <v>0</v>
          </cell>
        </row>
      </sheetData>
      <sheetData sheetId="709">
        <row r="1">
          <cell r="C1">
            <v>0</v>
          </cell>
        </row>
      </sheetData>
      <sheetData sheetId="710">
        <row r="1">
          <cell r="C1">
            <v>0</v>
          </cell>
        </row>
      </sheetData>
      <sheetData sheetId="711">
        <row r="1">
          <cell r="C1">
            <v>0</v>
          </cell>
        </row>
      </sheetData>
      <sheetData sheetId="712">
        <row r="1">
          <cell r="C1">
            <v>0</v>
          </cell>
        </row>
      </sheetData>
      <sheetData sheetId="713">
        <row r="1">
          <cell r="C1">
            <v>0</v>
          </cell>
        </row>
      </sheetData>
      <sheetData sheetId="714">
        <row r="1">
          <cell r="C1">
            <v>0</v>
          </cell>
        </row>
      </sheetData>
      <sheetData sheetId="715">
        <row r="1">
          <cell r="C1">
            <v>0</v>
          </cell>
        </row>
      </sheetData>
      <sheetData sheetId="716">
        <row r="1">
          <cell r="C1">
            <v>0</v>
          </cell>
        </row>
      </sheetData>
      <sheetData sheetId="717">
        <row r="1">
          <cell r="C1">
            <v>0</v>
          </cell>
        </row>
      </sheetData>
      <sheetData sheetId="718">
        <row r="1">
          <cell r="C1">
            <v>0</v>
          </cell>
        </row>
      </sheetData>
      <sheetData sheetId="719">
        <row r="1">
          <cell r="C1">
            <v>0</v>
          </cell>
        </row>
      </sheetData>
      <sheetData sheetId="720">
        <row r="1">
          <cell r="C1">
            <v>0</v>
          </cell>
        </row>
      </sheetData>
      <sheetData sheetId="721">
        <row r="1">
          <cell r="C1">
            <v>0</v>
          </cell>
        </row>
      </sheetData>
      <sheetData sheetId="722">
        <row r="1">
          <cell r="C1">
            <v>0</v>
          </cell>
        </row>
      </sheetData>
      <sheetData sheetId="723">
        <row r="1">
          <cell r="C1">
            <v>0</v>
          </cell>
        </row>
      </sheetData>
      <sheetData sheetId="724">
        <row r="1">
          <cell r="C1">
            <v>0</v>
          </cell>
        </row>
      </sheetData>
      <sheetData sheetId="725">
        <row r="1">
          <cell r="C1">
            <v>0</v>
          </cell>
        </row>
      </sheetData>
      <sheetData sheetId="726">
        <row r="1">
          <cell r="C1">
            <v>0</v>
          </cell>
        </row>
      </sheetData>
      <sheetData sheetId="727">
        <row r="1">
          <cell r="C1">
            <v>0</v>
          </cell>
        </row>
      </sheetData>
      <sheetData sheetId="728">
        <row r="1">
          <cell r="C1">
            <v>0</v>
          </cell>
        </row>
      </sheetData>
      <sheetData sheetId="729">
        <row r="1">
          <cell r="C1">
            <v>0</v>
          </cell>
        </row>
      </sheetData>
      <sheetData sheetId="730">
        <row r="1">
          <cell r="C1">
            <v>0</v>
          </cell>
        </row>
      </sheetData>
      <sheetData sheetId="731">
        <row r="1">
          <cell r="C1">
            <v>0</v>
          </cell>
        </row>
      </sheetData>
      <sheetData sheetId="732">
        <row r="1">
          <cell r="C1">
            <v>0</v>
          </cell>
        </row>
      </sheetData>
      <sheetData sheetId="733">
        <row r="1">
          <cell r="C1">
            <v>0</v>
          </cell>
        </row>
      </sheetData>
      <sheetData sheetId="734">
        <row r="1">
          <cell r="C1">
            <v>0</v>
          </cell>
        </row>
      </sheetData>
      <sheetData sheetId="735">
        <row r="1">
          <cell r="C1">
            <v>0</v>
          </cell>
        </row>
      </sheetData>
      <sheetData sheetId="736">
        <row r="1">
          <cell r="C1">
            <v>0</v>
          </cell>
        </row>
      </sheetData>
      <sheetData sheetId="737">
        <row r="1">
          <cell r="C1">
            <v>0</v>
          </cell>
        </row>
      </sheetData>
      <sheetData sheetId="738">
        <row r="1">
          <cell r="C1">
            <v>0</v>
          </cell>
        </row>
      </sheetData>
      <sheetData sheetId="739">
        <row r="1">
          <cell r="C1">
            <v>0</v>
          </cell>
        </row>
      </sheetData>
      <sheetData sheetId="740">
        <row r="1">
          <cell r="C1">
            <v>0</v>
          </cell>
        </row>
      </sheetData>
      <sheetData sheetId="741">
        <row r="1">
          <cell r="C1">
            <v>0</v>
          </cell>
        </row>
      </sheetData>
      <sheetData sheetId="742">
        <row r="1">
          <cell r="C1">
            <v>0</v>
          </cell>
        </row>
      </sheetData>
      <sheetData sheetId="743">
        <row r="1">
          <cell r="C1">
            <v>0</v>
          </cell>
        </row>
      </sheetData>
      <sheetData sheetId="744">
        <row r="1">
          <cell r="C1">
            <v>0</v>
          </cell>
        </row>
      </sheetData>
      <sheetData sheetId="745">
        <row r="1">
          <cell r="C1">
            <v>0</v>
          </cell>
        </row>
      </sheetData>
      <sheetData sheetId="746">
        <row r="1">
          <cell r="C1">
            <v>0</v>
          </cell>
        </row>
      </sheetData>
      <sheetData sheetId="747">
        <row r="1">
          <cell r="C1">
            <v>0</v>
          </cell>
        </row>
      </sheetData>
      <sheetData sheetId="748">
        <row r="1">
          <cell r="C1">
            <v>0</v>
          </cell>
        </row>
      </sheetData>
      <sheetData sheetId="749">
        <row r="1">
          <cell r="C1">
            <v>0</v>
          </cell>
        </row>
      </sheetData>
      <sheetData sheetId="750">
        <row r="1">
          <cell r="C1">
            <v>0</v>
          </cell>
        </row>
      </sheetData>
      <sheetData sheetId="751">
        <row r="1">
          <cell r="C1">
            <v>0</v>
          </cell>
        </row>
      </sheetData>
      <sheetData sheetId="752">
        <row r="1">
          <cell r="C1">
            <v>0</v>
          </cell>
        </row>
      </sheetData>
      <sheetData sheetId="753">
        <row r="1">
          <cell r="C1">
            <v>0</v>
          </cell>
        </row>
      </sheetData>
      <sheetData sheetId="754" refreshError="1"/>
      <sheetData sheetId="755">
        <row r="1">
          <cell r="C1">
            <v>0</v>
          </cell>
        </row>
      </sheetData>
      <sheetData sheetId="756">
        <row r="1">
          <cell r="C1">
            <v>0</v>
          </cell>
        </row>
      </sheetData>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ow r="1">
          <cell r="C1">
            <v>0</v>
          </cell>
        </row>
      </sheetData>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ow r="1">
          <cell r="C1">
            <v>0</v>
          </cell>
        </row>
      </sheetData>
      <sheetData sheetId="823">
        <row r="1">
          <cell r="C1">
            <v>0</v>
          </cell>
        </row>
      </sheetData>
      <sheetData sheetId="824">
        <row r="1">
          <cell r="C1">
            <v>0</v>
          </cell>
        </row>
      </sheetData>
      <sheetData sheetId="825">
        <row r="1">
          <cell r="C1">
            <v>0</v>
          </cell>
        </row>
      </sheetData>
      <sheetData sheetId="826">
        <row r="1">
          <cell r="C1">
            <v>0</v>
          </cell>
        </row>
      </sheetData>
      <sheetData sheetId="827">
        <row r="1">
          <cell r="C1">
            <v>0</v>
          </cell>
        </row>
      </sheetData>
      <sheetData sheetId="828">
        <row r="1">
          <cell r="C1">
            <v>0</v>
          </cell>
        </row>
      </sheetData>
      <sheetData sheetId="829"/>
      <sheetData sheetId="830">
        <row r="1">
          <cell r="C1">
            <v>0</v>
          </cell>
        </row>
      </sheetData>
      <sheetData sheetId="831">
        <row r="1">
          <cell r="C1">
            <v>0</v>
          </cell>
        </row>
      </sheetData>
      <sheetData sheetId="832">
        <row r="1">
          <cell r="C1">
            <v>0</v>
          </cell>
        </row>
      </sheetData>
      <sheetData sheetId="833">
        <row r="1">
          <cell r="C1">
            <v>0</v>
          </cell>
        </row>
      </sheetData>
      <sheetData sheetId="834">
        <row r="2">
          <cell r="C2">
            <v>0</v>
          </cell>
        </row>
      </sheetData>
      <sheetData sheetId="835">
        <row r="2">
          <cell r="C2">
            <v>0</v>
          </cell>
        </row>
      </sheetData>
      <sheetData sheetId="836">
        <row r="2">
          <cell r="C2">
            <v>0</v>
          </cell>
        </row>
      </sheetData>
      <sheetData sheetId="837">
        <row r="1">
          <cell r="C1">
            <v>0</v>
          </cell>
        </row>
      </sheetData>
      <sheetData sheetId="838">
        <row r="1">
          <cell r="C1">
            <v>0</v>
          </cell>
        </row>
      </sheetData>
      <sheetData sheetId="839">
        <row r="1">
          <cell r="C1">
            <v>0</v>
          </cell>
        </row>
      </sheetData>
      <sheetData sheetId="840">
        <row r="1">
          <cell r="C1">
            <v>0</v>
          </cell>
        </row>
      </sheetData>
      <sheetData sheetId="841">
        <row r="1">
          <cell r="C1">
            <v>0</v>
          </cell>
        </row>
      </sheetData>
      <sheetData sheetId="842">
        <row r="1">
          <cell r="C1">
            <v>0</v>
          </cell>
        </row>
      </sheetData>
      <sheetData sheetId="843">
        <row r="1">
          <cell r="C1">
            <v>0</v>
          </cell>
        </row>
      </sheetData>
      <sheetData sheetId="844">
        <row r="1">
          <cell r="C1">
            <v>0</v>
          </cell>
        </row>
      </sheetData>
      <sheetData sheetId="845">
        <row r="1">
          <cell r="C1">
            <v>0</v>
          </cell>
        </row>
      </sheetData>
      <sheetData sheetId="846">
        <row r="1">
          <cell r="C1">
            <v>0</v>
          </cell>
        </row>
      </sheetData>
      <sheetData sheetId="847">
        <row r="1">
          <cell r="C1">
            <v>0</v>
          </cell>
        </row>
      </sheetData>
      <sheetData sheetId="848">
        <row r="1">
          <cell r="C1">
            <v>0</v>
          </cell>
        </row>
      </sheetData>
      <sheetData sheetId="849">
        <row r="1">
          <cell r="C1">
            <v>0</v>
          </cell>
        </row>
      </sheetData>
      <sheetData sheetId="850">
        <row r="1">
          <cell r="C1">
            <v>0</v>
          </cell>
        </row>
      </sheetData>
      <sheetData sheetId="851">
        <row r="1">
          <cell r="C1">
            <v>0</v>
          </cell>
        </row>
      </sheetData>
      <sheetData sheetId="852">
        <row r="1">
          <cell r="C1">
            <v>0</v>
          </cell>
        </row>
      </sheetData>
      <sheetData sheetId="853">
        <row r="1">
          <cell r="C1">
            <v>0</v>
          </cell>
        </row>
      </sheetData>
      <sheetData sheetId="854">
        <row r="1">
          <cell r="C1">
            <v>0</v>
          </cell>
        </row>
      </sheetData>
      <sheetData sheetId="855">
        <row r="1">
          <cell r="C1">
            <v>0</v>
          </cell>
        </row>
      </sheetData>
      <sheetData sheetId="856">
        <row r="1">
          <cell r="C1">
            <v>0</v>
          </cell>
        </row>
      </sheetData>
      <sheetData sheetId="857">
        <row r="1">
          <cell r="C1">
            <v>0</v>
          </cell>
        </row>
      </sheetData>
      <sheetData sheetId="858">
        <row r="1">
          <cell r="C1">
            <v>0</v>
          </cell>
        </row>
      </sheetData>
      <sheetData sheetId="859">
        <row r="1">
          <cell r="C1">
            <v>0</v>
          </cell>
        </row>
      </sheetData>
      <sheetData sheetId="860">
        <row r="2">
          <cell r="C2">
            <v>0</v>
          </cell>
        </row>
      </sheetData>
      <sheetData sheetId="861"/>
      <sheetData sheetId="862"/>
      <sheetData sheetId="863"/>
      <sheetData sheetId="864">
        <row r="2">
          <cell r="C2">
            <v>0</v>
          </cell>
        </row>
      </sheetData>
      <sheetData sheetId="865">
        <row r="2">
          <cell r="C2">
            <v>0</v>
          </cell>
        </row>
      </sheetData>
      <sheetData sheetId="866">
        <row r="2">
          <cell r="C2">
            <v>0</v>
          </cell>
        </row>
      </sheetData>
      <sheetData sheetId="867">
        <row r="1">
          <cell r="C1">
            <v>0</v>
          </cell>
        </row>
      </sheetData>
      <sheetData sheetId="868">
        <row r="1">
          <cell r="C1">
            <v>0</v>
          </cell>
        </row>
      </sheetData>
      <sheetData sheetId="869">
        <row r="1">
          <cell r="C1">
            <v>0</v>
          </cell>
        </row>
      </sheetData>
      <sheetData sheetId="870">
        <row r="1">
          <cell r="C1">
            <v>0</v>
          </cell>
        </row>
      </sheetData>
      <sheetData sheetId="871">
        <row r="1">
          <cell r="C1">
            <v>0</v>
          </cell>
        </row>
      </sheetData>
      <sheetData sheetId="872">
        <row r="1">
          <cell r="C1">
            <v>0</v>
          </cell>
        </row>
      </sheetData>
      <sheetData sheetId="873">
        <row r="1">
          <cell r="C1">
            <v>0</v>
          </cell>
        </row>
      </sheetData>
      <sheetData sheetId="874">
        <row r="1">
          <cell r="C1">
            <v>0</v>
          </cell>
        </row>
      </sheetData>
      <sheetData sheetId="875">
        <row r="1">
          <cell r="C1">
            <v>0</v>
          </cell>
        </row>
      </sheetData>
      <sheetData sheetId="876">
        <row r="1">
          <cell r="C1">
            <v>0</v>
          </cell>
        </row>
      </sheetData>
      <sheetData sheetId="877">
        <row r="1">
          <cell r="C1">
            <v>0</v>
          </cell>
        </row>
      </sheetData>
      <sheetData sheetId="878">
        <row r="1">
          <cell r="C1">
            <v>0</v>
          </cell>
        </row>
      </sheetData>
      <sheetData sheetId="879">
        <row r="1">
          <cell r="C1">
            <v>0</v>
          </cell>
        </row>
      </sheetData>
      <sheetData sheetId="880">
        <row r="1">
          <cell r="C1">
            <v>0</v>
          </cell>
        </row>
      </sheetData>
      <sheetData sheetId="881">
        <row r="1">
          <cell r="C1">
            <v>0</v>
          </cell>
        </row>
      </sheetData>
      <sheetData sheetId="882">
        <row r="1">
          <cell r="C1">
            <v>0</v>
          </cell>
        </row>
      </sheetData>
      <sheetData sheetId="883">
        <row r="1">
          <cell r="C1">
            <v>0</v>
          </cell>
        </row>
      </sheetData>
      <sheetData sheetId="884">
        <row r="1">
          <cell r="C1">
            <v>0</v>
          </cell>
        </row>
      </sheetData>
      <sheetData sheetId="885">
        <row r="1">
          <cell r="C1">
            <v>0</v>
          </cell>
        </row>
      </sheetData>
      <sheetData sheetId="886">
        <row r="1">
          <cell r="C1">
            <v>0</v>
          </cell>
        </row>
      </sheetData>
      <sheetData sheetId="887">
        <row r="1">
          <cell r="C1">
            <v>0</v>
          </cell>
        </row>
      </sheetData>
      <sheetData sheetId="888">
        <row r="1">
          <cell r="C1">
            <v>0</v>
          </cell>
        </row>
      </sheetData>
      <sheetData sheetId="889">
        <row r="1">
          <cell r="C1">
            <v>0</v>
          </cell>
        </row>
      </sheetData>
      <sheetData sheetId="890">
        <row r="1">
          <cell r="C1">
            <v>0</v>
          </cell>
        </row>
      </sheetData>
      <sheetData sheetId="891">
        <row r="1">
          <cell r="C1">
            <v>0</v>
          </cell>
        </row>
      </sheetData>
      <sheetData sheetId="892">
        <row r="1">
          <cell r="C1">
            <v>0</v>
          </cell>
        </row>
      </sheetData>
      <sheetData sheetId="893">
        <row r="1">
          <cell r="C1">
            <v>0</v>
          </cell>
        </row>
      </sheetData>
      <sheetData sheetId="894">
        <row r="1">
          <cell r="C1">
            <v>0</v>
          </cell>
        </row>
      </sheetData>
      <sheetData sheetId="895">
        <row r="1">
          <cell r="C1">
            <v>0</v>
          </cell>
        </row>
      </sheetData>
      <sheetData sheetId="896">
        <row r="1">
          <cell r="C1">
            <v>0</v>
          </cell>
        </row>
      </sheetData>
      <sheetData sheetId="897">
        <row r="1">
          <cell r="C1">
            <v>0</v>
          </cell>
        </row>
      </sheetData>
      <sheetData sheetId="898">
        <row r="1">
          <cell r="C1">
            <v>0</v>
          </cell>
        </row>
      </sheetData>
      <sheetData sheetId="899">
        <row r="1">
          <cell r="C1">
            <v>0</v>
          </cell>
        </row>
      </sheetData>
      <sheetData sheetId="900">
        <row r="1">
          <cell r="C1">
            <v>0</v>
          </cell>
        </row>
      </sheetData>
      <sheetData sheetId="901">
        <row r="1">
          <cell r="C1">
            <v>0</v>
          </cell>
        </row>
      </sheetData>
      <sheetData sheetId="902">
        <row r="1">
          <cell r="C1">
            <v>0</v>
          </cell>
        </row>
      </sheetData>
      <sheetData sheetId="903">
        <row r="1">
          <cell r="C1">
            <v>0</v>
          </cell>
        </row>
      </sheetData>
      <sheetData sheetId="904">
        <row r="1">
          <cell r="C1">
            <v>0</v>
          </cell>
        </row>
      </sheetData>
      <sheetData sheetId="905">
        <row r="1">
          <cell r="C1">
            <v>0</v>
          </cell>
        </row>
      </sheetData>
      <sheetData sheetId="906">
        <row r="1">
          <cell r="C1">
            <v>0</v>
          </cell>
        </row>
      </sheetData>
      <sheetData sheetId="907">
        <row r="1">
          <cell r="C1">
            <v>0</v>
          </cell>
        </row>
      </sheetData>
      <sheetData sheetId="908">
        <row r="1">
          <cell r="C1">
            <v>0</v>
          </cell>
        </row>
      </sheetData>
      <sheetData sheetId="909">
        <row r="1">
          <cell r="C1">
            <v>0</v>
          </cell>
        </row>
      </sheetData>
      <sheetData sheetId="910">
        <row r="1">
          <cell r="C1">
            <v>0</v>
          </cell>
        </row>
      </sheetData>
      <sheetData sheetId="911">
        <row r="1">
          <cell r="C1">
            <v>0</v>
          </cell>
        </row>
      </sheetData>
      <sheetData sheetId="912">
        <row r="1">
          <cell r="C1">
            <v>0</v>
          </cell>
        </row>
      </sheetData>
      <sheetData sheetId="913">
        <row r="2">
          <cell r="C2">
            <v>0</v>
          </cell>
        </row>
      </sheetData>
      <sheetData sheetId="914">
        <row r="1">
          <cell r="C1">
            <v>0</v>
          </cell>
        </row>
      </sheetData>
      <sheetData sheetId="915">
        <row r="1">
          <cell r="C1">
            <v>0</v>
          </cell>
        </row>
      </sheetData>
      <sheetData sheetId="916">
        <row r="1">
          <cell r="C1">
            <v>0</v>
          </cell>
        </row>
      </sheetData>
      <sheetData sheetId="917">
        <row r="1">
          <cell r="C1">
            <v>0</v>
          </cell>
        </row>
      </sheetData>
      <sheetData sheetId="918">
        <row r="1">
          <cell r="C1">
            <v>0</v>
          </cell>
        </row>
      </sheetData>
      <sheetData sheetId="919">
        <row r="1">
          <cell r="C1">
            <v>0</v>
          </cell>
        </row>
      </sheetData>
      <sheetData sheetId="920">
        <row r="1">
          <cell r="C1">
            <v>0</v>
          </cell>
        </row>
      </sheetData>
      <sheetData sheetId="921">
        <row r="1">
          <cell r="C1">
            <v>0</v>
          </cell>
        </row>
      </sheetData>
      <sheetData sheetId="922">
        <row r="1">
          <cell r="C1">
            <v>0</v>
          </cell>
        </row>
      </sheetData>
      <sheetData sheetId="923">
        <row r="1">
          <cell r="C1">
            <v>0</v>
          </cell>
        </row>
      </sheetData>
      <sheetData sheetId="924">
        <row r="1">
          <cell r="C1">
            <v>0</v>
          </cell>
        </row>
      </sheetData>
      <sheetData sheetId="925">
        <row r="1">
          <cell r="C1">
            <v>0</v>
          </cell>
        </row>
      </sheetData>
      <sheetData sheetId="926">
        <row r="1">
          <cell r="C1">
            <v>0</v>
          </cell>
        </row>
      </sheetData>
      <sheetData sheetId="927">
        <row r="1">
          <cell r="C1">
            <v>0</v>
          </cell>
        </row>
      </sheetData>
      <sheetData sheetId="928">
        <row r="1">
          <cell r="C1">
            <v>0</v>
          </cell>
        </row>
      </sheetData>
      <sheetData sheetId="929">
        <row r="1">
          <cell r="C1">
            <v>0</v>
          </cell>
        </row>
      </sheetData>
      <sheetData sheetId="930">
        <row r="1">
          <cell r="C1">
            <v>0</v>
          </cell>
        </row>
      </sheetData>
      <sheetData sheetId="931">
        <row r="1">
          <cell r="C1">
            <v>0</v>
          </cell>
        </row>
      </sheetData>
      <sheetData sheetId="932">
        <row r="1">
          <cell r="C1">
            <v>0</v>
          </cell>
        </row>
      </sheetData>
      <sheetData sheetId="933">
        <row r="1">
          <cell r="C1">
            <v>0</v>
          </cell>
        </row>
      </sheetData>
      <sheetData sheetId="934">
        <row r="1">
          <cell r="C1">
            <v>0</v>
          </cell>
        </row>
      </sheetData>
      <sheetData sheetId="935">
        <row r="1">
          <cell r="C1">
            <v>0</v>
          </cell>
        </row>
      </sheetData>
      <sheetData sheetId="936">
        <row r="1">
          <cell r="C1">
            <v>0</v>
          </cell>
        </row>
      </sheetData>
      <sheetData sheetId="937">
        <row r="1">
          <cell r="C1">
            <v>0</v>
          </cell>
        </row>
      </sheetData>
      <sheetData sheetId="938">
        <row r="1">
          <cell r="C1">
            <v>0</v>
          </cell>
        </row>
      </sheetData>
      <sheetData sheetId="939">
        <row r="1">
          <cell r="C1">
            <v>0</v>
          </cell>
        </row>
      </sheetData>
      <sheetData sheetId="940">
        <row r="1">
          <cell r="C1">
            <v>0</v>
          </cell>
        </row>
      </sheetData>
      <sheetData sheetId="941">
        <row r="1">
          <cell r="C1">
            <v>0</v>
          </cell>
        </row>
      </sheetData>
      <sheetData sheetId="942">
        <row r="1">
          <cell r="C1">
            <v>0</v>
          </cell>
        </row>
      </sheetData>
      <sheetData sheetId="943">
        <row r="1">
          <cell r="C1">
            <v>0</v>
          </cell>
        </row>
      </sheetData>
      <sheetData sheetId="944">
        <row r="1">
          <cell r="C1">
            <v>0</v>
          </cell>
        </row>
      </sheetData>
      <sheetData sheetId="945">
        <row r="1">
          <cell r="C1">
            <v>0</v>
          </cell>
        </row>
      </sheetData>
      <sheetData sheetId="946">
        <row r="1">
          <cell r="C1">
            <v>0</v>
          </cell>
        </row>
      </sheetData>
      <sheetData sheetId="947">
        <row r="1">
          <cell r="C1">
            <v>0</v>
          </cell>
        </row>
      </sheetData>
      <sheetData sheetId="948">
        <row r="1">
          <cell r="C1">
            <v>0</v>
          </cell>
        </row>
      </sheetData>
      <sheetData sheetId="949">
        <row r="1">
          <cell r="C1">
            <v>0</v>
          </cell>
        </row>
      </sheetData>
      <sheetData sheetId="950">
        <row r="1">
          <cell r="C1">
            <v>0</v>
          </cell>
        </row>
      </sheetData>
      <sheetData sheetId="951">
        <row r="1">
          <cell r="C1">
            <v>0</v>
          </cell>
        </row>
      </sheetData>
      <sheetData sheetId="952">
        <row r="1">
          <cell r="C1">
            <v>0</v>
          </cell>
        </row>
      </sheetData>
      <sheetData sheetId="953">
        <row r="1">
          <cell r="C1">
            <v>0</v>
          </cell>
        </row>
      </sheetData>
      <sheetData sheetId="954">
        <row r="1">
          <cell r="C1">
            <v>0</v>
          </cell>
        </row>
      </sheetData>
      <sheetData sheetId="955">
        <row r="1">
          <cell r="C1">
            <v>0</v>
          </cell>
        </row>
      </sheetData>
      <sheetData sheetId="956">
        <row r="1">
          <cell r="C1">
            <v>0</v>
          </cell>
        </row>
      </sheetData>
      <sheetData sheetId="957">
        <row r="1">
          <cell r="C1">
            <v>0</v>
          </cell>
        </row>
      </sheetData>
      <sheetData sheetId="958">
        <row r="1">
          <cell r="C1">
            <v>0</v>
          </cell>
        </row>
      </sheetData>
      <sheetData sheetId="959">
        <row r="1">
          <cell r="C1">
            <v>0</v>
          </cell>
        </row>
      </sheetData>
      <sheetData sheetId="960">
        <row r="1">
          <cell r="C1">
            <v>0</v>
          </cell>
        </row>
      </sheetData>
      <sheetData sheetId="961">
        <row r="1">
          <cell r="C1">
            <v>0</v>
          </cell>
        </row>
      </sheetData>
      <sheetData sheetId="962">
        <row r="1">
          <cell r="C1">
            <v>0</v>
          </cell>
        </row>
      </sheetData>
      <sheetData sheetId="963">
        <row r="1">
          <cell r="C1">
            <v>0</v>
          </cell>
        </row>
      </sheetData>
      <sheetData sheetId="964">
        <row r="1">
          <cell r="C1">
            <v>0</v>
          </cell>
        </row>
      </sheetData>
      <sheetData sheetId="965">
        <row r="1">
          <cell r="C1">
            <v>0</v>
          </cell>
        </row>
      </sheetData>
      <sheetData sheetId="966">
        <row r="1">
          <cell r="C1">
            <v>0</v>
          </cell>
        </row>
      </sheetData>
      <sheetData sheetId="967">
        <row r="1">
          <cell r="C1">
            <v>0</v>
          </cell>
        </row>
      </sheetData>
      <sheetData sheetId="968">
        <row r="1">
          <cell r="C1">
            <v>0</v>
          </cell>
        </row>
      </sheetData>
      <sheetData sheetId="969">
        <row r="1">
          <cell r="C1">
            <v>0</v>
          </cell>
        </row>
      </sheetData>
      <sheetData sheetId="970">
        <row r="1">
          <cell r="C1">
            <v>0</v>
          </cell>
        </row>
      </sheetData>
      <sheetData sheetId="971">
        <row r="1">
          <cell r="C1">
            <v>0</v>
          </cell>
        </row>
      </sheetData>
      <sheetData sheetId="972">
        <row r="1">
          <cell r="C1">
            <v>0</v>
          </cell>
        </row>
      </sheetData>
      <sheetData sheetId="973">
        <row r="1">
          <cell r="C1">
            <v>0</v>
          </cell>
        </row>
      </sheetData>
      <sheetData sheetId="974">
        <row r="1">
          <cell r="C1">
            <v>0</v>
          </cell>
        </row>
      </sheetData>
      <sheetData sheetId="975">
        <row r="1">
          <cell r="C1">
            <v>0</v>
          </cell>
        </row>
      </sheetData>
      <sheetData sheetId="976">
        <row r="1">
          <cell r="C1">
            <v>0</v>
          </cell>
        </row>
      </sheetData>
      <sheetData sheetId="977">
        <row r="1">
          <cell r="C1">
            <v>0</v>
          </cell>
        </row>
      </sheetData>
      <sheetData sheetId="978">
        <row r="1">
          <cell r="C1">
            <v>0</v>
          </cell>
        </row>
      </sheetData>
      <sheetData sheetId="979">
        <row r="1">
          <cell r="C1">
            <v>0</v>
          </cell>
        </row>
      </sheetData>
      <sheetData sheetId="980">
        <row r="1">
          <cell r="C1">
            <v>0</v>
          </cell>
        </row>
      </sheetData>
      <sheetData sheetId="981">
        <row r="1">
          <cell r="C1">
            <v>0</v>
          </cell>
        </row>
      </sheetData>
      <sheetData sheetId="982">
        <row r="1">
          <cell r="C1">
            <v>0</v>
          </cell>
        </row>
      </sheetData>
      <sheetData sheetId="983">
        <row r="1">
          <cell r="C1">
            <v>0</v>
          </cell>
        </row>
      </sheetData>
      <sheetData sheetId="984">
        <row r="1">
          <cell r="C1">
            <v>0</v>
          </cell>
        </row>
      </sheetData>
      <sheetData sheetId="985">
        <row r="1">
          <cell r="C1">
            <v>0</v>
          </cell>
        </row>
      </sheetData>
      <sheetData sheetId="986">
        <row r="1">
          <cell r="C1">
            <v>0</v>
          </cell>
        </row>
      </sheetData>
      <sheetData sheetId="987">
        <row r="1">
          <cell r="C1">
            <v>0</v>
          </cell>
        </row>
      </sheetData>
      <sheetData sheetId="988">
        <row r="1">
          <cell r="C1">
            <v>0</v>
          </cell>
        </row>
      </sheetData>
      <sheetData sheetId="989">
        <row r="1">
          <cell r="C1">
            <v>0</v>
          </cell>
        </row>
      </sheetData>
      <sheetData sheetId="990">
        <row r="1">
          <cell r="C1">
            <v>0</v>
          </cell>
        </row>
      </sheetData>
      <sheetData sheetId="991">
        <row r="1">
          <cell r="C1">
            <v>0</v>
          </cell>
        </row>
      </sheetData>
      <sheetData sheetId="992">
        <row r="1">
          <cell r="C1">
            <v>0</v>
          </cell>
        </row>
      </sheetData>
      <sheetData sheetId="993">
        <row r="1">
          <cell r="C1">
            <v>0</v>
          </cell>
        </row>
      </sheetData>
      <sheetData sheetId="994">
        <row r="1">
          <cell r="C1">
            <v>0</v>
          </cell>
        </row>
      </sheetData>
      <sheetData sheetId="995">
        <row r="1">
          <cell r="C1">
            <v>0</v>
          </cell>
        </row>
      </sheetData>
      <sheetData sheetId="996">
        <row r="1">
          <cell r="C1">
            <v>0</v>
          </cell>
        </row>
      </sheetData>
      <sheetData sheetId="997">
        <row r="1">
          <cell r="C1">
            <v>0</v>
          </cell>
        </row>
      </sheetData>
      <sheetData sheetId="998">
        <row r="1">
          <cell r="C1">
            <v>0</v>
          </cell>
        </row>
      </sheetData>
      <sheetData sheetId="999">
        <row r="1">
          <cell r="C1">
            <v>0</v>
          </cell>
        </row>
      </sheetData>
      <sheetData sheetId="1000"/>
      <sheetData sheetId="1001">
        <row r="1">
          <cell r="C1">
            <v>0</v>
          </cell>
        </row>
      </sheetData>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sheetData sheetId="1011" refreshError="1"/>
      <sheetData sheetId="1012" refreshError="1"/>
      <sheetData sheetId="1013" refreshError="1"/>
      <sheetData sheetId="1014" refreshError="1"/>
      <sheetData sheetId="1015"/>
      <sheetData sheetId="1016">
        <row r="1">
          <cell r="C1">
            <v>0</v>
          </cell>
        </row>
      </sheetData>
      <sheetData sheetId="1017">
        <row r="1">
          <cell r="C1">
            <v>0</v>
          </cell>
        </row>
      </sheetData>
      <sheetData sheetId="1018">
        <row r="1">
          <cell r="C1">
            <v>0</v>
          </cell>
        </row>
      </sheetData>
      <sheetData sheetId="1019">
        <row r="1">
          <cell r="C1">
            <v>0</v>
          </cell>
        </row>
      </sheetData>
      <sheetData sheetId="1020">
        <row r="1">
          <cell r="C1">
            <v>0</v>
          </cell>
        </row>
      </sheetData>
      <sheetData sheetId="1021">
        <row r="1">
          <cell r="C1">
            <v>0</v>
          </cell>
        </row>
      </sheetData>
      <sheetData sheetId="1022">
        <row r="1">
          <cell r="C1">
            <v>0</v>
          </cell>
        </row>
      </sheetData>
      <sheetData sheetId="1023">
        <row r="1">
          <cell r="C1">
            <v>0</v>
          </cell>
        </row>
      </sheetData>
      <sheetData sheetId="1024">
        <row r="1">
          <cell r="C1">
            <v>0</v>
          </cell>
        </row>
      </sheetData>
      <sheetData sheetId="1025">
        <row r="1">
          <cell r="C1">
            <v>0</v>
          </cell>
        </row>
      </sheetData>
      <sheetData sheetId="1026">
        <row r="1">
          <cell r="C1">
            <v>0</v>
          </cell>
        </row>
      </sheetData>
      <sheetData sheetId="1027">
        <row r="1">
          <cell r="C1">
            <v>0</v>
          </cell>
        </row>
      </sheetData>
      <sheetData sheetId="1028">
        <row r="1">
          <cell r="C1">
            <v>0</v>
          </cell>
        </row>
      </sheetData>
      <sheetData sheetId="1029">
        <row r="1">
          <cell r="C1">
            <v>0</v>
          </cell>
        </row>
      </sheetData>
      <sheetData sheetId="1030">
        <row r="1">
          <cell r="C1">
            <v>0</v>
          </cell>
        </row>
      </sheetData>
      <sheetData sheetId="1031">
        <row r="1">
          <cell r="C1">
            <v>0</v>
          </cell>
        </row>
      </sheetData>
      <sheetData sheetId="1032">
        <row r="1">
          <cell r="C1">
            <v>0</v>
          </cell>
        </row>
      </sheetData>
      <sheetData sheetId="1033">
        <row r="1">
          <cell r="C1">
            <v>0</v>
          </cell>
        </row>
      </sheetData>
      <sheetData sheetId="1034">
        <row r="1">
          <cell r="C1">
            <v>0</v>
          </cell>
        </row>
      </sheetData>
      <sheetData sheetId="1035">
        <row r="1">
          <cell r="C1">
            <v>0</v>
          </cell>
        </row>
      </sheetData>
      <sheetData sheetId="1036">
        <row r="1">
          <cell r="C1">
            <v>0</v>
          </cell>
        </row>
      </sheetData>
      <sheetData sheetId="1037">
        <row r="1">
          <cell r="C1">
            <v>0</v>
          </cell>
        </row>
      </sheetData>
      <sheetData sheetId="1038">
        <row r="1">
          <cell r="C1">
            <v>0</v>
          </cell>
        </row>
      </sheetData>
      <sheetData sheetId="1039">
        <row r="1">
          <cell r="C1">
            <v>0</v>
          </cell>
        </row>
      </sheetData>
      <sheetData sheetId="1040">
        <row r="1">
          <cell r="C1">
            <v>0</v>
          </cell>
        </row>
      </sheetData>
      <sheetData sheetId="1041">
        <row r="1">
          <cell r="C1">
            <v>0</v>
          </cell>
        </row>
      </sheetData>
      <sheetData sheetId="1042">
        <row r="1">
          <cell r="C1">
            <v>0</v>
          </cell>
        </row>
      </sheetData>
      <sheetData sheetId="1043">
        <row r="1">
          <cell r="C1">
            <v>0</v>
          </cell>
        </row>
      </sheetData>
      <sheetData sheetId="1044">
        <row r="1">
          <cell r="C1">
            <v>0</v>
          </cell>
        </row>
      </sheetData>
      <sheetData sheetId="1045">
        <row r="1">
          <cell r="C1">
            <v>0</v>
          </cell>
        </row>
      </sheetData>
      <sheetData sheetId="1046">
        <row r="1">
          <cell r="C1">
            <v>0</v>
          </cell>
        </row>
      </sheetData>
      <sheetData sheetId="1047">
        <row r="1">
          <cell r="C1">
            <v>0</v>
          </cell>
        </row>
      </sheetData>
      <sheetData sheetId="1048">
        <row r="1">
          <cell r="C1">
            <v>0</v>
          </cell>
        </row>
      </sheetData>
      <sheetData sheetId="1049"/>
      <sheetData sheetId="1050">
        <row r="1">
          <cell r="C1">
            <v>0</v>
          </cell>
        </row>
      </sheetData>
      <sheetData sheetId="1051">
        <row r="1">
          <cell r="C1">
            <v>0</v>
          </cell>
        </row>
      </sheetData>
      <sheetData sheetId="1052"/>
      <sheetData sheetId="1053">
        <row r="1">
          <cell r="C1">
            <v>0</v>
          </cell>
        </row>
      </sheetData>
      <sheetData sheetId="1054"/>
      <sheetData sheetId="1055"/>
      <sheetData sheetId="1056">
        <row r="1">
          <cell r="C1">
            <v>0</v>
          </cell>
        </row>
      </sheetData>
      <sheetData sheetId="1057"/>
      <sheetData sheetId="1058"/>
      <sheetData sheetId="1059"/>
      <sheetData sheetId="1060"/>
      <sheetData sheetId="1061">
        <row r="1">
          <cell r="C1">
            <v>0</v>
          </cell>
        </row>
      </sheetData>
      <sheetData sheetId="1062">
        <row r="1">
          <cell r="C1">
            <v>0</v>
          </cell>
        </row>
      </sheetData>
      <sheetData sheetId="1063">
        <row r="1">
          <cell r="C1">
            <v>0</v>
          </cell>
        </row>
      </sheetData>
      <sheetData sheetId="1064">
        <row r="1">
          <cell r="C1">
            <v>0</v>
          </cell>
        </row>
      </sheetData>
      <sheetData sheetId="1065">
        <row r="1">
          <cell r="C1">
            <v>0</v>
          </cell>
        </row>
      </sheetData>
      <sheetData sheetId="1066">
        <row r="1">
          <cell r="C1">
            <v>0</v>
          </cell>
        </row>
      </sheetData>
      <sheetData sheetId="1067">
        <row r="1">
          <cell r="C1">
            <v>0</v>
          </cell>
        </row>
      </sheetData>
      <sheetData sheetId="1068"/>
      <sheetData sheetId="1069">
        <row r="1">
          <cell r="C1">
            <v>0</v>
          </cell>
        </row>
      </sheetData>
      <sheetData sheetId="1070">
        <row r="1">
          <cell r="C1">
            <v>0</v>
          </cell>
        </row>
      </sheetData>
      <sheetData sheetId="1071">
        <row r="1">
          <cell r="C1">
            <v>0</v>
          </cell>
        </row>
      </sheetData>
      <sheetData sheetId="1072">
        <row r="1">
          <cell r="C1">
            <v>0</v>
          </cell>
        </row>
      </sheetData>
      <sheetData sheetId="1073">
        <row r="1">
          <cell r="C1">
            <v>0</v>
          </cell>
        </row>
      </sheetData>
      <sheetData sheetId="1074">
        <row r="1">
          <cell r="C1">
            <v>0</v>
          </cell>
        </row>
      </sheetData>
      <sheetData sheetId="1075">
        <row r="1">
          <cell r="C1">
            <v>0</v>
          </cell>
        </row>
      </sheetData>
      <sheetData sheetId="1076"/>
      <sheetData sheetId="1077"/>
      <sheetData sheetId="1078"/>
      <sheetData sheetId="1079"/>
      <sheetData sheetId="1080"/>
      <sheetData sheetId="1081"/>
      <sheetData sheetId="1082"/>
      <sheetData sheetId="1083"/>
      <sheetData sheetId="1084">
        <row r="1">
          <cell r="C1">
            <v>0</v>
          </cell>
        </row>
      </sheetData>
      <sheetData sheetId="1085"/>
      <sheetData sheetId="1086"/>
      <sheetData sheetId="1087"/>
      <sheetData sheetId="1088">
        <row r="1">
          <cell r="C1" t="str">
            <v>BILL OF QUANTITY</v>
          </cell>
        </row>
      </sheetData>
      <sheetData sheetId="1089"/>
      <sheetData sheetId="1090"/>
      <sheetData sheetId="1091"/>
      <sheetData sheetId="1092"/>
      <sheetData sheetId="1093"/>
      <sheetData sheetId="1094"/>
      <sheetData sheetId="1095"/>
      <sheetData sheetId="1096"/>
      <sheetData sheetId="1097">
        <row r="1">
          <cell r="C1">
            <v>0</v>
          </cell>
        </row>
      </sheetData>
      <sheetData sheetId="1098">
        <row r="1">
          <cell r="C1">
            <v>0</v>
          </cell>
        </row>
      </sheetData>
      <sheetData sheetId="1099">
        <row r="1">
          <cell r="C1">
            <v>0</v>
          </cell>
        </row>
      </sheetData>
      <sheetData sheetId="1100"/>
      <sheetData sheetId="1101">
        <row r="1">
          <cell r="C1">
            <v>0</v>
          </cell>
        </row>
      </sheetData>
      <sheetData sheetId="1102">
        <row r="1">
          <cell r="C1">
            <v>0</v>
          </cell>
        </row>
      </sheetData>
      <sheetData sheetId="1103"/>
      <sheetData sheetId="1104">
        <row r="1">
          <cell r="C1">
            <v>0</v>
          </cell>
        </row>
      </sheetData>
      <sheetData sheetId="1105"/>
      <sheetData sheetId="1106">
        <row r="1">
          <cell r="C1">
            <v>0</v>
          </cell>
        </row>
      </sheetData>
      <sheetData sheetId="1107">
        <row r="1">
          <cell r="C1">
            <v>0</v>
          </cell>
        </row>
      </sheetData>
      <sheetData sheetId="1108">
        <row r="1">
          <cell r="C1">
            <v>0</v>
          </cell>
        </row>
      </sheetData>
      <sheetData sheetId="1109">
        <row r="1">
          <cell r="C1">
            <v>0</v>
          </cell>
        </row>
      </sheetData>
      <sheetData sheetId="1110">
        <row r="1">
          <cell r="C1">
            <v>0</v>
          </cell>
        </row>
      </sheetData>
      <sheetData sheetId="1111">
        <row r="1">
          <cell r="C1">
            <v>0</v>
          </cell>
        </row>
      </sheetData>
      <sheetData sheetId="1112">
        <row r="1">
          <cell r="C1">
            <v>0</v>
          </cell>
        </row>
      </sheetData>
      <sheetData sheetId="1113">
        <row r="1">
          <cell r="C1">
            <v>0</v>
          </cell>
        </row>
      </sheetData>
      <sheetData sheetId="1114">
        <row r="1">
          <cell r="C1">
            <v>0</v>
          </cell>
        </row>
      </sheetData>
      <sheetData sheetId="1115">
        <row r="1">
          <cell r="C1">
            <v>0</v>
          </cell>
        </row>
      </sheetData>
      <sheetData sheetId="1116">
        <row r="1">
          <cell r="C1">
            <v>0</v>
          </cell>
        </row>
      </sheetData>
      <sheetData sheetId="1117">
        <row r="1">
          <cell r="C1">
            <v>0</v>
          </cell>
        </row>
      </sheetData>
      <sheetData sheetId="1118">
        <row r="1">
          <cell r="C1">
            <v>0</v>
          </cell>
        </row>
      </sheetData>
      <sheetData sheetId="1119">
        <row r="1">
          <cell r="C1">
            <v>0</v>
          </cell>
        </row>
      </sheetData>
      <sheetData sheetId="1120">
        <row r="1">
          <cell r="C1">
            <v>0</v>
          </cell>
        </row>
      </sheetData>
      <sheetData sheetId="1121">
        <row r="1">
          <cell r="C1">
            <v>0</v>
          </cell>
        </row>
      </sheetData>
      <sheetData sheetId="1122">
        <row r="1">
          <cell r="C1">
            <v>0</v>
          </cell>
        </row>
      </sheetData>
      <sheetData sheetId="1123">
        <row r="1">
          <cell r="C1">
            <v>0</v>
          </cell>
        </row>
      </sheetData>
      <sheetData sheetId="1124">
        <row r="1">
          <cell r="C1">
            <v>0</v>
          </cell>
        </row>
      </sheetData>
      <sheetData sheetId="1125">
        <row r="1">
          <cell r="C1">
            <v>0</v>
          </cell>
        </row>
      </sheetData>
      <sheetData sheetId="1126"/>
      <sheetData sheetId="1127"/>
      <sheetData sheetId="1128"/>
      <sheetData sheetId="1129"/>
      <sheetData sheetId="1130"/>
      <sheetData sheetId="1131">
        <row r="1">
          <cell r="C1">
            <v>0</v>
          </cell>
        </row>
      </sheetData>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ow r="1">
          <cell r="C1">
            <v>0</v>
          </cell>
        </row>
      </sheetData>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row r="1">
          <cell r="C1" t="str">
            <v>BILL OF QUANTITY</v>
          </cell>
        </row>
      </sheetData>
      <sheetData sheetId="1170"/>
      <sheetData sheetId="1171"/>
      <sheetData sheetId="1172"/>
      <sheetData sheetId="1173"/>
      <sheetData sheetId="1174"/>
      <sheetData sheetId="1175"/>
      <sheetData sheetId="1176"/>
      <sheetData sheetId="1177"/>
      <sheetData sheetId="1178">
        <row r="1">
          <cell r="C1">
            <v>0</v>
          </cell>
        </row>
      </sheetData>
      <sheetData sheetId="1179">
        <row r="1">
          <cell r="C1">
            <v>0</v>
          </cell>
        </row>
      </sheetData>
      <sheetData sheetId="1180">
        <row r="1">
          <cell r="C1">
            <v>0</v>
          </cell>
        </row>
      </sheetData>
      <sheetData sheetId="1181"/>
      <sheetData sheetId="1182"/>
      <sheetData sheetId="1183"/>
      <sheetData sheetId="1184"/>
      <sheetData sheetId="1185"/>
      <sheetData sheetId="1186">
        <row r="1">
          <cell r="C1">
            <v>0</v>
          </cell>
        </row>
      </sheetData>
      <sheetData sheetId="1187">
        <row r="1">
          <cell r="C1">
            <v>0</v>
          </cell>
        </row>
      </sheetData>
      <sheetData sheetId="1188"/>
      <sheetData sheetId="1189">
        <row r="1">
          <cell r="C1">
            <v>0</v>
          </cell>
        </row>
      </sheetData>
      <sheetData sheetId="1190"/>
      <sheetData sheetId="1191"/>
      <sheetData sheetId="1192">
        <row r="1">
          <cell r="C1">
            <v>0</v>
          </cell>
        </row>
      </sheetData>
      <sheetData sheetId="1193"/>
      <sheetData sheetId="1194"/>
      <sheetData sheetId="1195">
        <row r="1">
          <cell r="C1">
            <v>0</v>
          </cell>
        </row>
      </sheetData>
      <sheetData sheetId="1196"/>
      <sheetData sheetId="1197">
        <row r="1">
          <cell r="C1">
            <v>0</v>
          </cell>
        </row>
      </sheetData>
      <sheetData sheetId="1198">
        <row r="1">
          <cell r="C1">
            <v>0</v>
          </cell>
        </row>
      </sheetData>
      <sheetData sheetId="1199">
        <row r="1">
          <cell r="C1">
            <v>0</v>
          </cell>
        </row>
      </sheetData>
      <sheetData sheetId="1200">
        <row r="1">
          <cell r="C1">
            <v>0</v>
          </cell>
        </row>
      </sheetData>
      <sheetData sheetId="1201">
        <row r="1">
          <cell r="C1">
            <v>0</v>
          </cell>
        </row>
      </sheetData>
      <sheetData sheetId="1202">
        <row r="1">
          <cell r="C1">
            <v>0</v>
          </cell>
        </row>
      </sheetData>
      <sheetData sheetId="1203">
        <row r="1">
          <cell r="C1">
            <v>0</v>
          </cell>
        </row>
      </sheetData>
      <sheetData sheetId="1204">
        <row r="1">
          <cell r="C1">
            <v>0</v>
          </cell>
        </row>
      </sheetData>
      <sheetData sheetId="1205">
        <row r="1">
          <cell r="C1">
            <v>0</v>
          </cell>
        </row>
      </sheetData>
      <sheetData sheetId="1206">
        <row r="1">
          <cell r="C1">
            <v>0</v>
          </cell>
        </row>
      </sheetData>
      <sheetData sheetId="1207">
        <row r="1">
          <cell r="C1">
            <v>0</v>
          </cell>
        </row>
      </sheetData>
      <sheetData sheetId="1208">
        <row r="1">
          <cell r="C1">
            <v>0</v>
          </cell>
        </row>
      </sheetData>
      <sheetData sheetId="1209">
        <row r="1">
          <cell r="C1">
            <v>0</v>
          </cell>
        </row>
      </sheetData>
      <sheetData sheetId="1210">
        <row r="1">
          <cell r="C1">
            <v>0</v>
          </cell>
        </row>
      </sheetData>
      <sheetData sheetId="1211">
        <row r="1">
          <cell r="C1">
            <v>0</v>
          </cell>
        </row>
      </sheetData>
      <sheetData sheetId="1212">
        <row r="1">
          <cell r="C1">
            <v>0</v>
          </cell>
        </row>
      </sheetData>
      <sheetData sheetId="1213">
        <row r="1">
          <cell r="C1">
            <v>0</v>
          </cell>
        </row>
      </sheetData>
      <sheetData sheetId="1214"/>
      <sheetData sheetId="1215">
        <row r="1">
          <cell r="C1">
            <v>0</v>
          </cell>
        </row>
      </sheetData>
      <sheetData sheetId="1216">
        <row r="1">
          <cell r="C1">
            <v>0</v>
          </cell>
        </row>
      </sheetData>
      <sheetData sheetId="1217">
        <row r="1">
          <cell r="C1">
            <v>0</v>
          </cell>
        </row>
      </sheetData>
      <sheetData sheetId="1218">
        <row r="1">
          <cell r="C1">
            <v>0</v>
          </cell>
        </row>
      </sheetData>
      <sheetData sheetId="1219">
        <row r="1">
          <cell r="C1">
            <v>0</v>
          </cell>
        </row>
      </sheetData>
      <sheetData sheetId="1220">
        <row r="1">
          <cell r="C1">
            <v>0</v>
          </cell>
        </row>
      </sheetData>
      <sheetData sheetId="1221">
        <row r="1">
          <cell r="C1">
            <v>0</v>
          </cell>
        </row>
      </sheetData>
      <sheetData sheetId="1222">
        <row r="1">
          <cell r="C1">
            <v>0</v>
          </cell>
        </row>
      </sheetData>
      <sheetData sheetId="1223">
        <row r="1">
          <cell r="C1">
            <v>0</v>
          </cell>
        </row>
      </sheetData>
      <sheetData sheetId="1224">
        <row r="1">
          <cell r="C1">
            <v>0</v>
          </cell>
        </row>
      </sheetData>
      <sheetData sheetId="1225">
        <row r="1">
          <cell r="C1">
            <v>0</v>
          </cell>
        </row>
      </sheetData>
      <sheetData sheetId="1226">
        <row r="1">
          <cell r="C1">
            <v>0</v>
          </cell>
        </row>
      </sheetData>
      <sheetData sheetId="1227">
        <row r="1">
          <cell r="C1">
            <v>0</v>
          </cell>
        </row>
      </sheetData>
      <sheetData sheetId="1228">
        <row r="1">
          <cell r="C1">
            <v>0</v>
          </cell>
        </row>
      </sheetData>
      <sheetData sheetId="1229">
        <row r="1">
          <cell r="C1">
            <v>0</v>
          </cell>
        </row>
      </sheetData>
      <sheetData sheetId="1230">
        <row r="1">
          <cell r="C1">
            <v>0</v>
          </cell>
        </row>
      </sheetData>
      <sheetData sheetId="1231">
        <row r="1">
          <cell r="C1">
            <v>0</v>
          </cell>
        </row>
      </sheetData>
      <sheetData sheetId="1232">
        <row r="1">
          <cell r="C1">
            <v>0</v>
          </cell>
        </row>
      </sheetData>
      <sheetData sheetId="1233">
        <row r="1">
          <cell r="C1">
            <v>0</v>
          </cell>
        </row>
      </sheetData>
      <sheetData sheetId="1234">
        <row r="1">
          <cell r="C1">
            <v>0</v>
          </cell>
        </row>
      </sheetData>
      <sheetData sheetId="1235">
        <row r="1">
          <cell r="C1">
            <v>0</v>
          </cell>
        </row>
      </sheetData>
      <sheetData sheetId="1236">
        <row r="1">
          <cell r="C1">
            <v>0</v>
          </cell>
        </row>
      </sheetData>
      <sheetData sheetId="1237">
        <row r="1">
          <cell r="C1">
            <v>0</v>
          </cell>
        </row>
      </sheetData>
      <sheetData sheetId="1238">
        <row r="1">
          <cell r="C1">
            <v>0</v>
          </cell>
        </row>
      </sheetData>
      <sheetData sheetId="1239">
        <row r="1">
          <cell r="C1">
            <v>0</v>
          </cell>
        </row>
      </sheetData>
      <sheetData sheetId="1240">
        <row r="1">
          <cell r="C1">
            <v>0</v>
          </cell>
        </row>
      </sheetData>
      <sheetData sheetId="1241">
        <row r="1">
          <cell r="C1">
            <v>0</v>
          </cell>
        </row>
      </sheetData>
      <sheetData sheetId="1242">
        <row r="1">
          <cell r="C1">
            <v>0</v>
          </cell>
        </row>
      </sheetData>
      <sheetData sheetId="1243">
        <row r="1">
          <cell r="C1">
            <v>0</v>
          </cell>
        </row>
      </sheetData>
      <sheetData sheetId="1244">
        <row r="1">
          <cell r="C1">
            <v>0</v>
          </cell>
        </row>
      </sheetData>
      <sheetData sheetId="1245">
        <row r="1">
          <cell r="C1">
            <v>0</v>
          </cell>
        </row>
      </sheetData>
      <sheetData sheetId="1246">
        <row r="1">
          <cell r="C1">
            <v>0</v>
          </cell>
        </row>
      </sheetData>
      <sheetData sheetId="1247">
        <row r="1">
          <cell r="C1">
            <v>0</v>
          </cell>
        </row>
      </sheetData>
      <sheetData sheetId="1248">
        <row r="1">
          <cell r="C1">
            <v>0</v>
          </cell>
        </row>
      </sheetData>
      <sheetData sheetId="1249">
        <row r="1">
          <cell r="C1">
            <v>0</v>
          </cell>
        </row>
      </sheetData>
      <sheetData sheetId="1250">
        <row r="1">
          <cell r="C1">
            <v>0</v>
          </cell>
        </row>
      </sheetData>
      <sheetData sheetId="1251">
        <row r="1">
          <cell r="C1">
            <v>0</v>
          </cell>
        </row>
      </sheetData>
      <sheetData sheetId="1252">
        <row r="1">
          <cell r="C1">
            <v>0</v>
          </cell>
        </row>
      </sheetData>
      <sheetData sheetId="1253">
        <row r="1">
          <cell r="C1">
            <v>0</v>
          </cell>
        </row>
      </sheetData>
      <sheetData sheetId="1254">
        <row r="1">
          <cell r="C1">
            <v>0</v>
          </cell>
        </row>
      </sheetData>
      <sheetData sheetId="1255">
        <row r="1">
          <cell r="C1">
            <v>0</v>
          </cell>
        </row>
      </sheetData>
      <sheetData sheetId="1256">
        <row r="1">
          <cell r="C1">
            <v>0</v>
          </cell>
        </row>
      </sheetData>
      <sheetData sheetId="1257">
        <row r="1">
          <cell r="C1">
            <v>0</v>
          </cell>
        </row>
      </sheetData>
      <sheetData sheetId="1258">
        <row r="1">
          <cell r="C1">
            <v>0</v>
          </cell>
        </row>
      </sheetData>
      <sheetData sheetId="1259">
        <row r="1">
          <cell r="C1">
            <v>0</v>
          </cell>
        </row>
      </sheetData>
      <sheetData sheetId="1260">
        <row r="1">
          <cell r="C1">
            <v>0</v>
          </cell>
        </row>
      </sheetData>
      <sheetData sheetId="1261">
        <row r="1">
          <cell r="C1">
            <v>0</v>
          </cell>
        </row>
      </sheetData>
      <sheetData sheetId="1262">
        <row r="1">
          <cell r="C1">
            <v>0</v>
          </cell>
        </row>
      </sheetData>
      <sheetData sheetId="1263">
        <row r="1">
          <cell r="C1">
            <v>0</v>
          </cell>
        </row>
      </sheetData>
      <sheetData sheetId="1264">
        <row r="1">
          <cell r="C1">
            <v>0</v>
          </cell>
        </row>
      </sheetData>
      <sheetData sheetId="1265">
        <row r="1">
          <cell r="C1">
            <v>0</v>
          </cell>
        </row>
      </sheetData>
      <sheetData sheetId="1266">
        <row r="1">
          <cell r="C1">
            <v>0</v>
          </cell>
        </row>
      </sheetData>
      <sheetData sheetId="1267">
        <row r="1">
          <cell r="C1">
            <v>0</v>
          </cell>
        </row>
      </sheetData>
      <sheetData sheetId="1268">
        <row r="1">
          <cell r="C1">
            <v>0</v>
          </cell>
        </row>
      </sheetData>
      <sheetData sheetId="1269">
        <row r="1">
          <cell r="C1">
            <v>0</v>
          </cell>
        </row>
      </sheetData>
      <sheetData sheetId="1270">
        <row r="1">
          <cell r="C1">
            <v>0</v>
          </cell>
        </row>
      </sheetData>
      <sheetData sheetId="1271">
        <row r="1">
          <cell r="C1">
            <v>0</v>
          </cell>
        </row>
      </sheetData>
      <sheetData sheetId="1272">
        <row r="1">
          <cell r="C1">
            <v>0</v>
          </cell>
        </row>
      </sheetData>
      <sheetData sheetId="1273">
        <row r="1">
          <cell r="C1">
            <v>0</v>
          </cell>
        </row>
      </sheetData>
      <sheetData sheetId="1274">
        <row r="1">
          <cell r="C1">
            <v>0</v>
          </cell>
        </row>
      </sheetData>
      <sheetData sheetId="1275">
        <row r="1">
          <cell r="C1">
            <v>0</v>
          </cell>
        </row>
      </sheetData>
      <sheetData sheetId="1276">
        <row r="1">
          <cell r="C1">
            <v>0</v>
          </cell>
        </row>
      </sheetData>
      <sheetData sheetId="1277">
        <row r="1">
          <cell r="C1">
            <v>0</v>
          </cell>
        </row>
      </sheetData>
      <sheetData sheetId="1278">
        <row r="1">
          <cell r="C1">
            <v>0</v>
          </cell>
        </row>
      </sheetData>
      <sheetData sheetId="1279">
        <row r="1">
          <cell r="C1">
            <v>0</v>
          </cell>
        </row>
      </sheetData>
      <sheetData sheetId="1280">
        <row r="1">
          <cell r="C1">
            <v>0</v>
          </cell>
        </row>
      </sheetData>
      <sheetData sheetId="1281">
        <row r="1">
          <cell r="C1">
            <v>0</v>
          </cell>
        </row>
      </sheetData>
      <sheetData sheetId="1282">
        <row r="1">
          <cell r="C1">
            <v>0</v>
          </cell>
        </row>
      </sheetData>
      <sheetData sheetId="1283">
        <row r="1">
          <cell r="C1">
            <v>0</v>
          </cell>
        </row>
      </sheetData>
      <sheetData sheetId="1284">
        <row r="1">
          <cell r="C1">
            <v>0</v>
          </cell>
        </row>
      </sheetData>
      <sheetData sheetId="1285">
        <row r="1">
          <cell r="C1">
            <v>0</v>
          </cell>
        </row>
      </sheetData>
      <sheetData sheetId="1286">
        <row r="1">
          <cell r="C1">
            <v>0</v>
          </cell>
        </row>
      </sheetData>
      <sheetData sheetId="1287">
        <row r="1">
          <cell r="C1">
            <v>0</v>
          </cell>
        </row>
      </sheetData>
      <sheetData sheetId="1288">
        <row r="1">
          <cell r="C1">
            <v>0</v>
          </cell>
        </row>
      </sheetData>
      <sheetData sheetId="1289">
        <row r="1">
          <cell r="C1">
            <v>0</v>
          </cell>
        </row>
      </sheetData>
      <sheetData sheetId="1290">
        <row r="1">
          <cell r="C1">
            <v>0</v>
          </cell>
        </row>
      </sheetData>
      <sheetData sheetId="1291">
        <row r="1">
          <cell r="C1">
            <v>0</v>
          </cell>
        </row>
      </sheetData>
      <sheetData sheetId="1292">
        <row r="1">
          <cell r="C1">
            <v>0</v>
          </cell>
        </row>
      </sheetData>
      <sheetData sheetId="1293">
        <row r="1">
          <cell r="C1">
            <v>0</v>
          </cell>
        </row>
      </sheetData>
      <sheetData sheetId="1294">
        <row r="1">
          <cell r="C1">
            <v>0</v>
          </cell>
        </row>
      </sheetData>
      <sheetData sheetId="1295">
        <row r="1">
          <cell r="C1">
            <v>0</v>
          </cell>
        </row>
      </sheetData>
      <sheetData sheetId="1296">
        <row r="1">
          <cell r="C1">
            <v>0</v>
          </cell>
        </row>
      </sheetData>
      <sheetData sheetId="1297">
        <row r="1">
          <cell r="C1">
            <v>0</v>
          </cell>
        </row>
      </sheetData>
      <sheetData sheetId="1298">
        <row r="1">
          <cell r="C1">
            <v>0</v>
          </cell>
        </row>
      </sheetData>
      <sheetData sheetId="1299">
        <row r="1">
          <cell r="C1">
            <v>0</v>
          </cell>
        </row>
      </sheetData>
      <sheetData sheetId="1300">
        <row r="1">
          <cell r="C1">
            <v>0</v>
          </cell>
        </row>
      </sheetData>
      <sheetData sheetId="1301">
        <row r="1">
          <cell r="C1">
            <v>0</v>
          </cell>
        </row>
      </sheetData>
      <sheetData sheetId="1302">
        <row r="1">
          <cell r="C1">
            <v>0</v>
          </cell>
        </row>
      </sheetData>
      <sheetData sheetId="1303">
        <row r="1">
          <cell r="C1">
            <v>0</v>
          </cell>
        </row>
      </sheetData>
      <sheetData sheetId="1304">
        <row r="1">
          <cell r="C1">
            <v>0</v>
          </cell>
        </row>
      </sheetData>
      <sheetData sheetId="1305">
        <row r="1">
          <cell r="C1">
            <v>0</v>
          </cell>
        </row>
      </sheetData>
      <sheetData sheetId="1306">
        <row r="1">
          <cell r="C1">
            <v>0</v>
          </cell>
        </row>
      </sheetData>
      <sheetData sheetId="1307">
        <row r="1">
          <cell r="C1">
            <v>0</v>
          </cell>
        </row>
      </sheetData>
      <sheetData sheetId="1308">
        <row r="1">
          <cell r="C1">
            <v>0</v>
          </cell>
        </row>
      </sheetData>
      <sheetData sheetId="1309">
        <row r="1">
          <cell r="C1">
            <v>0</v>
          </cell>
        </row>
      </sheetData>
      <sheetData sheetId="1310">
        <row r="1">
          <cell r="C1">
            <v>0</v>
          </cell>
        </row>
      </sheetData>
      <sheetData sheetId="1311">
        <row r="1">
          <cell r="C1">
            <v>0</v>
          </cell>
        </row>
      </sheetData>
      <sheetData sheetId="1312">
        <row r="1">
          <cell r="C1">
            <v>0</v>
          </cell>
        </row>
      </sheetData>
      <sheetData sheetId="1313">
        <row r="1">
          <cell r="C1">
            <v>0</v>
          </cell>
        </row>
      </sheetData>
      <sheetData sheetId="1314">
        <row r="1">
          <cell r="C1">
            <v>0</v>
          </cell>
        </row>
      </sheetData>
      <sheetData sheetId="1315">
        <row r="1">
          <cell r="C1">
            <v>0</v>
          </cell>
        </row>
      </sheetData>
      <sheetData sheetId="1316">
        <row r="1">
          <cell r="C1">
            <v>0</v>
          </cell>
        </row>
      </sheetData>
      <sheetData sheetId="1317">
        <row r="1">
          <cell r="C1">
            <v>0</v>
          </cell>
        </row>
      </sheetData>
      <sheetData sheetId="1318">
        <row r="1">
          <cell r="C1">
            <v>0</v>
          </cell>
        </row>
      </sheetData>
      <sheetData sheetId="1319">
        <row r="1">
          <cell r="C1">
            <v>0</v>
          </cell>
        </row>
      </sheetData>
      <sheetData sheetId="1320">
        <row r="1">
          <cell r="C1">
            <v>0</v>
          </cell>
        </row>
      </sheetData>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ow r="1">
          <cell r="C1">
            <v>0</v>
          </cell>
        </row>
      </sheetData>
      <sheetData sheetId="1381">
        <row r="1">
          <cell r="C1">
            <v>0</v>
          </cell>
        </row>
      </sheetData>
      <sheetData sheetId="1382">
        <row r="1">
          <cell r="C1">
            <v>0</v>
          </cell>
        </row>
      </sheetData>
      <sheetData sheetId="1383">
        <row r="1">
          <cell r="C1">
            <v>0</v>
          </cell>
        </row>
      </sheetData>
      <sheetData sheetId="1384">
        <row r="1">
          <cell r="C1">
            <v>0</v>
          </cell>
        </row>
      </sheetData>
      <sheetData sheetId="1385">
        <row r="1">
          <cell r="C1">
            <v>0</v>
          </cell>
        </row>
      </sheetData>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16"/>
      <sheetName val="Sheet5"/>
      <sheetName val="Sheet4"/>
      <sheetName val="Sheet6"/>
      <sheetName val="Sheet7 "/>
      <sheetName val="Sheet8"/>
      <sheetName val="Sheet9"/>
      <sheetName val="Sheet10"/>
      <sheetName val="Sheet11"/>
      <sheetName val="Sheet12"/>
      <sheetName val="Sheet13"/>
      <sheetName val="Sheet15"/>
      <sheetName val="Sheet17"/>
      <sheetName val="Sheet18"/>
      <sheetName val="Sheet19"/>
      <sheetName val="Sheet20"/>
      <sheetName val="生产部金额"/>
      <sheetName val="Sheet7"/>
      <sheetName val="Sheet14"/>
      <sheetName val="Deferred tax"/>
      <sheetName val="AGRO-DATA"/>
      <sheetName val="8-原料耗用价格比较"/>
      <sheetName val="일위대가(목록)"/>
      <sheetName val="재료비"/>
    </sheetNames>
    <sheetDataSet>
      <sheetData sheetId="0"/>
      <sheetData sheetId="1" refreshError="1">
        <row r="2">
          <cell r="A2" t="str">
            <v>泰州正大饲料有限公司</v>
          </cell>
        </row>
        <row r="3">
          <cell r="A3" t="str">
            <v>饲料经营情况月报表</v>
          </cell>
        </row>
        <row r="4">
          <cell r="A4">
            <v>37772</v>
          </cell>
        </row>
        <row r="5">
          <cell r="A5" t="str">
            <v>产品名称</v>
          </cell>
          <cell r="B5" t="str">
            <v>规格</v>
          </cell>
          <cell r="C5" t="str">
            <v>销售量</v>
          </cell>
          <cell r="D5" t="str">
            <v>销售结构</v>
          </cell>
          <cell r="E5" t="str">
            <v>销售收入</v>
          </cell>
          <cell r="F5">
            <v>0</v>
          </cell>
          <cell r="G5" t="str">
            <v>销售成本</v>
          </cell>
          <cell r="H5">
            <v>0</v>
          </cell>
          <cell r="I5" t="str">
            <v>销售毛利</v>
          </cell>
          <cell r="J5">
            <v>0</v>
          </cell>
          <cell r="K5">
            <v>0</v>
          </cell>
          <cell r="L5" t="str">
            <v>销售费用</v>
          </cell>
          <cell r="M5">
            <v>0</v>
          </cell>
          <cell r="N5" t="str">
            <v>管理费用</v>
          </cell>
          <cell r="O5">
            <v>0</v>
          </cell>
          <cell r="P5" t="str">
            <v>财务费用</v>
          </cell>
          <cell r="Q5">
            <v>0</v>
          </cell>
          <cell r="R5" t="str">
            <v>产品销售利润</v>
          </cell>
          <cell r="S5">
            <v>0</v>
          </cell>
          <cell r="Z5">
            <v>0</v>
          </cell>
          <cell r="AA5">
            <v>0</v>
          </cell>
          <cell r="AB5">
            <v>0</v>
          </cell>
          <cell r="AC5">
            <v>8.2777699999999996E-2</v>
          </cell>
        </row>
        <row r="6">
          <cell r="C6" t="str">
            <v>(T)</v>
          </cell>
          <cell r="D6" t="str">
            <v>%</v>
          </cell>
          <cell r="E6" t="str">
            <v>金额</v>
          </cell>
          <cell r="F6" t="str">
            <v>单位</v>
          </cell>
          <cell r="G6" t="str">
            <v>金额</v>
          </cell>
          <cell r="H6" t="str">
            <v>单位</v>
          </cell>
          <cell r="I6" t="str">
            <v>金额</v>
          </cell>
          <cell r="J6" t="str">
            <v>单位</v>
          </cell>
          <cell r="K6" t="str">
            <v>毛利率</v>
          </cell>
          <cell r="L6" t="str">
            <v>金额</v>
          </cell>
          <cell r="M6" t="str">
            <v>单位</v>
          </cell>
          <cell r="N6" t="str">
            <v>金额</v>
          </cell>
          <cell r="O6" t="str">
            <v>单位</v>
          </cell>
          <cell r="P6" t="str">
            <v>金额</v>
          </cell>
          <cell r="Q6" t="str">
            <v>单位</v>
          </cell>
          <cell r="R6" t="str">
            <v>金额</v>
          </cell>
          <cell r="S6" t="str">
            <v>单位</v>
          </cell>
          <cell r="Z6" t="str">
            <v>销售期间费用率</v>
          </cell>
          <cell r="AA6" t="str">
            <v>销售利润率</v>
          </cell>
          <cell r="AB6" t="str">
            <v>保本单位成本</v>
          </cell>
          <cell r="AC6" t="str">
            <v>毛利率单位成本</v>
          </cell>
        </row>
        <row r="7">
          <cell r="A7" t="str">
            <v>510L</v>
          </cell>
          <cell r="B7" t="str">
            <v>40KG</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Z7">
            <v>0</v>
          </cell>
          <cell r="AA7">
            <v>0</v>
          </cell>
          <cell r="AB7">
            <v>0</v>
          </cell>
          <cell r="AC7">
            <v>0</v>
          </cell>
        </row>
        <row r="8">
          <cell r="A8" t="str">
            <v>510Y</v>
          </cell>
          <cell r="B8" t="str">
            <v>40KG</v>
          </cell>
          <cell r="C8">
            <v>33.72</v>
          </cell>
          <cell r="D8">
            <v>1.4591464945000734</v>
          </cell>
          <cell r="E8">
            <v>64434.130000000005</v>
          </cell>
          <cell r="F8">
            <v>1910.8579478054569</v>
          </cell>
          <cell r="G8">
            <v>61120.87</v>
          </cell>
          <cell r="H8">
            <v>1812.5999406880192</v>
          </cell>
          <cell r="I8">
            <v>3313.260000000002</v>
          </cell>
          <cell r="J8">
            <v>98.258007117437785</v>
          </cell>
          <cell r="K8">
            <v>5.1420885173742574</v>
          </cell>
          <cell r="L8">
            <v>2498.6557354150264</v>
          </cell>
          <cell r="M8">
            <v>74.100110777432576</v>
          </cell>
          <cell r="N8">
            <v>2519.1021715838592</v>
          </cell>
          <cell r="O8">
            <v>74.706470094420496</v>
          </cell>
          <cell r="P8">
            <v>794.20001280864062</v>
          </cell>
          <cell r="Q8">
            <v>23.552788042960874</v>
          </cell>
          <cell r="R8">
            <v>-2498.6979198075242</v>
          </cell>
          <cell r="S8">
            <v>-74.101361797376157</v>
          </cell>
          <cell r="Z8">
            <v>9.0199990592059294</v>
          </cell>
          <cell r="AA8">
            <v>-3.8779105418316724</v>
          </cell>
          <cell r="AB8">
            <v>1738.4985788906429</v>
          </cell>
          <cell r="AC8">
            <v>1750</v>
          </cell>
        </row>
        <row r="9">
          <cell r="A9" t="str">
            <v>511Y</v>
          </cell>
          <cell r="B9" t="str">
            <v>40KG</v>
          </cell>
          <cell r="C9">
            <v>65.52</v>
          </cell>
          <cell r="D9">
            <v>2.8352099145802141</v>
          </cell>
          <cell r="E9">
            <v>111302.73999999999</v>
          </cell>
          <cell r="F9">
            <v>1698.7597680097679</v>
          </cell>
          <cell r="G9">
            <v>114310.12</v>
          </cell>
          <cell r="H9">
            <v>1744.6599511599511</v>
          </cell>
          <cell r="I9">
            <v>-3007.3800000000047</v>
          </cell>
          <cell r="J9">
            <v>-45.900183150183224</v>
          </cell>
          <cell r="K9">
            <v>-2.7019819997243597</v>
          </cell>
          <cell r="L9">
            <v>4855.0392581373817</v>
          </cell>
          <cell r="M9">
            <v>74.100110777432576</v>
          </cell>
          <cell r="N9">
            <v>4894.7679205864306</v>
          </cell>
          <cell r="O9">
            <v>74.706470094420496</v>
          </cell>
          <cell r="P9">
            <v>1543.1786725747963</v>
          </cell>
          <cell r="Q9">
            <v>23.552788042960874</v>
          </cell>
          <cell r="R9">
            <v>-14300.365851298613</v>
          </cell>
          <cell r="S9">
            <v>-218.25955206499717</v>
          </cell>
          <cell r="Z9">
            <v>10.146188540640248</v>
          </cell>
          <cell r="AA9">
            <v>-12.848170540364606</v>
          </cell>
          <cell r="AB9">
            <v>1526.4003990949541</v>
          </cell>
          <cell r="AC9">
            <v>1550</v>
          </cell>
        </row>
        <row r="10">
          <cell r="A10" t="str">
            <v>512Y</v>
          </cell>
          <cell r="B10" t="str">
            <v>40KG</v>
          </cell>
          <cell r="C10">
            <v>111.8</v>
          </cell>
          <cell r="D10">
            <v>4.837858187577349</v>
          </cell>
          <cell r="E10">
            <v>187518.52000000002</v>
          </cell>
          <cell r="F10">
            <v>1677.2676207513418</v>
          </cell>
          <cell r="G10">
            <v>190720.74</v>
          </cell>
          <cell r="H10">
            <v>1705.9100178890876</v>
          </cell>
          <cell r="I10">
            <v>-3202.2199999999721</v>
          </cell>
          <cell r="J10">
            <v>-28.642397137745725</v>
          </cell>
          <cell r="K10">
            <v>-1.7076819932239073</v>
          </cell>
          <cell r="L10">
            <v>8284.3923849169623</v>
          </cell>
          <cell r="M10">
            <v>74.100110777432576</v>
          </cell>
          <cell r="N10">
            <v>8352.1833565562119</v>
          </cell>
          <cell r="O10">
            <v>74.706470094420496</v>
          </cell>
          <cell r="P10">
            <v>2633.2017032030258</v>
          </cell>
          <cell r="Q10">
            <v>23.552788042960874</v>
          </cell>
          <cell r="R10">
            <v>-22471.997444676173</v>
          </cell>
          <cell r="S10">
            <v>-201.0017660525597</v>
          </cell>
          <cell r="Z10">
            <v>10.27619962266991</v>
          </cell>
          <cell r="AA10">
            <v>-11.983881615893816</v>
          </cell>
          <cell r="AB10">
            <v>1504.9082518365278</v>
          </cell>
          <cell r="AC10">
            <v>1530</v>
          </cell>
        </row>
        <row r="11">
          <cell r="A11" t="str">
            <v>510S</v>
          </cell>
          <cell r="B11" t="str">
            <v>40KG</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Z11">
            <v>0</v>
          </cell>
          <cell r="AA11">
            <v>0</v>
          </cell>
          <cell r="AB11">
            <v>0</v>
          </cell>
          <cell r="AC11">
            <v>0</v>
          </cell>
        </row>
        <row r="12">
          <cell r="A12">
            <v>510</v>
          </cell>
          <cell r="B12" t="str">
            <v>40KG</v>
          </cell>
          <cell r="C12">
            <v>251.27999999999997</v>
          </cell>
          <cell r="D12">
            <v>6.5826027503959423</v>
          </cell>
          <cell r="E12">
            <v>466801.37</v>
          </cell>
          <cell r="F12">
            <v>1889.4541151722322</v>
          </cell>
          <cell r="G12">
            <v>276767.13</v>
          </cell>
          <cell r="H12">
            <v>1819.400013147515</v>
          </cell>
          <cell r="I12">
            <v>10656.629999999946</v>
          </cell>
          <cell r="J12">
            <v>70.054102024716968</v>
          </cell>
          <cell r="K12">
            <v>3.7076371139254278</v>
          </cell>
          <cell r="L12">
            <v>11272.108851463045</v>
          </cell>
          <cell r="M12">
            <v>74.100110777432576</v>
          </cell>
          <cell r="N12">
            <v>11364.348230763246</v>
          </cell>
          <cell r="O12">
            <v>74.706470094420496</v>
          </cell>
          <cell r="P12">
            <v>3582.8501170952081</v>
          </cell>
          <cell r="Q12">
            <v>23.552788042960874</v>
          </cell>
          <cell r="R12">
            <v>-15562.677199321552</v>
          </cell>
          <cell r="S12">
            <v>-102.30526689009697</v>
          </cell>
          <cell r="Z12">
            <v>9.1221780688282355</v>
          </cell>
          <cell r="AA12">
            <v>-5.4145409549028081</v>
          </cell>
          <cell r="AB12">
            <v>1717.0947462574181</v>
          </cell>
          <cell r="AC12">
            <v>1730</v>
          </cell>
        </row>
        <row r="13">
          <cell r="A13">
            <v>511</v>
          </cell>
          <cell r="B13" t="str">
            <v>40KG</v>
          </cell>
          <cell r="C13">
            <v>344.96</v>
          </cell>
          <cell r="D13">
            <v>9.3589621539287045</v>
          </cell>
          <cell r="E13">
            <v>583358.23</v>
          </cell>
          <cell r="F13">
            <v>1717.6099963010911</v>
          </cell>
          <cell r="G13">
            <v>371992.95</v>
          </cell>
          <cell r="H13">
            <v>1719.9600055483634</v>
          </cell>
          <cell r="I13">
            <v>-508.26000000000931</v>
          </cell>
          <cell r="J13">
            <v>-2.3500092472720979</v>
          </cell>
          <cell r="K13">
            <v>-0.13681855906363444</v>
          </cell>
          <cell r="L13">
            <v>16026.371958943118</v>
          </cell>
          <cell r="M13">
            <v>74.100110777432576</v>
          </cell>
          <cell r="N13">
            <v>16157.515352021264</v>
          </cell>
          <cell r="O13">
            <v>74.706470094420496</v>
          </cell>
          <cell r="P13">
            <v>5093.9969979315774</v>
          </cell>
          <cell r="Q13">
            <v>23.552788042960874</v>
          </cell>
          <cell r="R13">
            <v>-37786.144308895971</v>
          </cell>
          <cell r="S13">
            <v>-174.70937816208604</v>
          </cell>
          <cell r="Z13">
            <v>10.034837319647268</v>
          </cell>
          <cell r="AA13">
            <v>-10.171655878710901</v>
          </cell>
          <cell r="AB13">
            <v>1545.2506273862771</v>
          </cell>
          <cell r="AC13">
            <v>1570</v>
          </cell>
        </row>
        <row r="14">
          <cell r="A14">
            <v>512</v>
          </cell>
          <cell r="B14" t="str">
            <v>40KG</v>
          </cell>
          <cell r="C14">
            <v>497.72</v>
          </cell>
          <cell r="D14">
            <v>20.364007719802331</v>
          </cell>
          <cell r="E14">
            <v>805783.0199999999</v>
          </cell>
          <cell r="F14">
            <v>1646.5417339566509</v>
          </cell>
          <cell r="G14">
            <v>782805.45</v>
          </cell>
          <cell r="H14">
            <v>1663.419995750106</v>
          </cell>
          <cell r="I14">
            <v>-7942.9100000000326</v>
          </cell>
          <cell r="J14">
            <v>-16.878261793455231</v>
          </cell>
          <cell r="K14">
            <v>-1.0250734278624483</v>
          </cell>
          <cell r="L14">
            <v>34871.512131859774</v>
          </cell>
          <cell r="M14">
            <v>74.100110777432576</v>
          </cell>
          <cell r="N14">
            <v>35156.864826434285</v>
          </cell>
          <cell r="O14">
            <v>74.706470094420496</v>
          </cell>
          <cell r="P14">
            <v>11083.942053017388</v>
          </cell>
          <cell r="Q14">
            <v>23.552788042960874</v>
          </cell>
          <cell r="R14">
            <v>-89055.229011311487</v>
          </cell>
          <cell r="S14">
            <v>-189.23763070826919</v>
          </cell>
          <cell r="Z14">
            <v>10.467962357724954</v>
          </cell>
          <cell r="AA14">
            <v>-11.493035785587402</v>
          </cell>
          <cell r="AB14">
            <v>1474.1823650418369</v>
          </cell>
          <cell r="AC14">
            <v>1510</v>
          </cell>
        </row>
        <row r="15">
          <cell r="A15">
            <v>810</v>
          </cell>
          <cell r="B15" t="str">
            <v>5KG</v>
          </cell>
          <cell r="C15">
            <v>40.56</v>
          </cell>
          <cell r="D15">
            <v>0.51753831774083281</v>
          </cell>
          <cell r="E15">
            <v>64534.29</v>
          </cell>
          <cell r="F15">
            <v>1603.8319397993312</v>
          </cell>
          <cell r="G15">
            <v>16770.669999999998</v>
          </cell>
          <cell r="H15">
            <v>1402.2299331103677</v>
          </cell>
          <cell r="I15">
            <v>2411.1600000000035</v>
          </cell>
          <cell r="J15">
            <v>201.60200668896348</v>
          </cell>
          <cell r="K15">
            <v>12.570020691456463</v>
          </cell>
          <cell r="L15">
            <v>886.23732489809368</v>
          </cell>
          <cell r="M15">
            <v>74.100110777432576</v>
          </cell>
          <cell r="N15">
            <v>893.48938232926923</v>
          </cell>
          <cell r="O15">
            <v>74.706470094420496</v>
          </cell>
          <cell r="P15">
            <v>281.69134499381209</v>
          </cell>
          <cell r="Q15">
            <v>23.552788042960877</v>
          </cell>
          <cell r="R15">
            <v>349.74194777882849</v>
          </cell>
          <cell r="S15">
            <v>29.242637774149536</v>
          </cell>
          <cell r="Z15">
            <v>10.746722560992225</v>
          </cell>
          <cell r="AA15">
            <v>1.8232981304642386</v>
          </cell>
          <cell r="AB15">
            <v>1431.4725708845172</v>
          </cell>
          <cell r="AC15">
            <v>1470</v>
          </cell>
        </row>
        <row r="16">
          <cell r="A16" t="str">
            <v>831A</v>
          </cell>
          <cell r="B16" t="str">
            <v>5KG</v>
          </cell>
          <cell r="C16">
            <v>25.04</v>
          </cell>
          <cell r="D16">
            <v>1.0835417622266263</v>
          </cell>
          <cell r="E16">
            <v>42099.66</v>
          </cell>
          <cell r="F16">
            <v>1681.2963258785944</v>
          </cell>
          <cell r="G16">
            <v>35121.86</v>
          </cell>
          <cell r="H16">
            <v>1402.6301916932907</v>
          </cell>
          <cell r="I16">
            <v>6977.8000000000029</v>
          </cell>
          <cell r="J16">
            <v>278.66613418530363</v>
          </cell>
          <cell r="K16">
            <v>16.574480649012376</v>
          </cell>
          <cell r="L16">
            <v>1855.4667738669116</v>
          </cell>
          <cell r="M16">
            <v>74.100110777432576</v>
          </cell>
          <cell r="N16">
            <v>1870.6500111642893</v>
          </cell>
          <cell r="O16">
            <v>74.706470094420496</v>
          </cell>
          <cell r="P16">
            <v>589.76181259574025</v>
          </cell>
          <cell r="Q16">
            <v>23.552788042960874</v>
          </cell>
          <cell r="R16">
            <v>2661.9214023730624</v>
          </cell>
          <cell r="S16">
            <v>106.30676527048972</v>
          </cell>
          <cell r="Z16">
            <v>10.251575897826587</v>
          </cell>
          <cell r="AA16">
            <v>6.3229047511857868</v>
          </cell>
          <cell r="AB16">
            <v>1508.9369569637804</v>
          </cell>
          <cell r="AC16">
            <v>1540</v>
          </cell>
        </row>
        <row r="17">
          <cell r="A17" t="str">
            <v>831A</v>
          </cell>
          <cell r="B17" t="str">
            <v>40KG</v>
          </cell>
          <cell r="C17">
            <v>4.8</v>
          </cell>
          <cell r="D17">
            <v>0.2077076860498325</v>
          </cell>
          <cell r="E17">
            <v>7654.87</v>
          </cell>
          <cell r="F17">
            <v>1594.7645833333333</v>
          </cell>
          <cell r="G17">
            <v>6410.69</v>
          </cell>
          <cell r="H17">
            <v>1335.5604166666667</v>
          </cell>
          <cell r="I17">
            <v>1244.1800000000003</v>
          </cell>
          <cell r="J17">
            <v>259.20416666666677</v>
          </cell>
          <cell r="K17">
            <v>16.253443886049016</v>
          </cell>
          <cell r="L17">
            <v>355.68053173167635</v>
          </cell>
          <cell r="M17">
            <v>74.100110777432576</v>
          </cell>
          <cell r="N17">
            <v>358.59105645321836</v>
          </cell>
          <cell r="O17">
            <v>74.706470094420496</v>
          </cell>
          <cell r="P17">
            <v>113.0533826062122</v>
          </cell>
          <cell r="Q17">
            <v>23.552788042960874</v>
          </cell>
          <cell r="R17">
            <v>416.85502920889331</v>
          </cell>
          <cell r="S17">
            <v>86.844797751852781</v>
          </cell>
          <cell r="Z17">
            <v>10.807825224871316</v>
          </cell>
          <cell r="AA17">
            <v>5.4456186611776989</v>
          </cell>
          <cell r="AB17">
            <v>1422.4052144185193</v>
          </cell>
          <cell r="AC17">
            <v>1460</v>
          </cell>
        </row>
        <row r="18">
          <cell r="A18">
            <v>831</v>
          </cell>
          <cell r="B18" t="str">
            <v>5KG</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Z18">
            <v>0</v>
          </cell>
          <cell r="AA18">
            <v>0</v>
          </cell>
          <cell r="AB18">
            <v>0</v>
          </cell>
          <cell r="AC18">
            <v>0</v>
          </cell>
        </row>
        <row r="19">
          <cell r="A19">
            <v>831</v>
          </cell>
          <cell r="B19" t="str">
            <v>40KG</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Z19">
            <v>0</v>
          </cell>
          <cell r="AA19">
            <v>0</v>
          </cell>
          <cell r="AB19">
            <v>0</v>
          </cell>
          <cell r="AC19">
            <v>0</v>
          </cell>
        </row>
        <row r="20">
          <cell r="A20" t="str">
            <v>肉鸡料合计</v>
          </cell>
          <cell r="B20">
            <v>0</v>
          </cell>
          <cell r="C20">
            <v>1391.16</v>
          </cell>
          <cell r="D20">
            <v>47.246574986801903</v>
          </cell>
          <cell r="E20">
            <v>2356270.7499999995</v>
          </cell>
          <cell r="F20">
            <v>1709.0074919402111</v>
          </cell>
          <cell r="G20">
            <v>1856020.48</v>
          </cell>
          <cell r="H20">
            <v>1699.9015240328254</v>
          </cell>
          <cell r="I20">
            <v>9942.2599999999366</v>
          </cell>
          <cell r="J20">
            <v>9.1059679073856401</v>
          </cell>
          <cell r="K20">
            <v>0.5328220005078953</v>
          </cell>
          <cell r="L20">
            <v>80905.464951231988</v>
          </cell>
          <cell r="M20">
            <v>74.10011077743259</v>
          </cell>
          <cell r="N20">
            <v>81567.512307892073</v>
          </cell>
          <cell r="O20">
            <v>74.706470094420496</v>
          </cell>
          <cell r="P20">
            <v>25715.8760968264</v>
          </cell>
          <cell r="Q20">
            <v>23.552788042960874</v>
          </cell>
          <cell r="R20">
            <v>-178246.59335595052</v>
          </cell>
          <cell r="S20">
            <v>-163.25340100742832</v>
          </cell>
          <cell r="Z20">
            <v>10.085348936600441</v>
          </cell>
          <cell r="AA20">
            <v>-9.552526936092546</v>
          </cell>
          <cell r="AB20">
            <v>1536.6481230253971</v>
          </cell>
          <cell r="AC20">
            <v>1560</v>
          </cell>
        </row>
        <row r="21">
          <cell r="A21">
            <v>124</v>
          </cell>
          <cell r="B21" t="str">
            <v>45KG</v>
          </cell>
          <cell r="C21">
            <v>46.44</v>
          </cell>
          <cell r="D21">
            <v>2.0095718625321295</v>
          </cell>
          <cell r="E21">
            <v>104506.5</v>
          </cell>
          <cell r="F21">
            <v>2250.3552971576228</v>
          </cell>
          <cell r="G21">
            <v>98419.83</v>
          </cell>
          <cell r="H21">
            <v>2119.2900516795867</v>
          </cell>
          <cell r="I21">
            <v>6086.6699999999983</v>
          </cell>
          <cell r="J21">
            <v>131.06524547803613</v>
          </cell>
          <cell r="K21">
            <v>5.8242023223435844</v>
          </cell>
          <cell r="L21">
            <v>3441.2091445039687</v>
          </cell>
          <cell r="M21">
            <v>74.100110777432576</v>
          </cell>
          <cell r="N21">
            <v>3469.3684711848878</v>
          </cell>
          <cell r="O21">
            <v>74.706470094420496</v>
          </cell>
          <cell r="P21">
            <v>1093.7914767151028</v>
          </cell>
          <cell r="Q21">
            <v>23.55278804296087</v>
          </cell>
          <cell r="R21">
            <v>-1917.699092403961</v>
          </cell>
          <cell r="S21">
            <v>-41.294123436777802</v>
          </cell>
          <cell r="Z21">
            <v>7.6592069320128031</v>
          </cell>
          <cell r="AA21">
            <v>-1.8350046096692176</v>
          </cell>
          <cell r="AB21">
            <v>2077.9959282428085</v>
          </cell>
          <cell r="AC21">
            <v>2060</v>
          </cell>
        </row>
        <row r="22">
          <cell r="A22">
            <v>322</v>
          </cell>
          <cell r="B22" t="str">
            <v>40KG</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Z22">
            <v>0</v>
          </cell>
          <cell r="AA22">
            <v>0</v>
          </cell>
          <cell r="AB22">
            <v>0</v>
          </cell>
          <cell r="AC22">
            <v>0</v>
          </cell>
        </row>
        <row r="23">
          <cell r="A23">
            <v>324</v>
          </cell>
          <cell r="B23" t="str">
            <v>40KG</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Z23">
            <v>0</v>
          </cell>
          <cell r="AA23">
            <v>0</v>
          </cell>
          <cell r="AB23">
            <v>0</v>
          </cell>
          <cell r="AC23">
            <v>0</v>
          </cell>
        </row>
        <row r="24">
          <cell r="A24">
            <v>325</v>
          </cell>
          <cell r="B24" t="str">
            <v>40KG</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Z24">
            <v>0</v>
          </cell>
          <cell r="AA24">
            <v>0</v>
          </cell>
          <cell r="AB24">
            <v>0</v>
          </cell>
          <cell r="AC24">
            <v>0</v>
          </cell>
        </row>
        <row r="25">
          <cell r="A25">
            <v>521</v>
          </cell>
          <cell r="B25" t="str">
            <v>40KG</v>
          </cell>
          <cell r="C25">
            <v>15.76</v>
          </cell>
          <cell r="D25">
            <v>0.68197356919695007</v>
          </cell>
          <cell r="E25">
            <v>28743.65</v>
          </cell>
          <cell r="F25">
            <v>1823.8356598984772</v>
          </cell>
          <cell r="G25">
            <v>26514.31</v>
          </cell>
          <cell r="H25">
            <v>1682.3800761421321</v>
          </cell>
          <cell r="I25">
            <v>2229.34</v>
          </cell>
          <cell r="J25">
            <v>141.45558375634519</v>
          </cell>
          <cell r="K25">
            <v>7.7559391378617546</v>
          </cell>
          <cell r="L25">
            <v>1167.8177458523373</v>
          </cell>
          <cell r="M25">
            <v>74.100110777432576</v>
          </cell>
          <cell r="N25">
            <v>1177.373968688067</v>
          </cell>
          <cell r="O25">
            <v>74.706470094420496</v>
          </cell>
          <cell r="P25">
            <v>371.19193955706334</v>
          </cell>
          <cell r="Q25">
            <v>23.552788042960874</v>
          </cell>
          <cell r="R25">
            <v>-487.04365409746748</v>
          </cell>
          <cell r="S25">
            <v>-30.90378515846875</v>
          </cell>
          <cell r="Z25">
            <v>9.4503782717138129</v>
          </cell>
          <cell r="AA25">
            <v>-1.6944391338520592</v>
          </cell>
          <cell r="AB25">
            <v>1651.4762909836634</v>
          </cell>
          <cell r="AC25">
            <v>1670</v>
          </cell>
        </row>
        <row r="26">
          <cell r="A26">
            <v>522</v>
          </cell>
          <cell r="B26" t="str">
            <v>40KG</v>
          </cell>
          <cell r="C26">
            <v>22.32</v>
          </cell>
          <cell r="D26">
            <v>0.96584074013172128</v>
          </cell>
          <cell r="E26">
            <v>34876.039999999994</v>
          </cell>
          <cell r="F26">
            <v>1562.5465949820787</v>
          </cell>
          <cell r="G26">
            <v>33037.839999999997</v>
          </cell>
          <cell r="H26">
            <v>1480.1899641577058</v>
          </cell>
          <cell r="I26">
            <v>1838.1999999999971</v>
          </cell>
          <cell r="J26">
            <v>82.35663082437263</v>
          </cell>
          <cell r="K26">
            <v>5.2706671973079438</v>
          </cell>
          <cell r="L26">
            <v>1653.9144725522951</v>
          </cell>
          <cell r="M26">
            <v>74.100110777432576</v>
          </cell>
          <cell r="N26">
            <v>1667.4484125074655</v>
          </cell>
          <cell r="O26">
            <v>74.706470094420496</v>
          </cell>
          <cell r="P26">
            <v>525.69822911888673</v>
          </cell>
          <cell r="Q26">
            <v>23.552788042960874</v>
          </cell>
          <cell r="R26">
            <v>-2008.8611141786503</v>
          </cell>
          <cell r="S26">
            <v>-90.002738090441312</v>
          </cell>
          <cell r="Z26">
            <v>11.030670667250778</v>
          </cell>
          <cell r="AA26">
            <v>-5.7600034699428333</v>
          </cell>
          <cell r="AB26">
            <v>1390.1872260672646</v>
          </cell>
          <cell r="AC26">
            <v>1430</v>
          </cell>
        </row>
        <row r="27">
          <cell r="A27">
            <v>524</v>
          </cell>
          <cell r="B27" t="str">
            <v>40KG</v>
          </cell>
          <cell r="C27">
            <v>7.96</v>
          </cell>
          <cell r="D27">
            <v>0.34444857936597228</v>
          </cell>
          <cell r="E27">
            <v>12010.43</v>
          </cell>
          <cell r="F27">
            <v>1508.8479899497488</v>
          </cell>
          <cell r="G27">
            <v>11590.23</v>
          </cell>
          <cell r="H27">
            <v>1456.0590452261306</v>
          </cell>
          <cell r="I27">
            <v>420.20000000000073</v>
          </cell>
          <cell r="J27">
            <v>52.788944723618179</v>
          </cell>
          <cell r="K27">
            <v>3.4986257777615015</v>
          </cell>
          <cell r="L27">
            <v>589.83688178836326</v>
          </cell>
          <cell r="M27">
            <v>74.100110777432576</v>
          </cell>
          <cell r="N27">
            <v>594.66350195158714</v>
          </cell>
          <cell r="O27">
            <v>74.706470094420496</v>
          </cell>
          <cell r="P27">
            <v>187.48019282196856</v>
          </cell>
          <cell r="Q27">
            <v>23.552788042960874</v>
          </cell>
          <cell r="R27">
            <v>-951.78057656191822</v>
          </cell>
          <cell r="S27">
            <v>-119.57042419119576</v>
          </cell>
          <cell r="Z27">
            <v>11.423242769508827</v>
          </cell>
          <cell r="AA27">
            <v>-7.9246169917473246</v>
          </cell>
          <cell r="AB27">
            <v>1336.4886210349348</v>
          </cell>
          <cell r="AC27">
            <v>1380</v>
          </cell>
        </row>
        <row r="28">
          <cell r="A28" t="str">
            <v>浓缩蛋鸡料</v>
          </cell>
          <cell r="B28">
            <v>0</v>
          </cell>
          <cell r="C28">
            <v>47.924999999999997</v>
          </cell>
          <cell r="D28">
            <v>2.0095718625321295</v>
          </cell>
          <cell r="E28">
            <v>104506.5</v>
          </cell>
          <cell r="F28">
            <v>2195.8827334376633</v>
          </cell>
          <cell r="G28">
            <v>98419.83</v>
          </cell>
          <cell r="H28">
            <v>2119.2900516795867</v>
          </cell>
          <cell r="I28">
            <v>6086.6699999999983</v>
          </cell>
          <cell r="J28">
            <v>131.06524547803613</v>
          </cell>
          <cell r="K28">
            <v>5.8242023223435844</v>
          </cell>
          <cell r="L28">
            <v>3441.2091445039687</v>
          </cell>
          <cell r="M28">
            <v>74.100110777432576</v>
          </cell>
          <cell r="N28">
            <v>3469.3684711848878</v>
          </cell>
          <cell r="O28">
            <v>74.706470094420496</v>
          </cell>
          <cell r="P28">
            <v>1093.7914767151028</v>
          </cell>
          <cell r="Q28">
            <v>23.55278804296087</v>
          </cell>
          <cell r="R28">
            <v>-1917.699092403961</v>
          </cell>
          <cell r="S28">
            <v>-41.294123436777802</v>
          </cell>
        </row>
        <row r="29">
          <cell r="A29" t="str">
            <v>全价蛋鸡料</v>
          </cell>
          <cell r="B29">
            <v>0</v>
          </cell>
          <cell r="C29">
            <v>55.399999999999991</v>
          </cell>
          <cell r="D29">
            <v>1.9922628886946434</v>
          </cell>
          <cell r="E29">
            <v>94586.49</v>
          </cell>
          <cell r="F29">
            <v>1642.7046046915727</v>
          </cell>
          <cell r="G29">
            <v>71142.37999999999</v>
          </cell>
          <cell r="H29">
            <v>1545.229800173762</v>
          </cell>
          <cell r="I29">
            <v>4487.739999999998</v>
          </cell>
          <cell r="J29">
            <v>97.474804517810568</v>
          </cell>
          <cell r="K29">
            <v>5.9337999199260798</v>
          </cell>
          <cell r="L29">
            <v>3411.5691001929954</v>
          </cell>
          <cell r="M29">
            <v>74.100110777432576</v>
          </cell>
          <cell r="N29">
            <v>3439.4858831471188</v>
          </cell>
          <cell r="O29">
            <v>74.706470094420496</v>
          </cell>
          <cell r="P29">
            <v>1084.3703614979186</v>
          </cell>
          <cell r="Q29">
            <v>23.552788042960877</v>
          </cell>
          <cell r="R29">
            <v>-3447.6853448380361</v>
          </cell>
          <cell r="S29">
            <v>-74.884564397003402</v>
          </cell>
        </row>
        <row r="30">
          <cell r="A30" t="str">
            <v>蛋鸡料合计</v>
          </cell>
          <cell r="B30">
            <v>0</v>
          </cell>
          <cell r="C30">
            <v>92.47999999999999</v>
          </cell>
          <cell r="D30">
            <v>4.0018347512267729</v>
          </cell>
          <cell r="E30">
            <v>180136.62</v>
          </cell>
          <cell r="F30">
            <v>1947.8440743944639</v>
          </cell>
          <cell r="G30">
            <v>169562.21</v>
          </cell>
          <cell r="H30">
            <v>1833.5014057093426</v>
          </cell>
          <cell r="I30">
            <v>10574.409999999996</v>
          </cell>
          <cell r="J30">
            <v>114.34266868512108</v>
          </cell>
          <cell r="K30">
            <v>5.8702167277258761</v>
          </cell>
          <cell r="L30">
            <v>6852.7782446969641</v>
          </cell>
          <cell r="M30">
            <v>74.100110777432576</v>
          </cell>
          <cell r="N30">
            <v>6908.8543543320066</v>
          </cell>
          <cell r="O30">
            <v>74.706470094420496</v>
          </cell>
          <cell r="P30">
            <v>2178.1618382130214</v>
          </cell>
          <cell r="Q30">
            <v>23.552788042960874</v>
          </cell>
          <cell r="R30">
            <v>-5365.3844372419971</v>
          </cell>
          <cell r="S30">
            <v>-58.01670022969288</v>
          </cell>
          <cell r="Z30">
            <v>8.8487251716180708</v>
          </cell>
          <cell r="AA30">
            <v>-2.9785084438921956</v>
          </cell>
          <cell r="AB30">
            <v>1775.4847054796498</v>
          </cell>
          <cell r="AC30">
            <v>1780</v>
          </cell>
        </row>
        <row r="31">
          <cell r="A31" t="str">
            <v>浓缩鸡料</v>
          </cell>
          <cell r="B31">
            <v>0</v>
          </cell>
          <cell r="C31">
            <v>46.44</v>
          </cell>
          <cell r="D31">
            <v>2.0095718625321295</v>
          </cell>
          <cell r="E31">
            <v>104506.5</v>
          </cell>
          <cell r="F31">
            <v>2250.3552971576228</v>
          </cell>
          <cell r="G31">
            <v>98419.83</v>
          </cell>
          <cell r="H31">
            <v>2119.2900516795867</v>
          </cell>
          <cell r="I31">
            <v>6086.6699999999983</v>
          </cell>
          <cell r="J31">
            <v>131.07</v>
          </cell>
          <cell r="K31">
            <v>5.8242023223435844</v>
          </cell>
          <cell r="L31">
            <v>3441.2091445039687</v>
          </cell>
          <cell r="M31">
            <v>74.099999999999994</v>
          </cell>
          <cell r="N31">
            <v>3469.3684711848878</v>
          </cell>
          <cell r="O31">
            <v>74.709999999999994</v>
          </cell>
          <cell r="P31">
            <v>1093.7914767151028</v>
          </cell>
          <cell r="Q31">
            <v>23.55</v>
          </cell>
          <cell r="R31">
            <v>-1917.699092403961</v>
          </cell>
          <cell r="S31">
            <v>-41.29</v>
          </cell>
          <cell r="Z31">
            <v>7.6592069320128031</v>
          </cell>
          <cell r="AA31">
            <v>-1.8350046096692176</v>
          </cell>
          <cell r="AB31">
            <v>2077.9959282428085</v>
          </cell>
          <cell r="AC31">
            <v>2060</v>
          </cell>
        </row>
        <row r="32">
          <cell r="A32" t="str">
            <v>全价鸡料</v>
          </cell>
          <cell r="B32">
            <v>0</v>
          </cell>
          <cell r="C32">
            <v>1137.8799999999999</v>
          </cell>
          <cell r="D32">
            <v>49.238837875496543</v>
          </cell>
          <cell r="E32">
            <v>1941592.8599999999</v>
          </cell>
          <cell r="F32">
            <v>1706.3247969908955</v>
          </cell>
          <cell r="G32">
            <v>1927162.8599999999</v>
          </cell>
          <cell r="H32">
            <v>1693.6433191549197</v>
          </cell>
          <cell r="I32">
            <v>14429.999999999935</v>
          </cell>
          <cell r="J32">
            <v>12.68</v>
          </cell>
          <cell r="K32">
            <v>0.74320421635666378</v>
          </cell>
          <cell r="L32">
            <v>84317.034051424984</v>
          </cell>
          <cell r="M32">
            <v>74.099999999999994</v>
          </cell>
          <cell r="N32">
            <v>85006.998191039194</v>
          </cell>
          <cell r="O32">
            <v>74.709999999999994</v>
          </cell>
          <cell r="P32">
            <v>26800.24645832432</v>
          </cell>
          <cell r="Q32">
            <v>23.55</v>
          </cell>
          <cell r="R32">
            <v>-181694.27870078856</v>
          </cell>
          <cell r="S32">
            <v>-159.68</v>
          </cell>
          <cell r="Z32">
            <v>10.10120518782648</v>
          </cell>
          <cell r="AA32">
            <v>-9.3580009714698154</v>
          </cell>
          <cell r="AB32">
            <v>1533.9654280760815</v>
          </cell>
          <cell r="AC32">
            <v>1560</v>
          </cell>
        </row>
        <row r="33">
          <cell r="A33" t="str">
            <v>鸡料合计</v>
          </cell>
          <cell r="B33">
            <v>0</v>
          </cell>
          <cell r="C33">
            <v>1184.32</v>
          </cell>
          <cell r="D33">
            <v>51.248409738028677</v>
          </cell>
          <cell r="E33">
            <v>2046099.3599999999</v>
          </cell>
          <cell r="F33">
            <v>1727.657524993245</v>
          </cell>
          <cell r="G33">
            <v>2025582.69</v>
          </cell>
          <cell r="H33">
            <v>1710.3339384625776</v>
          </cell>
          <cell r="I33">
            <v>20516.669999999933</v>
          </cell>
          <cell r="J33">
            <v>17.323586530667331</v>
          </cell>
          <cell r="K33">
            <v>1.0027210995266591</v>
          </cell>
          <cell r="L33">
            <v>87758.243195928953</v>
          </cell>
          <cell r="M33">
            <v>74.10011077743259</v>
          </cell>
          <cell r="N33">
            <v>88476.366662224085</v>
          </cell>
          <cell r="O33">
            <v>74.70647009442051</v>
          </cell>
          <cell r="P33">
            <v>27894.037935039421</v>
          </cell>
          <cell r="Q33">
            <v>23.552788042960874</v>
          </cell>
          <cell r="R33">
            <v>-183611.97779319252</v>
          </cell>
          <cell r="S33">
            <v>-155.03578238414661</v>
          </cell>
          <cell r="Z33">
            <v>9.9764777695445108</v>
          </cell>
          <cell r="AA33">
            <v>-8.973756670017849</v>
          </cell>
          <cell r="AB33">
            <v>1555.298156078431</v>
          </cell>
          <cell r="AC33">
            <v>1580</v>
          </cell>
        </row>
        <row r="34">
          <cell r="A34" t="str">
            <v>151-38</v>
          </cell>
          <cell r="B34" t="str">
            <v>5KG</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Z34">
            <v>0</v>
          </cell>
          <cell r="AA34">
            <v>0</v>
          </cell>
          <cell r="AB34">
            <v>0</v>
          </cell>
          <cell r="AC34">
            <v>0</v>
          </cell>
        </row>
        <row r="35">
          <cell r="A35" t="str">
            <v>151-38</v>
          </cell>
          <cell r="B35" t="str">
            <v>10KG</v>
          </cell>
          <cell r="C35">
            <v>15</v>
          </cell>
          <cell r="D35">
            <v>0.64908651890572666</v>
          </cell>
          <cell r="E35">
            <v>41343.270000000004</v>
          </cell>
          <cell r="F35">
            <v>2756.2180000000003</v>
          </cell>
          <cell r="G35">
            <v>38026.35</v>
          </cell>
          <cell r="H35">
            <v>2535.0899999999997</v>
          </cell>
          <cell r="I35">
            <v>3316.9200000000055</v>
          </cell>
          <cell r="J35">
            <v>221.12800000000036</v>
          </cell>
          <cell r="K35">
            <v>8.0228777259273514</v>
          </cell>
          <cell r="L35">
            <v>1111.5016616614887</v>
          </cell>
          <cell r="M35">
            <v>74.100110777432576</v>
          </cell>
          <cell r="N35">
            <v>1120.5970514163075</v>
          </cell>
          <cell r="O35">
            <v>74.706470094420496</v>
          </cell>
          <cell r="P35">
            <v>353.29182064441312</v>
          </cell>
          <cell r="Q35">
            <v>23.552788042960874</v>
          </cell>
          <cell r="R35">
            <v>731.52946627779647</v>
          </cell>
          <cell r="S35">
            <v>48.768631085186435</v>
          </cell>
          <cell r="Z35">
            <v>6.2534737424548403</v>
          </cell>
          <cell r="AA35">
            <v>1.769403983472513</v>
          </cell>
          <cell r="AB35">
            <v>2583.8586310851865</v>
          </cell>
          <cell r="AC35">
            <v>2520</v>
          </cell>
        </row>
        <row r="36">
          <cell r="A36" t="str">
            <v>151-38</v>
          </cell>
          <cell r="B36" t="str">
            <v>20KG</v>
          </cell>
          <cell r="C36">
            <v>14.6</v>
          </cell>
          <cell r="D36">
            <v>0.63177754506824058</v>
          </cell>
          <cell r="E36">
            <v>39614.620000000003</v>
          </cell>
          <cell r="F36">
            <v>2713.3301369863016</v>
          </cell>
          <cell r="G36">
            <v>36737.25</v>
          </cell>
          <cell r="H36">
            <v>2516.25</v>
          </cell>
          <cell r="I36">
            <v>2877.3700000000026</v>
          </cell>
          <cell r="J36">
            <v>197.08013698630157</v>
          </cell>
          <cell r="K36">
            <v>7.2634042684241384</v>
          </cell>
          <cell r="L36">
            <v>1081.8616173505156</v>
          </cell>
          <cell r="M36">
            <v>74.100110777432576</v>
          </cell>
          <cell r="N36">
            <v>1090.7144633785392</v>
          </cell>
          <cell r="O36">
            <v>74.706470094420496</v>
          </cell>
          <cell r="P36">
            <v>343.87070542722876</v>
          </cell>
          <cell r="Q36">
            <v>23.552788042960874</v>
          </cell>
          <cell r="R36">
            <v>360.923213843719</v>
          </cell>
          <cell r="S36">
            <v>24.720768071487605</v>
          </cell>
          <cell r="Z36">
            <v>6.35231837679191</v>
          </cell>
          <cell r="AA36">
            <v>0.9110858916322282</v>
          </cell>
          <cell r="AB36">
            <v>2540.9707680714878</v>
          </cell>
          <cell r="AC36">
            <v>2480</v>
          </cell>
        </row>
        <row r="37">
          <cell r="A37" t="str">
            <v>151-38</v>
          </cell>
          <cell r="B37" t="str">
            <v>40KG</v>
          </cell>
          <cell r="C37">
            <v>33.96</v>
          </cell>
          <cell r="D37">
            <v>1.4695318788025653</v>
          </cell>
          <cell r="E37">
            <v>91151.62</v>
          </cell>
          <cell r="F37">
            <v>2684.0877502944641</v>
          </cell>
          <cell r="G37">
            <v>85039.58</v>
          </cell>
          <cell r="H37">
            <v>2504.1101295641934</v>
          </cell>
          <cell r="I37">
            <v>6112.0399999999936</v>
          </cell>
          <cell r="J37">
            <v>179.9776207302707</v>
          </cell>
          <cell r="K37">
            <v>6.7053553189729307</v>
          </cell>
          <cell r="L37">
            <v>2516.4397620016102</v>
          </cell>
          <cell r="M37">
            <v>74.100110777432576</v>
          </cell>
          <cell r="N37">
            <v>2537.03172440652</v>
          </cell>
          <cell r="O37">
            <v>74.706470094420496</v>
          </cell>
          <cell r="P37">
            <v>799.85268193895126</v>
          </cell>
          <cell r="Q37">
            <v>23.552788042960874</v>
          </cell>
          <cell r="R37">
            <v>258.71583165291213</v>
          </cell>
          <cell r="S37">
            <v>7.6182518154567767</v>
          </cell>
          <cell r="Z37">
            <v>6.4215251120573429</v>
          </cell>
          <cell r="AA37">
            <v>0.2838302069155898</v>
          </cell>
          <cell r="AB37">
            <v>2511.7283813796498</v>
          </cell>
          <cell r="AC37">
            <v>2460</v>
          </cell>
        </row>
        <row r="38">
          <cell r="A38" t="str">
            <v>151-40</v>
          </cell>
          <cell r="B38" t="str">
            <v>5KG</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Z38">
            <v>0</v>
          </cell>
          <cell r="AA38">
            <v>0</v>
          </cell>
          <cell r="AB38">
            <v>0</v>
          </cell>
          <cell r="AC38">
            <v>0</v>
          </cell>
        </row>
        <row r="39">
          <cell r="A39" t="str">
            <v>151-40</v>
          </cell>
          <cell r="B39" t="str">
            <v>10KG</v>
          </cell>
          <cell r="C39">
            <v>15.62</v>
          </cell>
          <cell r="D39">
            <v>0.67591542835383001</v>
          </cell>
          <cell r="E39">
            <v>45825.72</v>
          </cell>
          <cell r="F39">
            <v>2933.7848911651731</v>
          </cell>
          <cell r="G39">
            <v>42032.639999999999</v>
          </cell>
          <cell r="H39">
            <v>2690.9500640204865</v>
          </cell>
          <cell r="I39">
            <v>3793.0800000000017</v>
          </cell>
          <cell r="J39">
            <v>242.83482714468641</v>
          </cell>
          <cell r="K39">
            <v>8.2771858249035724</v>
          </cell>
          <cell r="L39">
            <v>1157.4437303434968</v>
          </cell>
          <cell r="M39">
            <v>74.100110777432576</v>
          </cell>
          <cell r="N39">
            <v>1166.915062874848</v>
          </cell>
          <cell r="O39">
            <v>74.706470094420496</v>
          </cell>
          <cell r="P39">
            <v>367.89454923104881</v>
          </cell>
          <cell r="Q39">
            <v>23.552788042960874</v>
          </cell>
          <cell r="R39">
            <v>1100.8266575506079</v>
          </cell>
          <cell r="S39">
            <v>70.475458229872473</v>
          </cell>
          <cell r="Z39">
            <v>5.8749831807321149</v>
          </cell>
          <cell r="AA39">
            <v>2.4022026441714561</v>
          </cell>
          <cell r="AB39">
            <v>2761.4255222503593</v>
          </cell>
          <cell r="AC39">
            <v>2690</v>
          </cell>
        </row>
        <row r="40">
          <cell r="A40" t="str">
            <v>151-40</v>
          </cell>
          <cell r="B40" t="str">
            <v>20KG</v>
          </cell>
          <cell r="C40">
            <v>30.5</v>
          </cell>
          <cell r="D40">
            <v>1.3198092551083109</v>
          </cell>
          <cell r="E40">
            <v>88898.319999999992</v>
          </cell>
          <cell r="F40">
            <v>2914.6990163934424</v>
          </cell>
          <cell r="G40">
            <v>81680.22</v>
          </cell>
          <cell r="H40">
            <v>2678.04</v>
          </cell>
          <cell r="I40">
            <v>7218.0999999999913</v>
          </cell>
          <cell r="J40">
            <v>236.65901639344233</v>
          </cell>
          <cell r="K40">
            <v>8.1195010209416694</v>
          </cell>
          <cell r="L40">
            <v>2260.0533787116938</v>
          </cell>
          <cell r="M40">
            <v>74.100110777432576</v>
          </cell>
          <cell r="N40">
            <v>2278.5473378798251</v>
          </cell>
          <cell r="O40">
            <v>74.706470094420496</v>
          </cell>
          <cell r="P40">
            <v>718.36003531030667</v>
          </cell>
          <cell r="Q40">
            <v>23.552788042960874</v>
          </cell>
          <cell r="R40">
            <v>1961.1392480981658</v>
          </cell>
          <cell r="S40">
            <v>64.299647478628387</v>
          </cell>
          <cell r="Z40">
            <v>5.9134534284807927</v>
          </cell>
          <cell r="AA40">
            <v>2.2060475924608767</v>
          </cell>
          <cell r="AB40">
            <v>2742.3396474786282</v>
          </cell>
          <cell r="AC40">
            <v>2670</v>
          </cell>
        </row>
        <row r="41">
          <cell r="A41" t="str">
            <v>151-40</v>
          </cell>
          <cell r="B41" t="str">
            <v>40KG</v>
          </cell>
          <cell r="C41">
            <v>5.92</v>
          </cell>
          <cell r="D41">
            <v>0.25617281279479343</v>
          </cell>
          <cell r="E41">
            <v>17060.18</v>
          </cell>
          <cell r="F41">
            <v>2881.7871621621621</v>
          </cell>
          <cell r="G41">
            <v>15703.39</v>
          </cell>
          <cell r="H41">
            <v>2652.5996621621621</v>
          </cell>
          <cell r="I41">
            <v>1356.7900000000009</v>
          </cell>
          <cell r="J41">
            <v>229.18750000000014</v>
          </cell>
          <cell r="K41">
            <v>7.9529641539538316</v>
          </cell>
          <cell r="L41">
            <v>438.67265580240087</v>
          </cell>
          <cell r="M41">
            <v>74.100110777432576</v>
          </cell>
          <cell r="N41">
            <v>442.26230295896931</v>
          </cell>
          <cell r="O41">
            <v>74.706470094420496</v>
          </cell>
          <cell r="P41">
            <v>139.43250521432836</v>
          </cell>
          <cell r="Q41">
            <v>23.55278804296087</v>
          </cell>
          <cell r="R41">
            <v>336.4225360243023</v>
          </cell>
          <cell r="S41">
            <v>56.8281310851862</v>
          </cell>
          <cell r="Z41">
            <v>5.9809888522612216</v>
          </cell>
          <cell r="AA41">
            <v>1.9719753016926098</v>
          </cell>
          <cell r="AB41">
            <v>2709.4277932473478</v>
          </cell>
          <cell r="AC41">
            <v>2640</v>
          </cell>
        </row>
        <row r="42">
          <cell r="A42" t="str">
            <v>151-42</v>
          </cell>
          <cell r="B42" t="str">
            <v>5KG</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Z42">
            <v>0</v>
          </cell>
          <cell r="AA42">
            <v>0</v>
          </cell>
          <cell r="AB42">
            <v>0</v>
          </cell>
          <cell r="AC42">
            <v>0</v>
          </cell>
        </row>
        <row r="43">
          <cell r="A43" t="str">
            <v>151-42</v>
          </cell>
          <cell r="B43" t="str">
            <v>10KG</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Z43">
            <v>0</v>
          </cell>
          <cell r="AA43">
            <v>0</v>
          </cell>
          <cell r="AB43">
            <v>0</v>
          </cell>
          <cell r="AC43">
            <v>0</v>
          </cell>
        </row>
        <row r="44">
          <cell r="A44" t="str">
            <v>151-42</v>
          </cell>
          <cell r="B44" t="str">
            <v>20KG</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Z44">
            <v>0</v>
          </cell>
          <cell r="AA44">
            <v>0</v>
          </cell>
          <cell r="AB44">
            <v>0</v>
          </cell>
          <cell r="AC44">
            <v>0</v>
          </cell>
        </row>
        <row r="45">
          <cell r="A45" t="str">
            <v>151-42</v>
          </cell>
          <cell r="B45" t="str">
            <v>40KG</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Z45">
            <v>0</v>
          </cell>
          <cell r="AA45">
            <v>0</v>
          </cell>
          <cell r="AB45">
            <v>0</v>
          </cell>
          <cell r="AC45">
            <v>0</v>
          </cell>
        </row>
        <row r="46">
          <cell r="A46">
            <v>988</v>
          </cell>
          <cell r="B46" t="str">
            <v>10KG</v>
          </cell>
          <cell r="C46">
            <v>60.99</v>
          </cell>
          <cell r="D46">
            <v>2.6391857858706844</v>
          </cell>
          <cell r="E46">
            <v>177662.95</v>
          </cell>
          <cell r="F46">
            <v>2912.9849155599281</v>
          </cell>
          <cell r="G46">
            <v>165424.22999999998</v>
          </cell>
          <cell r="H46">
            <v>2712.3172651254299</v>
          </cell>
          <cell r="I46">
            <v>12238.72000000003</v>
          </cell>
          <cell r="J46">
            <v>200.66765043449794</v>
          </cell>
          <cell r="K46">
            <v>6.888729473421459</v>
          </cell>
          <cell r="L46">
            <v>4519.365756315613</v>
          </cell>
          <cell r="M46">
            <v>74.100110777432576</v>
          </cell>
          <cell r="N46">
            <v>4556.3476110587062</v>
          </cell>
          <cell r="O46">
            <v>74.706470094420496</v>
          </cell>
          <cell r="P46">
            <v>1436.4845427401838</v>
          </cell>
          <cell r="Q46">
            <v>23.552788042960874</v>
          </cell>
          <cell r="R46">
            <v>1726.5220898855273</v>
          </cell>
          <cell r="S46">
            <v>28.308281519684002</v>
          </cell>
          <cell r="Z46">
            <v>5.9169331085150292</v>
          </cell>
          <cell r="AA46">
            <v>0.97179636490642929</v>
          </cell>
          <cell r="AB46">
            <v>2740.6255466451139</v>
          </cell>
          <cell r="AC46">
            <v>2670</v>
          </cell>
        </row>
        <row r="47">
          <cell r="A47">
            <v>988</v>
          </cell>
          <cell r="B47" t="str">
            <v>20KG</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Z47">
            <v>0</v>
          </cell>
          <cell r="AA47">
            <v>0</v>
          </cell>
          <cell r="AB47">
            <v>0</v>
          </cell>
          <cell r="AC47">
            <v>0</v>
          </cell>
        </row>
        <row r="48">
          <cell r="A48">
            <v>988</v>
          </cell>
          <cell r="B48" t="str">
            <v>40KG</v>
          </cell>
          <cell r="C48">
            <v>121.52</v>
          </cell>
          <cell r="D48">
            <v>5.2584662518282599</v>
          </cell>
          <cell r="E48">
            <v>351720.85000000003</v>
          </cell>
          <cell r="F48">
            <v>2894.3453752468731</v>
          </cell>
          <cell r="G48">
            <v>325008.89</v>
          </cell>
          <cell r="H48">
            <v>2674.530036208032</v>
          </cell>
          <cell r="I48">
            <v>26711.960000000021</v>
          </cell>
          <cell r="J48">
            <v>219.81533903884153</v>
          </cell>
          <cell r="K48">
            <v>7.5946478578111067</v>
          </cell>
          <cell r="L48">
            <v>9004.6454616736064</v>
          </cell>
          <cell r="M48">
            <v>74.100110777432576</v>
          </cell>
          <cell r="N48">
            <v>9078.3302458739781</v>
          </cell>
          <cell r="O48">
            <v>74.706470094420496</v>
          </cell>
          <cell r="P48">
            <v>2862.1348029806054</v>
          </cell>
          <cell r="Q48">
            <v>23.552788042960874</v>
          </cell>
          <cell r="R48">
            <v>5766.8494894718297</v>
          </cell>
          <cell r="S48">
            <v>47.455970124027566</v>
          </cell>
          <cell r="Z48">
            <v>5.9550380679815236</v>
          </cell>
          <cell r="AA48">
            <v>1.6396097898295849</v>
          </cell>
          <cell r="AB48">
            <v>2721.9860063320593</v>
          </cell>
          <cell r="AC48">
            <v>2650</v>
          </cell>
        </row>
        <row r="49">
          <cell r="A49" t="str">
            <v>551SS</v>
          </cell>
          <cell r="B49" t="str">
            <v>20KG</v>
          </cell>
          <cell r="C49">
            <v>5.08</v>
          </cell>
          <cell r="D49">
            <v>0.21982396773607277</v>
          </cell>
          <cell r="E49">
            <v>14404.06</v>
          </cell>
          <cell r="F49">
            <v>2835.4448818897636</v>
          </cell>
          <cell r="G49">
            <v>12166.5</v>
          </cell>
          <cell r="H49">
            <v>2394.98031496063</v>
          </cell>
          <cell r="I49">
            <v>2237.5599999999995</v>
          </cell>
          <cell r="J49">
            <v>440.46456692913375</v>
          </cell>
          <cell r="K49">
            <v>15.534231320891468</v>
          </cell>
          <cell r="L49">
            <v>376.42856274935747</v>
          </cell>
          <cell r="M49">
            <v>74.100110777432576</v>
          </cell>
          <cell r="N49">
            <v>379.50886807965611</v>
          </cell>
          <cell r="O49">
            <v>74.706470094420496</v>
          </cell>
          <cell r="P49">
            <v>119.64816325824124</v>
          </cell>
          <cell r="Q49">
            <v>23.552788042960874</v>
          </cell>
          <cell r="R49">
            <v>1361.9744059127445</v>
          </cell>
          <cell r="S49">
            <v>268.1051980143198</v>
          </cell>
          <cell r="Z49">
            <v>6.0787416470582238</v>
          </cell>
          <cell r="AA49">
            <v>9.4554896738332417</v>
          </cell>
          <cell r="AB49">
            <v>2663.0855129749493</v>
          </cell>
          <cell r="AC49">
            <v>2600</v>
          </cell>
        </row>
        <row r="50">
          <cell r="A50" t="str">
            <v>551S</v>
          </cell>
          <cell r="B50" t="str">
            <v>40KG</v>
          </cell>
          <cell r="C50">
            <v>255.95999999999998</v>
          </cell>
          <cell r="D50">
            <v>9.7587994495746315</v>
          </cell>
          <cell r="E50">
            <v>539032.68000000005</v>
          </cell>
          <cell r="F50">
            <v>2127.3670184462576</v>
          </cell>
          <cell r="G50">
            <v>427008.59</v>
          </cell>
          <cell r="H50">
            <v>1893.4400053210361</v>
          </cell>
          <cell r="I50">
            <v>52755.219999999972</v>
          </cell>
          <cell r="J50">
            <v>233.92701312522161</v>
          </cell>
          <cell r="K50">
            <v>10.996081592732052</v>
          </cell>
          <cell r="L50">
            <v>16711.056982526592</v>
          </cell>
          <cell r="M50">
            <v>74.100110777432576</v>
          </cell>
          <cell r="N50">
            <v>16847.80313569371</v>
          </cell>
          <cell r="O50">
            <v>74.706470094420496</v>
          </cell>
          <cell r="P50">
            <v>5311.6247594485358</v>
          </cell>
          <cell r="Q50">
            <v>23.552788042960874</v>
          </cell>
          <cell r="R50">
            <v>13884.735122331134</v>
          </cell>
          <cell r="S50">
            <v>61.567644210407657</v>
          </cell>
          <cell r="Z50">
            <v>8.1020043753756301</v>
          </cell>
          <cell r="AA50">
            <v>2.8940772173564184</v>
          </cell>
          <cell r="AB50">
            <v>1955.0076495314438</v>
          </cell>
          <cell r="AC50">
            <v>1950</v>
          </cell>
        </row>
        <row r="51">
          <cell r="A51" t="str">
            <v>950S(20)</v>
          </cell>
          <cell r="B51" t="str">
            <v>10KG</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Z51">
            <v>0</v>
          </cell>
          <cell r="AA51">
            <v>0</v>
          </cell>
          <cell r="AB51">
            <v>0</v>
          </cell>
          <cell r="AC51">
            <v>0</v>
          </cell>
        </row>
        <row r="52">
          <cell r="A52" t="str">
            <v>950S-20</v>
          </cell>
          <cell r="B52" t="str">
            <v>20KG</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Z52">
            <v>0</v>
          </cell>
          <cell r="AA52">
            <v>0</v>
          </cell>
          <cell r="AB52">
            <v>0</v>
          </cell>
          <cell r="AC52">
            <v>0</v>
          </cell>
        </row>
        <row r="53">
          <cell r="A53" t="str">
            <v>950S(20)</v>
          </cell>
          <cell r="B53" t="str">
            <v>40KG</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Z53">
            <v>0</v>
          </cell>
          <cell r="AA53">
            <v>0</v>
          </cell>
          <cell r="AB53">
            <v>0</v>
          </cell>
          <cell r="AC53">
            <v>0</v>
          </cell>
        </row>
        <row r="54">
          <cell r="A54" t="str">
            <v>950S(22)</v>
          </cell>
          <cell r="B54" t="str">
            <v>10KG</v>
          </cell>
          <cell r="C54">
            <v>4.46</v>
          </cell>
          <cell r="D54">
            <v>0</v>
          </cell>
          <cell r="E54">
            <v>13858.800000000001</v>
          </cell>
          <cell r="F54">
            <v>0</v>
          </cell>
          <cell r="G54">
            <v>0</v>
          </cell>
          <cell r="H54">
            <v>0</v>
          </cell>
          <cell r="I54">
            <v>0</v>
          </cell>
          <cell r="J54">
            <v>0</v>
          </cell>
          <cell r="K54">
            <v>0</v>
          </cell>
          <cell r="L54">
            <v>0</v>
          </cell>
          <cell r="M54">
            <v>0</v>
          </cell>
          <cell r="N54">
            <v>0</v>
          </cell>
          <cell r="O54">
            <v>0</v>
          </cell>
          <cell r="P54">
            <v>0</v>
          </cell>
          <cell r="Q54">
            <v>0</v>
          </cell>
          <cell r="R54">
            <v>0</v>
          </cell>
          <cell r="S54">
            <v>0</v>
          </cell>
          <cell r="Z54">
            <v>0</v>
          </cell>
          <cell r="AA54">
            <v>0</v>
          </cell>
          <cell r="AB54">
            <v>0</v>
          </cell>
          <cell r="AC54">
            <v>0</v>
          </cell>
        </row>
        <row r="55">
          <cell r="A55" t="str">
            <v>950S(22)</v>
          </cell>
          <cell r="B55" t="str">
            <v>20KG</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Z55">
            <v>0</v>
          </cell>
          <cell r="AA55">
            <v>0</v>
          </cell>
          <cell r="AB55">
            <v>0</v>
          </cell>
          <cell r="AC55">
            <v>0</v>
          </cell>
        </row>
        <row r="56">
          <cell r="A56" t="str">
            <v>950S(22)</v>
          </cell>
          <cell r="B56" t="str">
            <v>40KG</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Z56">
            <v>0</v>
          </cell>
          <cell r="AA56">
            <v>0</v>
          </cell>
          <cell r="AB56">
            <v>0</v>
          </cell>
          <cell r="AC56">
            <v>0</v>
          </cell>
        </row>
        <row r="57">
          <cell r="A57" t="str">
            <v>951S</v>
          </cell>
          <cell r="B57" t="str">
            <v>40KG</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Z57">
            <v>0</v>
          </cell>
          <cell r="AA57">
            <v>0</v>
          </cell>
          <cell r="AB57">
            <v>0</v>
          </cell>
          <cell r="AC57">
            <v>0</v>
          </cell>
        </row>
        <row r="58">
          <cell r="A58">
            <v>951</v>
          </cell>
          <cell r="B58" t="str">
            <v>40KG</v>
          </cell>
          <cell r="C58">
            <v>50.12</v>
          </cell>
          <cell r="D58">
            <v>1.7620535366560792</v>
          </cell>
          <cell r="E58">
            <v>101686</v>
          </cell>
          <cell r="F58">
            <v>2045.0282416502948</v>
          </cell>
          <cell r="G58">
            <v>74601.100000000006</v>
          </cell>
          <cell r="H58">
            <v>1832.0505893909628</v>
          </cell>
          <cell r="I58">
            <v>8672.4499999999971</v>
          </cell>
          <cell r="J58">
            <v>212.97765225933196</v>
          </cell>
          <cell r="K58">
            <v>10.414411298665659</v>
          </cell>
          <cell r="L58">
            <v>3017.3565108570542</v>
          </cell>
          <cell r="M58">
            <v>74.100110777432576</v>
          </cell>
          <cell r="N58">
            <v>3042.0474622448023</v>
          </cell>
          <cell r="O58">
            <v>74.706470094420496</v>
          </cell>
          <cell r="P58">
            <v>959.06952910936673</v>
          </cell>
          <cell r="Q58">
            <v>23.552788042960874</v>
          </cell>
          <cell r="R58">
            <v>1653.9764977887735</v>
          </cell>
          <cell r="S58">
            <v>40.618283344518012</v>
          </cell>
          <cell r="Z58">
            <v>8.4282146038102415</v>
          </cell>
          <cell r="AA58">
            <v>1.9861966948554175</v>
          </cell>
          <cell r="AB58">
            <v>1872.6688727354808</v>
          </cell>
          <cell r="AC58">
            <v>1870</v>
          </cell>
        </row>
        <row r="59">
          <cell r="A59">
            <v>551</v>
          </cell>
          <cell r="B59" t="str">
            <v>10KG</v>
          </cell>
          <cell r="C59">
            <v>16.75</v>
          </cell>
          <cell r="D59">
            <v>0.80616545648091265</v>
          </cell>
          <cell r="E59">
            <v>35799.649999999994</v>
          </cell>
          <cell r="F59">
            <v>2112.2458400429414</v>
          </cell>
          <cell r="G59">
            <v>34857.29</v>
          </cell>
          <cell r="H59">
            <v>1871.0300590445515</v>
          </cell>
          <cell r="I59">
            <v>4493.8499999999985</v>
          </cell>
          <cell r="J59">
            <v>241.21578099838959</v>
          </cell>
          <cell r="K59">
            <v>11.419872461128188</v>
          </cell>
          <cell r="L59">
            <v>1380.4850637835691</v>
          </cell>
          <cell r="M59">
            <v>74.100110777432576</v>
          </cell>
          <cell r="N59">
            <v>1391.781537859054</v>
          </cell>
          <cell r="O59">
            <v>74.706470094420496</v>
          </cell>
          <cell r="P59">
            <v>438.78844124036112</v>
          </cell>
          <cell r="Q59">
            <v>23.552788042960874</v>
          </cell>
          <cell r="R59">
            <v>1282.7949571170145</v>
          </cell>
          <cell r="S59">
            <v>68.856412083575648</v>
          </cell>
          <cell r="Z59">
            <v>8.1600051304307417</v>
          </cell>
          <cell r="AA59">
            <v>3.2598673306974448</v>
          </cell>
          <cell r="AB59">
            <v>1939.8864711281276</v>
          </cell>
          <cell r="AC59">
            <v>1930</v>
          </cell>
        </row>
        <row r="60">
          <cell r="A60">
            <v>551</v>
          </cell>
          <cell r="B60" t="str">
            <v>40KG</v>
          </cell>
          <cell r="C60">
            <v>221.68</v>
          </cell>
          <cell r="D60">
            <v>8.4935134620544019</v>
          </cell>
          <cell r="E60">
            <v>454128.83</v>
          </cell>
          <cell r="F60">
            <v>2056.7178520480943</v>
          </cell>
          <cell r="G60">
            <v>360815.64</v>
          </cell>
          <cell r="H60">
            <v>1838.2700224169555</v>
          </cell>
          <cell r="I60">
            <v>42876.939999999944</v>
          </cell>
          <cell r="J60">
            <v>218.44782963113892</v>
          </cell>
          <cell r="K60">
            <v>10.621186052020066</v>
          </cell>
          <cell r="L60">
            <v>14544.369743394465</v>
          </cell>
          <cell r="M60">
            <v>74.100110777432576</v>
          </cell>
          <cell r="N60">
            <v>14663.385950132855</v>
          </cell>
          <cell r="O60">
            <v>74.706470094420496</v>
          </cell>
          <cell r="P60">
            <v>4622.9412370723603</v>
          </cell>
          <cell r="Q60">
            <v>23.552788042960874</v>
          </cell>
          <cell r="R60">
            <v>9046.2430694002633</v>
          </cell>
          <cell r="S60">
            <v>46.08846071632496</v>
          </cell>
          <cell r="Z60">
            <v>8.3803118032537753</v>
          </cell>
          <cell r="AA60">
            <v>2.2408742487662927</v>
          </cell>
          <cell r="AB60">
            <v>1884.3584831332803</v>
          </cell>
          <cell r="AC60">
            <v>1880</v>
          </cell>
        </row>
        <row r="61">
          <cell r="A61">
            <v>552</v>
          </cell>
          <cell r="B61" t="str">
            <v>40KG</v>
          </cell>
          <cell r="C61">
            <v>18.64</v>
          </cell>
          <cell r="D61">
            <v>1.1458540680415761</v>
          </cell>
          <cell r="E61">
            <v>31575.13</v>
          </cell>
          <cell r="F61">
            <v>1623.0173716012084</v>
          </cell>
          <cell r="G61">
            <v>39789.11</v>
          </cell>
          <cell r="H61">
            <v>1502.6098942598187</v>
          </cell>
          <cell r="I61">
            <v>3188.3899999999994</v>
          </cell>
          <cell r="J61">
            <v>120.40747734138971</v>
          </cell>
          <cell r="K61">
            <v>7.4187423651910871</v>
          </cell>
          <cell r="L61">
            <v>1962.1709333864146</v>
          </cell>
          <cell r="M61">
            <v>74.100110777432576</v>
          </cell>
          <cell r="N61">
            <v>1978.2273281002547</v>
          </cell>
          <cell r="O61">
            <v>74.706470094420496</v>
          </cell>
          <cell r="P61">
            <v>623.67782737760399</v>
          </cell>
          <cell r="Q61">
            <v>23.552788042960877</v>
          </cell>
          <cell r="R61">
            <v>-1375.6860888642739</v>
          </cell>
          <cell r="S61">
            <v>-51.951891573424241</v>
          </cell>
          <cell r="Z61">
            <v>10.619687252316382</v>
          </cell>
          <cell r="AA61">
            <v>-3.2009448871252957</v>
          </cell>
          <cell r="AB61">
            <v>1450.6580026863946</v>
          </cell>
          <cell r="AC61">
            <v>1480</v>
          </cell>
        </row>
        <row r="62">
          <cell r="A62">
            <v>553</v>
          </cell>
          <cell r="B62" t="str">
            <v>40KG</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Z62">
            <v>0</v>
          </cell>
          <cell r="AA62">
            <v>0</v>
          </cell>
          <cell r="AB62">
            <v>0</v>
          </cell>
          <cell r="AC62">
            <v>0</v>
          </cell>
        </row>
        <row r="63">
          <cell r="A63">
            <v>555</v>
          </cell>
          <cell r="B63" t="str">
            <v>40KG</v>
          </cell>
          <cell r="C63">
            <v>6.72</v>
          </cell>
          <cell r="D63">
            <v>0.45868780669338016</v>
          </cell>
          <cell r="E63">
            <v>9288.869999999999</v>
          </cell>
          <cell r="F63">
            <v>1347.8735849056604</v>
          </cell>
          <cell r="G63">
            <v>13593.44</v>
          </cell>
          <cell r="H63">
            <v>1282.4000000000001</v>
          </cell>
          <cell r="I63">
            <v>694.01999999999862</v>
          </cell>
          <cell r="J63">
            <v>65.473584905660246</v>
          </cell>
          <cell r="K63">
            <v>4.8575464078289539</v>
          </cell>
          <cell r="L63">
            <v>785.46117424078523</v>
          </cell>
          <cell r="M63">
            <v>74.100110777432576</v>
          </cell>
          <cell r="N63">
            <v>791.88858300085724</v>
          </cell>
          <cell r="O63">
            <v>74.706470094420496</v>
          </cell>
          <cell r="P63">
            <v>249.65955325538525</v>
          </cell>
          <cell r="Q63">
            <v>23.552788042960874</v>
          </cell>
          <cell r="R63">
            <v>-1132.989310497029</v>
          </cell>
          <cell r="S63">
            <v>-106.88578400915368</v>
          </cell>
          <cell r="Z63">
            <v>12.787502540668724</v>
          </cell>
          <cell r="AA63">
            <v>-7.9299561328397701</v>
          </cell>
          <cell r="AB63">
            <v>1175.5142159908464</v>
          </cell>
          <cell r="AC63">
            <v>1230</v>
          </cell>
        </row>
        <row r="64">
          <cell r="A64">
            <v>851</v>
          </cell>
          <cell r="B64" t="str">
            <v>10KG</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Z64">
            <v>0</v>
          </cell>
          <cell r="AA64">
            <v>0</v>
          </cell>
          <cell r="AB64">
            <v>0</v>
          </cell>
          <cell r="AC64">
            <v>0</v>
          </cell>
        </row>
        <row r="65">
          <cell r="A65">
            <v>851</v>
          </cell>
          <cell r="B65" t="str">
            <v>40KG</v>
          </cell>
          <cell r="C65">
            <v>47.92</v>
          </cell>
          <cell r="D65">
            <v>1.8936017378209733</v>
          </cell>
          <cell r="E65">
            <v>92653.290000000008</v>
          </cell>
          <cell r="F65">
            <v>1910.4234460694697</v>
          </cell>
          <cell r="G65">
            <v>73381.58</v>
          </cell>
          <cell r="H65">
            <v>1676.9099634369286</v>
          </cell>
          <cell r="I65">
            <v>10218.550000000003</v>
          </cell>
          <cell r="J65">
            <v>233.51348263254118</v>
          </cell>
          <cell r="K65">
            <v>12.223126925759569</v>
          </cell>
          <cell r="L65">
            <v>3242.6208476204497</v>
          </cell>
          <cell r="M65">
            <v>74.100110777432576</v>
          </cell>
          <cell r="N65">
            <v>3269.1551313318414</v>
          </cell>
          <cell r="O65">
            <v>74.706470094420496</v>
          </cell>
          <cell r="P65">
            <v>1030.6700047599679</v>
          </cell>
          <cell r="Q65">
            <v>23.552788042960874</v>
          </cell>
          <cell r="R65">
            <v>2676.1040162877434</v>
          </cell>
          <cell r="S65">
            <v>61.15411371772722</v>
          </cell>
          <cell r="Z65">
            <v>9.0220505443140571</v>
          </cell>
          <cell r="AA65">
            <v>3.2010763814455112</v>
          </cell>
          <cell r="AB65">
            <v>1738.0640771546559</v>
          </cell>
          <cell r="AC65">
            <v>1750</v>
          </cell>
        </row>
        <row r="66">
          <cell r="A66">
            <v>852</v>
          </cell>
          <cell r="B66" t="str">
            <v>40KG</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Z66">
            <v>0</v>
          </cell>
          <cell r="AA66">
            <v>0</v>
          </cell>
          <cell r="AB66">
            <v>0</v>
          </cell>
          <cell r="AC66">
            <v>0</v>
          </cell>
        </row>
        <row r="67">
          <cell r="A67" t="str">
            <v>浓缩猪料</v>
          </cell>
          <cell r="B67">
            <v>0</v>
          </cell>
          <cell r="C67">
            <v>323.93000000000006</v>
          </cell>
          <cell r="D67">
            <v>12.899945476732414</v>
          </cell>
          <cell r="E67">
            <v>853277.53</v>
          </cell>
          <cell r="F67">
            <v>2820.248356126323</v>
          </cell>
          <cell r="G67">
            <v>789652.55</v>
          </cell>
          <cell r="H67">
            <v>2648.8630035892793</v>
          </cell>
          <cell r="I67">
            <v>63624.980000000047</v>
          </cell>
          <cell r="J67">
            <v>213.42786219851746</v>
          </cell>
          <cell r="K67">
            <v>7.4565399606854808</v>
          </cell>
          <cell r="L67">
            <v>22089.984023860423</v>
          </cell>
          <cell r="M67">
            <v>74.099999999999994</v>
          </cell>
          <cell r="N67">
            <v>22270.745799847693</v>
          </cell>
          <cell r="O67">
            <v>74.709999999999994</v>
          </cell>
          <cell r="P67">
            <v>7021.3216434870665</v>
          </cell>
          <cell r="Q67">
            <v>23.55</v>
          </cell>
          <cell r="R67">
            <v>12242.928532804861</v>
          </cell>
          <cell r="S67">
            <v>41.07</v>
          </cell>
          <cell r="Z67">
            <v>6.0217279443881733</v>
          </cell>
          <cell r="AA67">
            <v>1.434812016297307</v>
          </cell>
          <cell r="AB67">
            <v>2689.9314968729823</v>
          </cell>
          <cell r="AC67">
            <v>2620</v>
          </cell>
        </row>
        <row r="68">
          <cell r="A68" t="str">
            <v>全价猪料</v>
          </cell>
          <cell r="B68">
            <v>0</v>
          </cell>
          <cell r="C68">
            <v>567.07000000000005</v>
          </cell>
          <cell r="D68">
            <v>24.538499485058029</v>
          </cell>
          <cell r="E68">
            <v>1161350.2299999997</v>
          </cell>
          <cell r="F68">
            <v>2047.9838996949225</v>
          </cell>
          <cell r="G68">
            <v>1036213.2500000005</v>
          </cell>
          <cell r="H68">
            <v>1827.311002169045</v>
          </cell>
          <cell r="I68">
            <v>125136.97999999992</v>
          </cell>
          <cell r="J68">
            <v>220.67289752587848</v>
          </cell>
          <cell r="K68">
            <v>10.775128532931873</v>
          </cell>
          <cell r="L68">
            <v>42019.949818558685</v>
          </cell>
          <cell r="M68">
            <v>74.099999999999994</v>
          </cell>
          <cell r="N68">
            <v>42363.797996443027</v>
          </cell>
          <cell r="O68">
            <v>74.709999999999994</v>
          </cell>
          <cell r="P68">
            <v>13356.079515521818</v>
          </cell>
          <cell r="Q68">
            <v>23.55</v>
          </cell>
          <cell r="R68">
            <v>27397.152669476371</v>
          </cell>
          <cell r="S68">
            <v>48.31</v>
          </cell>
          <cell r="Z68">
            <v>8.4160509728855484</v>
          </cell>
          <cell r="AA68">
            <v>2.3590775600463241</v>
          </cell>
          <cell r="AB68">
            <v>1875.6245307801087</v>
          </cell>
          <cell r="AC68">
            <v>1870</v>
          </cell>
        </row>
        <row r="69">
          <cell r="A69" t="str">
            <v>猪料合计</v>
          </cell>
          <cell r="B69">
            <v>0</v>
          </cell>
          <cell r="C69">
            <v>865.18000000000006</v>
          </cell>
          <cell r="D69">
            <v>37.438444961790438</v>
          </cell>
          <cell r="E69">
            <v>2014627.7599999998</v>
          </cell>
          <cell r="F69">
            <v>2328.5648766730619</v>
          </cell>
          <cell r="G69">
            <v>1825865.8000000005</v>
          </cell>
          <cell r="H69">
            <v>2110.3883584918749</v>
          </cell>
          <cell r="I69">
            <v>188761.95999999996</v>
          </cell>
          <cell r="J69">
            <v>218.17651818118767</v>
          </cell>
          <cell r="K69">
            <v>9.3695700887195166</v>
          </cell>
          <cell r="L69">
            <v>64109.933842419108</v>
          </cell>
          <cell r="M69">
            <v>74.100110777432562</v>
          </cell>
          <cell r="N69">
            <v>64634.543796290724</v>
          </cell>
          <cell r="O69">
            <v>74.706470094420496</v>
          </cell>
          <cell r="P69">
            <v>20377.401159008885</v>
          </cell>
          <cell r="Q69">
            <v>23.552788042960866</v>
          </cell>
          <cell r="R69">
            <v>39640.081202281232</v>
          </cell>
          <cell r="S69">
            <v>45.817149266373733</v>
          </cell>
          <cell r="Z69">
            <v>7.4019569152426818</v>
          </cell>
          <cell r="AA69">
            <v>1.967613173476833</v>
          </cell>
          <cell r="AB69">
            <v>2156.2055077582481</v>
          </cell>
          <cell r="AC69">
            <v>2130</v>
          </cell>
        </row>
        <row r="70">
          <cell r="A70" t="str">
            <v>549F</v>
          </cell>
          <cell r="B70" t="str">
            <v>40KG</v>
          </cell>
          <cell r="C70">
            <v>353.4</v>
          </cell>
          <cell r="D70">
            <v>7.7232641262862725</v>
          </cell>
          <cell r="E70">
            <v>474301.11</v>
          </cell>
          <cell r="F70">
            <v>1345.214533841327</v>
          </cell>
          <cell r="G70">
            <v>251751.88</v>
          </cell>
          <cell r="H70">
            <v>1410.5327207530256</v>
          </cell>
          <cell r="I70">
            <v>-11657.989999999991</v>
          </cell>
          <cell r="J70">
            <v>-65.318186911698746</v>
          </cell>
          <cell r="K70">
            <v>-4.8555962836038811</v>
          </cell>
          <cell r="L70">
            <v>13225.387771556165</v>
          </cell>
          <cell r="M70">
            <v>74.100110777432576</v>
          </cell>
          <cell r="N70">
            <v>13333.61078245217</v>
          </cell>
          <cell r="O70">
            <v>74.706470094420496</v>
          </cell>
          <cell r="P70">
            <v>4203.7016099076563</v>
          </cell>
          <cell r="Q70">
            <v>23.552788042960874</v>
          </cell>
          <cell r="R70">
            <v>-42420.690163915984</v>
          </cell>
          <cell r="S70">
            <v>-237.6775558265127</v>
          </cell>
          <cell r="Z70">
            <v>12.812779268941826</v>
          </cell>
          <cell r="AA70">
            <v>-17.668375552545708</v>
          </cell>
          <cell r="AB70">
            <v>1172.855164926513</v>
          </cell>
          <cell r="AC70">
            <v>1230</v>
          </cell>
        </row>
        <row r="71">
          <cell r="A71" t="str">
            <v>549LF</v>
          </cell>
          <cell r="B71" t="str">
            <v>40KG</v>
          </cell>
          <cell r="C71">
            <v>30</v>
          </cell>
          <cell r="D71">
            <v>1.2981730378114533</v>
          </cell>
          <cell r="E71">
            <v>42560.95</v>
          </cell>
          <cell r="F71">
            <v>1418.6983333333333</v>
          </cell>
          <cell r="G71">
            <v>43069.5</v>
          </cell>
          <cell r="H71">
            <v>1435.65</v>
          </cell>
          <cell r="I71">
            <v>-508.55000000000291</v>
          </cell>
          <cell r="J71">
            <v>-16.951666666666764</v>
          </cell>
          <cell r="K71">
            <v>-1.1948746444804521</v>
          </cell>
          <cell r="L71">
            <v>2223.0033233229774</v>
          </cell>
          <cell r="M71">
            <v>74.100110777432576</v>
          </cell>
          <cell r="N71">
            <v>2241.194102832615</v>
          </cell>
          <cell r="O71">
            <v>74.706470094420496</v>
          </cell>
          <cell r="P71">
            <v>706.58364128882624</v>
          </cell>
          <cell r="Q71">
            <v>23.552788042960874</v>
          </cell>
          <cell r="R71">
            <v>-5679.3310674444219</v>
          </cell>
          <cell r="S71">
            <v>-189.31103558148072</v>
          </cell>
          <cell r="Z71">
            <v>12.149120420113789</v>
          </cell>
          <cell r="AA71">
            <v>-13.343995064594241</v>
          </cell>
          <cell r="AB71">
            <v>1246.3389644185193</v>
          </cell>
          <cell r="AC71">
            <v>1300</v>
          </cell>
        </row>
        <row r="72">
          <cell r="A72">
            <v>543</v>
          </cell>
          <cell r="B72" t="str">
            <v>40KG</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Z72">
            <v>0</v>
          </cell>
          <cell r="AA72">
            <v>0</v>
          </cell>
          <cell r="AB72">
            <v>0</v>
          </cell>
          <cell r="AC72">
            <v>0</v>
          </cell>
        </row>
        <row r="73">
          <cell r="A73">
            <v>544</v>
          </cell>
          <cell r="B73" t="str">
            <v>40KG</v>
          </cell>
          <cell r="C73">
            <v>20.04</v>
          </cell>
          <cell r="D73">
            <v>0.86717958925805072</v>
          </cell>
          <cell r="E73">
            <v>29335.32</v>
          </cell>
          <cell r="F73">
            <v>1463.8383233532934</v>
          </cell>
          <cell r="G73">
            <v>30359.53</v>
          </cell>
          <cell r="H73">
            <v>1514.9466067864271</v>
          </cell>
          <cell r="I73">
            <v>-1024.2099999999991</v>
          </cell>
          <cell r="J73">
            <v>-51.108283433133693</v>
          </cell>
          <cell r="K73">
            <v>-3.4913885377763023</v>
          </cell>
          <cell r="L73">
            <v>1484.9662199797488</v>
          </cell>
          <cell r="M73">
            <v>74.100110777432576</v>
          </cell>
          <cell r="N73">
            <v>1497.1176606921867</v>
          </cell>
          <cell r="O73">
            <v>74.706470094420496</v>
          </cell>
          <cell r="P73">
            <v>471.99787238093586</v>
          </cell>
          <cell r="Q73">
            <v>23.552788042960874</v>
          </cell>
          <cell r="R73">
            <v>-4478.2917530528703</v>
          </cell>
          <cell r="S73">
            <v>-223.46765234794762</v>
          </cell>
          <cell r="Z73">
            <v>11.774481250086488</v>
          </cell>
          <cell r="AA73">
            <v>-15.26586978786279</v>
          </cell>
          <cell r="AB73">
            <v>1291.4789544384794</v>
          </cell>
          <cell r="AC73">
            <v>1340</v>
          </cell>
        </row>
        <row r="74">
          <cell r="A74" t="str">
            <v>547M</v>
          </cell>
          <cell r="B74" t="str">
            <v>40KG</v>
          </cell>
          <cell r="C74">
            <v>16.96</v>
          </cell>
          <cell r="D74">
            <v>0.73390049070940833</v>
          </cell>
          <cell r="E74">
            <v>24498.400000000001</v>
          </cell>
          <cell r="F74">
            <v>1444.4811320754718</v>
          </cell>
          <cell r="G74">
            <v>24893.72</v>
          </cell>
          <cell r="H74">
            <v>1467.7900943396226</v>
          </cell>
          <cell r="I74">
            <v>-395.31999999999971</v>
          </cell>
          <cell r="J74">
            <v>-23.308962264150924</v>
          </cell>
          <cell r="K74">
            <v>-1.6136564020507449</v>
          </cell>
          <cell r="L74">
            <v>1256.7378787852565</v>
          </cell>
          <cell r="M74">
            <v>74.100110777432576</v>
          </cell>
          <cell r="N74">
            <v>1267.0217328013716</v>
          </cell>
          <cell r="O74">
            <v>74.706470094420496</v>
          </cell>
          <cell r="P74">
            <v>399.45528520861643</v>
          </cell>
          <cell r="Q74">
            <v>23.552788042960874</v>
          </cell>
          <cell r="R74">
            <v>-3318.5348967952441</v>
          </cell>
          <cell r="S74">
            <v>-195.66833117896485</v>
          </cell>
          <cell r="Z74">
            <v>11.932268624870376</v>
          </cell>
          <cell r="AA74">
            <v>-13.545925026921122</v>
          </cell>
          <cell r="AB74">
            <v>1272.1217631606578</v>
          </cell>
          <cell r="AC74">
            <v>1320</v>
          </cell>
        </row>
        <row r="75">
          <cell r="A75">
            <v>547</v>
          </cell>
          <cell r="B75" t="str">
            <v>40KG</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Z75">
            <v>0</v>
          </cell>
          <cell r="AA75">
            <v>0</v>
          </cell>
          <cell r="AB75">
            <v>0</v>
          </cell>
          <cell r="AC75">
            <v>0</v>
          </cell>
        </row>
        <row r="76">
          <cell r="A76">
            <v>548</v>
          </cell>
          <cell r="B76" t="str">
            <v>40KG</v>
          </cell>
          <cell r="C76">
            <v>18.36</v>
          </cell>
          <cell r="D76">
            <v>0.69062805611569322</v>
          </cell>
          <cell r="E76">
            <v>32180.75</v>
          </cell>
          <cell r="F76">
            <v>1758.2030075187968</v>
          </cell>
          <cell r="G76">
            <v>26377.73</v>
          </cell>
          <cell r="H76">
            <v>1652.7399749373433</v>
          </cell>
          <cell r="I76">
            <v>1683.1899999999987</v>
          </cell>
          <cell r="J76">
            <v>105.46303258145355</v>
          </cell>
          <cell r="K76">
            <v>5.9983421783747604</v>
          </cell>
          <cell r="L76">
            <v>1182.637768007824</v>
          </cell>
          <cell r="M76">
            <v>74.100110777432576</v>
          </cell>
          <cell r="N76">
            <v>1192.3152627069512</v>
          </cell>
          <cell r="O76">
            <v>74.706470094420496</v>
          </cell>
          <cell r="P76">
            <v>375.90249716565557</v>
          </cell>
          <cell r="Q76">
            <v>23.552788042960874</v>
          </cell>
          <cell r="R76">
            <v>-1067.6655278804321</v>
          </cell>
          <cell r="S76">
            <v>-66.896336333360409</v>
          </cell>
          <cell r="Z76">
            <v>9.80315516341029</v>
          </cell>
          <cell r="AA76">
            <v>-3.8048129850355306</v>
          </cell>
          <cell r="AB76">
            <v>1585.8436386039828</v>
          </cell>
          <cell r="AC76">
            <v>1610</v>
          </cell>
        </row>
        <row r="77">
          <cell r="A77">
            <v>549</v>
          </cell>
          <cell r="B77" t="str">
            <v>40KG</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Z77">
            <v>0</v>
          </cell>
          <cell r="AA77">
            <v>0</v>
          </cell>
          <cell r="AB77">
            <v>0</v>
          </cell>
          <cell r="AC77">
            <v>0</v>
          </cell>
        </row>
        <row r="78">
          <cell r="A78" t="str">
            <v>鸭料合计</v>
          </cell>
          <cell r="B78">
            <v>0</v>
          </cell>
          <cell r="C78">
            <v>404.6</v>
          </cell>
          <cell r="D78">
            <v>11.313145300180878</v>
          </cell>
          <cell r="E78">
            <v>554488.98</v>
          </cell>
          <cell r="F78">
            <v>1394.3906058751531</v>
          </cell>
          <cell r="G78">
            <v>376452.36</v>
          </cell>
          <cell r="H78">
            <v>1439.9187576499387</v>
          </cell>
          <cell r="I78">
            <v>-11902.879999999994</v>
          </cell>
          <cell r="J78">
            <v>-45.528151774785776</v>
          </cell>
          <cell r="K78">
            <v>-3.2650931226125994</v>
          </cell>
          <cell r="L78">
            <v>19372.732961651971</v>
          </cell>
          <cell r="M78">
            <v>74.100110777432576</v>
          </cell>
          <cell r="N78">
            <v>19531.259541485291</v>
          </cell>
          <cell r="O78">
            <v>74.706470094420482</v>
          </cell>
          <cell r="P78">
            <v>6157.6409059516909</v>
          </cell>
          <cell r="Q78">
            <v>23.552788042960874</v>
          </cell>
          <cell r="R78">
            <v>-56964.513409088955</v>
          </cell>
          <cell r="S78">
            <v>-217.88752068959974</v>
          </cell>
          <cell r="Z78">
            <v>12.360910077032326</v>
          </cell>
          <cell r="AA78">
            <v>-15.626003199644927</v>
          </cell>
          <cell r="AB78">
            <v>1222.0312369603391</v>
          </cell>
          <cell r="AC78">
            <v>1270</v>
          </cell>
        </row>
        <row r="79">
          <cell r="A79" t="str">
            <v>浓缩料</v>
          </cell>
          <cell r="B79">
            <v>0</v>
          </cell>
          <cell r="C79">
            <v>344.55</v>
          </cell>
          <cell r="D79">
            <v>14.909517339264541</v>
          </cell>
          <cell r="E79">
            <v>957784.03</v>
          </cell>
          <cell r="F79">
            <v>2779.8114352053403</v>
          </cell>
          <cell r="G79">
            <v>888072.38</v>
          </cell>
          <cell r="H79">
            <v>2577.4847772456828</v>
          </cell>
          <cell r="I79">
            <v>69711.650000000052</v>
          </cell>
          <cell r="J79">
            <v>202.33</v>
          </cell>
          <cell r="K79">
            <v>7.2784310258336689</v>
          </cell>
          <cell r="L79">
            <v>25531.193168364392</v>
          </cell>
          <cell r="M79">
            <v>74</v>
          </cell>
          <cell r="N79">
            <v>25740.11427103258</v>
          </cell>
          <cell r="O79">
            <v>75</v>
          </cell>
          <cell r="P79">
            <v>8115.1131202021697</v>
          </cell>
          <cell r="Q79">
            <v>24</v>
          </cell>
          <cell r="R79">
            <v>10325.229440400901</v>
          </cell>
          <cell r="S79">
            <v>30</v>
          </cell>
          <cell r="Z79">
            <v>6.2003978662704515</v>
          </cell>
          <cell r="AA79">
            <v>1.078033159563216</v>
          </cell>
          <cell r="AB79">
            <v>2607.4520662905265</v>
          </cell>
          <cell r="AC79">
            <v>2540</v>
          </cell>
        </row>
        <row r="80">
          <cell r="A80" t="str">
            <v>全价料</v>
          </cell>
          <cell r="B80">
            <v>0</v>
          </cell>
          <cell r="C80">
            <v>1966.39</v>
          </cell>
          <cell r="D80">
            <v>85.090482660735461</v>
          </cell>
          <cell r="E80">
            <v>3467492.5699999994</v>
          </cell>
          <cell r="F80">
            <v>1763.3798839497756</v>
          </cell>
          <cell r="G80">
            <v>3339828.4700000007</v>
          </cell>
          <cell r="H80">
            <v>1698.4568015500488</v>
          </cell>
          <cell r="I80">
            <v>127664.09999999983</v>
          </cell>
          <cell r="J80">
            <v>64.92</v>
          </cell>
          <cell r="K80">
            <v>3.6817411262686526</v>
          </cell>
          <cell r="L80">
            <v>145709.71683163563</v>
          </cell>
          <cell r="M80">
            <v>74</v>
          </cell>
          <cell r="N80">
            <v>146902.05572896753</v>
          </cell>
          <cell r="O80">
            <v>75</v>
          </cell>
          <cell r="P80">
            <v>46313.96687979783</v>
          </cell>
          <cell r="Q80">
            <v>24</v>
          </cell>
          <cell r="R80">
            <v>-211261.63944040114</v>
          </cell>
          <cell r="S80">
            <v>-107</v>
          </cell>
          <cell r="Z80">
            <v>9.7743753619752098</v>
          </cell>
          <cell r="AA80">
            <v>-6.0926342357065577</v>
          </cell>
          <cell r="AB80">
            <v>1591.0205150349618</v>
          </cell>
          <cell r="AC80">
            <v>1610</v>
          </cell>
        </row>
        <row r="81">
          <cell r="A81" t="str">
            <v>合计</v>
          </cell>
          <cell r="B81">
            <v>0</v>
          </cell>
          <cell r="C81">
            <v>2310.94</v>
          </cell>
          <cell r="D81">
            <v>100</v>
          </cell>
          <cell r="E81">
            <v>4425276.5999999996</v>
          </cell>
          <cell r="F81">
            <v>1914.9249223259797</v>
          </cell>
          <cell r="G81">
            <v>4227900.8500000006</v>
          </cell>
          <cell r="H81">
            <v>1829.5156300033755</v>
          </cell>
          <cell r="I81">
            <v>197375.74999999988</v>
          </cell>
          <cell r="J81">
            <v>85.4092923226046</v>
          </cell>
          <cell r="K81">
            <v>4.4601901268725195</v>
          </cell>
          <cell r="L81">
            <v>171240.91000000003</v>
          </cell>
          <cell r="M81">
            <v>74.100110777432576</v>
          </cell>
          <cell r="N81">
            <v>172642.1700000001</v>
          </cell>
          <cell r="O81">
            <v>74.706470094420496</v>
          </cell>
          <cell r="P81">
            <v>54429.08</v>
          </cell>
          <cell r="Q81">
            <v>23.552788042960874</v>
          </cell>
          <cell r="R81">
            <v>-200936.41000000024</v>
          </cell>
          <cell r="S81">
            <v>-86.950076592209328</v>
          </cell>
          <cell r="Z81">
            <v>9.0008421168520893</v>
          </cell>
          <cell r="AA81">
            <v>-4.5406519899795699</v>
          </cell>
          <cell r="AB81">
            <v>1742.5655534111656</v>
          </cell>
          <cell r="AC81">
            <v>1750</v>
          </cell>
        </row>
        <row r="82">
          <cell r="G82">
            <v>1797717.26</v>
          </cell>
        </row>
        <row r="83">
          <cell r="C83" t="str">
            <v>核准:</v>
          </cell>
          <cell r="D83">
            <v>0</v>
          </cell>
          <cell r="E83">
            <v>0</v>
          </cell>
          <cell r="F83">
            <v>0</v>
          </cell>
          <cell r="G83">
            <v>0</v>
          </cell>
          <cell r="H83">
            <v>0</v>
          </cell>
          <cell r="I83">
            <v>0</v>
          </cell>
          <cell r="J83">
            <v>0</v>
          </cell>
          <cell r="K83">
            <v>0</v>
          </cell>
          <cell r="L83">
            <v>0</v>
          </cell>
          <cell r="M83">
            <v>0</v>
          </cell>
          <cell r="N83">
            <v>0</v>
          </cell>
          <cell r="O83">
            <v>0</v>
          </cell>
          <cell r="P83" t="str">
            <v>制表:</v>
          </cell>
          <cell r="Q83" t="str">
            <v>周平          -7-</v>
          </cell>
        </row>
        <row r="88">
          <cell r="A88" t="str">
            <v>泰州正大饲料有限公司</v>
          </cell>
        </row>
        <row r="89">
          <cell r="A89" t="str">
            <v>饲料经营情况累计报表</v>
          </cell>
        </row>
        <row r="90">
          <cell r="A90" t="str">
            <v>2003年1月-4月</v>
          </cell>
        </row>
        <row r="91">
          <cell r="A91" t="str">
            <v>产品名称</v>
          </cell>
          <cell r="B91" t="str">
            <v>规格</v>
          </cell>
          <cell r="C91" t="str">
            <v>销售量</v>
          </cell>
          <cell r="D91" t="str">
            <v>销售结构</v>
          </cell>
          <cell r="E91" t="str">
            <v>销售收入</v>
          </cell>
          <cell r="F91">
            <v>0</v>
          </cell>
          <cell r="G91" t="str">
            <v>销售成本</v>
          </cell>
          <cell r="H91">
            <v>0</v>
          </cell>
          <cell r="I91" t="str">
            <v>销售毛利</v>
          </cell>
          <cell r="J91">
            <v>0</v>
          </cell>
          <cell r="K91">
            <v>0</v>
          </cell>
          <cell r="L91" t="str">
            <v>销售费用</v>
          </cell>
          <cell r="M91">
            <v>0</v>
          </cell>
          <cell r="N91" t="str">
            <v>管理费用</v>
          </cell>
          <cell r="O91">
            <v>0</v>
          </cell>
          <cell r="P91" t="str">
            <v>财务费用</v>
          </cell>
          <cell r="Q91">
            <v>0</v>
          </cell>
          <cell r="R91" t="str">
            <v>产品销售利润</v>
          </cell>
        </row>
        <row r="92">
          <cell r="D92" t="str">
            <v>%</v>
          </cell>
          <cell r="E92" t="str">
            <v>金额</v>
          </cell>
          <cell r="F92" t="str">
            <v>单位</v>
          </cell>
          <cell r="G92" t="str">
            <v>金额</v>
          </cell>
          <cell r="H92" t="str">
            <v>单位</v>
          </cell>
          <cell r="I92" t="str">
            <v>金额</v>
          </cell>
          <cell r="J92" t="str">
            <v>单位</v>
          </cell>
          <cell r="K92" t="str">
            <v>毛利率</v>
          </cell>
          <cell r="L92" t="str">
            <v>金额</v>
          </cell>
          <cell r="M92" t="str">
            <v>单位</v>
          </cell>
          <cell r="N92" t="str">
            <v>金额</v>
          </cell>
          <cell r="O92" t="str">
            <v>单位</v>
          </cell>
          <cell r="P92" t="str">
            <v>金额</v>
          </cell>
          <cell r="Q92" t="str">
            <v>单位</v>
          </cell>
          <cell r="R92" t="str">
            <v>金额</v>
          </cell>
          <cell r="S92" t="str">
            <v>单位</v>
          </cell>
        </row>
        <row r="93">
          <cell r="A93" t="str">
            <v>510L</v>
          </cell>
          <cell r="B93" t="str">
            <v>40KG</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A94" t="str">
            <v>510Y</v>
          </cell>
          <cell r="B94" t="str">
            <v>40KG</v>
          </cell>
          <cell r="C94">
            <v>175.4</v>
          </cell>
          <cell r="D94">
            <v>1.4035733505112362</v>
          </cell>
          <cell r="E94">
            <v>330342.42</v>
          </cell>
          <cell r="F94">
            <v>1883.3661345496007</v>
          </cell>
          <cell r="G94">
            <v>309473.8</v>
          </cell>
          <cell r="H94">
            <v>1764.3888255416191</v>
          </cell>
          <cell r="I94">
            <v>20868.619999999995</v>
          </cell>
          <cell r="J94">
            <v>118.97730900798173</v>
          </cell>
          <cell r="K94">
            <v>6.3172692141687383</v>
          </cell>
          <cell r="L94">
            <v>12128.869658831476</v>
          </cell>
          <cell r="M94">
            <v>69.149770004740461</v>
          </cell>
          <cell r="N94">
            <v>12447.476259949974</v>
          </cell>
          <cell r="O94">
            <v>70.966227251710222</v>
          </cell>
          <cell r="P94">
            <v>3694.3955230811553</v>
          </cell>
          <cell r="Q94">
            <v>21.062688272982641</v>
          </cell>
          <cell r="R94">
            <v>-7402.1214418626096</v>
          </cell>
          <cell r="S94">
            <v>-42.201376521451593</v>
          </cell>
        </row>
        <row r="95">
          <cell r="A95" t="str">
            <v>511Y</v>
          </cell>
          <cell r="B95" t="str">
            <v>40KG</v>
          </cell>
          <cell r="C95">
            <v>222.36</v>
          </cell>
          <cell r="D95">
            <v>1.7793533079799231</v>
          </cell>
          <cell r="E95">
            <v>377200.10000000003</v>
          </cell>
          <cell r="F95">
            <v>1696.3487137974457</v>
          </cell>
          <cell r="G95">
            <v>374383.66000000003</v>
          </cell>
          <cell r="H95">
            <v>1683.6825867961863</v>
          </cell>
          <cell r="I95">
            <v>2816.4400000000023</v>
          </cell>
          <cell r="J95">
            <v>12.666127001259229</v>
          </cell>
          <cell r="K95">
            <v>0.74667000353393387</v>
          </cell>
          <cell r="L95">
            <v>15626.598181043544</v>
          </cell>
          <cell r="M95">
            <v>70.276120619911595</v>
          </cell>
          <cell r="N95">
            <v>16133.233762396876</v>
          </cell>
          <cell r="O95">
            <v>72.554568098564829</v>
          </cell>
          <cell r="P95">
            <v>4827.4613333627194</v>
          </cell>
          <cell r="Q95">
            <v>21.710115728380639</v>
          </cell>
          <cell r="R95">
            <v>-33770.853276803136</v>
          </cell>
          <cell r="S95">
            <v>-151.87467744559783</v>
          </cell>
        </row>
        <row r="96">
          <cell r="A96" t="str">
            <v>512Y</v>
          </cell>
          <cell r="B96" t="str">
            <v>40KG</v>
          </cell>
          <cell r="C96">
            <v>483.79999999999995</v>
          </cell>
          <cell r="D96">
            <v>3.8714298003268866</v>
          </cell>
          <cell r="E96">
            <v>792281.17999999993</v>
          </cell>
          <cell r="F96">
            <v>1637.6212897891692</v>
          </cell>
          <cell r="G96">
            <v>801941.09</v>
          </cell>
          <cell r="H96">
            <v>1657.5880322447292</v>
          </cell>
          <cell r="I96">
            <v>-9659.9099999999744</v>
          </cell>
          <cell r="J96">
            <v>-19.966742455560098</v>
          </cell>
          <cell r="K96">
            <v>-1.219252740548505</v>
          </cell>
          <cell r="L96">
            <v>34138.274335802183</v>
          </cell>
          <cell r="M96">
            <v>70.562782835473726</v>
          </cell>
          <cell r="N96">
            <v>35161.007164407951</v>
          </cell>
          <cell r="O96">
            <v>72.676740728416604</v>
          </cell>
          <cell r="P96">
            <v>10458.948145090257</v>
          </cell>
          <cell r="Q96">
            <v>21.618330188280815</v>
          </cell>
          <cell r="R96">
            <v>-89418.139645300369</v>
          </cell>
          <cell r="S96">
            <v>-184.82459620773125</v>
          </cell>
        </row>
        <row r="97">
          <cell r="A97" t="str">
            <v>510S</v>
          </cell>
          <cell r="B97" t="str">
            <v>40KG</v>
          </cell>
          <cell r="C97">
            <v>8.52</v>
          </cell>
          <cell r="D97">
            <v>6.8178135384012156E-2</v>
          </cell>
          <cell r="E97">
            <v>16325.58</v>
          </cell>
          <cell r="F97">
            <v>1916.1478873239437</v>
          </cell>
          <cell r="G97">
            <v>17701.190000000002</v>
          </cell>
          <cell r="H97">
            <v>2077.6044600938972</v>
          </cell>
          <cell r="I97">
            <v>-1375.6100000000024</v>
          </cell>
          <cell r="J97">
            <v>-161.45657276995334</v>
          </cell>
          <cell r="K97">
            <v>-8.4261018597808004</v>
          </cell>
          <cell r="L97">
            <v>678.06371136857979</v>
          </cell>
          <cell r="M97">
            <v>79.584942648894341</v>
          </cell>
          <cell r="N97">
            <v>698.49193984592068</v>
          </cell>
          <cell r="O97">
            <v>81.982622047643275</v>
          </cell>
          <cell r="P97">
            <v>202.51370849559265</v>
          </cell>
          <cell r="Q97">
            <v>23.769214612158763</v>
          </cell>
          <cell r="R97">
            <v>-2954.6793597100955</v>
          </cell>
          <cell r="S97">
            <v>-346.79335207864972</v>
          </cell>
        </row>
        <row r="98">
          <cell r="A98">
            <v>510</v>
          </cell>
          <cell r="B98" t="str">
            <v>40KG</v>
          </cell>
          <cell r="C98">
            <v>1353.68</v>
          </cell>
          <cell r="D98">
            <v>12.049605194981867</v>
          </cell>
          <cell r="E98">
            <v>2500654.96</v>
          </cell>
          <cell r="F98">
            <v>1851.5597821755873</v>
          </cell>
          <cell r="G98">
            <v>2631425.21</v>
          </cell>
          <cell r="H98">
            <v>1747.5263713640588</v>
          </cell>
          <cell r="I98">
            <v>156653.50999999983</v>
          </cell>
          <cell r="J98">
            <v>104.03341081152864</v>
          </cell>
          <cell r="K98">
            <v>5.6186903503212342</v>
          </cell>
          <cell r="L98">
            <v>104317.34149279524</v>
          </cell>
          <cell r="M98">
            <v>69.277023172264066</v>
          </cell>
          <cell r="N98">
            <v>106181.86221702845</v>
          </cell>
          <cell r="O98">
            <v>70.515249181185041</v>
          </cell>
          <cell r="P98">
            <v>31236.073221926712</v>
          </cell>
          <cell r="Q98">
            <v>20.743839302647569</v>
          </cell>
          <cell r="R98">
            <v>-85081.766931750579</v>
          </cell>
          <cell r="S98">
            <v>-56.502700844568047</v>
          </cell>
        </row>
        <row r="99">
          <cell r="A99">
            <v>511</v>
          </cell>
          <cell r="B99" t="str">
            <v>40KG</v>
          </cell>
          <cell r="C99">
            <v>901.11999999999989</v>
          </cell>
          <cell r="D99">
            <v>8.9415784598703247</v>
          </cell>
          <cell r="E99">
            <v>1529400.74</v>
          </cell>
          <cell r="F99">
            <v>1701.1682745659568</v>
          </cell>
          <cell r="G99">
            <v>1857447.72</v>
          </cell>
          <cell r="H99">
            <v>1662.2943619115806</v>
          </cell>
          <cell r="I99">
            <v>43437.709999999963</v>
          </cell>
          <cell r="J99">
            <v>38.873912654376205</v>
          </cell>
          <cell r="K99">
            <v>2.2851303563308374</v>
          </cell>
          <cell r="L99">
            <v>75880.886146005345</v>
          </cell>
          <cell r="M99">
            <v>67.90843578486249</v>
          </cell>
          <cell r="N99">
            <v>77655.355907560341</v>
          </cell>
          <cell r="O99">
            <v>69.49647029493498</v>
          </cell>
          <cell r="P99">
            <v>23075.11369350622</v>
          </cell>
          <cell r="Q99">
            <v>20.650719253182586</v>
          </cell>
          <cell r="R99">
            <v>-133173.64574707195</v>
          </cell>
          <cell r="S99">
            <v>-119.18171267860387</v>
          </cell>
        </row>
        <row r="100">
          <cell r="A100">
            <v>512</v>
          </cell>
          <cell r="B100" t="str">
            <v>40KG</v>
          </cell>
          <cell r="C100">
            <v>1391.52</v>
          </cell>
          <cell r="D100">
            <v>14.900923645689753</v>
          </cell>
          <cell r="E100">
            <v>2245056.6999999997</v>
          </cell>
          <cell r="F100">
            <v>1621.7640323931862</v>
          </cell>
          <cell r="G100">
            <v>3002742.3</v>
          </cell>
          <cell r="H100">
            <v>1612.5396322471163</v>
          </cell>
          <cell r="I100">
            <v>17176.939999999828</v>
          </cell>
          <cell r="J100">
            <v>9.2244001460699785</v>
          </cell>
          <cell r="K100">
            <v>0.56878805805415988</v>
          </cell>
          <cell r="L100">
            <v>129241.22698318164</v>
          </cell>
          <cell r="M100">
            <v>69.405423379364194</v>
          </cell>
          <cell r="N100">
            <v>132857.66705570131</v>
          </cell>
          <cell r="O100">
            <v>71.34753241235866</v>
          </cell>
          <cell r="P100">
            <v>39636.967820620586</v>
          </cell>
          <cell r="Q100">
            <v>21.285936363188512</v>
          </cell>
          <cell r="R100">
            <v>-284558.92185950372</v>
          </cell>
          <cell r="S100">
            <v>-152.8144920088414</v>
          </cell>
        </row>
        <row r="101">
          <cell r="A101">
            <v>810</v>
          </cell>
          <cell r="B101" t="str">
            <v>5KG</v>
          </cell>
          <cell r="C101">
            <v>163</v>
          </cell>
          <cell r="D101">
            <v>1.4000524139421089</v>
          </cell>
          <cell r="E101">
            <v>260486.12000000002</v>
          </cell>
          <cell r="F101">
            <v>1598.4679355281207</v>
          </cell>
          <cell r="G101">
            <v>241919.56</v>
          </cell>
          <cell r="H101">
            <v>1382.7135345221764</v>
          </cell>
          <cell r="I101">
            <v>37748.390000000014</v>
          </cell>
          <cell r="J101">
            <v>215.75440100594429</v>
          </cell>
          <cell r="K101">
            <v>13.497574534371925</v>
          </cell>
          <cell r="L101">
            <v>11603.025800644529</v>
          </cell>
          <cell r="M101">
            <v>66.318163012371556</v>
          </cell>
          <cell r="N101">
            <v>11622.119860433495</v>
          </cell>
          <cell r="O101">
            <v>66.427296870333194</v>
          </cell>
          <cell r="P101">
            <v>3413.4706088857629</v>
          </cell>
          <cell r="Q101">
            <v>19.510005766379532</v>
          </cell>
          <cell r="R101">
            <v>11109.773730036226</v>
          </cell>
          <cell r="S101">
            <v>63.498935356860002</v>
          </cell>
        </row>
        <row r="102">
          <cell r="A102" t="str">
            <v>831A</v>
          </cell>
          <cell r="B102" t="str">
            <v>5KG</v>
          </cell>
          <cell r="C102">
            <v>216.76</v>
          </cell>
          <cell r="D102">
            <v>1.7345413880092104</v>
          </cell>
          <cell r="E102">
            <v>361639.08999999997</v>
          </cell>
          <cell r="F102">
            <v>1668.3848034692746</v>
          </cell>
          <cell r="G102">
            <v>300936.86</v>
          </cell>
          <cell r="H102">
            <v>1388.3412991326813</v>
          </cell>
          <cell r="I102">
            <v>60702.229999999989</v>
          </cell>
          <cell r="J102">
            <v>280.0435043365934</v>
          </cell>
          <cell r="K102">
            <v>16.785306588400051</v>
          </cell>
          <cell r="L102">
            <v>14714.888715595924</v>
          </cell>
          <cell r="M102">
            <v>67.885627955323514</v>
          </cell>
          <cell r="N102">
            <v>14854.355611478739</v>
          </cell>
          <cell r="O102">
            <v>68.529044157034235</v>
          </cell>
          <cell r="P102">
            <v>4378.6131974107284</v>
          </cell>
          <cell r="Q102">
            <v>20.200282327969777</v>
          </cell>
          <cell r="R102">
            <v>26754.372475514596</v>
          </cell>
          <cell r="S102">
            <v>123.42854989626591</v>
          </cell>
        </row>
        <row r="103">
          <cell r="A103" t="str">
            <v>831A</v>
          </cell>
          <cell r="B103" t="str">
            <v>40KG</v>
          </cell>
          <cell r="C103">
            <v>46.319999999999993</v>
          </cell>
          <cell r="D103">
            <v>0.37065859518631949</v>
          </cell>
          <cell r="E103">
            <v>73475.64</v>
          </cell>
          <cell r="F103">
            <v>1586.2616580310882</v>
          </cell>
          <cell r="G103">
            <v>60189.98</v>
          </cell>
          <cell r="H103">
            <v>1299.4382556131263</v>
          </cell>
          <cell r="I103">
            <v>13285.66</v>
          </cell>
          <cell r="J103">
            <v>286.82340241796203</v>
          </cell>
          <cell r="K103">
            <v>18.081720690013718</v>
          </cell>
          <cell r="L103">
            <v>3025.8349511931792</v>
          </cell>
          <cell r="M103">
            <v>65.324588756329433</v>
          </cell>
          <cell r="N103">
            <v>3037.228292335592</v>
          </cell>
          <cell r="O103">
            <v>65.570558988246816</v>
          </cell>
          <cell r="P103">
            <v>896.11987124083976</v>
          </cell>
          <cell r="Q103">
            <v>19.346283921434367</v>
          </cell>
          <cell r="R103">
            <v>6326.4768852303878</v>
          </cell>
          <cell r="S103">
            <v>136.58197075195139</v>
          </cell>
        </row>
        <row r="104">
          <cell r="A104">
            <v>831</v>
          </cell>
          <cell r="B104" t="str">
            <v>5KG</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row>
        <row r="105">
          <cell r="A105">
            <v>831</v>
          </cell>
          <cell r="B105" t="str">
            <v>40KG</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row>
        <row r="106">
          <cell r="A106" t="str">
            <v>肉鸡料合计</v>
          </cell>
          <cell r="B106">
            <v>0</v>
          </cell>
          <cell r="C106">
            <v>4721.6000000000013</v>
          </cell>
          <cell r="D106">
            <v>46.519894291881641</v>
          </cell>
          <cell r="E106">
            <v>8073852.6099999985</v>
          </cell>
          <cell r="F106">
            <v>1709.7992496697309</v>
          </cell>
          <cell r="G106">
            <v>9598161.3699999992</v>
          </cell>
          <cell r="H106">
            <v>1651.0295745720261</v>
          </cell>
          <cell r="I106">
            <v>341653.97999999957</v>
          </cell>
          <cell r="J106">
            <v>58.769675097704557</v>
          </cell>
          <cell r="K106">
            <v>3.4372266281586366</v>
          </cell>
          <cell r="L106">
            <v>401355.00997646165</v>
          </cell>
          <cell r="M106">
            <v>69.039159254496766</v>
          </cell>
          <cell r="N106">
            <v>410648.79807113868</v>
          </cell>
          <cell r="O106">
            <v>70.637832001558237</v>
          </cell>
          <cell r="P106">
            <v>121819.67712362057</v>
          </cell>
          <cell r="Q106">
            <v>20.954835196307275</v>
          </cell>
          <cell r="R106">
            <v>-592169.50517122133</v>
          </cell>
          <cell r="S106">
            <v>-101.86215135465773</v>
          </cell>
        </row>
        <row r="107">
          <cell r="A107">
            <v>124</v>
          </cell>
          <cell r="B107" t="str">
            <v>45KG</v>
          </cell>
          <cell r="C107">
            <v>145.125</v>
          </cell>
          <cell r="D107">
            <v>1.1613089081695731</v>
          </cell>
          <cell r="E107">
            <v>322506.53000000003</v>
          </cell>
          <cell r="F107">
            <v>2222.2672179155902</v>
          </cell>
          <cell r="G107">
            <v>302591.89</v>
          </cell>
          <cell r="H107">
            <v>2085.0431696813093</v>
          </cell>
          <cell r="I107">
            <v>19914.640000000014</v>
          </cell>
          <cell r="J107">
            <v>137.2240482342809</v>
          </cell>
          <cell r="K107">
            <v>6.1749571396275336</v>
          </cell>
          <cell r="L107">
            <v>9956.7672012371768</v>
          </cell>
          <cell r="M107">
            <v>68.60821499560501</v>
          </cell>
          <cell r="N107">
            <v>10126.957433738515</v>
          </cell>
          <cell r="O107">
            <v>69.780929775975991</v>
          </cell>
          <cell r="P107">
            <v>3040.3429726556051</v>
          </cell>
          <cell r="Q107">
            <v>20.949822378333195</v>
          </cell>
          <cell r="R107">
            <v>-3209.4276076312817</v>
          </cell>
          <cell r="S107">
            <v>-22.114918915633293</v>
          </cell>
        </row>
        <row r="108">
          <cell r="A108">
            <v>322</v>
          </cell>
          <cell r="B108" t="str">
            <v>40KG</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row>
        <row r="109">
          <cell r="A109">
            <v>324</v>
          </cell>
          <cell r="B109" t="str">
            <v>40KG</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row>
        <row r="110">
          <cell r="A110">
            <v>325</v>
          </cell>
          <cell r="B110" t="str">
            <v>40KG</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row>
        <row r="111">
          <cell r="A111">
            <v>521</v>
          </cell>
          <cell r="B111" t="str">
            <v>40KG</v>
          </cell>
          <cell r="C111">
            <v>175.32</v>
          </cell>
          <cell r="D111">
            <v>1.4029331802259402</v>
          </cell>
          <cell r="E111">
            <v>319326.76</v>
          </cell>
          <cell r="F111">
            <v>1821.3937942048826</v>
          </cell>
          <cell r="G111">
            <v>289749.90999999997</v>
          </cell>
          <cell r="H111">
            <v>1652.6917065936573</v>
          </cell>
          <cell r="I111">
            <v>29576.850000000002</v>
          </cell>
          <cell r="J111">
            <v>168.70208761122521</v>
          </cell>
          <cell r="K111">
            <v>9.2622522459439462</v>
          </cell>
          <cell r="L111">
            <v>12158.28015915367</v>
          </cell>
          <cell r="M111">
            <v>69.349076883148925</v>
          </cell>
          <cell r="N111">
            <v>12389.271923481785</v>
          </cell>
          <cell r="O111">
            <v>70.666620599371356</v>
          </cell>
          <cell r="P111">
            <v>3641.0779398541158</v>
          </cell>
          <cell r="Q111">
            <v>20.768183549247752</v>
          </cell>
          <cell r="R111">
            <v>1388.21997751043</v>
          </cell>
          <cell r="S111">
            <v>7.9182065794571646</v>
          </cell>
        </row>
        <row r="112">
          <cell r="A112">
            <v>522</v>
          </cell>
          <cell r="B112" t="str">
            <v>40KG</v>
          </cell>
          <cell r="C112">
            <v>88.47999999999999</v>
          </cell>
          <cell r="D112">
            <v>0.70802833553725286</v>
          </cell>
          <cell r="E112">
            <v>138359.04999999999</v>
          </cell>
          <cell r="F112">
            <v>1563.7324819168175</v>
          </cell>
          <cell r="G112">
            <v>128054.2</v>
          </cell>
          <cell r="H112">
            <v>1447.2671790235083</v>
          </cell>
          <cell r="I112">
            <v>10304.850000000004</v>
          </cell>
          <cell r="J112">
            <v>116.46530289330929</v>
          </cell>
          <cell r="K112">
            <v>7.4479045642478701</v>
          </cell>
          <cell r="L112">
            <v>6120.2674271244714</v>
          </cell>
          <cell r="M112">
            <v>69.171196057012565</v>
          </cell>
          <cell r="N112">
            <v>6328.5785541974028</v>
          </cell>
          <cell r="O112">
            <v>71.525526155033944</v>
          </cell>
          <cell r="P112">
            <v>1889.0310182374869</v>
          </cell>
          <cell r="Q112">
            <v>21.349808072304331</v>
          </cell>
          <cell r="R112">
            <v>-4033.0269995593567</v>
          </cell>
          <cell r="S112">
            <v>-45.581227391041558</v>
          </cell>
        </row>
        <row r="113">
          <cell r="A113">
            <v>524</v>
          </cell>
          <cell r="B113" t="str">
            <v>40KG</v>
          </cell>
          <cell r="C113">
            <v>17.8</v>
          </cell>
          <cell r="D113">
            <v>0.14243788847833525</v>
          </cell>
          <cell r="E113">
            <v>27032.45</v>
          </cell>
          <cell r="F113">
            <v>1518.6769662921349</v>
          </cell>
          <cell r="G113">
            <v>25760.489999999998</v>
          </cell>
          <cell r="H113">
            <v>1447.2185393258426</v>
          </cell>
          <cell r="I113">
            <v>1271.9600000000005</v>
          </cell>
          <cell r="J113">
            <v>71.458426966292166</v>
          </cell>
          <cell r="K113">
            <v>4.7053078799738932</v>
          </cell>
          <cell r="L113">
            <v>1247.9615205798996</v>
          </cell>
          <cell r="M113">
            <v>70.110197785387612</v>
          </cell>
          <cell r="N113">
            <v>1278.9941227620598</v>
          </cell>
          <cell r="O113">
            <v>71.85360240236291</v>
          </cell>
          <cell r="P113">
            <v>387.64802712000426</v>
          </cell>
          <cell r="Q113">
            <v>21.77797905168563</v>
          </cell>
          <cell r="R113">
            <v>-1642.6436704619632</v>
          </cell>
          <cell r="S113">
            <v>-92.28335227314399</v>
          </cell>
        </row>
        <row r="114">
          <cell r="A114" t="str">
            <v>浓缩蛋鸡料</v>
          </cell>
          <cell r="B114">
            <v>0</v>
          </cell>
          <cell r="C114">
            <v>98.685000000000002</v>
          </cell>
          <cell r="D114">
            <v>1.1613089081695731</v>
          </cell>
          <cell r="E114">
            <v>322506.53000000003</v>
          </cell>
          <cell r="F114">
            <v>2209.0492982722808</v>
          </cell>
          <cell r="G114">
            <v>302591.89</v>
          </cell>
          <cell r="H114">
            <v>2085.0431696813093</v>
          </cell>
          <cell r="I114">
            <v>19914.640000000014</v>
          </cell>
          <cell r="J114">
            <v>137.2240482342809</v>
          </cell>
          <cell r="K114">
            <v>6.1749571396275336</v>
          </cell>
          <cell r="L114">
            <v>9956.7672012371768</v>
          </cell>
          <cell r="M114">
            <v>68.60821499560501</v>
          </cell>
          <cell r="N114">
            <v>10126.957433738515</v>
          </cell>
          <cell r="O114">
            <v>69.780929775975991</v>
          </cell>
          <cell r="P114">
            <v>3040.3429726556051</v>
          </cell>
          <cell r="Q114">
            <v>20.949822378333195</v>
          </cell>
          <cell r="R114">
            <v>-3209.4276076312817</v>
          </cell>
          <cell r="S114">
            <v>-22.114918915633293</v>
          </cell>
        </row>
        <row r="115">
          <cell r="A115" t="str">
            <v>全价蛋鸡料</v>
          </cell>
          <cell r="B115">
            <v>0</v>
          </cell>
          <cell r="C115">
            <v>235.55999999999995</v>
          </cell>
          <cell r="D115">
            <v>2.2533994042415282</v>
          </cell>
          <cell r="E115">
            <v>484718.26</v>
          </cell>
          <cell r="F115">
            <v>1736.6621667515712</v>
          </cell>
          <cell r="G115">
            <v>443564.6</v>
          </cell>
          <cell r="H115">
            <v>1575.1583806818182</v>
          </cell>
          <cell r="I115">
            <v>41153.660000000011</v>
          </cell>
          <cell r="J115">
            <v>146.14225852272733</v>
          </cell>
          <cell r="K115">
            <v>8.4902227533165373</v>
          </cell>
          <cell r="L115">
            <v>19526.50910685804</v>
          </cell>
          <cell r="M115">
            <v>69.341296544240208</v>
          </cell>
          <cell r="N115">
            <v>19996.844600441247</v>
          </cell>
          <cell r="O115">
            <v>71.011522018612396</v>
          </cell>
          <cell r="P115">
            <v>5917.7569852116058</v>
          </cell>
          <cell r="Q115">
            <v>21.014762021348034</v>
          </cell>
          <cell r="R115">
            <v>-4287.450692510889</v>
          </cell>
          <cell r="S115">
            <v>-15.22532206147333</v>
          </cell>
        </row>
        <row r="116">
          <cell r="A116" t="str">
            <v>蛋鸡料合计</v>
          </cell>
          <cell r="B116">
            <v>0</v>
          </cell>
          <cell r="C116">
            <v>426.72499999999997</v>
          </cell>
          <cell r="D116">
            <v>3.4147083124111015</v>
          </cell>
          <cell r="E116">
            <v>807224.79</v>
          </cell>
          <cell r="F116">
            <v>1891.6744741929817</v>
          </cell>
          <cell r="G116">
            <v>746156.49</v>
          </cell>
          <cell r="H116">
            <v>1748.5652117874511</v>
          </cell>
          <cell r="I116">
            <v>61068.300000000025</v>
          </cell>
          <cell r="J116">
            <v>143.10926240553056</v>
          </cell>
          <cell r="K116">
            <v>7.5652161277158028</v>
          </cell>
          <cell r="L116">
            <v>29483.276308095217</v>
          </cell>
          <cell r="M116">
            <v>69.091982677591474</v>
          </cell>
          <cell r="N116">
            <v>30123.80203417976</v>
          </cell>
          <cell r="O116">
            <v>70.59300962957353</v>
          </cell>
          <cell r="P116">
            <v>8958.0999578672108</v>
          </cell>
          <cell r="Q116">
            <v>20.992676683735922</v>
          </cell>
          <cell r="R116">
            <v>-7496.8783001421707</v>
          </cell>
          <cell r="S116">
            <v>-17.568406585370372</v>
          </cell>
        </row>
        <row r="117">
          <cell r="A117" t="str">
            <v>浓缩鸡料</v>
          </cell>
          <cell r="B117">
            <v>0</v>
          </cell>
          <cell r="C117">
            <v>145.125</v>
          </cell>
          <cell r="D117">
            <v>1.1613089081695731</v>
          </cell>
          <cell r="E117">
            <v>322506.53000000003</v>
          </cell>
          <cell r="F117">
            <v>2222.27</v>
          </cell>
          <cell r="G117">
            <v>302591.89</v>
          </cell>
          <cell r="H117">
            <v>2085.04</v>
          </cell>
          <cell r="I117">
            <v>19914.640000000014</v>
          </cell>
          <cell r="J117">
            <v>137.22</v>
          </cell>
          <cell r="K117">
            <v>6.1749571396275336</v>
          </cell>
          <cell r="L117">
            <v>9956.7672012371768</v>
          </cell>
          <cell r="M117">
            <v>68.61</v>
          </cell>
          <cell r="N117">
            <v>10126.957433738515</v>
          </cell>
          <cell r="O117">
            <v>69.78</v>
          </cell>
          <cell r="P117">
            <v>3040.3429726556051</v>
          </cell>
          <cell r="Q117">
            <v>20.95</v>
          </cell>
          <cell r="R117">
            <v>-3209.4276076312817</v>
          </cell>
          <cell r="S117">
            <v>-22.11</v>
          </cell>
        </row>
        <row r="118">
          <cell r="A118" t="str">
            <v>全价鸡料</v>
          </cell>
          <cell r="B118">
            <v>0</v>
          </cell>
          <cell r="C118">
            <v>6095.04</v>
          </cell>
          <cell r="D118">
            <v>48.773293696123169</v>
          </cell>
          <cell r="E118">
            <v>10424533.610000001</v>
          </cell>
          <cell r="F118">
            <v>1710.33</v>
          </cell>
          <cell r="G118">
            <v>10041725.969999999</v>
          </cell>
          <cell r="H118">
            <v>1647.52</v>
          </cell>
          <cell r="I118">
            <v>382807.63999999961</v>
          </cell>
          <cell r="J118">
            <v>62.81</v>
          </cell>
          <cell r="K118">
            <v>3.6721800161187215</v>
          </cell>
          <cell r="L118">
            <v>420881.5190833197</v>
          </cell>
          <cell r="M118">
            <v>69.05</v>
          </cell>
          <cell r="N118">
            <v>430645.6426715799</v>
          </cell>
          <cell r="O118">
            <v>70.66</v>
          </cell>
          <cell r="P118">
            <v>127737.43410883217</v>
          </cell>
          <cell r="Q118">
            <v>20.96</v>
          </cell>
          <cell r="R118">
            <v>-596456.95586373215</v>
          </cell>
          <cell r="S118">
            <v>-97.86</v>
          </cell>
        </row>
        <row r="119">
          <cell r="A119" t="str">
            <v>鸡料合计</v>
          </cell>
          <cell r="B119">
            <v>0</v>
          </cell>
          <cell r="C119">
            <v>6240.165</v>
          </cell>
          <cell r="D119">
            <v>49.934602604292742</v>
          </cell>
          <cell r="E119">
            <v>10747040.140000001</v>
          </cell>
          <cell r="F119">
            <v>1722.2365338096029</v>
          </cell>
          <cell r="G119">
            <v>10344317.859999999</v>
          </cell>
          <cell r="H119">
            <v>1657.6994133969213</v>
          </cell>
          <cell r="I119">
            <v>402722.27999999962</v>
          </cell>
          <cell r="J119">
            <v>64.537120412681332</v>
          </cell>
          <cell r="K119">
            <v>3.7472855293531975</v>
          </cell>
          <cell r="L119">
            <v>430838.28628455685</v>
          </cell>
          <cell r="M119">
            <v>69.042771510778451</v>
          </cell>
          <cell r="N119">
            <v>440772.60010531842</v>
          </cell>
          <cell r="O119">
            <v>70.634766886022788</v>
          </cell>
          <cell r="P119">
            <v>130777.77708148777</v>
          </cell>
          <cell r="Q119">
            <v>20.957422933766619</v>
          </cell>
          <cell r="R119">
            <v>-599666.38347136346</v>
          </cell>
          <cell r="S119">
            <v>-96.097840917886543</v>
          </cell>
        </row>
        <row r="120">
          <cell r="A120" t="str">
            <v>151-38</v>
          </cell>
          <cell r="B120" t="str">
            <v>5KG</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row>
        <row r="121">
          <cell r="A121" t="str">
            <v>151-38</v>
          </cell>
          <cell r="B121" t="str">
            <v>10KG</v>
          </cell>
          <cell r="C121">
            <v>86.009999999999991</v>
          </cell>
          <cell r="D121">
            <v>0.68826307797874231</v>
          </cell>
          <cell r="E121">
            <v>235946.86000000004</v>
          </cell>
          <cell r="F121">
            <v>2743.2491570747598</v>
          </cell>
          <cell r="G121">
            <v>209725.24</v>
          </cell>
          <cell r="H121">
            <v>2438.3820485990004</v>
          </cell>
          <cell r="I121">
            <v>26221.620000000003</v>
          </cell>
          <cell r="J121">
            <v>304.8671084757587</v>
          </cell>
          <cell r="K121">
            <v>11.113358321445791</v>
          </cell>
          <cell r="L121">
            <v>5996.3084484507381</v>
          </cell>
          <cell r="M121">
            <v>69.716410283115209</v>
          </cell>
          <cell r="N121">
            <v>6180.3318302056668</v>
          </cell>
          <cell r="O121">
            <v>71.85596826189591</v>
          </cell>
          <cell r="P121">
            <v>1830.8922656334371</v>
          </cell>
          <cell r="Q121">
            <v>21.286969720188782</v>
          </cell>
          <cell r="R121">
            <v>12214.08745571016</v>
          </cell>
          <cell r="S121">
            <v>142.00776021055879</v>
          </cell>
        </row>
        <row r="122">
          <cell r="A122" t="str">
            <v>151-38</v>
          </cell>
          <cell r="B122" t="str">
            <v>20KG</v>
          </cell>
          <cell r="C122">
            <v>74.12</v>
          </cell>
          <cell r="D122">
            <v>0.59311776932664095</v>
          </cell>
          <cell r="E122">
            <v>201315.57</v>
          </cell>
          <cell r="F122">
            <v>2716.0762277388017</v>
          </cell>
          <cell r="G122">
            <v>181436.28</v>
          </cell>
          <cell r="H122">
            <v>2447.8720992984349</v>
          </cell>
          <cell r="I122">
            <v>19879.290000000005</v>
          </cell>
          <cell r="J122">
            <v>268.20412844036701</v>
          </cell>
          <cell r="K122">
            <v>9.8746907653491522</v>
          </cell>
          <cell r="L122">
            <v>5182.0829608940876</v>
          </cell>
          <cell r="M122">
            <v>69.914772812926159</v>
          </cell>
          <cell r="N122">
            <v>5330.2248380729379</v>
          </cell>
          <cell r="O122">
            <v>71.913448975619772</v>
          </cell>
          <cell r="P122">
            <v>1581.6556601936036</v>
          </cell>
          <cell r="Q122">
            <v>21.339121157495999</v>
          </cell>
          <cell r="R122">
            <v>7785.3265408393754</v>
          </cell>
          <cell r="S122">
            <v>105.03678549432507</v>
          </cell>
        </row>
        <row r="123">
          <cell r="A123" t="str">
            <v>151-38</v>
          </cell>
          <cell r="B123" t="str">
            <v>40KG</v>
          </cell>
          <cell r="C123">
            <v>160.96</v>
          </cell>
          <cell r="D123">
            <v>1.2880226140153284</v>
          </cell>
          <cell r="E123">
            <v>430000.17</v>
          </cell>
          <cell r="F123">
            <v>2671.4722291252483</v>
          </cell>
          <cell r="G123">
            <v>396117.27</v>
          </cell>
          <cell r="H123">
            <v>2460.967134691849</v>
          </cell>
          <cell r="I123">
            <v>33882.899999999994</v>
          </cell>
          <cell r="J123">
            <v>210.50509443339956</v>
          </cell>
          <cell r="K123">
            <v>7.8797410708000335</v>
          </cell>
          <cell r="L123">
            <v>11196.132193813624</v>
          </cell>
          <cell r="M123">
            <v>69.558475359180065</v>
          </cell>
          <cell r="N123">
            <v>11519.784892423662</v>
          </cell>
          <cell r="O123">
            <v>71.56924013682692</v>
          </cell>
          <cell r="P123">
            <v>3423.8683872620409</v>
          </cell>
          <cell r="Q123">
            <v>21.271548131598166</v>
          </cell>
          <cell r="R123">
            <v>7743.1145265006644</v>
          </cell>
          <cell r="S123">
            <v>48.105830805794383</v>
          </cell>
        </row>
        <row r="124">
          <cell r="A124" t="str">
            <v>151-40</v>
          </cell>
          <cell r="B124" t="str">
            <v>5KG</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row>
        <row r="125">
          <cell r="A125" t="str">
            <v>151-40</v>
          </cell>
          <cell r="B125" t="str">
            <v>10KG</v>
          </cell>
          <cell r="C125">
            <v>92.66</v>
          </cell>
          <cell r="D125">
            <v>0.74147723294396306</v>
          </cell>
          <cell r="E125">
            <v>267468.89</v>
          </cell>
          <cell r="F125">
            <v>2886.5625944312542</v>
          </cell>
          <cell r="G125">
            <v>245641.58000000002</v>
          </cell>
          <cell r="H125">
            <v>2650.9991366285349</v>
          </cell>
          <cell r="I125">
            <v>21827.309999999998</v>
          </cell>
          <cell r="J125">
            <v>235.5634578027196</v>
          </cell>
          <cell r="K125">
            <v>8.1606911368271646</v>
          </cell>
          <cell r="L125">
            <v>6480.0928378637182</v>
          </cell>
          <cell r="M125">
            <v>69.93409063094883</v>
          </cell>
          <cell r="N125">
            <v>6672.1873753934642</v>
          </cell>
          <cell r="O125">
            <v>72.00720241089428</v>
          </cell>
          <cell r="P125">
            <v>1975.0699380387678</v>
          </cell>
          <cell r="Q125">
            <v>21.315237837672868</v>
          </cell>
          <cell r="R125">
            <v>6699.9598487040466</v>
          </cell>
          <cell r="S125">
            <v>72.306926923203619</v>
          </cell>
        </row>
        <row r="126">
          <cell r="A126" t="str">
            <v>151-40</v>
          </cell>
          <cell r="B126" t="str">
            <v>20KG</v>
          </cell>
          <cell r="C126">
            <v>151.26000000000002</v>
          </cell>
          <cell r="D126">
            <v>1.2104019669232018</v>
          </cell>
          <cell r="E126">
            <v>434925.07</v>
          </cell>
          <cell r="F126">
            <v>2875.3475472696018</v>
          </cell>
          <cell r="G126">
            <v>399134.24</v>
          </cell>
          <cell r="H126">
            <v>2638.7296046542374</v>
          </cell>
          <cell r="I126">
            <v>35790.830000000016</v>
          </cell>
          <cell r="J126">
            <v>236.61794261536434</v>
          </cell>
          <cell r="K126">
            <v>8.2291945138963865</v>
          </cell>
          <cell r="L126">
            <v>10487.867815210846</v>
          </cell>
          <cell r="M126">
            <v>69.336690567306917</v>
          </cell>
          <cell r="N126">
            <v>10761.442754980728</v>
          </cell>
          <cell r="O126">
            <v>71.145330920142314</v>
          </cell>
          <cell r="P126">
            <v>3196.0220435067126</v>
          </cell>
          <cell r="Q126">
            <v>21.129327274274178</v>
          </cell>
          <cell r="R126">
            <v>11345.497386301728</v>
          </cell>
          <cell r="S126">
            <v>75.006593853640922</v>
          </cell>
        </row>
        <row r="127">
          <cell r="A127" t="str">
            <v>151-40</v>
          </cell>
          <cell r="B127" t="str">
            <v>40KG</v>
          </cell>
          <cell r="C127">
            <v>25.08</v>
          </cell>
          <cell r="D127">
            <v>0.20069338444026111</v>
          </cell>
          <cell r="E127">
            <v>71026.010000000009</v>
          </cell>
          <cell r="F127">
            <v>2831.9780701754394</v>
          </cell>
          <cell r="G127">
            <v>65369.240000000005</v>
          </cell>
          <cell r="H127">
            <v>2606.4290271132381</v>
          </cell>
          <cell r="I127">
            <v>5656.7699999999986</v>
          </cell>
          <cell r="J127">
            <v>225.54904306220092</v>
          </cell>
          <cell r="K127">
            <v>7.9643640407225522</v>
          </cell>
          <cell r="L127">
            <v>1724.7470136826171</v>
          </cell>
          <cell r="M127">
            <v>68.769817132480753</v>
          </cell>
          <cell r="N127">
            <v>1778.4340105655135</v>
          </cell>
          <cell r="O127">
            <v>70.910446992245355</v>
          </cell>
          <cell r="P127">
            <v>530.23416089501154</v>
          </cell>
          <cell r="Q127">
            <v>21.141712954346556</v>
          </cell>
          <cell r="R127">
            <v>1623.3548148568566</v>
          </cell>
          <cell r="S127">
            <v>64.727065983128256</v>
          </cell>
        </row>
        <row r="128">
          <cell r="A128" t="str">
            <v>151-42</v>
          </cell>
          <cell r="B128" t="str">
            <v>5KG</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row>
        <row r="129">
          <cell r="A129" t="str">
            <v>151-42</v>
          </cell>
          <cell r="B129" t="str">
            <v>10KG</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row>
        <row r="130">
          <cell r="A130" t="str">
            <v>151-42</v>
          </cell>
          <cell r="B130" t="str">
            <v>20KG</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row>
        <row r="131">
          <cell r="A131" t="str">
            <v>151-42</v>
          </cell>
          <cell r="B131" t="str">
            <v>40KG</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row>
        <row r="132">
          <cell r="A132">
            <v>988</v>
          </cell>
          <cell r="B132" t="str">
            <v>10KG</v>
          </cell>
          <cell r="C132">
            <v>283.08999999999997</v>
          </cell>
          <cell r="D132">
            <v>2.2653225758051643</v>
          </cell>
          <cell r="E132">
            <v>813496.37999999989</v>
          </cell>
          <cell r="F132">
            <v>2873.6316365820057</v>
          </cell>
          <cell r="G132">
            <v>755646.5</v>
          </cell>
          <cell r="H132">
            <v>2669.280087604649</v>
          </cell>
          <cell r="I132">
            <v>57849.880000000048</v>
          </cell>
          <cell r="J132">
            <v>204.35154897735723</v>
          </cell>
          <cell r="K132">
            <v>7.1112645885406263</v>
          </cell>
          <cell r="L132">
            <v>19752.339604683882</v>
          </cell>
          <cell r="M132">
            <v>69.774063388618046</v>
          </cell>
          <cell r="N132">
            <v>20299.042343286776</v>
          </cell>
          <cell r="O132">
            <v>71.705261024009246</v>
          </cell>
          <cell r="P132">
            <v>6033.631911117619</v>
          </cell>
          <cell r="Q132">
            <v>21.31347596565622</v>
          </cell>
          <cell r="R132">
            <v>11764.866140911767</v>
          </cell>
          <cell r="S132">
            <v>41.558748599073681</v>
          </cell>
        </row>
        <row r="133">
          <cell r="A133">
            <v>988</v>
          </cell>
          <cell r="B133" t="str">
            <v>20KG</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row>
        <row r="134">
          <cell r="A134">
            <v>988</v>
          </cell>
          <cell r="B134" t="str">
            <v>40KG</v>
          </cell>
          <cell r="C134">
            <v>570.4</v>
          </cell>
          <cell r="D134">
            <v>4.5644141341596871</v>
          </cell>
          <cell r="E134">
            <v>1623767.96</v>
          </cell>
          <cell r="F134">
            <v>2846.7180224403928</v>
          </cell>
          <cell r="G134">
            <v>1500200.15</v>
          </cell>
          <cell r="H134">
            <v>2630.0844144460029</v>
          </cell>
          <cell r="I134">
            <v>123567.81000000003</v>
          </cell>
          <cell r="J134">
            <v>216.63360799438996</v>
          </cell>
          <cell r="K134">
            <v>7.609942617663183</v>
          </cell>
          <cell r="L134">
            <v>39521.938657395505</v>
          </cell>
          <cell r="M134">
            <v>69.28811125069339</v>
          </cell>
          <cell r="N134">
            <v>40592.562299035992</v>
          </cell>
          <cell r="O134">
            <v>71.165081169417945</v>
          </cell>
          <cell r="P134">
            <v>12068.715518318226</v>
          </cell>
          <cell r="Q134">
            <v>21.158337163952009</v>
          </cell>
          <cell r="R134">
            <v>31384.593525250304</v>
          </cell>
          <cell r="S134">
            <v>55.022078410326621</v>
          </cell>
        </row>
        <row r="135">
          <cell r="A135" t="str">
            <v>551SS</v>
          </cell>
          <cell r="B135" t="str">
            <v>20KG</v>
          </cell>
          <cell r="C135">
            <v>5.08</v>
          </cell>
          <cell r="D135">
            <v>4.0650813116288931E-2</v>
          </cell>
          <cell r="E135">
            <v>14404.06</v>
          </cell>
          <cell r="F135">
            <v>2835.4448818897636</v>
          </cell>
          <cell r="G135">
            <v>12166.5</v>
          </cell>
          <cell r="H135">
            <v>2394.98031496063</v>
          </cell>
          <cell r="I135">
            <v>2237.5599999999995</v>
          </cell>
          <cell r="J135">
            <v>440.46456692913375</v>
          </cell>
          <cell r="K135">
            <v>15.534231320891468</v>
          </cell>
          <cell r="L135">
            <v>376.42856274935758</v>
          </cell>
          <cell r="M135">
            <v>74.10011077743259</v>
          </cell>
          <cell r="N135">
            <v>379.50886807965605</v>
          </cell>
          <cell r="O135">
            <v>74.706470094420482</v>
          </cell>
          <cell r="P135">
            <v>119.6481632582413</v>
          </cell>
          <cell r="Q135">
            <v>23.552788042960884</v>
          </cell>
          <cell r="R135">
            <v>1361.9744059127447</v>
          </cell>
          <cell r="S135">
            <v>268.1051980143198</v>
          </cell>
        </row>
        <row r="136">
          <cell r="A136" t="str">
            <v>551S</v>
          </cell>
          <cell r="B136" t="str">
            <v>40KG</v>
          </cell>
          <cell r="C136">
            <v>1062.24</v>
          </cell>
          <cell r="D136">
            <v>10.304821082407921</v>
          </cell>
          <cell r="E136">
            <v>2242009.84</v>
          </cell>
          <cell r="F136">
            <v>2113.5721330061501</v>
          </cell>
          <cell r="G136">
            <v>2373852.88</v>
          </cell>
          <cell r="H136">
            <v>1843.3969683792011</v>
          </cell>
          <cell r="I136">
            <v>347920.76999999984</v>
          </cell>
          <cell r="J136">
            <v>270.17516462694903</v>
          </cell>
          <cell r="K136">
            <v>12.782869361675244</v>
          </cell>
          <cell r="L136">
            <v>90416.194014177454</v>
          </cell>
          <cell r="M136">
            <v>70.211991375859981</v>
          </cell>
          <cell r="N136">
            <v>93267.740950067848</v>
          </cell>
          <cell r="O136">
            <v>72.426337943458293</v>
          </cell>
          <cell r="P136">
            <v>27620.824108868062</v>
          </cell>
          <cell r="Q136">
            <v>21.448735873818151</v>
          </cell>
          <cell r="R136">
            <v>136616.01092688646</v>
          </cell>
          <cell r="S136">
            <v>106.08809943381256</v>
          </cell>
        </row>
        <row r="137">
          <cell r="A137" t="str">
            <v>950S(20)</v>
          </cell>
          <cell r="B137" t="str">
            <v>10KG</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row>
        <row r="138">
          <cell r="A138" t="str">
            <v>950S-20</v>
          </cell>
          <cell r="B138" t="str">
            <v>20KG</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row>
        <row r="139">
          <cell r="A139" t="str">
            <v>950S(20)</v>
          </cell>
          <cell r="B139" t="str">
            <v>40KG</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row>
        <row r="140">
          <cell r="A140" t="str">
            <v>950S(22)</v>
          </cell>
          <cell r="B140" t="str">
            <v>10KG</v>
          </cell>
          <cell r="C140">
            <v>17.09</v>
          </cell>
          <cell r="D140">
            <v>0.13675637719633421</v>
          </cell>
          <cell r="E140">
            <v>53042.240000000005</v>
          </cell>
          <cell r="F140">
            <v>3103.7004095962557</v>
          </cell>
          <cell r="G140">
            <v>43944.36</v>
          </cell>
          <cell r="H140">
            <v>2571.3493270918666</v>
          </cell>
          <cell r="I140">
            <v>9097.8800000000028</v>
          </cell>
          <cell r="J140">
            <v>532.35108250438873</v>
          </cell>
          <cell r="K140">
            <v>17.152141387694041</v>
          </cell>
          <cell r="L140">
            <v>1186.8891147053359</v>
          </cell>
          <cell r="M140">
            <v>69.449333803706025</v>
          </cell>
          <cell r="N140">
            <v>1226.7344821586785</v>
          </cell>
          <cell r="O140">
            <v>71.780835702672817</v>
          </cell>
          <cell r="P140">
            <v>358.02184844433856</v>
          </cell>
          <cell r="Q140">
            <v>20.949201196274931</v>
          </cell>
          <cell r="R140">
            <v>6326.2345546916504</v>
          </cell>
          <cell r="S140">
            <v>370.17171180173494</v>
          </cell>
        </row>
        <row r="141">
          <cell r="A141" t="str">
            <v>950S(22)</v>
          </cell>
          <cell r="B141" t="str">
            <v>20KG</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row>
        <row r="142">
          <cell r="A142" t="str">
            <v>950S(22)</v>
          </cell>
          <cell r="B142" t="str">
            <v>40KG</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row>
        <row r="143">
          <cell r="A143" t="str">
            <v>951S</v>
          </cell>
          <cell r="B143" t="str">
            <v>40KG</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row>
        <row r="144">
          <cell r="A144">
            <v>951</v>
          </cell>
          <cell r="B144" t="str">
            <v>40KG</v>
          </cell>
          <cell r="C144">
            <v>164.88</v>
          </cell>
          <cell r="D144">
            <v>1.6452376332104341</v>
          </cell>
          <cell r="E144">
            <v>337336.22</v>
          </cell>
          <cell r="F144">
            <v>2045.7673638132294</v>
          </cell>
          <cell r="G144">
            <v>368509.75</v>
          </cell>
          <cell r="H144">
            <v>1792.3625972762648</v>
          </cell>
          <cell r="I144">
            <v>52100.020000000004</v>
          </cell>
          <cell r="J144">
            <v>253.40476653696501</v>
          </cell>
          <cell r="K144">
            <v>12.386783122037313</v>
          </cell>
          <cell r="L144">
            <v>14400.825811525177</v>
          </cell>
          <cell r="M144">
            <v>70.042927098857874</v>
          </cell>
          <cell r="N144">
            <v>14836.002094411628</v>
          </cell>
          <cell r="O144">
            <v>72.159543260756948</v>
          </cell>
          <cell r="P144">
            <v>4402.8911915923527</v>
          </cell>
          <cell r="Q144">
            <v>21.414840426032846</v>
          </cell>
          <cell r="R144">
            <v>18460.300902470844</v>
          </cell>
          <cell r="S144">
            <v>89.787455751317339</v>
          </cell>
        </row>
        <row r="145">
          <cell r="A145">
            <v>551</v>
          </cell>
          <cell r="B145" t="str">
            <v>10KG</v>
          </cell>
          <cell r="C145">
            <v>77.27</v>
          </cell>
          <cell r="D145">
            <v>0.76740412949844672</v>
          </cell>
          <cell r="E145">
            <v>164388.74</v>
          </cell>
          <cell r="F145">
            <v>2124.5034410844628</v>
          </cell>
          <cell r="G145">
            <v>175789.69</v>
          </cell>
          <cell r="H145">
            <v>1833.0520333680918</v>
          </cell>
          <cell r="I145">
            <v>27950.189999999984</v>
          </cell>
          <cell r="J145">
            <v>291.45140771637102</v>
          </cell>
          <cell r="K145">
            <v>13.718566046077971</v>
          </cell>
          <cell r="L145">
            <v>6750.7720050006992</v>
          </cell>
          <cell r="M145">
            <v>70.39386866528362</v>
          </cell>
          <cell r="N145">
            <v>6935.2007791434398</v>
          </cell>
          <cell r="O145">
            <v>72.317004996281952</v>
          </cell>
          <cell r="P145">
            <v>2056.3436605458169</v>
          </cell>
          <cell r="Q145">
            <v>21.442582487443346</v>
          </cell>
          <cell r="R145">
            <v>12207.873555310027</v>
          </cell>
          <cell r="S145">
            <v>127.29795156736211</v>
          </cell>
        </row>
        <row r="146">
          <cell r="A146">
            <v>551</v>
          </cell>
          <cell r="B146" t="str">
            <v>40KG</v>
          </cell>
          <cell r="C146">
            <v>926.96</v>
          </cell>
          <cell r="D146">
            <v>8.9883108906969245</v>
          </cell>
          <cell r="E146">
            <v>1898241.7400000002</v>
          </cell>
          <cell r="F146">
            <v>2049.369965457071</v>
          </cell>
          <cell r="G146">
            <v>2021309.9699999997</v>
          </cell>
          <cell r="H146">
            <v>1799.5352462519138</v>
          </cell>
          <cell r="I146">
            <v>280624.34999999998</v>
          </cell>
          <cell r="J146">
            <v>249.83471920515649</v>
          </cell>
          <cell r="K146">
            <v>12.19080612169684</v>
          </cell>
          <cell r="L146">
            <v>78924.530795510509</v>
          </cell>
          <cell r="M146">
            <v>70.265064274340759</v>
          </cell>
          <cell r="N146">
            <v>81331.078386971581</v>
          </cell>
          <cell r="O146">
            <v>72.407569519400639</v>
          </cell>
          <cell r="P146">
            <v>24082.332499164986</v>
          </cell>
          <cell r="Q146">
            <v>21.440059559101336</v>
          </cell>
          <cell r="R146">
            <v>96286.408318352915</v>
          </cell>
          <cell r="S146">
            <v>85.722025852313763</v>
          </cell>
        </row>
        <row r="147">
          <cell r="A147">
            <v>552</v>
          </cell>
          <cell r="B147" t="str">
            <v>40KG</v>
          </cell>
          <cell r="C147">
            <v>94.36</v>
          </cell>
          <cell r="D147">
            <v>0.96697721593944008</v>
          </cell>
          <cell r="E147">
            <v>155787.33000000002</v>
          </cell>
          <cell r="F147">
            <v>1644.8595663687522</v>
          </cell>
          <cell r="G147">
            <v>174445.68</v>
          </cell>
          <cell r="H147">
            <v>1443.6087388282024</v>
          </cell>
          <cell r="I147">
            <v>24319.15</v>
          </cell>
          <cell r="J147">
            <v>201.25082754054949</v>
          </cell>
          <cell r="K147">
            <v>12.235137373145955</v>
          </cell>
          <cell r="L147">
            <v>8424.5774888674678</v>
          </cell>
          <cell r="M147">
            <v>69.716794843325616</v>
          </cell>
          <cell r="N147">
            <v>8611.6817661486675</v>
          </cell>
          <cell r="O147">
            <v>71.265158607651998</v>
          </cell>
          <cell r="P147">
            <v>2559.7802600854884</v>
          </cell>
          <cell r="Q147">
            <v>21.183219629969283</v>
          </cell>
          <cell r="R147">
            <v>4723.1104848983787</v>
          </cell>
          <cell r="S147">
            <v>39.085654459602601</v>
          </cell>
        </row>
        <row r="148">
          <cell r="A148">
            <v>553</v>
          </cell>
          <cell r="B148" t="str">
            <v>40KG</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row>
        <row r="149">
          <cell r="A149">
            <v>555</v>
          </cell>
          <cell r="B149" t="str">
            <v>40KG</v>
          </cell>
          <cell r="C149">
            <v>38.04</v>
          </cell>
          <cell r="D149">
            <v>0.38922353345990035</v>
          </cell>
          <cell r="E149">
            <v>52273.039999999994</v>
          </cell>
          <cell r="F149">
            <v>1368.4313322368421</v>
          </cell>
          <cell r="G149">
            <v>61038.130000000005</v>
          </cell>
          <cell r="H149">
            <v>1254.8957648026317</v>
          </cell>
          <cell r="I149">
            <v>5522.3699999999972</v>
          </cell>
          <cell r="J149">
            <v>113.53556743421046</v>
          </cell>
          <cell r="K149">
            <v>8.2967676024068258</v>
          </cell>
          <cell r="L149">
            <v>3450.4349886164464</v>
          </cell>
          <cell r="M149">
            <v>70.93821933833155</v>
          </cell>
          <cell r="N149">
            <v>3554.5941691510516</v>
          </cell>
          <cell r="O149">
            <v>73.079649859191022</v>
          </cell>
          <cell r="P149">
            <v>1055.7479959461957</v>
          </cell>
          <cell r="Q149">
            <v>21.705345311393828</v>
          </cell>
          <cell r="R149">
            <v>-2538.4071537136961</v>
          </cell>
          <cell r="S149">
            <v>-52.187647074705922</v>
          </cell>
        </row>
        <row r="150">
          <cell r="A150">
            <v>851</v>
          </cell>
          <cell r="B150" t="str">
            <v>10KG</v>
          </cell>
          <cell r="C150">
            <v>0.62</v>
          </cell>
          <cell r="D150">
            <v>4.9613197110431381E-3</v>
          </cell>
          <cell r="E150">
            <v>1191.8700000000001</v>
          </cell>
          <cell r="F150">
            <v>1922.3709677419356</v>
          </cell>
          <cell r="G150">
            <v>1068.25</v>
          </cell>
          <cell r="H150">
            <v>1722.983870967742</v>
          </cell>
          <cell r="I150">
            <v>123.62000000000003</v>
          </cell>
          <cell r="J150">
            <v>199.38709677419359</v>
          </cell>
          <cell r="K150">
            <v>10.371936536702837</v>
          </cell>
          <cell r="L150">
            <v>47.125928930641734</v>
          </cell>
          <cell r="M150">
            <v>76.009562791357638</v>
          </cell>
          <cell r="N150">
            <v>48.130630506787078</v>
          </cell>
          <cell r="O150">
            <v>77.630049204495293</v>
          </cell>
          <cell r="P150">
            <v>13.971855373189388</v>
          </cell>
          <cell r="Q150">
            <v>22.535250601918367</v>
          </cell>
          <cell r="R150">
            <v>14.391585189381829</v>
          </cell>
          <cell r="S150">
            <v>23.212234176422303</v>
          </cell>
        </row>
        <row r="151">
          <cell r="A151">
            <v>851</v>
          </cell>
          <cell r="B151" t="str">
            <v>40KG</v>
          </cell>
          <cell r="C151">
            <v>176.56</v>
          </cell>
          <cell r="D151">
            <v>1.7630289657048777</v>
          </cell>
          <cell r="E151">
            <v>340122.03</v>
          </cell>
          <cell r="F151">
            <v>1923.2124183006538</v>
          </cell>
          <cell r="G151">
            <v>366291.46</v>
          </cell>
          <cell r="H151">
            <v>1662.5429375453887</v>
          </cell>
          <cell r="I151">
            <v>57430.700000000019</v>
          </cell>
          <cell r="J151">
            <v>260.66948075526517</v>
          </cell>
          <cell r="K151">
            <v>13.553858028100302</v>
          </cell>
          <cell r="L151">
            <v>15167.924779912433</v>
          </cell>
          <cell r="M151">
            <v>68.844974491251065</v>
          </cell>
          <cell r="N151">
            <v>15487.724366122766</v>
          </cell>
          <cell r="O151">
            <v>70.296497667586991</v>
          </cell>
          <cell r="P151">
            <v>4599.0697927155679</v>
          </cell>
          <cell r="Q151">
            <v>20.874499785382934</v>
          </cell>
          <cell r="R151">
            <v>22175.981061249255</v>
          </cell>
          <cell r="S151">
            <v>100.65350881104419</v>
          </cell>
        </row>
        <row r="152">
          <cell r="A152">
            <v>852</v>
          </cell>
          <cell r="B152" t="str">
            <v>40KG</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row>
        <row r="153">
          <cell r="A153" t="str">
            <v>浓缩猪料</v>
          </cell>
          <cell r="B153">
            <v>0</v>
          </cell>
          <cell r="C153">
            <v>1145.4699999999998</v>
          </cell>
          <cell r="D153">
            <v>11.551712755592987</v>
          </cell>
          <cell r="E153">
            <v>4077946.91</v>
          </cell>
          <cell r="F153">
            <v>2815.15</v>
          </cell>
          <cell r="G153">
            <v>3753270.5</v>
          </cell>
          <cell r="H153">
            <v>2599.9699999999998</v>
          </cell>
          <cell r="I153">
            <v>324676.41000000003</v>
          </cell>
          <cell r="J153">
            <v>224.91057648346475</v>
          </cell>
          <cell r="K153">
            <v>7.9617615718297809</v>
          </cell>
          <cell r="L153">
            <v>100341.50953199502</v>
          </cell>
          <cell r="M153">
            <v>69.510000000000005</v>
          </cell>
          <cell r="N153">
            <v>103134.01034396474</v>
          </cell>
          <cell r="O153">
            <v>71.44</v>
          </cell>
          <cell r="P153">
            <v>30640.089884965419</v>
          </cell>
          <cell r="Q153">
            <v>21.23</v>
          </cell>
          <cell r="R153">
            <v>90560.800239074917</v>
          </cell>
          <cell r="S153">
            <v>62.73</v>
          </cell>
        </row>
        <row r="154">
          <cell r="A154" t="str">
            <v>全价猪料</v>
          </cell>
          <cell r="B154">
            <v>0</v>
          </cell>
          <cell r="C154">
            <v>3125.09</v>
          </cell>
          <cell r="D154">
            <v>25.007371960941615</v>
          </cell>
          <cell r="E154">
            <v>6405743.2799999993</v>
          </cell>
          <cell r="F154">
            <v>2049.7800000000002</v>
          </cell>
          <cell r="G154">
            <v>5598416.6700000018</v>
          </cell>
          <cell r="H154">
            <v>1791.44</v>
          </cell>
          <cell r="I154">
            <v>807326.61</v>
          </cell>
          <cell r="J154">
            <v>258.33707509223734</v>
          </cell>
          <cell r="K154">
            <v>12.603168355507375</v>
          </cell>
          <cell r="L154">
            <v>219145.70348999547</v>
          </cell>
          <cell r="M154">
            <v>70.12</v>
          </cell>
          <cell r="N154">
            <v>225678.39649276208</v>
          </cell>
          <cell r="O154">
            <v>72.22</v>
          </cell>
          <cell r="P154">
            <v>66868.631375994257</v>
          </cell>
          <cell r="Q154">
            <v>21.4</v>
          </cell>
          <cell r="R154">
            <v>295633.87864124792</v>
          </cell>
          <cell r="S154">
            <v>94.6</v>
          </cell>
        </row>
        <row r="155">
          <cell r="A155" t="str">
            <v>猪料合计</v>
          </cell>
          <cell r="B155">
            <v>0</v>
          </cell>
          <cell r="C155">
            <v>4568.67</v>
          </cell>
          <cell r="D155">
            <v>36.559084716534599</v>
          </cell>
          <cell r="E155">
            <v>10483690.189999999</v>
          </cell>
          <cell r="F155">
            <v>2294.691932225352</v>
          </cell>
          <cell r="G155">
            <v>9351687.1700000018</v>
          </cell>
          <cell r="H155">
            <v>2046.9167547667048</v>
          </cell>
          <cell r="I155">
            <v>1132003.02</v>
          </cell>
          <cell r="J155">
            <v>247.7751774586477</v>
          </cell>
          <cell r="K155">
            <v>10.797753457840404</v>
          </cell>
          <cell r="L155">
            <v>319487.21302199049</v>
          </cell>
          <cell r="M155">
            <v>69.930026248774908</v>
          </cell>
          <cell r="N155">
            <v>328812.40683672682</v>
          </cell>
          <cell r="O155">
            <v>71.971144082791454</v>
          </cell>
          <cell r="P155">
            <v>97508.721260959675</v>
          </cell>
          <cell r="Q155">
            <v>21.342911889228084</v>
          </cell>
          <cell r="R155">
            <v>386194.67888032284</v>
          </cell>
          <cell r="S155">
            <v>84.531095237853208</v>
          </cell>
        </row>
        <row r="156">
          <cell r="A156" t="str">
            <v>549F</v>
          </cell>
          <cell r="B156" t="str">
            <v>40KG</v>
          </cell>
          <cell r="C156">
            <v>1178.08</v>
          </cell>
          <cell r="D156">
            <v>10.855367527762386</v>
          </cell>
          <cell r="E156">
            <v>1581211.3599999999</v>
          </cell>
          <cell r="F156">
            <v>1342.5910022409626</v>
          </cell>
          <cell r="G156">
            <v>1886585.9699999997</v>
          </cell>
          <cell r="H156">
            <v>1390.713252639028</v>
          </cell>
          <cell r="I156">
            <v>-65280.719999999972</v>
          </cell>
          <cell r="J156">
            <v>-48.122250398065674</v>
          </cell>
          <cell r="K156">
            <v>-3.584282206401137</v>
          </cell>
          <cell r="L156">
            <v>92362.075291595989</v>
          </cell>
          <cell r="M156">
            <v>68.085506937839824</v>
          </cell>
          <cell r="N156">
            <v>94653.651164687268</v>
          </cell>
          <cell r="O156">
            <v>69.774762019142003</v>
          </cell>
          <cell r="P156">
            <v>27965.501578204665</v>
          </cell>
          <cell r="Q156">
            <v>20.615012663062942</v>
          </cell>
          <cell r="R156">
            <v>-280261.9480344879</v>
          </cell>
          <cell r="S156">
            <v>-206.59753201811046</v>
          </cell>
        </row>
        <row r="157">
          <cell r="A157" t="str">
            <v>549LF</v>
          </cell>
          <cell r="B157" t="str">
            <v>40KG</v>
          </cell>
          <cell r="C157">
            <v>126.03999999999999</v>
          </cell>
          <cell r="D157">
            <v>1.0085882844836727</v>
          </cell>
          <cell r="E157">
            <v>180505.46000000002</v>
          </cell>
          <cell r="F157">
            <v>1432.1283719454143</v>
          </cell>
          <cell r="G157">
            <v>176359.55</v>
          </cell>
          <cell r="H157">
            <v>1399.2347667407173</v>
          </cell>
          <cell r="I157">
            <v>4145.91</v>
          </cell>
          <cell r="J157">
            <v>32.893605204696925</v>
          </cell>
          <cell r="K157">
            <v>2.2968335694665591</v>
          </cell>
          <cell r="L157">
            <v>9097.793772349065</v>
          </cell>
          <cell r="M157">
            <v>72.181797622572716</v>
          </cell>
          <cell r="N157">
            <v>9489.4072560163986</v>
          </cell>
          <cell r="O157">
            <v>75.288854776391616</v>
          </cell>
          <cell r="P157">
            <v>2822.1792834174289</v>
          </cell>
          <cell r="Q157">
            <v>22.391139982683505</v>
          </cell>
          <cell r="R157">
            <v>-17263.47031178289</v>
          </cell>
          <cell r="S157">
            <v>-136.96818717695089</v>
          </cell>
        </row>
        <row r="158">
          <cell r="A158">
            <v>543</v>
          </cell>
          <cell r="B158" t="str">
            <v>40KG</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row>
        <row r="159">
          <cell r="A159">
            <v>544</v>
          </cell>
          <cell r="B159" t="str">
            <v>40KG</v>
          </cell>
          <cell r="C159">
            <v>52.24</v>
          </cell>
          <cell r="D159">
            <v>0.41803119629821539</v>
          </cell>
          <cell r="E159">
            <v>76614.62</v>
          </cell>
          <cell r="F159">
            <v>1466.5892036753444</v>
          </cell>
          <cell r="G159">
            <v>76762.25</v>
          </cell>
          <cell r="H159">
            <v>1469.4151990811638</v>
          </cell>
          <cell r="I159">
            <v>-147.62999999999556</v>
          </cell>
          <cell r="J159">
            <v>-2.8259954058192105</v>
          </cell>
          <cell r="K159">
            <v>-0.19269168208366064</v>
          </cell>
          <cell r="L159">
            <v>3463.683234538224</v>
          </cell>
          <cell r="M159">
            <v>66.303277843381011</v>
          </cell>
          <cell r="N159">
            <v>3454.2157304719926</v>
          </cell>
          <cell r="O159">
            <v>66.122046907963096</v>
          </cell>
          <cell r="P159">
            <v>1044.8917825491744</v>
          </cell>
          <cell r="Q159">
            <v>20.001756940068422</v>
          </cell>
          <cell r="R159">
            <v>-8110.4207475593867</v>
          </cell>
          <cell r="S159">
            <v>-155.25307709723174</v>
          </cell>
        </row>
        <row r="160">
          <cell r="A160" t="str">
            <v>547M</v>
          </cell>
          <cell r="B160" t="str">
            <v>40KG</v>
          </cell>
          <cell r="C160">
            <v>61</v>
          </cell>
          <cell r="D160">
            <v>0.48812984253811514</v>
          </cell>
          <cell r="E160">
            <v>91414.760000000009</v>
          </cell>
          <cell r="F160">
            <v>1498.6026229508198</v>
          </cell>
          <cell r="G160">
            <v>91527.52</v>
          </cell>
          <cell r="H160">
            <v>1500.4511475409836</v>
          </cell>
          <cell r="I160">
            <v>-112.76000000000022</v>
          </cell>
          <cell r="J160">
            <v>-1.848524590163938</v>
          </cell>
          <cell r="K160">
            <v>-0.1233498835417768</v>
          </cell>
          <cell r="L160">
            <v>4319.6728510389639</v>
          </cell>
          <cell r="M160">
            <v>70.814309033425644</v>
          </cell>
          <cell r="N160">
            <v>4448.0657985892522</v>
          </cell>
          <cell r="O160">
            <v>72.91911145228282</v>
          </cell>
          <cell r="P160">
            <v>1327.9822824432904</v>
          </cell>
          <cell r="Q160">
            <v>21.770201351529352</v>
          </cell>
          <cell r="R160">
            <v>-10208.480932071505</v>
          </cell>
          <cell r="S160">
            <v>-167.35214642740172</v>
          </cell>
        </row>
        <row r="161">
          <cell r="A161">
            <v>547</v>
          </cell>
          <cell r="B161" t="str">
            <v>40KG</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row>
        <row r="162">
          <cell r="A162">
            <v>548</v>
          </cell>
          <cell r="B162" t="str">
            <v>40KG</v>
          </cell>
          <cell r="C162">
            <v>76.040000000000006</v>
          </cell>
          <cell r="D162">
            <v>0.73619582809027206</v>
          </cell>
          <cell r="E162">
            <v>131996.89000000001</v>
          </cell>
          <cell r="F162">
            <v>1739.7588043478261</v>
          </cell>
          <cell r="G162">
            <v>149774.66</v>
          </cell>
          <cell r="H162">
            <v>1627.9854347826088</v>
          </cell>
          <cell r="I162">
            <v>10283.150000000005</v>
          </cell>
          <cell r="J162">
            <v>111.77336956521745</v>
          </cell>
          <cell r="K162">
            <v>6.4246474445701809</v>
          </cell>
          <cell r="L162">
            <v>6391.935543930309</v>
          </cell>
          <cell r="M162">
            <v>69.477560260112057</v>
          </cell>
          <cell r="N162">
            <v>6580.3131081897709</v>
          </cell>
          <cell r="O162">
            <v>71.525142480323595</v>
          </cell>
          <cell r="P162">
            <v>1949.4767309379981</v>
          </cell>
          <cell r="Q162">
            <v>21.18996446671737</v>
          </cell>
          <cell r="R162">
            <v>-4638.5753830580734</v>
          </cell>
          <cell r="S162">
            <v>-50.419297641935579</v>
          </cell>
        </row>
        <row r="163">
          <cell r="A163">
            <v>549</v>
          </cell>
          <cell r="B163" t="str">
            <v>40KG</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row>
        <row r="164">
          <cell r="A164" t="str">
            <v>鸭料合计</v>
          </cell>
          <cell r="B164">
            <v>0</v>
          </cell>
          <cell r="C164">
            <v>1426.3999999999999</v>
          </cell>
          <cell r="D164">
            <v>13.506312679172661</v>
          </cell>
          <cell r="E164">
            <v>1965348.42</v>
          </cell>
          <cell r="F164">
            <v>1380.4021115745568</v>
          </cell>
          <cell r="G164">
            <v>2381009.9499999997</v>
          </cell>
          <cell r="H164">
            <v>1410.6846324296141</v>
          </cell>
          <cell r="I164">
            <v>-51112.049999999959</v>
          </cell>
          <cell r="J164">
            <v>-30.282520855057328</v>
          </cell>
          <cell r="K164">
            <v>-2.1937463439921534</v>
          </cell>
          <cell r="L164">
            <v>115635.16069345255</v>
          </cell>
          <cell r="M164">
            <v>68.510736025602284</v>
          </cell>
          <cell r="N164">
            <v>118625.65305795467</v>
          </cell>
          <cell r="O164">
            <v>70.282522666813605</v>
          </cell>
          <cell r="P164">
            <v>35110.031657552558</v>
          </cell>
          <cell r="Q164">
            <v>20.801753517840886</v>
          </cell>
          <cell r="R164">
            <v>-320482.89540895977</v>
          </cell>
          <cell r="S164">
            <v>-189.87753306531411</v>
          </cell>
        </row>
        <row r="165">
          <cell r="A165" t="str">
            <v>浓缩料</v>
          </cell>
          <cell r="B165">
            <v>0</v>
          </cell>
          <cell r="C165">
            <v>1588.7049999999999</v>
          </cell>
          <cell r="D165">
            <v>12.713021663762561</v>
          </cell>
          <cell r="E165">
            <v>4400453.4400000004</v>
          </cell>
          <cell r="F165">
            <v>2770</v>
          </cell>
          <cell r="G165">
            <v>4055862.39</v>
          </cell>
          <cell r="H165">
            <v>2553</v>
          </cell>
          <cell r="I165">
            <v>344591.05000000005</v>
          </cell>
          <cell r="J165">
            <v>216.9</v>
          </cell>
          <cell r="K165">
            <v>7.8308077723917471</v>
          </cell>
          <cell r="L165">
            <v>110298.2767332322</v>
          </cell>
          <cell r="M165">
            <v>69</v>
          </cell>
          <cell r="N165">
            <v>113260.96777770325</v>
          </cell>
          <cell r="O165">
            <v>71</v>
          </cell>
          <cell r="P165">
            <v>33680.432857621025</v>
          </cell>
          <cell r="Q165">
            <v>21</v>
          </cell>
          <cell r="R165">
            <v>87351.372631443635</v>
          </cell>
          <cell r="S165">
            <v>55</v>
          </cell>
        </row>
        <row r="166">
          <cell r="A166" t="str">
            <v>全价料</v>
          </cell>
          <cell r="B166">
            <v>0</v>
          </cell>
          <cell r="C166">
            <v>10907.97</v>
          </cell>
          <cell r="D166">
            <v>87.286978336237439</v>
          </cell>
          <cell r="E166">
            <v>19160174.789999995</v>
          </cell>
          <cell r="F166">
            <v>1757</v>
          </cell>
          <cell r="G166">
            <v>18021152.59</v>
          </cell>
          <cell r="H166">
            <v>1652</v>
          </cell>
          <cell r="I166">
            <v>1139022.1999999995</v>
          </cell>
          <cell r="J166">
            <v>104.42</v>
          </cell>
          <cell r="K166">
            <v>5.9447380438015296</v>
          </cell>
          <cell r="L166">
            <v>755662.38326676772</v>
          </cell>
          <cell r="M166">
            <v>69</v>
          </cell>
          <cell r="N166">
            <v>774949.69222229649</v>
          </cell>
          <cell r="O166">
            <v>71</v>
          </cell>
          <cell r="P166">
            <v>229716.097142379</v>
          </cell>
          <cell r="Q166">
            <v>21</v>
          </cell>
          <cell r="R166">
            <v>-621305.97263144399</v>
          </cell>
          <cell r="S166">
            <v>-57</v>
          </cell>
        </row>
        <row r="167">
          <cell r="A167" t="str">
            <v>合计</v>
          </cell>
          <cell r="B167">
            <v>0</v>
          </cell>
          <cell r="C167">
            <v>12496.674999999999</v>
          </cell>
          <cell r="D167">
            <v>100</v>
          </cell>
          <cell r="E167">
            <v>23560628.229999997</v>
          </cell>
          <cell r="F167">
            <v>1885.3517619686836</v>
          </cell>
          <cell r="G167">
            <v>22077014.98</v>
          </cell>
          <cell r="H167">
            <v>1766.6311222785262</v>
          </cell>
          <cell r="I167">
            <v>1483613.2499999995</v>
          </cell>
          <cell r="J167">
            <v>118.72063969015755</v>
          </cell>
          <cell r="K167">
            <v>6.2970020812556236</v>
          </cell>
          <cell r="L167">
            <v>865960.65999999992</v>
          </cell>
          <cell r="M167">
            <v>69.295285345902002</v>
          </cell>
          <cell r="N167">
            <v>888210.6599999998</v>
          </cell>
          <cell r="O167">
            <v>71.075758951881184</v>
          </cell>
          <cell r="P167">
            <v>263396.53000000003</v>
          </cell>
          <cell r="Q167">
            <v>21.077328969505892</v>
          </cell>
          <cell r="R167">
            <v>-533954.60000000033</v>
          </cell>
          <cell r="S167">
            <v>-42.727733577131545</v>
          </cell>
        </row>
        <row r="169">
          <cell r="C169" t="str">
            <v>核准:</v>
          </cell>
          <cell r="D169">
            <v>0</v>
          </cell>
          <cell r="E169">
            <v>0</v>
          </cell>
          <cell r="F169">
            <v>0</v>
          </cell>
          <cell r="G169">
            <v>0</v>
          </cell>
          <cell r="H169">
            <v>0</v>
          </cell>
          <cell r="I169">
            <v>0</v>
          </cell>
          <cell r="J169">
            <v>0</v>
          </cell>
          <cell r="K169">
            <v>0</v>
          </cell>
          <cell r="L169">
            <v>0</v>
          </cell>
          <cell r="M169">
            <v>0</v>
          </cell>
          <cell r="N169">
            <v>0</v>
          </cell>
          <cell r="O169">
            <v>0</v>
          </cell>
          <cell r="P169" t="str">
            <v>制表:</v>
          </cell>
          <cell r="Q169" t="str">
            <v>周平          -8-</v>
          </cell>
        </row>
      </sheetData>
      <sheetData sheetId="2"/>
      <sheetData sheetId="3" refreshError="1">
        <row r="1">
          <cell r="A1" t="str">
            <v>饲料产销量明细表</v>
          </cell>
        </row>
        <row r="2">
          <cell r="A2">
            <v>37772</v>
          </cell>
        </row>
        <row r="3">
          <cell r="A3" t="str">
            <v xml:space="preserve"> 公司名称：泰州正大饲料有限公司</v>
          </cell>
          <cell r="B3">
            <v>0</v>
          </cell>
          <cell r="C3">
            <v>0</v>
          </cell>
          <cell r="D3">
            <v>0</v>
          </cell>
          <cell r="E3">
            <v>0</v>
          </cell>
          <cell r="F3">
            <v>0</v>
          </cell>
          <cell r="G3">
            <v>0</v>
          </cell>
          <cell r="H3">
            <v>0</v>
          </cell>
          <cell r="I3">
            <v>0</v>
          </cell>
          <cell r="J3">
            <v>0</v>
          </cell>
          <cell r="K3">
            <v>0</v>
          </cell>
          <cell r="L3">
            <v>0</v>
          </cell>
          <cell r="M3">
            <v>0</v>
          </cell>
          <cell r="N3" t="str">
            <v>单位：吨</v>
          </cell>
        </row>
        <row r="4">
          <cell r="A4" t="str">
            <v>类别</v>
          </cell>
          <cell r="B4">
            <v>0</v>
          </cell>
          <cell r="C4">
            <v>0</v>
          </cell>
          <cell r="D4" t="str">
            <v>本月合计</v>
          </cell>
          <cell r="E4">
            <v>0</v>
          </cell>
          <cell r="F4">
            <v>0</v>
          </cell>
          <cell r="G4">
            <v>0</v>
          </cell>
          <cell r="H4">
            <v>0</v>
          </cell>
          <cell r="I4">
            <v>0</v>
          </cell>
          <cell r="J4" t="str">
            <v>本年累计</v>
          </cell>
        </row>
        <row r="5">
          <cell r="D5" t="str">
            <v>产量</v>
          </cell>
          <cell r="E5" t="str">
            <v>销售及自用</v>
          </cell>
          <cell r="F5">
            <v>0</v>
          </cell>
          <cell r="G5">
            <v>0</v>
          </cell>
          <cell r="H5">
            <v>0</v>
          </cell>
          <cell r="I5">
            <v>0</v>
          </cell>
          <cell r="J5" t="str">
            <v>产量</v>
          </cell>
          <cell r="K5" t="str">
            <v>销售及自用</v>
          </cell>
        </row>
        <row r="6">
          <cell r="E6" t="str">
            <v>合计</v>
          </cell>
          <cell r="F6" t="str">
            <v>外销</v>
          </cell>
          <cell r="G6" t="str">
            <v>合同或小龙</v>
          </cell>
          <cell r="H6" t="str">
            <v>兄弟公司</v>
          </cell>
          <cell r="I6" t="str">
            <v>自用</v>
          </cell>
          <cell r="J6">
            <v>0</v>
          </cell>
          <cell r="K6" t="str">
            <v>合计</v>
          </cell>
          <cell r="L6" t="str">
            <v>外销</v>
          </cell>
          <cell r="M6" t="str">
            <v>合同或小龙</v>
          </cell>
          <cell r="N6" t="str">
            <v>兄弟公司</v>
          </cell>
          <cell r="O6" t="str">
            <v>自用</v>
          </cell>
        </row>
        <row r="7">
          <cell r="A7" t="str">
            <v>全价饲料</v>
          </cell>
          <cell r="B7" t="str">
            <v>鸡料</v>
          </cell>
          <cell r="C7" t="str">
            <v>肉鸡料</v>
          </cell>
          <cell r="D7">
            <v>1057080</v>
          </cell>
          <cell r="E7">
            <v>1095480</v>
          </cell>
          <cell r="F7">
            <v>1091840</v>
          </cell>
          <cell r="G7">
            <v>0</v>
          </cell>
          <cell r="H7">
            <v>0</v>
          </cell>
          <cell r="I7">
            <v>3640</v>
          </cell>
          <cell r="J7">
            <v>5755240</v>
          </cell>
          <cell r="K7">
            <v>5839840</v>
          </cell>
          <cell r="L7">
            <v>5813440</v>
          </cell>
          <cell r="M7">
            <v>0</v>
          </cell>
          <cell r="N7">
            <v>0</v>
          </cell>
          <cell r="O7">
            <v>26400</v>
          </cell>
        </row>
        <row r="8">
          <cell r="C8" t="str">
            <v>肉种鸡料</v>
          </cell>
          <cell r="D8">
            <v>0</v>
          </cell>
          <cell r="E8">
            <v>0</v>
          </cell>
          <cell r="F8">
            <v>0</v>
          </cell>
          <cell r="G8">
            <v>0</v>
          </cell>
          <cell r="H8">
            <v>0</v>
          </cell>
          <cell r="I8">
            <v>0</v>
          </cell>
          <cell r="J8">
            <v>0</v>
          </cell>
          <cell r="K8">
            <v>0</v>
          </cell>
          <cell r="L8">
            <v>0</v>
          </cell>
          <cell r="M8">
            <v>0</v>
          </cell>
          <cell r="N8">
            <v>0</v>
          </cell>
          <cell r="O8">
            <v>0</v>
          </cell>
        </row>
        <row r="9">
          <cell r="C9" t="str">
            <v>小计</v>
          </cell>
          <cell r="D9">
            <v>1057080</v>
          </cell>
          <cell r="E9">
            <v>1095480</v>
          </cell>
          <cell r="F9">
            <v>1091840</v>
          </cell>
          <cell r="G9">
            <v>0</v>
          </cell>
          <cell r="H9">
            <v>0</v>
          </cell>
          <cell r="I9">
            <v>3640</v>
          </cell>
          <cell r="J9">
            <v>5755240</v>
          </cell>
          <cell r="K9">
            <v>5839840</v>
          </cell>
          <cell r="L9">
            <v>5813440</v>
          </cell>
          <cell r="M9">
            <v>0</v>
          </cell>
          <cell r="N9">
            <v>0</v>
          </cell>
          <cell r="O9">
            <v>26400</v>
          </cell>
        </row>
        <row r="10">
          <cell r="C10" t="str">
            <v>蛋鸡料</v>
          </cell>
          <cell r="D10">
            <v>44040</v>
          </cell>
          <cell r="E10">
            <v>46040</v>
          </cell>
          <cell r="F10">
            <v>46040</v>
          </cell>
          <cell r="G10">
            <v>0</v>
          </cell>
          <cell r="H10">
            <v>0</v>
          </cell>
          <cell r="I10">
            <v>0</v>
          </cell>
          <cell r="J10">
            <v>278800</v>
          </cell>
          <cell r="K10">
            <v>283000</v>
          </cell>
          <cell r="L10">
            <v>281600</v>
          </cell>
          <cell r="M10">
            <v>0</v>
          </cell>
          <cell r="N10">
            <v>0</v>
          </cell>
          <cell r="O10">
            <v>1400</v>
          </cell>
        </row>
        <row r="11">
          <cell r="C11" t="str">
            <v>蛋种鸡料</v>
          </cell>
          <cell r="D11">
            <v>0</v>
          </cell>
          <cell r="E11">
            <v>0</v>
          </cell>
          <cell r="F11">
            <v>0</v>
          </cell>
          <cell r="G11">
            <v>0</v>
          </cell>
          <cell r="H11">
            <v>0</v>
          </cell>
          <cell r="I11">
            <v>0</v>
          </cell>
          <cell r="J11">
            <v>0</v>
          </cell>
          <cell r="K11">
            <v>0</v>
          </cell>
          <cell r="L11">
            <v>0</v>
          </cell>
          <cell r="M11">
            <v>0</v>
          </cell>
          <cell r="N11">
            <v>0</v>
          </cell>
          <cell r="O11">
            <v>0</v>
          </cell>
        </row>
        <row r="12">
          <cell r="C12" t="str">
            <v>小计</v>
          </cell>
          <cell r="D12">
            <v>44040</v>
          </cell>
          <cell r="E12">
            <v>46040</v>
          </cell>
          <cell r="F12">
            <v>46040</v>
          </cell>
          <cell r="G12">
            <v>0</v>
          </cell>
          <cell r="H12">
            <v>0</v>
          </cell>
          <cell r="I12">
            <v>0</v>
          </cell>
          <cell r="J12">
            <v>278800</v>
          </cell>
          <cell r="K12">
            <v>283000</v>
          </cell>
          <cell r="L12">
            <v>281600</v>
          </cell>
          <cell r="M12">
            <v>0</v>
          </cell>
          <cell r="N12">
            <v>0</v>
          </cell>
          <cell r="O12">
            <v>1400</v>
          </cell>
        </row>
        <row r="13">
          <cell r="C13" t="str">
            <v>合计</v>
          </cell>
          <cell r="D13">
            <v>1101120</v>
          </cell>
          <cell r="E13">
            <v>1141520</v>
          </cell>
          <cell r="F13">
            <v>1137880</v>
          </cell>
          <cell r="G13">
            <v>0</v>
          </cell>
          <cell r="H13">
            <v>0</v>
          </cell>
          <cell r="I13">
            <v>3640</v>
          </cell>
          <cell r="J13">
            <v>6034040</v>
          </cell>
          <cell r="K13">
            <v>6122840</v>
          </cell>
          <cell r="L13">
            <v>6095040</v>
          </cell>
          <cell r="M13">
            <v>0</v>
          </cell>
          <cell r="N13">
            <v>0</v>
          </cell>
          <cell r="O13">
            <v>27800</v>
          </cell>
        </row>
        <row r="14">
          <cell r="B14" t="str">
            <v>鸭料</v>
          </cell>
          <cell r="C14" t="str">
            <v>肉鸭料</v>
          </cell>
          <cell r="D14">
            <v>195320</v>
          </cell>
          <cell r="E14">
            <v>224440</v>
          </cell>
          <cell r="F14">
            <v>224440</v>
          </cell>
          <cell r="G14">
            <v>0</v>
          </cell>
          <cell r="H14">
            <v>0</v>
          </cell>
          <cell r="I14">
            <v>0</v>
          </cell>
          <cell r="J14">
            <v>1461960</v>
          </cell>
          <cell r="K14">
            <v>1579080</v>
          </cell>
          <cell r="L14">
            <v>1574600</v>
          </cell>
          <cell r="M14">
            <v>0</v>
          </cell>
          <cell r="N14">
            <v>0</v>
          </cell>
          <cell r="O14">
            <v>4480</v>
          </cell>
        </row>
        <row r="15">
          <cell r="C15" t="str">
            <v>肉种鸭料</v>
          </cell>
          <cell r="D15">
            <v>20040</v>
          </cell>
          <cell r="E15">
            <v>37000</v>
          </cell>
          <cell r="F15">
            <v>37000</v>
          </cell>
          <cell r="G15">
            <v>0</v>
          </cell>
          <cell r="H15">
            <v>0</v>
          </cell>
          <cell r="I15">
            <v>0</v>
          </cell>
          <cell r="J15">
            <v>122360</v>
          </cell>
          <cell r="K15">
            <v>113400</v>
          </cell>
          <cell r="L15">
            <v>113240</v>
          </cell>
          <cell r="M15">
            <v>0</v>
          </cell>
          <cell r="N15">
            <v>0</v>
          </cell>
          <cell r="O15">
            <v>160</v>
          </cell>
        </row>
        <row r="16">
          <cell r="C16" t="str">
            <v>小计</v>
          </cell>
          <cell r="D16">
            <v>215360</v>
          </cell>
          <cell r="E16">
            <v>261440</v>
          </cell>
          <cell r="F16">
            <v>261440</v>
          </cell>
          <cell r="G16">
            <v>0</v>
          </cell>
          <cell r="H16">
            <v>0</v>
          </cell>
          <cell r="I16">
            <v>0</v>
          </cell>
          <cell r="J16">
            <v>1584320</v>
          </cell>
          <cell r="K16">
            <v>1692480</v>
          </cell>
          <cell r="L16">
            <v>1687840</v>
          </cell>
          <cell r="M16">
            <v>0</v>
          </cell>
          <cell r="N16">
            <v>0</v>
          </cell>
          <cell r="O16">
            <v>4640</v>
          </cell>
        </row>
        <row r="17">
          <cell r="C17" t="str">
            <v>蛋鸭料</v>
          </cell>
          <cell r="D17">
            <v>0</v>
          </cell>
          <cell r="E17">
            <v>0</v>
          </cell>
          <cell r="F17">
            <v>0</v>
          </cell>
          <cell r="G17">
            <v>0</v>
          </cell>
          <cell r="H17">
            <v>0</v>
          </cell>
          <cell r="I17">
            <v>0</v>
          </cell>
          <cell r="J17">
            <v>0</v>
          </cell>
          <cell r="K17">
            <v>0</v>
          </cell>
          <cell r="L17">
            <v>0</v>
          </cell>
          <cell r="M17">
            <v>0</v>
          </cell>
          <cell r="N17">
            <v>0</v>
          </cell>
          <cell r="O17">
            <v>0</v>
          </cell>
        </row>
        <row r="18">
          <cell r="C18" t="str">
            <v>蛋种鸭料</v>
          </cell>
          <cell r="D18">
            <v>0</v>
          </cell>
          <cell r="E18">
            <v>0</v>
          </cell>
          <cell r="F18">
            <v>0</v>
          </cell>
          <cell r="G18">
            <v>0</v>
          </cell>
          <cell r="H18">
            <v>0</v>
          </cell>
          <cell r="I18">
            <v>0</v>
          </cell>
          <cell r="J18">
            <v>0</v>
          </cell>
          <cell r="K18">
            <v>0</v>
          </cell>
          <cell r="L18">
            <v>0</v>
          </cell>
          <cell r="M18">
            <v>0</v>
          </cell>
          <cell r="N18">
            <v>0</v>
          </cell>
          <cell r="O18">
            <v>0</v>
          </cell>
        </row>
        <row r="19">
          <cell r="C19" t="str">
            <v>小计</v>
          </cell>
          <cell r="D19">
            <v>0</v>
          </cell>
          <cell r="E19">
            <v>0</v>
          </cell>
          <cell r="F19">
            <v>0</v>
          </cell>
          <cell r="G19">
            <v>0</v>
          </cell>
          <cell r="H19">
            <v>0</v>
          </cell>
          <cell r="I19">
            <v>0</v>
          </cell>
          <cell r="J19">
            <v>0</v>
          </cell>
          <cell r="K19">
            <v>0</v>
          </cell>
          <cell r="L19">
            <v>0</v>
          </cell>
          <cell r="M19">
            <v>0</v>
          </cell>
          <cell r="N19">
            <v>0</v>
          </cell>
          <cell r="O19">
            <v>0</v>
          </cell>
        </row>
        <row r="20">
          <cell r="C20" t="str">
            <v>合计</v>
          </cell>
          <cell r="D20">
            <v>215360</v>
          </cell>
          <cell r="E20">
            <v>261440</v>
          </cell>
          <cell r="F20">
            <v>261440</v>
          </cell>
          <cell r="G20">
            <v>0</v>
          </cell>
          <cell r="H20">
            <v>0</v>
          </cell>
          <cell r="I20">
            <v>0</v>
          </cell>
          <cell r="J20">
            <v>1584320</v>
          </cell>
          <cell r="K20">
            <v>1692480</v>
          </cell>
          <cell r="L20">
            <v>1687840</v>
          </cell>
          <cell r="M20">
            <v>0</v>
          </cell>
          <cell r="N20">
            <v>0</v>
          </cell>
          <cell r="O20">
            <v>4640</v>
          </cell>
        </row>
        <row r="21">
          <cell r="B21" t="str">
            <v>猪料</v>
          </cell>
          <cell r="C21" t="str">
            <v>肉猪料</v>
          </cell>
          <cell r="D21">
            <v>497820</v>
          </cell>
          <cell r="E21">
            <v>568090</v>
          </cell>
          <cell r="F21">
            <v>567070</v>
          </cell>
          <cell r="G21">
            <v>0</v>
          </cell>
          <cell r="H21">
            <v>0</v>
          </cell>
          <cell r="I21">
            <v>1020</v>
          </cell>
          <cell r="J21">
            <v>3067640</v>
          </cell>
          <cell r="K21">
            <v>3129030</v>
          </cell>
          <cell r="L21">
            <v>3125090</v>
          </cell>
          <cell r="M21">
            <v>0</v>
          </cell>
          <cell r="N21">
            <v>0</v>
          </cell>
          <cell r="O21">
            <v>3940</v>
          </cell>
        </row>
        <row r="22">
          <cell r="C22" t="str">
            <v>种猪料</v>
          </cell>
          <cell r="D22">
            <v>0</v>
          </cell>
          <cell r="E22">
            <v>0</v>
          </cell>
          <cell r="F22">
            <v>0</v>
          </cell>
          <cell r="G22">
            <v>0</v>
          </cell>
          <cell r="H22">
            <v>0</v>
          </cell>
          <cell r="I22">
            <v>0</v>
          </cell>
          <cell r="J22">
            <v>0</v>
          </cell>
          <cell r="K22">
            <v>0</v>
          </cell>
          <cell r="L22">
            <v>0</v>
          </cell>
          <cell r="M22">
            <v>0</v>
          </cell>
          <cell r="N22">
            <v>0</v>
          </cell>
          <cell r="O22">
            <v>0</v>
          </cell>
        </row>
        <row r="23">
          <cell r="C23" t="str">
            <v>合计</v>
          </cell>
          <cell r="D23">
            <v>497820</v>
          </cell>
          <cell r="E23">
            <v>568090</v>
          </cell>
          <cell r="F23">
            <v>567070</v>
          </cell>
          <cell r="G23">
            <v>0</v>
          </cell>
          <cell r="H23">
            <v>0</v>
          </cell>
          <cell r="I23">
            <v>1020</v>
          </cell>
          <cell r="J23">
            <v>3067640</v>
          </cell>
          <cell r="K23">
            <v>3129030</v>
          </cell>
          <cell r="L23">
            <v>3125090</v>
          </cell>
          <cell r="M23">
            <v>0</v>
          </cell>
          <cell r="N23">
            <v>0</v>
          </cell>
          <cell r="O23">
            <v>3940</v>
          </cell>
        </row>
        <row r="24">
          <cell r="B24" t="str">
            <v>其它</v>
          </cell>
          <cell r="C24" t="str">
            <v>鱼料</v>
          </cell>
          <cell r="D24">
            <v>0</v>
          </cell>
          <cell r="E24">
            <v>0</v>
          </cell>
          <cell r="F24">
            <v>0</v>
          </cell>
          <cell r="G24">
            <v>0</v>
          </cell>
          <cell r="H24">
            <v>0</v>
          </cell>
          <cell r="I24">
            <v>0</v>
          </cell>
          <cell r="J24">
            <v>0</v>
          </cell>
          <cell r="K24">
            <v>0</v>
          </cell>
          <cell r="L24">
            <v>0</v>
          </cell>
          <cell r="M24">
            <v>0</v>
          </cell>
          <cell r="N24">
            <v>0</v>
          </cell>
          <cell r="O24">
            <v>0</v>
          </cell>
        </row>
        <row r="25">
          <cell r="C25" t="str">
            <v>其它料</v>
          </cell>
          <cell r="D25">
            <v>0</v>
          </cell>
          <cell r="E25">
            <v>0</v>
          </cell>
          <cell r="F25">
            <v>0</v>
          </cell>
          <cell r="G25">
            <v>0</v>
          </cell>
          <cell r="H25">
            <v>0</v>
          </cell>
          <cell r="I25">
            <v>0</v>
          </cell>
          <cell r="J25">
            <v>0</v>
          </cell>
          <cell r="K25">
            <v>0</v>
          </cell>
          <cell r="L25">
            <v>0</v>
          </cell>
          <cell r="M25">
            <v>0</v>
          </cell>
          <cell r="N25">
            <v>0</v>
          </cell>
          <cell r="O25">
            <v>0</v>
          </cell>
        </row>
        <row r="26">
          <cell r="B26" t="str">
            <v>总计</v>
          </cell>
          <cell r="C26">
            <v>0</v>
          </cell>
          <cell r="D26">
            <v>1814300</v>
          </cell>
          <cell r="E26">
            <v>1971050</v>
          </cell>
          <cell r="F26">
            <v>1966390</v>
          </cell>
          <cell r="G26">
            <v>0</v>
          </cell>
          <cell r="H26">
            <v>0</v>
          </cell>
          <cell r="I26">
            <v>4660</v>
          </cell>
          <cell r="J26">
            <v>10686000</v>
          </cell>
          <cell r="K26">
            <v>10944350</v>
          </cell>
          <cell r="L26">
            <v>10907970</v>
          </cell>
          <cell r="M26">
            <v>0</v>
          </cell>
          <cell r="N26">
            <v>0</v>
          </cell>
          <cell r="O26">
            <v>36380</v>
          </cell>
        </row>
        <row r="27">
          <cell r="A27" t="str">
            <v>浓缩饲料</v>
          </cell>
          <cell r="B27" t="str">
            <v>鸡料</v>
          </cell>
          <cell r="C27" t="str">
            <v>肉鸡料</v>
          </cell>
          <cell r="D27">
            <v>0</v>
          </cell>
          <cell r="E27">
            <v>0</v>
          </cell>
          <cell r="F27">
            <v>0</v>
          </cell>
          <cell r="G27">
            <v>0</v>
          </cell>
          <cell r="H27">
            <v>0</v>
          </cell>
          <cell r="I27">
            <v>0</v>
          </cell>
          <cell r="J27">
            <v>0</v>
          </cell>
          <cell r="K27">
            <v>0</v>
          </cell>
          <cell r="L27">
            <v>0</v>
          </cell>
          <cell r="M27">
            <v>0</v>
          </cell>
          <cell r="N27">
            <v>0</v>
          </cell>
          <cell r="O27">
            <v>0</v>
          </cell>
        </row>
        <row r="28">
          <cell r="C28" t="str">
            <v>肉种鸡料</v>
          </cell>
          <cell r="D28">
            <v>0</v>
          </cell>
          <cell r="E28">
            <v>0</v>
          </cell>
          <cell r="F28">
            <v>0</v>
          </cell>
          <cell r="G28">
            <v>0</v>
          </cell>
          <cell r="H28">
            <v>0</v>
          </cell>
          <cell r="I28">
            <v>0</v>
          </cell>
          <cell r="J28">
            <v>0</v>
          </cell>
          <cell r="K28">
            <v>0</v>
          </cell>
          <cell r="L28">
            <v>0</v>
          </cell>
          <cell r="M28">
            <v>0</v>
          </cell>
          <cell r="N28">
            <v>0</v>
          </cell>
          <cell r="O28">
            <v>0</v>
          </cell>
        </row>
        <row r="29">
          <cell r="C29" t="str">
            <v>小计</v>
          </cell>
          <cell r="D29">
            <v>0</v>
          </cell>
          <cell r="E29">
            <v>0</v>
          </cell>
          <cell r="F29">
            <v>0</v>
          </cell>
          <cell r="G29">
            <v>0</v>
          </cell>
          <cell r="H29">
            <v>0</v>
          </cell>
          <cell r="I29">
            <v>0</v>
          </cell>
          <cell r="J29">
            <v>0</v>
          </cell>
          <cell r="K29">
            <v>0</v>
          </cell>
          <cell r="L29">
            <v>0</v>
          </cell>
          <cell r="M29">
            <v>0</v>
          </cell>
          <cell r="N29">
            <v>0</v>
          </cell>
          <cell r="O29">
            <v>0</v>
          </cell>
        </row>
        <row r="30">
          <cell r="C30" t="str">
            <v>蛋鸡料</v>
          </cell>
          <cell r="D30">
            <v>38340</v>
          </cell>
          <cell r="E30">
            <v>46440</v>
          </cell>
          <cell r="F30">
            <v>46440</v>
          </cell>
          <cell r="G30">
            <v>0</v>
          </cell>
          <cell r="H30">
            <v>0</v>
          </cell>
          <cell r="I30">
            <v>0</v>
          </cell>
          <cell r="J30">
            <v>134010</v>
          </cell>
          <cell r="K30">
            <v>148005</v>
          </cell>
          <cell r="L30">
            <v>145125</v>
          </cell>
          <cell r="M30">
            <v>0</v>
          </cell>
          <cell r="N30">
            <v>0</v>
          </cell>
          <cell r="O30">
            <v>2880</v>
          </cell>
        </row>
        <row r="31">
          <cell r="C31" t="str">
            <v>蛋种鸡料</v>
          </cell>
          <cell r="D31">
            <v>0</v>
          </cell>
          <cell r="E31">
            <v>0</v>
          </cell>
          <cell r="F31">
            <v>0</v>
          </cell>
          <cell r="G31">
            <v>0</v>
          </cell>
          <cell r="H31">
            <v>0</v>
          </cell>
          <cell r="I31">
            <v>0</v>
          </cell>
          <cell r="J31">
            <v>0</v>
          </cell>
          <cell r="K31">
            <v>0</v>
          </cell>
          <cell r="L31">
            <v>0</v>
          </cell>
          <cell r="M31">
            <v>0</v>
          </cell>
          <cell r="N31">
            <v>0</v>
          </cell>
          <cell r="O31">
            <v>0</v>
          </cell>
        </row>
        <row r="32">
          <cell r="C32" t="str">
            <v>小计</v>
          </cell>
          <cell r="D32">
            <v>38340</v>
          </cell>
          <cell r="E32">
            <v>46440</v>
          </cell>
          <cell r="F32">
            <v>46440</v>
          </cell>
          <cell r="G32">
            <v>0</v>
          </cell>
          <cell r="H32">
            <v>0</v>
          </cell>
          <cell r="I32">
            <v>0</v>
          </cell>
          <cell r="J32">
            <v>134010</v>
          </cell>
          <cell r="K32">
            <v>148005</v>
          </cell>
          <cell r="L32">
            <v>145125</v>
          </cell>
          <cell r="M32">
            <v>0</v>
          </cell>
          <cell r="N32">
            <v>0</v>
          </cell>
          <cell r="O32">
            <v>2880</v>
          </cell>
        </row>
        <row r="33">
          <cell r="C33" t="str">
            <v>合计</v>
          </cell>
          <cell r="D33">
            <v>38340</v>
          </cell>
          <cell r="E33">
            <v>46440</v>
          </cell>
          <cell r="F33">
            <v>46440</v>
          </cell>
          <cell r="G33">
            <v>0</v>
          </cell>
          <cell r="H33">
            <v>0</v>
          </cell>
          <cell r="I33">
            <v>0</v>
          </cell>
          <cell r="J33">
            <v>134010</v>
          </cell>
          <cell r="K33">
            <v>148005</v>
          </cell>
          <cell r="L33">
            <v>145125</v>
          </cell>
          <cell r="M33">
            <v>0</v>
          </cell>
          <cell r="N33">
            <v>0</v>
          </cell>
          <cell r="O33">
            <v>2880</v>
          </cell>
        </row>
        <row r="34">
          <cell r="B34" t="str">
            <v>鸭料</v>
          </cell>
          <cell r="C34" t="str">
            <v>肉鸭料</v>
          </cell>
          <cell r="D34">
            <v>0</v>
          </cell>
          <cell r="E34">
            <v>0</v>
          </cell>
          <cell r="F34">
            <v>0</v>
          </cell>
          <cell r="G34">
            <v>0</v>
          </cell>
          <cell r="H34">
            <v>0</v>
          </cell>
          <cell r="I34">
            <v>0</v>
          </cell>
          <cell r="J34">
            <v>0</v>
          </cell>
          <cell r="K34">
            <v>0</v>
          </cell>
          <cell r="L34">
            <v>0</v>
          </cell>
          <cell r="M34">
            <v>0</v>
          </cell>
          <cell r="N34">
            <v>0</v>
          </cell>
          <cell r="O34">
            <v>0</v>
          </cell>
        </row>
        <row r="35">
          <cell r="C35" t="str">
            <v>肉种鸭料</v>
          </cell>
          <cell r="D35">
            <v>0</v>
          </cell>
          <cell r="E35">
            <v>0</v>
          </cell>
          <cell r="F35">
            <v>0</v>
          </cell>
          <cell r="G35">
            <v>0</v>
          </cell>
          <cell r="H35">
            <v>0</v>
          </cell>
          <cell r="I35">
            <v>0</v>
          </cell>
          <cell r="J35">
            <v>0</v>
          </cell>
          <cell r="K35">
            <v>0</v>
          </cell>
          <cell r="L35">
            <v>0</v>
          </cell>
          <cell r="M35">
            <v>0</v>
          </cell>
          <cell r="N35">
            <v>0</v>
          </cell>
          <cell r="O35">
            <v>0</v>
          </cell>
        </row>
        <row r="36">
          <cell r="C36" t="str">
            <v>小计</v>
          </cell>
          <cell r="D36">
            <v>0</v>
          </cell>
          <cell r="E36">
            <v>0</v>
          </cell>
          <cell r="F36">
            <v>0</v>
          </cell>
          <cell r="G36">
            <v>0</v>
          </cell>
          <cell r="H36">
            <v>0</v>
          </cell>
          <cell r="I36">
            <v>0</v>
          </cell>
          <cell r="J36">
            <v>0</v>
          </cell>
          <cell r="K36">
            <v>0</v>
          </cell>
          <cell r="L36">
            <v>0</v>
          </cell>
          <cell r="M36">
            <v>0</v>
          </cell>
          <cell r="N36">
            <v>0</v>
          </cell>
          <cell r="O36">
            <v>0</v>
          </cell>
        </row>
        <row r="37">
          <cell r="C37" t="str">
            <v>蛋鸭料</v>
          </cell>
          <cell r="D37">
            <v>0</v>
          </cell>
          <cell r="E37">
            <v>0</v>
          </cell>
          <cell r="F37">
            <v>0</v>
          </cell>
          <cell r="G37">
            <v>0</v>
          </cell>
          <cell r="H37">
            <v>0</v>
          </cell>
          <cell r="I37">
            <v>0</v>
          </cell>
          <cell r="J37">
            <v>0</v>
          </cell>
          <cell r="K37">
            <v>0</v>
          </cell>
          <cell r="L37">
            <v>0</v>
          </cell>
          <cell r="M37">
            <v>0</v>
          </cell>
          <cell r="N37">
            <v>0</v>
          </cell>
          <cell r="O37">
            <v>0</v>
          </cell>
        </row>
        <row r="38">
          <cell r="C38" t="str">
            <v>蛋种鸭料</v>
          </cell>
          <cell r="D38">
            <v>0</v>
          </cell>
          <cell r="E38">
            <v>0</v>
          </cell>
          <cell r="F38">
            <v>0</v>
          </cell>
          <cell r="G38">
            <v>0</v>
          </cell>
          <cell r="H38">
            <v>0</v>
          </cell>
          <cell r="I38">
            <v>0</v>
          </cell>
          <cell r="J38">
            <v>0</v>
          </cell>
          <cell r="K38">
            <v>0</v>
          </cell>
          <cell r="L38">
            <v>0</v>
          </cell>
          <cell r="M38">
            <v>0</v>
          </cell>
          <cell r="N38">
            <v>0</v>
          </cell>
          <cell r="O38">
            <v>0</v>
          </cell>
        </row>
        <row r="39">
          <cell r="C39" t="str">
            <v>小计</v>
          </cell>
          <cell r="D39">
            <v>0</v>
          </cell>
          <cell r="E39">
            <v>0</v>
          </cell>
          <cell r="F39">
            <v>0</v>
          </cell>
          <cell r="G39">
            <v>0</v>
          </cell>
          <cell r="H39">
            <v>0</v>
          </cell>
          <cell r="I39">
            <v>0</v>
          </cell>
          <cell r="J39">
            <v>0</v>
          </cell>
          <cell r="K39">
            <v>0</v>
          </cell>
          <cell r="L39">
            <v>0</v>
          </cell>
          <cell r="M39">
            <v>0</v>
          </cell>
          <cell r="N39">
            <v>0</v>
          </cell>
          <cell r="O39">
            <v>0</v>
          </cell>
        </row>
        <row r="40">
          <cell r="C40" t="str">
            <v>合计</v>
          </cell>
          <cell r="D40">
            <v>0</v>
          </cell>
          <cell r="E40">
            <v>0</v>
          </cell>
          <cell r="F40">
            <v>0</v>
          </cell>
          <cell r="G40">
            <v>0</v>
          </cell>
          <cell r="H40">
            <v>0</v>
          </cell>
          <cell r="I40">
            <v>0</v>
          </cell>
          <cell r="J40">
            <v>0</v>
          </cell>
          <cell r="K40">
            <v>0</v>
          </cell>
          <cell r="L40">
            <v>0</v>
          </cell>
          <cell r="M40">
            <v>0</v>
          </cell>
          <cell r="N40">
            <v>0</v>
          </cell>
          <cell r="O40">
            <v>0</v>
          </cell>
        </row>
        <row r="41">
          <cell r="B41" t="str">
            <v>猪料</v>
          </cell>
          <cell r="C41" t="str">
            <v>肉猪料</v>
          </cell>
          <cell r="D41">
            <v>253280</v>
          </cell>
          <cell r="E41">
            <v>300790</v>
          </cell>
          <cell r="F41">
            <v>298110</v>
          </cell>
          <cell r="G41">
            <v>0</v>
          </cell>
          <cell r="H41">
            <v>0</v>
          </cell>
          <cell r="I41">
            <v>2680</v>
          </cell>
          <cell r="J41">
            <v>1379700</v>
          </cell>
          <cell r="K41">
            <v>1449760</v>
          </cell>
          <cell r="L41">
            <v>1443580</v>
          </cell>
          <cell r="M41">
            <v>0</v>
          </cell>
          <cell r="N41">
            <v>0</v>
          </cell>
          <cell r="O41">
            <v>6180</v>
          </cell>
        </row>
        <row r="42">
          <cell r="C42" t="str">
            <v>种猪料</v>
          </cell>
          <cell r="D42">
            <v>0</v>
          </cell>
          <cell r="E42">
            <v>0</v>
          </cell>
          <cell r="F42">
            <v>0</v>
          </cell>
          <cell r="G42">
            <v>0</v>
          </cell>
          <cell r="H42">
            <v>0</v>
          </cell>
          <cell r="I42">
            <v>0</v>
          </cell>
          <cell r="J42">
            <v>0</v>
          </cell>
          <cell r="K42">
            <v>0</v>
          </cell>
          <cell r="L42">
            <v>0</v>
          </cell>
          <cell r="M42">
            <v>0</v>
          </cell>
          <cell r="N42">
            <v>0</v>
          </cell>
          <cell r="O42">
            <v>0</v>
          </cell>
        </row>
        <row r="43">
          <cell r="C43" t="str">
            <v>合计</v>
          </cell>
          <cell r="D43">
            <v>253280</v>
          </cell>
          <cell r="E43">
            <v>300790</v>
          </cell>
          <cell r="F43">
            <v>298110</v>
          </cell>
          <cell r="G43">
            <v>0</v>
          </cell>
          <cell r="H43">
            <v>0</v>
          </cell>
          <cell r="I43">
            <v>2680</v>
          </cell>
          <cell r="J43">
            <v>1379700</v>
          </cell>
          <cell r="K43">
            <v>1449760</v>
          </cell>
          <cell r="L43">
            <v>1443580</v>
          </cell>
          <cell r="M43">
            <v>0</v>
          </cell>
          <cell r="N43">
            <v>0</v>
          </cell>
          <cell r="O43">
            <v>6180</v>
          </cell>
        </row>
        <row r="44">
          <cell r="B44" t="str">
            <v>其它</v>
          </cell>
          <cell r="C44" t="str">
            <v>鱼料</v>
          </cell>
          <cell r="D44">
            <v>0</v>
          </cell>
          <cell r="E44">
            <v>0</v>
          </cell>
          <cell r="F44">
            <v>0</v>
          </cell>
          <cell r="G44">
            <v>0</v>
          </cell>
          <cell r="H44">
            <v>0</v>
          </cell>
          <cell r="I44">
            <v>0</v>
          </cell>
          <cell r="J44">
            <v>0</v>
          </cell>
          <cell r="K44">
            <v>0</v>
          </cell>
          <cell r="L44">
            <v>0</v>
          </cell>
          <cell r="M44">
            <v>0</v>
          </cell>
          <cell r="N44">
            <v>0</v>
          </cell>
          <cell r="O44">
            <v>0</v>
          </cell>
        </row>
        <row r="45">
          <cell r="C45" t="str">
            <v>其它料</v>
          </cell>
          <cell r="D45">
            <v>0</v>
          </cell>
          <cell r="E45">
            <v>0</v>
          </cell>
          <cell r="F45">
            <v>0</v>
          </cell>
          <cell r="G45">
            <v>0</v>
          </cell>
          <cell r="H45">
            <v>0</v>
          </cell>
          <cell r="I45">
            <v>0</v>
          </cell>
          <cell r="J45">
            <v>0</v>
          </cell>
          <cell r="K45">
            <v>0</v>
          </cell>
          <cell r="L45">
            <v>0</v>
          </cell>
          <cell r="M45">
            <v>0</v>
          </cell>
          <cell r="N45">
            <v>0</v>
          </cell>
          <cell r="O45">
            <v>0</v>
          </cell>
        </row>
        <row r="46">
          <cell r="B46" t="str">
            <v>总计</v>
          </cell>
          <cell r="C46">
            <v>0</v>
          </cell>
          <cell r="D46">
            <v>291620</v>
          </cell>
          <cell r="E46">
            <v>347230</v>
          </cell>
          <cell r="F46">
            <v>344550</v>
          </cell>
          <cell r="G46">
            <v>0</v>
          </cell>
          <cell r="H46">
            <v>0</v>
          </cell>
          <cell r="I46">
            <v>2680</v>
          </cell>
          <cell r="J46">
            <v>1513710</v>
          </cell>
          <cell r="K46">
            <v>1597765</v>
          </cell>
          <cell r="L46">
            <v>1588705</v>
          </cell>
          <cell r="M46">
            <v>0</v>
          </cell>
          <cell r="N46">
            <v>0</v>
          </cell>
          <cell r="O46">
            <v>9060</v>
          </cell>
        </row>
        <row r="47">
          <cell r="A47" t="str">
            <v>预混料</v>
          </cell>
          <cell r="B47" t="str">
            <v>鸡料</v>
          </cell>
          <cell r="C47" t="str">
            <v>肉鸡料</v>
          </cell>
          <cell r="D47">
            <v>0</v>
          </cell>
          <cell r="E47">
            <v>0</v>
          </cell>
          <cell r="F47">
            <v>0</v>
          </cell>
          <cell r="G47">
            <v>0</v>
          </cell>
          <cell r="H47">
            <v>0</v>
          </cell>
          <cell r="I47">
            <v>0</v>
          </cell>
          <cell r="J47">
            <v>0</v>
          </cell>
          <cell r="K47">
            <v>0</v>
          </cell>
          <cell r="L47">
            <v>0</v>
          </cell>
          <cell r="M47">
            <v>0</v>
          </cell>
          <cell r="N47">
            <v>0</v>
          </cell>
          <cell r="O47">
            <v>0</v>
          </cell>
        </row>
        <row r="48">
          <cell r="C48" t="str">
            <v>肉种鸡料</v>
          </cell>
          <cell r="D48">
            <v>0</v>
          </cell>
          <cell r="E48">
            <v>0</v>
          </cell>
          <cell r="F48">
            <v>0</v>
          </cell>
          <cell r="G48">
            <v>0</v>
          </cell>
          <cell r="H48">
            <v>0</v>
          </cell>
          <cell r="I48">
            <v>0</v>
          </cell>
          <cell r="J48">
            <v>0</v>
          </cell>
          <cell r="K48">
            <v>0</v>
          </cell>
          <cell r="L48">
            <v>0</v>
          </cell>
          <cell r="M48">
            <v>0</v>
          </cell>
          <cell r="N48">
            <v>0</v>
          </cell>
          <cell r="O48">
            <v>0</v>
          </cell>
        </row>
        <row r="49">
          <cell r="C49" t="str">
            <v>小计</v>
          </cell>
          <cell r="D49">
            <v>0</v>
          </cell>
          <cell r="E49">
            <v>0</v>
          </cell>
          <cell r="F49">
            <v>0</v>
          </cell>
          <cell r="G49">
            <v>0</v>
          </cell>
          <cell r="H49">
            <v>0</v>
          </cell>
          <cell r="I49">
            <v>0</v>
          </cell>
          <cell r="J49">
            <v>0</v>
          </cell>
          <cell r="K49">
            <v>0</v>
          </cell>
          <cell r="L49">
            <v>0</v>
          </cell>
          <cell r="M49">
            <v>0</v>
          </cell>
          <cell r="N49">
            <v>0</v>
          </cell>
          <cell r="O49">
            <v>0</v>
          </cell>
        </row>
        <row r="50">
          <cell r="C50" t="str">
            <v>蛋鸡料</v>
          </cell>
          <cell r="D50">
            <v>0</v>
          </cell>
          <cell r="E50">
            <v>0</v>
          </cell>
          <cell r="F50">
            <v>0</v>
          </cell>
          <cell r="G50">
            <v>0</v>
          </cell>
          <cell r="H50">
            <v>0</v>
          </cell>
          <cell r="I50">
            <v>0</v>
          </cell>
          <cell r="J50">
            <v>0</v>
          </cell>
          <cell r="K50">
            <v>0</v>
          </cell>
          <cell r="L50">
            <v>0</v>
          </cell>
          <cell r="M50">
            <v>0</v>
          </cell>
          <cell r="N50">
            <v>0</v>
          </cell>
          <cell r="O50">
            <v>0</v>
          </cell>
        </row>
        <row r="51">
          <cell r="C51" t="str">
            <v>蛋种鸡料</v>
          </cell>
          <cell r="D51">
            <v>0</v>
          </cell>
          <cell r="E51">
            <v>0</v>
          </cell>
          <cell r="F51">
            <v>0</v>
          </cell>
          <cell r="G51">
            <v>0</v>
          </cell>
          <cell r="H51">
            <v>0</v>
          </cell>
          <cell r="I51">
            <v>0</v>
          </cell>
          <cell r="J51">
            <v>0</v>
          </cell>
          <cell r="K51">
            <v>0</v>
          </cell>
          <cell r="L51">
            <v>0</v>
          </cell>
          <cell r="M51">
            <v>0</v>
          </cell>
          <cell r="N51">
            <v>0</v>
          </cell>
          <cell r="O51">
            <v>0</v>
          </cell>
        </row>
        <row r="52">
          <cell r="C52" t="str">
            <v>小计</v>
          </cell>
          <cell r="D52">
            <v>0</v>
          </cell>
          <cell r="E52">
            <v>0</v>
          </cell>
          <cell r="F52">
            <v>0</v>
          </cell>
          <cell r="G52">
            <v>0</v>
          </cell>
          <cell r="H52">
            <v>0</v>
          </cell>
          <cell r="I52">
            <v>0</v>
          </cell>
          <cell r="J52">
            <v>0</v>
          </cell>
          <cell r="K52">
            <v>0</v>
          </cell>
          <cell r="L52">
            <v>0</v>
          </cell>
          <cell r="M52">
            <v>0</v>
          </cell>
          <cell r="N52">
            <v>0</v>
          </cell>
          <cell r="O52">
            <v>0</v>
          </cell>
        </row>
        <row r="53">
          <cell r="C53" t="str">
            <v>合计</v>
          </cell>
          <cell r="D53">
            <v>0</v>
          </cell>
          <cell r="E53">
            <v>0</v>
          </cell>
          <cell r="F53">
            <v>0</v>
          </cell>
          <cell r="G53">
            <v>0</v>
          </cell>
          <cell r="H53">
            <v>0</v>
          </cell>
          <cell r="I53">
            <v>0</v>
          </cell>
          <cell r="J53">
            <v>0</v>
          </cell>
          <cell r="K53">
            <v>0</v>
          </cell>
          <cell r="L53">
            <v>0</v>
          </cell>
          <cell r="M53">
            <v>0</v>
          </cell>
          <cell r="N53">
            <v>0</v>
          </cell>
          <cell r="O53">
            <v>0</v>
          </cell>
        </row>
        <row r="54">
          <cell r="B54" t="str">
            <v>鸭料</v>
          </cell>
          <cell r="C54" t="str">
            <v>肉鸭料</v>
          </cell>
          <cell r="D54">
            <v>0</v>
          </cell>
          <cell r="E54">
            <v>0</v>
          </cell>
          <cell r="F54">
            <v>0</v>
          </cell>
          <cell r="G54">
            <v>0</v>
          </cell>
          <cell r="H54">
            <v>0</v>
          </cell>
          <cell r="I54">
            <v>0</v>
          </cell>
          <cell r="J54">
            <v>0</v>
          </cell>
          <cell r="K54">
            <v>0</v>
          </cell>
          <cell r="L54">
            <v>0</v>
          </cell>
          <cell r="M54">
            <v>0</v>
          </cell>
          <cell r="N54">
            <v>0</v>
          </cell>
          <cell r="O54">
            <v>0</v>
          </cell>
        </row>
        <row r="55">
          <cell r="C55" t="str">
            <v>肉种鸭料</v>
          </cell>
          <cell r="D55">
            <v>0</v>
          </cell>
          <cell r="E55">
            <v>0</v>
          </cell>
          <cell r="F55">
            <v>0</v>
          </cell>
          <cell r="G55">
            <v>0</v>
          </cell>
          <cell r="H55">
            <v>0</v>
          </cell>
          <cell r="I55">
            <v>0</v>
          </cell>
          <cell r="J55">
            <v>0</v>
          </cell>
          <cell r="K55">
            <v>0</v>
          </cell>
          <cell r="L55">
            <v>0</v>
          </cell>
          <cell r="M55">
            <v>0</v>
          </cell>
          <cell r="N55">
            <v>0</v>
          </cell>
          <cell r="O55">
            <v>0</v>
          </cell>
        </row>
        <row r="56">
          <cell r="C56" t="str">
            <v>小计</v>
          </cell>
          <cell r="D56">
            <v>0</v>
          </cell>
          <cell r="E56">
            <v>0</v>
          </cell>
          <cell r="F56">
            <v>0</v>
          </cell>
          <cell r="G56">
            <v>0</v>
          </cell>
          <cell r="H56">
            <v>0</v>
          </cell>
          <cell r="I56">
            <v>0</v>
          </cell>
          <cell r="J56">
            <v>0</v>
          </cell>
          <cell r="K56">
            <v>0</v>
          </cell>
          <cell r="L56">
            <v>0</v>
          </cell>
          <cell r="M56">
            <v>0</v>
          </cell>
          <cell r="N56">
            <v>0</v>
          </cell>
          <cell r="O56">
            <v>0</v>
          </cell>
        </row>
        <row r="57">
          <cell r="C57" t="str">
            <v>蛋鸭料</v>
          </cell>
          <cell r="D57">
            <v>0</v>
          </cell>
          <cell r="E57">
            <v>0</v>
          </cell>
          <cell r="F57">
            <v>0</v>
          </cell>
          <cell r="G57">
            <v>0</v>
          </cell>
          <cell r="H57">
            <v>0</v>
          </cell>
          <cell r="I57">
            <v>0</v>
          </cell>
          <cell r="J57">
            <v>0</v>
          </cell>
          <cell r="K57">
            <v>0</v>
          </cell>
          <cell r="L57">
            <v>0</v>
          </cell>
          <cell r="M57">
            <v>0</v>
          </cell>
          <cell r="N57">
            <v>0</v>
          </cell>
          <cell r="O57">
            <v>0</v>
          </cell>
        </row>
        <row r="58">
          <cell r="C58" t="str">
            <v>蛋种鸭料</v>
          </cell>
          <cell r="D58">
            <v>0</v>
          </cell>
          <cell r="E58">
            <v>0</v>
          </cell>
          <cell r="F58">
            <v>0</v>
          </cell>
          <cell r="G58">
            <v>0</v>
          </cell>
          <cell r="H58">
            <v>0</v>
          </cell>
          <cell r="I58">
            <v>0</v>
          </cell>
          <cell r="J58">
            <v>0</v>
          </cell>
          <cell r="K58">
            <v>0</v>
          </cell>
          <cell r="L58">
            <v>0</v>
          </cell>
          <cell r="M58">
            <v>0</v>
          </cell>
          <cell r="N58">
            <v>0</v>
          </cell>
          <cell r="O58">
            <v>0</v>
          </cell>
        </row>
        <row r="59">
          <cell r="C59" t="str">
            <v>小计</v>
          </cell>
          <cell r="D59">
            <v>0</v>
          </cell>
          <cell r="E59">
            <v>0</v>
          </cell>
          <cell r="F59">
            <v>0</v>
          </cell>
          <cell r="G59">
            <v>0</v>
          </cell>
          <cell r="H59">
            <v>0</v>
          </cell>
          <cell r="I59">
            <v>0</v>
          </cell>
          <cell r="J59">
            <v>0</v>
          </cell>
          <cell r="K59">
            <v>0</v>
          </cell>
          <cell r="L59">
            <v>0</v>
          </cell>
          <cell r="M59">
            <v>0</v>
          </cell>
          <cell r="N59">
            <v>0</v>
          </cell>
          <cell r="O59">
            <v>0</v>
          </cell>
        </row>
        <row r="60">
          <cell r="C60" t="str">
            <v>合计</v>
          </cell>
          <cell r="D60">
            <v>0</v>
          </cell>
          <cell r="E60">
            <v>0</v>
          </cell>
          <cell r="F60">
            <v>0</v>
          </cell>
          <cell r="G60">
            <v>0</v>
          </cell>
          <cell r="H60">
            <v>0</v>
          </cell>
          <cell r="I60">
            <v>0</v>
          </cell>
          <cell r="J60">
            <v>0</v>
          </cell>
          <cell r="K60">
            <v>0</v>
          </cell>
          <cell r="L60">
            <v>0</v>
          </cell>
          <cell r="M60">
            <v>0</v>
          </cell>
          <cell r="N60">
            <v>0</v>
          </cell>
          <cell r="O60">
            <v>0</v>
          </cell>
        </row>
        <row r="61">
          <cell r="B61" t="str">
            <v>猪料</v>
          </cell>
          <cell r="C61" t="str">
            <v>肉猪料</v>
          </cell>
          <cell r="D61">
            <v>0</v>
          </cell>
          <cell r="E61">
            <v>0</v>
          </cell>
          <cell r="F61">
            <v>0</v>
          </cell>
          <cell r="G61">
            <v>0</v>
          </cell>
          <cell r="H61">
            <v>0</v>
          </cell>
          <cell r="I61">
            <v>0</v>
          </cell>
          <cell r="J61">
            <v>0</v>
          </cell>
          <cell r="K61">
            <v>0</v>
          </cell>
          <cell r="L61">
            <v>0</v>
          </cell>
          <cell r="M61">
            <v>0</v>
          </cell>
          <cell r="N61">
            <v>0</v>
          </cell>
          <cell r="O61">
            <v>0</v>
          </cell>
        </row>
        <row r="62">
          <cell r="C62" t="str">
            <v>种猪料</v>
          </cell>
          <cell r="D62">
            <v>0</v>
          </cell>
          <cell r="E62">
            <v>0</v>
          </cell>
          <cell r="F62">
            <v>0</v>
          </cell>
          <cell r="G62">
            <v>0</v>
          </cell>
          <cell r="H62">
            <v>0</v>
          </cell>
          <cell r="I62">
            <v>0</v>
          </cell>
          <cell r="J62">
            <v>0</v>
          </cell>
          <cell r="K62">
            <v>0</v>
          </cell>
          <cell r="L62">
            <v>0</v>
          </cell>
          <cell r="M62">
            <v>0</v>
          </cell>
          <cell r="N62">
            <v>0</v>
          </cell>
          <cell r="O62">
            <v>0</v>
          </cell>
        </row>
        <row r="63">
          <cell r="C63" t="str">
            <v>合计</v>
          </cell>
          <cell r="D63">
            <v>0</v>
          </cell>
          <cell r="E63">
            <v>0</v>
          </cell>
          <cell r="F63">
            <v>0</v>
          </cell>
          <cell r="G63">
            <v>0</v>
          </cell>
          <cell r="H63">
            <v>0</v>
          </cell>
          <cell r="I63">
            <v>0</v>
          </cell>
          <cell r="J63">
            <v>0</v>
          </cell>
          <cell r="K63">
            <v>0</v>
          </cell>
          <cell r="L63">
            <v>0</v>
          </cell>
          <cell r="M63">
            <v>0</v>
          </cell>
          <cell r="N63">
            <v>0</v>
          </cell>
          <cell r="O63">
            <v>0</v>
          </cell>
        </row>
        <row r="64">
          <cell r="B64" t="str">
            <v>其它</v>
          </cell>
          <cell r="C64" t="str">
            <v>鱼料</v>
          </cell>
          <cell r="D64">
            <v>0</v>
          </cell>
          <cell r="E64">
            <v>0</v>
          </cell>
          <cell r="F64">
            <v>0</v>
          </cell>
          <cell r="G64">
            <v>0</v>
          </cell>
          <cell r="H64">
            <v>0</v>
          </cell>
          <cell r="I64">
            <v>0</v>
          </cell>
          <cell r="J64">
            <v>0</v>
          </cell>
          <cell r="K64">
            <v>0</v>
          </cell>
          <cell r="L64">
            <v>0</v>
          </cell>
          <cell r="M64">
            <v>0</v>
          </cell>
          <cell r="N64">
            <v>0</v>
          </cell>
          <cell r="O64">
            <v>0</v>
          </cell>
        </row>
        <row r="65">
          <cell r="C65" t="str">
            <v>其它料</v>
          </cell>
          <cell r="D65">
            <v>0</v>
          </cell>
          <cell r="E65">
            <v>0</v>
          </cell>
          <cell r="F65">
            <v>0</v>
          </cell>
          <cell r="G65">
            <v>0</v>
          </cell>
          <cell r="H65">
            <v>0</v>
          </cell>
          <cell r="I65">
            <v>0</v>
          </cell>
          <cell r="J65">
            <v>0</v>
          </cell>
          <cell r="K65">
            <v>0</v>
          </cell>
          <cell r="L65">
            <v>0</v>
          </cell>
          <cell r="M65">
            <v>0</v>
          </cell>
          <cell r="N65">
            <v>0</v>
          </cell>
          <cell r="O65">
            <v>0</v>
          </cell>
        </row>
        <row r="66">
          <cell r="B66" t="str">
            <v>总计</v>
          </cell>
          <cell r="C66">
            <v>0</v>
          </cell>
          <cell r="D66">
            <v>0</v>
          </cell>
          <cell r="E66">
            <v>0</v>
          </cell>
          <cell r="F66">
            <v>0</v>
          </cell>
          <cell r="G66">
            <v>0</v>
          </cell>
          <cell r="H66">
            <v>0</v>
          </cell>
          <cell r="I66">
            <v>0</v>
          </cell>
          <cell r="J66">
            <v>0</v>
          </cell>
          <cell r="K66">
            <v>0</v>
          </cell>
          <cell r="L66">
            <v>0</v>
          </cell>
          <cell r="M66">
            <v>0</v>
          </cell>
          <cell r="N66">
            <v>0</v>
          </cell>
          <cell r="O66">
            <v>0</v>
          </cell>
        </row>
      </sheetData>
      <sheetData sheetId="4" refreshError="1">
        <row r="1">
          <cell r="A1" t="str">
            <v>泰 州 正 大 饲 料 有 限 公 司</v>
          </cell>
        </row>
        <row r="2">
          <cell r="A2" t="str">
            <v>平均净销价变动分析表</v>
          </cell>
        </row>
        <row r="3">
          <cell r="A3">
            <v>37772</v>
          </cell>
        </row>
        <row r="4">
          <cell r="A4" t="str">
            <v>品种名称</v>
          </cell>
          <cell r="B4" t="str">
            <v>规格</v>
          </cell>
          <cell r="C4" t="str">
            <v>上       期</v>
          </cell>
          <cell r="D4">
            <v>0</v>
          </cell>
          <cell r="E4">
            <v>0</v>
          </cell>
          <cell r="F4" t="str">
            <v>本       期</v>
          </cell>
          <cell r="G4">
            <v>0</v>
          </cell>
          <cell r="H4">
            <v>0</v>
          </cell>
          <cell r="I4" t="str">
            <v>影响额</v>
          </cell>
          <cell r="J4" t="str">
            <v>变动情况</v>
          </cell>
          <cell r="K4">
            <v>0</v>
          </cell>
          <cell r="L4" t="str">
            <v>变动影响</v>
          </cell>
        </row>
        <row r="5">
          <cell r="C5" t="str">
            <v>销售数量A1</v>
          </cell>
          <cell r="D5" t="str">
            <v>比重（%）B1</v>
          </cell>
          <cell r="E5" t="str">
            <v>销售单价C1</v>
          </cell>
          <cell r="F5" t="str">
            <v>销售数量A2</v>
          </cell>
          <cell r="G5" t="str">
            <v>比重（%）B2</v>
          </cell>
          <cell r="H5" t="str">
            <v>销售单价C2</v>
          </cell>
          <cell r="I5" t="str">
            <v>B2*C2-B1*C1</v>
          </cell>
          <cell r="J5" t="str">
            <v>结构（百分点）</v>
          </cell>
          <cell r="K5" t="str">
            <v>销价</v>
          </cell>
          <cell r="L5" t="str">
            <v>结构</v>
          </cell>
          <cell r="M5" t="str">
            <v>销价</v>
          </cell>
        </row>
        <row r="6">
          <cell r="A6" t="str">
            <v>510L</v>
          </cell>
          <cell r="B6" t="str">
            <v>40KG</v>
          </cell>
          <cell r="C6">
            <v>0</v>
          </cell>
          <cell r="D6">
            <v>0</v>
          </cell>
          <cell r="E6">
            <v>0</v>
          </cell>
          <cell r="F6">
            <v>0</v>
          </cell>
          <cell r="G6">
            <v>0</v>
          </cell>
          <cell r="H6">
            <v>0</v>
          </cell>
          <cell r="I6">
            <v>0</v>
          </cell>
        </row>
        <row r="7">
          <cell r="A7" t="str">
            <v>510Y</v>
          </cell>
          <cell r="B7" t="str">
            <v>40KG</v>
          </cell>
          <cell r="C7">
            <v>45.56</v>
          </cell>
          <cell r="D7">
            <v>1.6012568249354633</v>
          </cell>
          <cell r="E7">
            <v>1894.1262071992976</v>
          </cell>
          <cell r="F7">
            <v>33.72</v>
          </cell>
          <cell r="G7">
            <v>1.4591464945000734</v>
          </cell>
          <cell r="H7">
            <v>1910.8579478054569</v>
          </cell>
          <cell r="I7">
            <v>-2.4476084053906195</v>
          </cell>
          <cell r="J7">
            <v>-0.1421103304353899</v>
          </cell>
          <cell r="K7">
            <v>16.731740606159292</v>
          </cell>
          <cell r="L7">
            <v>-2.69174901191424</v>
          </cell>
          <cell r="M7">
            <v>0.24414060652361866</v>
          </cell>
        </row>
        <row r="8">
          <cell r="A8" t="str">
            <v>511Y</v>
          </cell>
          <cell r="B8" t="str">
            <v>40KG</v>
          </cell>
          <cell r="C8">
            <v>49.88</v>
          </cell>
          <cell r="D8">
            <v>1.7530880251927325</v>
          </cell>
          <cell r="E8">
            <v>1700.5116279069766</v>
          </cell>
          <cell r="F8">
            <v>65.52</v>
          </cell>
          <cell r="G8">
            <v>2.8352099145802141</v>
          </cell>
          <cell r="H8">
            <v>1698.7597680097679</v>
          </cell>
          <cell r="I8">
            <v>18.351939651665585</v>
          </cell>
          <cell r="J8">
            <v>1.0821218893874816</v>
          </cell>
          <cell r="K8">
            <v>-1.7518598972087602</v>
          </cell>
          <cell r="L8">
            <v>18.401608557160795</v>
          </cell>
          <cell r="M8">
            <v>-4.9668905495217519E-2</v>
          </cell>
        </row>
        <row r="9">
          <cell r="A9" t="str">
            <v>512Y</v>
          </cell>
          <cell r="B9" t="str">
            <v>40KG</v>
          </cell>
          <cell r="C9">
            <v>90.52</v>
          </cell>
          <cell r="D9">
            <v>3.1814259831685274</v>
          </cell>
          <cell r="E9">
            <v>1641.2401679186921</v>
          </cell>
          <cell r="F9">
            <v>111.8</v>
          </cell>
          <cell r="G9">
            <v>4.837858187577349</v>
          </cell>
          <cell r="H9">
            <v>1677.2676207513418</v>
          </cell>
          <cell r="I9">
            <v>28.928987769738551</v>
          </cell>
          <cell r="J9">
            <v>1.6564322044088216</v>
          </cell>
          <cell r="K9">
            <v>36.027452832649715</v>
          </cell>
          <cell r="L9">
            <v>27.186030693098637</v>
          </cell>
          <cell r="M9">
            <v>1.7429570766399118</v>
          </cell>
        </row>
        <row r="10">
          <cell r="A10" t="str">
            <v>510S</v>
          </cell>
          <cell r="B10" t="str">
            <v>40KG</v>
          </cell>
          <cell r="C10">
            <v>0</v>
          </cell>
          <cell r="D10">
            <v>0</v>
          </cell>
          <cell r="E10">
            <v>0</v>
          </cell>
          <cell r="F10">
            <v>0</v>
          </cell>
          <cell r="G10">
            <v>0</v>
          </cell>
          <cell r="H10">
            <v>0</v>
          </cell>
          <cell r="I10">
            <v>0</v>
          </cell>
          <cell r="J10">
            <v>0</v>
          </cell>
          <cell r="K10">
            <v>0</v>
          </cell>
          <cell r="L10">
            <v>0</v>
          </cell>
          <cell r="M10">
            <v>0</v>
          </cell>
        </row>
        <row r="11">
          <cell r="A11">
            <v>510</v>
          </cell>
          <cell r="B11" t="str">
            <v>40KG</v>
          </cell>
          <cell r="C11">
            <v>251.27999999999997</v>
          </cell>
          <cell r="D11">
            <v>8.8315148149645104</v>
          </cell>
          <cell r="E11">
            <v>1857.6940862782556</v>
          </cell>
          <cell r="F11">
            <v>152.12</v>
          </cell>
          <cell r="G11">
            <v>6.5826027503959423</v>
          </cell>
          <cell r="H11">
            <v>1889.4541151722322</v>
          </cell>
          <cell r="I11">
            <v>-39.687269893587057</v>
          </cell>
          <cell r="J11">
            <v>-2.2489120645685681</v>
          </cell>
          <cell r="K11">
            <v>31.760028893976596</v>
          </cell>
          <cell r="L11">
            <v>-41.777906429088517</v>
          </cell>
          <cell r="M11">
            <v>2.0906365355014493</v>
          </cell>
        </row>
        <row r="12">
          <cell r="A12">
            <v>511</v>
          </cell>
          <cell r="B12" t="str">
            <v>40KG</v>
          </cell>
          <cell r="C12">
            <v>344.96</v>
          </cell>
          <cell r="D12">
            <v>12.124002509432337</v>
          </cell>
          <cell r="E12">
            <v>1691.0894886363637</v>
          </cell>
          <cell r="F12">
            <v>216.28</v>
          </cell>
          <cell r="G12">
            <v>9.3589621539287045</v>
          </cell>
          <cell r="H12">
            <v>1717.6099963010911</v>
          </cell>
          <cell r="I12">
            <v>-44.27726253310388</v>
          </cell>
          <cell r="J12">
            <v>-2.7650403555036327</v>
          </cell>
          <cell r="K12">
            <v>26.520507664727347</v>
          </cell>
          <cell r="L12">
            <v>-46.759306808475479</v>
          </cell>
          <cell r="M12">
            <v>2.4820442753715937</v>
          </cell>
        </row>
        <row r="13">
          <cell r="A13">
            <v>512</v>
          </cell>
          <cell r="B13" t="str">
            <v>40KG</v>
          </cell>
          <cell r="C13">
            <v>497.72</v>
          </cell>
          <cell r="D13">
            <v>17.492922451863009</v>
          </cell>
          <cell r="E13">
            <v>1618.9484449087838</v>
          </cell>
          <cell r="F13">
            <v>470.6</v>
          </cell>
          <cell r="G13">
            <v>20.364007719802331</v>
          </cell>
          <cell r="H13">
            <v>1646.5417339566509</v>
          </cell>
          <cell r="I13">
            <v>52.100489809163847</v>
          </cell>
          <cell r="J13">
            <v>2.8710852679393213</v>
          </cell>
          <cell r="K13">
            <v>27.593289047867074</v>
          </cell>
          <cell r="L13">
            <v>46.481390297308835</v>
          </cell>
          <cell r="M13">
            <v>5.6190995118550227</v>
          </cell>
        </row>
        <row r="14">
          <cell r="A14">
            <v>810</v>
          </cell>
          <cell r="B14" t="str">
            <v>5KG</v>
          </cell>
          <cell r="C14">
            <v>40.56</v>
          </cell>
          <cell r="D14">
            <v>1.425526269082142</v>
          </cell>
          <cell r="E14">
            <v>1591.082100591716</v>
          </cell>
          <cell r="F14">
            <v>11.96</v>
          </cell>
          <cell r="G14">
            <v>0.51753831774083281</v>
          </cell>
          <cell r="H14">
            <v>1603.8319397993312</v>
          </cell>
          <cell r="I14">
            <v>-14.380848465971239</v>
          </cell>
          <cell r="J14">
            <v>-0.90798795134130916</v>
          </cell>
          <cell r="K14">
            <v>12.749839207615196</v>
          </cell>
          <cell r="L14">
            <v>-14.446833769320991</v>
          </cell>
          <cell r="M14">
            <v>6.5985303349752819E-2</v>
          </cell>
        </row>
        <row r="15">
          <cell r="A15" t="str">
            <v>831A</v>
          </cell>
          <cell r="B15" t="str">
            <v>5KG</v>
          </cell>
          <cell r="C15">
            <v>54.52</v>
          </cell>
          <cell r="D15">
            <v>1.916165981024615</v>
          </cell>
          <cell r="E15">
            <v>1662.3506969919295</v>
          </cell>
          <cell r="F15">
            <v>25.04</v>
          </cell>
          <cell r="G15">
            <v>1.0835417622266263</v>
          </cell>
          <cell r="H15">
            <v>1681.2963258785944</v>
          </cell>
          <cell r="I15">
            <v>-13.635850703408485</v>
          </cell>
          <cell r="J15">
            <v>-0.83262421879798865</v>
          </cell>
          <cell r="K15">
            <v>18.945628886664963</v>
          </cell>
          <cell r="L15">
            <v>-13.841134504511972</v>
          </cell>
          <cell r="M15">
            <v>0.20528380110348632</v>
          </cell>
        </row>
        <row r="16">
          <cell r="A16" t="str">
            <v>831A</v>
          </cell>
          <cell r="B16" t="str">
            <v>40KG</v>
          </cell>
          <cell r="C16">
            <v>16.16</v>
          </cell>
          <cell r="D16">
            <v>0.56796115651793422</v>
          </cell>
          <cell r="E16">
            <v>1576.7023514851485</v>
          </cell>
          <cell r="F16">
            <v>4.8</v>
          </cell>
          <cell r="G16">
            <v>0.2077076860498325</v>
          </cell>
          <cell r="H16">
            <v>1594.7645833333333</v>
          </cell>
          <cell r="I16">
            <v>-5.6426082963565936</v>
          </cell>
          <cell r="J16">
            <v>-0.36025347046810174</v>
          </cell>
          <cell r="K16">
            <v>18.062231848184865</v>
          </cell>
          <cell r="L16">
            <v>-5.6801249401774143</v>
          </cell>
          <cell r="M16">
            <v>3.7516643820820678E-2</v>
          </cell>
        </row>
        <row r="17">
          <cell r="A17">
            <v>831</v>
          </cell>
          <cell r="B17" t="str">
            <v>5KG</v>
          </cell>
          <cell r="C17">
            <v>0</v>
          </cell>
          <cell r="D17">
            <v>0</v>
          </cell>
          <cell r="E17">
            <v>0</v>
          </cell>
          <cell r="F17">
            <v>0</v>
          </cell>
          <cell r="G17">
            <v>0</v>
          </cell>
          <cell r="H17">
            <v>0</v>
          </cell>
          <cell r="I17">
            <v>0</v>
          </cell>
          <cell r="J17">
            <v>0</v>
          </cell>
          <cell r="K17">
            <v>0</v>
          </cell>
          <cell r="L17">
            <v>0</v>
          </cell>
          <cell r="M17">
            <v>0</v>
          </cell>
        </row>
        <row r="18">
          <cell r="A18">
            <v>831</v>
          </cell>
          <cell r="B18" t="str">
            <v>40KG</v>
          </cell>
          <cell r="C18">
            <v>0</v>
          </cell>
          <cell r="D18">
            <v>0</v>
          </cell>
          <cell r="E18">
            <v>0</v>
          </cell>
          <cell r="F18">
            <v>0</v>
          </cell>
          <cell r="G18">
            <v>0</v>
          </cell>
          <cell r="H18">
            <v>0</v>
          </cell>
          <cell r="I18">
            <v>0</v>
          </cell>
          <cell r="J18">
            <v>0</v>
          </cell>
          <cell r="K18">
            <v>0</v>
          </cell>
          <cell r="L18">
            <v>0</v>
          </cell>
          <cell r="M18">
            <v>0</v>
          </cell>
        </row>
        <row r="19">
          <cell r="A19" t="str">
            <v>肉鸡料合计</v>
          </cell>
          <cell r="B19">
            <v>0</v>
          </cell>
          <cell r="C19">
            <v>1391.16</v>
          </cell>
          <cell r="D19">
            <v>48.893864016181276</v>
          </cell>
          <cell r="E19">
            <v>1693.7453276402423</v>
          </cell>
          <cell r="F19">
            <v>1091.8399999999999</v>
          </cell>
          <cell r="G19">
            <v>47.246574986801903</v>
          </cell>
          <cell r="H19">
            <v>1709.0074919402111</v>
          </cell>
          <cell r="I19">
            <v>-20.690031067249802</v>
          </cell>
          <cell r="J19">
            <v>-1.6472890293793725</v>
          </cell>
          <cell r="K19">
            <v>15.262164299968845</v>
          </cell>
        </row>
        <row r="20">
          <cell r="A20">
            <v>124</v>
          </cell>
          <cell r="B20" t="str">
            <v>45KG</v>
          </cell>
          <cell r="C20">
            <v>47.924999999999997</v>
          </cell>
          <cell r="D20">
            <v>1.6843773778540838</v>
          </cell>
          <cell r="E20">
            <v>2195.8827334376633</v>
          </cell>
          <cell r="F20">
            <v>46.44</v>
          </cell>
          <cell r="G20">
            <v>2.0095718625321295</v>
          </cell>
          <cell r="H20">
            <v>2250.3552971576228</v>
          </cell>
          <cell r="I20">
            <v>8.2355548524529869</v>
          </cell>
          <cell r="J20">
            <v>0.32519448467804568</v>
          </cell>
          <cell r="K20">
            <v>54.472563719959453</v>
          </cell>
          <cell r="L20">
            <v>7.1408895391367926</v>
          </cell>
          <cell r="M20">
            <v>1.0946653133161903</v>
          </cell>
        </row>
        <row r="21">
          <cell r="A21">
            <v>322</v>
          </cell>
          <cell r="B21" t="str">
            <v>40KG</v>
          </cell>
          <cell r="C21">
            <v>0</v>
          </cell>
          <cell r="D21">
            <v>0</v>
          </cell>
          <cell r="E21">
            <v>0</v>
          </cell>
          <cell r="F21">
            <v>0</v>
          </cell>
          <cell r="G21">
            <v>0</v>
          </cell>
          <cell r="H21">
            <v>0</v>
          </cell>
          <cell r="I21">
            <v>0</v>
          </cell>
          <cell r="J21">
            <v>0</v>
          </cell>
          <cell r="K21">
            <v>0</v>
          </cell>
          <cell r="L21">
            <v>0</v>
          </cell>
          <cell r="M21">
            <v>0</v>
          </cell>
        </row>
        <row r="22">
          <cell r="A22">
            <v>324</v>
          </cell>
          <cell r="B22" t="str">
            <v>40KG</v>
          </cell>
          <cell r="C22">
            <v>0</v>
          </cell>
          <cell r="D22">
            <v>0</v>
          </cell>
          <cell r="E22">
            <v>0</v>
          </cell>
          <cell r="F22">
            <v>0</v>
          </cell>
          <cell r="G22">
            <v>0</v>
          </cell>
          <cell r="H22">
            <v>0</v>
          </cell>
          <cell r="I22">
            <v>0</v>
          </cell>
          <cell r="J22">
            <v>0</v>
          </cell>
          <cell r="K22">
            <v>0</v>
          </cell>
          <cell r="L22">
            <v>0</v>
          </cell>
          <cell r="M22">
            <v>0</v>
          </cell>
        </row>
        <row r="23">
          <cell r="A23">
            <v>325</v>
          </cell>
          <cell r="B23" t="str">
            <v>40KG</v>
          </cell>
          <cell r="C23">
            <v>0</v>
          </cell>
          <cell r="D23">
            <v>0</v>
          </cell>
          <cell r="E23">
            <v>0</v>
          </cell>
          <cell r="F23">
            <v>0</v>
          </cell>
          <cell r="G23">
            <v>0</v>
          </cell>
          <cell r="H23">
            <v>0</v>
          </cell>
          <cell r="I23">
            <v>0</v>
          </cell>
          <cell r="J23">
            <v>0</v>
          </cell>
          <cell r="K23">
            <v>0</v>
          </cell>
          <cell r="L23">
            <v>0</v>
          </cell>
          <cell r="M23">
            <v>0</v>
          </cell>
        </row>
        <row r="24">
          <cell r="A24">
            <v>521</v>
          </cell>
          <cell r="B24" t="str">
            <v>40KG</v>
          </cell>
          <cell r="C24">
            <v>30.96</v>
          </cell>
          <cell r="D24">
            <v>1.0881236018437652</v>
          </cell>
          <cell r="E24">
            <v>1818.9925710594316</v>
          </cell>
          <cell r="F24">
            <v>15.76</v>
          </cell>
          <cell r="G24">
            <v>0.68197356919695007</v>
          </cell>
          <cell r="H24">
            <v>1823.8356598984772</v>
          </cell>
          <cell r="I24">
            <v>-7.3548103353860075</v>
          </cell>
          <cell r="J24">
            <v>-0.40615003264681515</v>
          </cell>
          <cell r="K24">
            <v>4.8430888390455493</v>
          </cell>
          <cell r="L24">
            <v>-7.3878389212010234</v>
          </cell>
          <cell r="M24">
            <v>3.3028585815018066E-2</v>
          </cell>
        </row>
        <row r="25">
          <cell r="A25">
            <v>522</v>
          </cell>
          <cell r="B25" t="str">
            <v>40KG</v>
          </cell>
          <cell r="C25">
            <v>22.48</v>
          </cell>
          <cell r="D25">
            <v>0.79008457911653229</v>
          </cell>
          <cell r="E25">
            <v>1567.2811387900358</v>
          </cell>
          <cell r="F25">
            <v>22.32</v>
          </cell>
          <cell r="G25">
            <v>0.96584074013172128</v>
          </cell>
          <cell r="H25">
            <v>1562.5465949820787</v>
          </cell>
          <cell r="I25">
            <v>2.7088650088958683</v>
          </cell>
          <cell r="J25">
            <v>0.17575616101518898</v>
          </cell>
          <cell r="K25">
            <v>-4.7345438079571522</v>
          </cell>
          <cell r="L25">
            <v>2.7545931618525028</v>
          </cell>
          <cell r="M25">
            <v>-4.5728152956633933E-2</v>
          </cell>
        </row>
        <row r="26">
          <cell r="A26">
            <v>524</v>
          </cell>
          <cell r="B26" t="str">
            <v>40KG</v>
          </cell>
          <cell r="C26">
            <v>1.96</v>
          </cell>
          <cell r="D26">
            <v>6.8886377894501916E-2</v>
          </cell>
          <cell r="E26">
            <v>1550</v>
          </cell>
          <cell r="F26">
            <v>7.96</v>
          </cell>
          <cell r="G26">
            <v>0.34444857936597228</v>
          </cell>
          <cell r="H26">
            <v>1508.8479899497488</v>
          </cell>
          <cell r="I26">
            <v>4.1294666088091585</v>
          </cell>
          <cell r="J26">
            <v>0.27556220147147037</v>
          </cell>
          <cell r="K26">
            <v>-41.152010050251192</v>
          </cell>
          <cell r="L26">
            <v>4.2712141228077902</v>
          </cell>
          <cell r="M26">
            <v>-0.14174751399863236</v>
          </cell>
        </row>
        <row r="27">
          <cell r="A27" t="str">
            <v>浓缩蛋鸡料</v>
          </cell>
          <cell r="B27">
            <v>0</v>
          </cell>
          <cell r="C27">
            <v>47.924999999999997</v>
          </cell>
          <cell r="D27">
            <v>1.6843773778540838</v>
          </cell>
          <cell r="E27">
            <v>2195.8827334376633</v>
          </cell>
          <cell r="F27">
            <v>46.44</v>
          </cell>
          <cell r="G27">
            <v>2.0095718625321295</v>
          </cell>
          <cell r="H27">
            <v>2250.3552971576228</v>
          </cell>
          <cell r="I27">
            <v>8.2355548524529869</v>
          </cell>
          <cell r="J27">
            <v>0.32519448467804568</v>
          </cell>
          <cell r="K27">
            <v>54.472563719959453</v>
          </cell>
        </row>
        <row r="28">
          <cell r="A28" t="str">
            <v>全价蛋鸡料</v>
          </cell>
          <cell r="B28">
            <v>0</v>
          </cell>
          <cell r="C28">
            <v>55.399999999999991</v>
          </cell>
          <cell r="D28">
            <v>1.9470945588547988</v>
          </cell>
          <cell r="E28">
            <v>1707.3373646209391</v>
          </cell>
          <cell r="F28">
            <v>46.039999999999992</v>
          </cell>
          <cell r="G28">
            <v>1.9922628886946434</v>
          </cell>
          <cell r="H28">
            <v>1642.7046046915727</v>
          </cell>
          <cell r="I28">
            <v>-0.51647871768097042</v>
          </cell>
          <cell r="J28">
            <v>4.5168329839844645E-2</v>
          </cell>
          <cell r="K28">
            <v>-64.63275992936633</v>
          </cell>
        </row>
        <row r="29">
          <cell r="A29" t="str">
            <v>蛋鸡料合计</v>
          </cell>
          <cell r="B29">
            <v>0</v>
          </cell>
          <cell r="C29">
            <v>103.32499999999999</v>
          </cell>
          <cell r="D29">
            <v>3.6314719367088828</v>
          </cell>
          <cell r="E29">
            <v>1933.9382530849266</v>
          </cell>
          <cell r="F29">
            <v>92.47999999999999</v>
          </cell>
          <cell r="G29">
            <v>4.0018347512267729</v>
          </cell>
          <cell r="H29">
            <v>1947.8440743944639</v>
          </cell>
          <cell r="I29">
            <v>7.7190761347720125</v>
          </cell>
          <cell r="J29">
            <v>0.3703628145178901</v>
          </cell>
          <cell r="K29">
            <v>13.905821309537259</v>
          </cell>
        </row>
        <row r="30">
          <cell r="A30" t="str">
            <v>浓缩鸡料</v>
          </cell>
          <cell r="B30">
            <v>0</v>
          </cell>
          <cell r="C30">
            <v>47.924999999999997</v>
          </cell>
          <cell r="D30">
            <v>1.6843773778540838</v>
          </cell>
          <cell r="E30">
            <v>2195.8827334376633</v>
          </cell>
          <cell r="F30">
            <v>46.44</v>
          </cell>
          <cell r="G30">
            <v>2.0095718625321295</v>
          </cell>
          <cell r="H30">
            <v>2250.3552971576228</v>
          </cell>
          <cell r="I30">
            <v>8.2355548524529869</v>
          </cell>
          <cell r="J30">
            <v>0.32519448467804568</v>
          </cell>
          <cell r="K30">
            <v>54.472563719959453</v>
          </cell>
        </row>
        <row r="31">
          <cell r="A31" t="str">
            <v>全价鸡料</v>
          </cell>
          <cell r="B31">
            <v>0</v>
          </cell>
          <cell r="C31">
            <v>1446.5600000000002</v>
          </cell>
          <cell r="D31">
            <v>50.840958575036076</v>
          </cell>
          <cell r="E31">
            <v>1694.2658721380371</v>
          </cell>
          <cell r="F31">
            <v>1137.8799999999999</v>
          </cell>
          <cell r="G31">
            <v>49.238837875496543</v>
          </cell>
          <cell r="H31">
            <v>1706.3247969908955</v>
          </cell>
          <cell r="I31">
            <v>-21.206509784930677</v>
          </cell>
          <cell r="J31">
            <v>-1.6021206995395332</v>
          </cell>
          <cell r="K31">
            <v>12.058924852858354</v>
          </cell>
        </row>
        <row r="32">
          <cell r="A32" t="str">
            <v>鸡料合计</v>
          </cell>
          <cell r="B32">
            <v>0</v>
          </cell>
          <cell r="C32">
            <v>1494.4850000000001</v>
          </cell>
          <cell r="D32">
            <v>52.52533595289016</v>
          </cell>
          <cell r="E32">
            <v>1710.3516729843386</v>
          </cell>
          <cell r="F32">
            <v>1184.32</v>
          </cell>
          <cell r="G32">
            <v>51.248409738028677</v>
          </cell>
          <cell r="H32">
            <v>1727.657524993245</v>
          </cell>
          <cell r="I32">
            <v>-12.970954932477762</v>
          </cell>
          <cell r="J32">
            <v>-1.2769262148614828</v>
          </cell>
          <cell r="K32">
            <v>17.305852008906413</v>
          </cell>
          <cell r="L32">
            <v>-26.349168013324281</v>
          </cell>
          <cell r="M32">
            <v>13.378213080846377</v>
          </cell>
        </row>
        <row r="33">
          <cell r="A33" t="str">
            <v>151-38</v>
          </cell>
          <cell r="B33" t="str">
            <v>5KG</v>
          </cell>
          <cell r="C33">
            <v>0</v>
          </cell>
          <cell r="D33">
            <v>0</v>
          </cell>
          <cell r="E33">
            <v>0</v>
          </cell>
          <cell r="F33">
            <v>0</v>
          </cell>
          <cell r="G33">
            <v>0</v>
          </cell>
          <cell r="H33">
            <v>0</v>
          </cell>
          <cell r="I33">
            <v>0</v>
          </cell>
          <cell r="J33">
            <v>0</v>
          </cell>
          <cell r="K33">
            <v>0</v>
          </cell>
          <cell r="L33">
            <v>0</v>
          </cell>
          <cell r="M33">
            <v>0</v>
          </cell>
        </row>
        <row r="34">
          <cell r="A34" t="str">
            <v>151-38</v>
          </cell>
          <cell r="B34" t="str">
            <v>10KG</v>
          </cell>
          <cell r="C34">
            <v>18.22</v>
          </cell>
          <cell r="D34">
            <v>0.64036214552950244</v>
          </cell>
          <cell r="E34">
            <v>2749.3111964873765</v>
          </cell>
          <cell r="F34">
            <v>15</v>
          </cell>
          <cell r="G34">
            <v>0.64908651890572666</v>
          </cell>
          <cell r="H34">
            <v>2756.2180000000003</v>
          </cell>
          <cell r="I34">
            <v>0.28469130454364405</v>
          </cell>
          <cell r="J34">
            <v>8.7243733762242259E-3</v>
          </cell>
          <cell r="K34">
            <v>6.9068035126238101</v>
          </cell>
          <cell r="L34">
            <v>0.23986017405589638</v>
          </cell>
          <cell r="M34">
            <v>4.4831130487748345E-2</v>
          </cell>
        </row>
        <row r="35">
          <cell r="A35" t="str">
            <v>151-38</v>
          </cell>
          <cell r="B35" t="str">
            <v>20KG</v>
          </cell>
          <cell r="C35">
            <v>13.88</v>
          </cell>
          <cell r="D35">
            <v>0.48782802304881978</v>
          </cell>
          <cell r="E35">
            <v>2723.4747838616713</v>
          </cell>
          <cell r="F35">
            <v>14.6</v>
          </cell>
          <cell r="G35">
            <v>0.63177754506824058</v>
          </cell>
          <cell r="H35">
            <v>2713.3301369863016</v>
          </cell>
          <cell r="I35">
            <v>3.8563373327032764</v>
          </cell>
          <cell r="J35">
            <v>0.14394952201942079</v>
          </cell>
          <cell r="K35">
            <v>-10.144646875369745</v>
          </cell>
          <cell r="L35">
            <v>3.9204289336883296</v>
          </cell>
          <cell r="M35">
            <v>-6.4091600985052941E-2</v>
          </cell>
        </row>
        <row r="36">
          <cell r="A36" t="str">
            <v>151-38</v>
          </cell>
          <cell r="B36" t="str">
            <v>40KG</v>
          </cell>
          <cell r="C36">
            <v>38.92</v>
          </cell>
          <cell r="D36">
            <v>1.3678866467622526</v>
          </cell>
          <cell r="E36">
            <v>2672.1346351490233</v>
          </cell>
          <cell r="F36">
            <v>33.96</v>
          </cell>
          <cell r="G36">
            <v>1.4695318788025653</v>
          </cell>
          <cell r="H36">
            <v>2684.0877502944641</v>
          </cell>
          <cell r="I36">
            <v>2.8917522878990165</v>
          </cell>
          <cell r="J36">
            <v>0.10164523204031273</v>
          </cell>
          <cell r="K36">
            <v>11.953115145440734</v>
          </cell>
          <cell r="L36">
            <v>2.7160974503267887</v>
          </cell>
          <cell r="M36">
            <v>0.17565483757222922</v>
          </cell>
        </row>
        <row r="37">
          <cell r="A37" t="str">
            <v>151-40</v>
          </cell>
          <cell r="B37" t="str">
            <v>5KG</v>
          </cell>
          <cell r="C37">
            <v>0</v>
          </cell>
          <cell r="D37">
            <v>0</v>
          </cell>
          <cell r="E37">
            <v>0</v>
          </cell>
          <cell r="F37">
            <v>0</v>
          </cell>
          <cell r="G37">
            <v>0</v>
          </cell>
          <cell r="H37">
            <v>0</v>
          </cell>
          <cell r="I37">
            <v>0</v>
          </cell>
          <cell r="J37">
            <v>0</v>
          </cell>
          <cell r="K37">
            <v>0</v>
          </cell>
          <cell r="L37">
            <v>0</v>
          </cell>
          <cell r="M37">
            <v>0</v>
          </cell>
        </row>
        <row r="38">
          <cell r="A38" t="str">
            <v>151-40</v>
          </cell>
          <cell r="B38" t="str">
            <v>10KG</v>
          </cell>
          <cell r="C38">
            <v>18.82</v>
          </cell>
          <cell r="D38">
            <v>0.66144981223190102</v>
          </cell>
          <cell r="E38">
            <v>2890.4952178533476</v>
          </cell>
          <cell r="F38">
            <v>15.62</v>
          </cell>
          <cell r="G38">
            <v>0.67591542835383001</v>
          </cell>
          <cell r="H38">
            <v>2933.7848911651731</v>
          </cell>
          <cell r="I38">
            <v>0.71072952303597958</v>
          </cell>
          <cell r="J38">
            <v>1.4465616121928981E-2</v>
          </cell>
          <cell r="K38">
            <v>43.289673311825482</v>
          </cell>
          <cell r="L38">
            <v>0.41812794223738009</v>
          </cell>
          <cell r="M38">
            <v>0.29260158079859883</v>
          </cell>
        </row>
        <row r="39">
          <cell r="A39" t="str">
            <v>151-40</v>
          </cell>
          <cell r="B39" t="str">
            <v>20KG</v>
          </cell>
          <cell r="C39">
            <v>38.24</v>
          </cell>
          <cell r="D39">
            <v>1.3439872911662007</v>
          </cell>
          <cell r="E39">
            <v>2866.9103033472802</v>
          </cell>
          <cell r="F39">
            <v>30.5</v>
          </cell>
          <cell r="G39">
            <v>1.3198092551083109</v>
          </cell>
          <cell r="H39">
            <v>2914.6990163934424</v>
          </cell>
          <cell r="I39">
            <v>-6.2442749210263174E-2</v>
          </cell>
          <cell r="J39">
            <v>-2.4178036057889818E-2</v>
          </cell>
          <cell r="K39">
            <v>47.788713046162229</v>
          </cell>
          <cell r="L39">
            <v>-0.69316260689066378</v>
          </cell>
          <cell r="M39">
            <v>0.63071985768040195</v>
          </cell>
        </row>
        <row r="40">
          <cell r="A40" t="str">
            <v>151-40</v>
          </cell>
          <cell r="B40" t="str">
            <v>40KG</v>
          </cell>
          <cell r="C40">
            <v>7</v>
          </cell>
          <cell r="D40">
            <v>0.24602277819464974</v>
          </cell>
          <cell r="E40">
            <v>2837.3757142857144</v>
          </cell>
          <cell r="F40">
            <v>5.92</v>
          </cell>
          <cell r="G40">
            <v>0.25617281279479343</v>
          </cell>
          <cell r="H40">
            <v>2881.7871621621621</v>
          </cell>
          <cell r="I40">
            <v>0.4017646719640629</v>
          </cell>
          <cell r="J40">
            <v>1.0150034600143687E-2</v>
          </cell>
          <cell r="K40">
            <v>44.41144787644771</v>
          </cell>
          <cell r="L40">
            <v>0.28799461673607413</v>
          </cell>
          <cell r="M40">
            <v>0.11377005522798965</v>
          </cell>
        </row>
        <row r="41">
          <cell r="A41" t="str">
            <v>151-42</v>
          </cell>
          <cell r="B41" t="str">
            <v>5KG</v>
          </cell>
          <cell r="C41">
            <v>0</v>
          </cell>
          <cell r="D41">
            <v>0</v>
          </cell>
          <cell r="E41">
            <v>0</v>
          </cell>
          <cell r="F41">
            <v>0</v>
          </cell>
          <cell r="G41">
            <v>0</v>
          </cell>
          <cell r="H41">
            <v>0</v>
          </cell>
          <cell r="I41">
            <v>0</v>
          </cell>
          <cell r="J41">
            <v>0</v>
          </cell>
          <cell r="K41">
            <v>0</v>
          </cell>
          <cell r="L41">
            <v>0</v>
          </cell>
          <cell r="M41">
            <v>0</v>
          </cell>
        </row>
        <row r="42">
          <cell r="A42" t="str">
            <v>151-42</v>
          </cell>
          <cell r="B42" t="str">
            <v>10KG</v>
          </cell>
          <cell r="C42">
            <v>0</v>
          </cell>
          <cell r="D42">
            <v>0</v>
          </cell>
          <cell r="E42">
            <v>0</v>
          </cell>
          <cell r="F42">
            <v>0</v>
          </cell>
          <cell r="G42">
            <v>0</v>
          </cell>
          <cell r="H42">
            <v>0</v>
          </cell>
          <cell r="I42">
            <v>0</v>
          </cell>
          <cell r="J42">
            <v>0</v>
          </cell>
          <cell r="K42">
            <v>0</v>
          </cell>
          <cell r="L42">
            <v>0</v>
          </cell>
          <cell r="M42">
            <v>0</v>
          </cell>
        </row>
        <row r="43">
          <cell r="A43" t="str">
            <v>151-42</v>
          </cell>
          <cell r="B43" t="str">
            <v>20KG</v>
          </cell>
          <cell r="C43">
            <v>0</v>
          </cell>
          <cell r="D43">
            <v>0</v>
          </cell>
          <cell r="E43">
            <v>0</v>
          </cell>
          <cell r="F43">
            <v>0</v>
          </cell>
          <cell r="G43">
            <v>0</v>
          </cell>
          <cell r="H43">
            <v>0</v>
          </cell>
          <cell r="I43">
            <v>0</v>
          </cell>
          <cell r="J43">
            <v>0</v>
          </cell>
          <cell r="K43">
            <v>0</v>
          </cell>
          <cell r="L43">
            <v>0</v>
          </cell>
          <cell r="M43">
            <v>0</v>
          </cell>
        </row>
        <row r="44">
          <cell r="A44" t="str">
            <v>151-42</v>
          </cell>
          <cell r="B44" t="str">
            <v>40KG</v>
          </cell>
          <cell r="C44">
            <v>0</v>
          </cell>
          <cell r="D44">
            <v>0</v>
          </cell>
          <cell r="E44">
            <v>0</v>
          </cell>
          <cell r="F44">
            <v>0</v>
          </cell>
          <cell r="G44">
            <v>0</v>
          </cell>
          <cell r="H44">
            <v>0</v>
          </cell>
          <cell r="I44">
            <v>0</v>
          </cell>
          <cell r="J44">
            <v>0</v>
          </cell>
          <cell r="K44">
            <v>0</v>
          </cell>
          <cell r="L44">
            <v>0</v>
          </cell>
          <cell r="M44">
            <v>0</v>
          </cell>
        </row>
        <row r="45">
          <cell r="A45">
            <v>988</v>
          </cell>
          <cell r="B45" t="str">
            <v>10KG</v>
          </cell>
          <cell r="C45">
            <v>54.33</v>
          </cell>
          <cell r="D45">
            <v>1.9094882199021883</v>
          </cell>
          <cell r="E45">
            <v>2875.440456469722</v>
          </cell>
          <cell r="F45">
            <v>60.99</v>
          </cell>
          <cell r="G45">
            <v>2.6391857858706844</v>
          </cell>
          <cell r="H45">
            <v>2912.9849155599281</v>
          </cell>
          <cell r="I45">
            <v>21.972887049423726</v>
          </cell>
          <cell r="J45">
            <v>0.72969756596849611</v>
          </cell>
          <cell r="K45">
            <v>37.544459090206146</v>
          </cell>
          <cell r="L45">
            <v>20.982019021732977</v>
          </cell>
          <cell r="M45">
            <v>0.99086802769075477</v>
          </cell>
        </row>
        <row r="46">
          <cell r="A46">
            <v>988</v>
          </cell>
          <cell r="B46" t="str">
            <v>20KG</v>
          </cell>
          <cell r="C46">
            <v>0</v>
          </cell>
          <cell r="D46">
            <v>0</v>
          </cell>
          <cell r="E46">
            <v>0</v>
          </cell>
          <cell r="F46">
            <v>0</v>
          </cell>
          <cell r="G46">
            <v>0</v>
          </cell>
          <cell r="H46">
            <v>0</v>
          </cell>
          <cell r="I46">
            <v>0</v>
          </cell>
          <cell r="J46">
            <v>0</v>
          </cell>
          <cell r="K46">
            <v>0</v>
          </cell>
          <cell r="L46">
            <v>0</v>
          </cell>
          <cell r="M46">
            <v>0</v>
          </cell>
        </row>
        <row r="47">
          <cell r="A47">
            <v>988</v>
          </cell>
          <cell r="B47" t="str">
            <v>40KG</v>
          </cell>
          <cell r="C47">
            <v>134.52000000000001</v>
          </cell>
          <cell r="D47">
            <v>4.7278548746777549</v>
          </cell>
          <cell r="E47">
            <v>2836.4199375557532</v>
          </cell>
          <cell r="F47">
            <v>121.52</v>
          </cell>
          <cell r="G47">
            <v>5.2584662518282599</v>
          </cell>
          <cell r="H47">
            <v>2894.3453752468731</v>
          </cell>
          <cell r="I47">
            <v>18.096356484647423</v>
          </cell>
          <cell r="J47">
            <v>0.53061137715050499</v>
          </cell>
          <cell r="K47">
            <v>57.925437691119896</v>
          </cell>
          <cell r="L47">
            <v>15.050366892436076</v>
          </cell>
          <cell r="M47">
            <v>3.0459895922113462</v>
          </cell>
        </row>
        <row r="48">
          <cell r="A48" t="str">
            <v>551SS</v>
          </cell>
          <cell r="B48" t="str">
            <v>20KG</v>
          </cell>
          <cell r="C48">
            <v>0</v>
          </cell>
          <cell r="D48">
            <v>0</v>
          </cell>
          <cell r="E48">
            <v>0</v>
          </cell>
          <cell r="F48">
            <v>5.08</v>
          </cell>
          <cell r="G48">
            <v>0.21982396773607277</v>
          </cell>
          <cell r="H48">
            <v>2835.4448818897636</v>
          </cell>
          <cell r="I48">
            <v>6.2329874423394802</v>
          </cell>
          <cell r="J48">
            <v>0.21982396773607277</v>
          </cell>
          <cell r="K48">
            <v>2835.4448818897636</v>
          </cell>
          <cell r="L48">
            <v>0</v>
          </cell>
          <cell r="M48">
            <v>6.2329874423394802</v>
          </cell>
        </row>
        <row r="49">
          <cell r="A49" t="str">
            <v>551S</v>
          </cell>
          <cell r="B49" t="str">
            <v>40KG</v>
          </cell>
          <cell r="C49">
            <v>255.95999999999998</v>
          </cell>
          <cell r="D49">
            <v>8.9959986152432201</v>
          </cell>
          <cell r="E49">
            <v>2105.9254571026727</v>
          </cell>
          <cell r="F49">
            <v>225.51999999999998</v>
          </cell>
          <cell r="G49">
            <v>9.7587994495746315</v>
          </cell>
          <cell r="H49">
            <v>2127.3670184462576</v>
          </cell>
          <cell r="I49">
            <v>18.156455927554745</v>
          </cell>
          <cell r="J49">
            <v>0.76280083433141144</v>
          </cell>
          <cell r="K49">
            <v>21.441561343584908</v>
          </cell>
          <cell r="L49">
            <v>16.064016957176776</v>
          </cell>
          <cell r="M49">
            <v>2.0924389703779709</v>
          </cell>
        </row>
        <row r="50">
          <cell r="A50" t="str">
            <v>950S(20)</v>
          </cell>
          <cell r="B50" t="str">
            <v>10KG</v>
          </cell>
          <cell r="C50">
            <v>0</v>
          </cell>
          <cell r="D50">
            <v>0</v>
          </cell>
          <cell r="E50">
            <v>0</v>
          </cell>
          <cell r="F50">
            <v>0</v>
          </cell>
          <cell r="G50">
            <v>0</v>
          </cell>
          <cell r="H50">
            <v>0</v>
          </cell>
          <cell r="I50">
            <v>0</v>
          </cell>
          <cell r="J50">
            <v>0</v>
          </cell>
          <cell r="K50">
            <v>0</v>
          </cell>
          <cell r="L50">
            <v>0</v>
          </cell>
          <cell r="M50">
            <v>0</v>
          </cell>
        </row>
        <row r="51">
          <cell r="A51" t="str">
            <v>950S-20</v>
          </cell>
          <cell r="B51" t="str">
            <v>20KG</v>
          </cell>
          <cell r="C51">
            <v>0</v>
          </cell>
          <cell r="D51">
            <v>0</v>
          </cell>
          <cell r="E51">
            <v>0</v>
          </cell>
          <cell r="F51">
            <v>0</v>
          </cell>
          <cell r="G51">
            <v>0</v>
          </cell>
          <cell r="H51">
            <v>0</v>
          </cell>
          <cell r="I51">
            <v>0</v>
          </cell>
          <cell r="J51">
            <v>0</v>
          </cell>
          <cell r="K51">
            <v>0</v>
          </cell>
          <cell r="L51">
            <v>0</v>
          </cell>
          <cell r="M51">
            <v>0</v>
          </cell>
        </row>
        <row r="52">
          <cell r="A52" t="str">
            <v>950S(20)</v>
          </cell>
          <cell r="B52" t="str">
            <v>40KG</v>
          </cell>
          <cell r="C52">
            <v>0</v>
          </cell>
          <cell r="D52">
            <v>0</v>
          </cell>
          <cell r="E52">
            <v>0</v>
          </cell>
          <cell r="F52">
            <v>0</v>
          </cell>
          <cell r="G52">
            <v>0</v>
          </cell>
          <cell r="H52">
            <v>0</v>
          </cell>
          <cell r="I52">
            <v>0</v>
          </cell>
          <cell r="J52">
            <v>0</v>
          </cell>
          <cell r="K52">
            <v>0</v>
          </cell>
          <cell r="L52">
            <v>0</v>
          </cell>
          <cell r="M52">
            <v>0</v>
          </cell>
        </row>
        <row r="53">
          <cell r="A53" t="str">
            <v>950S(22)</v>
          </cell>
          <cell r="B53" t="str">
            <v>10KG</v>
          </cell>
          <cell r="C53">
            <v>4.46</v>
          </cell>
          <cell r="D53">
            <v>0.15675165582116252</v>
          </cell>
          <cell r="E53">
            <v>3107.3542600896862</v>
          </cell>
          <cell r="F53">
            <v>0</v>
          </cell>
          <cell r="G53">
            <v>0</v>
          </cell>
          <cell r="H53">
            <v>0</v>
          </cell>
          <cell r="I53">
            <v>-4.8708292549200163</v>
          </cell>
          <cell r="J53">
            <v>-0.15675165582116252</v>
          </cell>
          <cell r="K53">
            <v>-3107.3542600896862</v>
          </cell>
          <cell r="L53">
            <v>-4.8708292549200163</v>
          </cell>
          <cell r="M53">
            <v>0</v>
          </cell>
        </row>
        <row r="54">
          <cell r="A54" t="str">
            <v>950S(22)</v>
          </cell>
          <cell r="B54" t="str">
            <v>20KG</v>
          </cell>
          <cell r="C54">
            <v>0</v>
          </cell>
          <cell r="D54">
            <v>0</v>
          </cell>
          <cell r="E54">
            <v>0</v>
          </cell>
          <cell r="F54">
            <v>0</v>
          </cell>
          <cell r="G54">
            <v>0</v>
          </cell>
          <cell r="H54">
            <v>0</v>
          </cell>
          <cell r="I54">
            <v>0</v>
          </cell>
          <cell r="J54">
            <v>0</v>
          </cell>
          <cell r="K54">
            <v>0</v>
          </cell>
          <cell r="L54">
            <v>0</v>
          </cell>
          <cell r="M54">
            <v>0</v>
          </cell>
        </row>
        <row r="55">
          <cell r="A55" t="str">
            <v>950S(22)</v>
          </cell>
          <cell r="B55" t="str">
            <v>40KG</v>
          </cell>
          <cell r="C55">
            <v>0</v>
          </cell>
          <cell r="D55">
            <v>0</v>
          </cell>
          <cell r="E55">
            <v>0</v>
          </cell>
          <cell r="F55">
            <v>0</v>
          </cell>
          <cell r="G55">
            <v>0</v>
          </cell>
          <cell r="H55">
            <v>0</v>
          </cell>
          <cell r="I55">
            <v>0</v>
          </cell>
          <cell r="J55">
            <v>0</v>
          </cell>
          <cell r="K55">
            <v>0</v>
          </cell>
          <cell r="L55">
            <v>0</v>
          </cell>
          <cell r="M55">
            <v>0</v>
          </cell>
        </row>
        <row r="56">
          <cell r="A56" t="str">
            <v>951S</v>
          </cell>
          <cell r="B56" t="str">
            <v>40KG</v>
          </cell>
          <cell r="C56">
            <v>0</v>
          </cell>
          <cell r="D56">
            <v>0</v>
          </cell>
          <cell r="E56">
            <v>0</v>
          </cell>
          <cell r="F56">
            <v>0</v>
          </cell>
          <cell r="G56">
            <v>0</v>
          </cell>
          <cell r="H56">
            <v>0</v>
          </cell>
          <cell r="I56">
            <v>0</v>
          </cell>
          <cell r="J56">
            <v>0</v>
          </cell>
          <cell r="K56">
            <v>0</v>
          </cell>
          <cell r="L56">
            <v>0</v>
          </cell>
          <cell r="M56">
            <v>0</v>
          </cell>
        </row>
        <row r="57">
          <cell r="A57">
            <v>951</v>
          </cell>
          <cell r="B57" t="str">
            <v>40KG</v>
          </cell>
          <cell r="C57">
            <v>50.12</v>
          </cell>
          <cell r="D57">
            <v>1.7615230918736919</v>
          </cell>
          <cell r="E57">
            <v>2028.8507581803672</v>
          </cell>
          <cell r="F57">
            <v>40.72</v>
          </cell>
          <cell r="G57">
            <v>1.7620535366560792</v>
          </cell>
          <cell r="H57">
            <v>2045.0282416502948</v>
          </cell>
          <cell r="I57">
            <v>0.29581785261300864</v>
          </cell>
          <cell r="J57">
            <v>5.3044478238728487E-4</v>
          </cell>
          <cell r="K57">
            <v>16.177483469927665</v>
          </cell>
          <cell r="L57">
            <v>1.0761932989192629E-2</v>
          </cell>
          <cell r="M57">
            <v>0.28505591962381305</v>
          </cell>
        </row>
        <row r="58">
          <cell r="A58">
            <v>551</v>
          </cell>
          <cell r="B58" t="str">
            <v>10KG</v>
          </cell>
          <cell r="C58">
            <v>16.75</v>
          </cell>
          <cell r="D58">
            <v>0.58869736210862611</v>
          </cell>
          <cell r="E58">
            <v>2137.2925373134326</v>
          </cell>
          <cell r="F58">
            <v>18.630000000000003</v>
          </cell>
          <cell r="G58">
            <v>0.80616545648091265</v>
          </cell>
          <cell r="H58">
            <v>2112.2458400429414</v>
          </cell>
          <cell r="I58">
            <v>4.4460115306725649</v>
          </cell>
          <cell r="J58">
            <v>0.21746809437228654</v>
          </cell>
          <cell r="K58">
            <v>-25.046697270491222</v>
          </cell>
          <cell r="L58">
            <v>4.6479293520566127</v>
          </cell>
          <cell r="M58">
            <v>-0.20191782138404787</v>
          </cell>
        </row>
        <row r="59">
          <cell r="A59">
            <v>551</v>
          </cell>
          <cell r="B59" t="str">
            <v>40KG</v>
          </cell>
          <cell r="C59">
            <v>221.68</v>
          </cell>
          <cell r="D59">
            <v>7.7911899243128495</v>
          </cell>
          <cell r="E59">
            <v>2048.5782659689644</v>
          </cell>
          <cell r="F59">
            <v>196.28</v>
          </cell>
          <cell r="G59">
            <v>8.4935134620544019</v>
          </cell>
          <cell r="H59">
            <v>2056.7178520480943</v>
          </cell>
          <cell r="I59">
            <v>15.078984190344164</v>
          </cell>
          <cell r="J59">
            <v>0.70232353774155243</v>
          </cell>
          <cell r="K59">
            <v>8.1395860791299128</v>
          </cell>
          <cell r="L59">
            <v>14.38764735095778</v>
          </cell>
          <cell r="M59">
            <v>0.69133683938640511</v>
          </cell>
        </row>
        <row r="60">
          <cell r="A60">
            <v>552</v>
          </cell>
          <cell r="B60" t="str">
            <v>40KG</v>
          </cell>
          <cell r="C60">
            <v>18.64</v>
          </cell>
          <cell r="D60">
            <v>0.65512351222118148</v>
          </cell>
          <cell r="E60">
            <v>1693.9447424892703</v>
          </cell>
          <cell r="F60">
            <v>26.48</v>
          </cell>
          <cell r="G60">
            <v>1.1458540680415761</v>
          </cell>
          <cell r="H60">
            <v>1623.0173716012084</v>
          </cell>
          <cell r="I60">
            <v>7.4999802854321551</v>
          </cell>
          <cell r="J60">
            <v>0.4907305558203946</v>
          </cell>
          <cell r="K60">
            <v>-70.927370888061887</v>
          </cell>
          <cell r="L60">
            <v>8.3127044501079475</v>
          </cell>
          <cell r="M60">
            <v>-0.81272416467579367</v>
          </cell>
        </row>
        <row r="61">
          <cell r="A61">
            <v>553</v>
          </cell>
          <cell r="B61" t="str">
            <v>40KG</v>
          </cell>
          <cell r="C61">
            <v>0</v>
          </cell>
          <cell r="D61">
            <v>0</v>
          </cell>
          <cell r="E61">
            <v>0</v>
          </cell>
          <cell r="F61">
            <v>0</v>
          </cell>
          <cell r="G61">
            <v>0</v>
          </cell>
          <cell r="H61">
            <v>0</v>
          </cell>
          <cell r="I61">
            <v>0</v>
          </cell>
          <cell r="J61">
            <v>0</v>
          </cell>
          <cell r="K61">
            <v>0</v>
          </cell>
          <cell r="L61">
            <v>0</v>
          </cell>
          <cell r="M61">
            <v>0</v>
          </cell>
        </row>
        <row r="62">
          <cell r="A62">
            <v>555</v>
          </cell>
          <cell r="B62" t="str">
            <v>40KG</v>
          </cell>
          <cell r="C62">
            <v>6.72</v>
          </cell>
          <cell r="D62">
            <v>0.23618186706686373</v>
          </cell>
          <cell r="E62">
            <v>1382.2723214285713</v>
          </cell>
          <cell r="F62">
            <v>10.6</v>
          </cell>
          <cell r="G62">
            <v>0.45868780669338016</v>
          </cell>
          <cell r="H62">
            <v>1347.8735849056604</v>
          </cell>
          <cell r="I62">
            <v>2.9178552069047301</v>
          </cell>
          <cell r="J62">
            <v>0.22250593962651644</v>
          </cell>
          <cell r="K62">
            <v>-34.398736522910895</v>
          </cell>
          <cell r="L62">
            <v>3.0756380169919044</v>
          </cell>
          <cell r="M62">
            <v>-0.15778281008717468</v>
          </cell>
        </row>
        <row r="63">
          <cell r="A63">
            <v>851</v>
          </cell>
          <cell r="B63" t="str">
            <v>10KG</v>
          </cell>
          <cell r="C63">
            <v>0</v>
          </cell>
          <cell r="D63">
            <v>0</v>
          </cell>
          <cell r="E63">
            <v>0</v>
          </cell>
          <cell r="F63">
            <v>0</v>
          </cell>
          <cell r="G63">
            <v>0</v>
          </cell>
          <cell r="H63">
            <v>0</v>
          </cell>
          <cell r="I63">
            <v>0</v>
          </cell>
          <cell r="J63">
            <v>0</v>
          </cell>
          <cell r="K63">
            <v>0</v>
          </cell>
          <cell r="L63">
            <v>0</v>
          </cell>
          <cell r="M63">
            <v>0</v>
          </cell>
        </row>
        <row r="64">
          <cell r="A64">
            <v>851</v>
          </cell>
          <cell r="B64" t="str">
            <v>40KG</v>
          </cell>
          <cell r="C64">
            <v>47.92</v>
          </cell>
          <cell r="D64">
            <v>1.6842016472982309</v>
          </cell>
          <cell r="E64">
            <v>1933.4993739565944</v>
          </cell>
          <cell r="F64">
            <v>43.760000000000005</v>
          </cell>
          <cell r="G64">
            <v>1.8936017378209733</v>
          </cell>
          <cell r="H64">
            <v>1910.4234460694697</v>
          </cell>
          <cell r="I64">
            <v>3.6117832678328612</v>
          </cell>
          <cell r="J64">
            <v>0.20940009052274244</v>
          </cell>
          <cell r="K64">
            <v>-23.075927887124635</v>
          </cell>
          <cell r="L64">
            <v>4.0487494393217665</v>
          </cell>
          <cell r="M64">
            <v>-0.43696617148890665</v>
          </cell>
        </row>
        <row r="65">
          <cell r="A65">
            <v>852</v>
          </cell>
          <cell r="B65" t="str">
            <v>40KG</v>
          </cell>
          <cell r="C65">
            <v>0</v>
          </cell>
          <cell r="D65">
            <v>0</v>
          </cell>
          <cell r="E65">
            <v>0</v>
          </cell>
          <cell r="F65">
            <v>0</v>
          </cell>
          <cell r="G65">
            <v>0</v>
          </cell>
          <cell r="H65">
            <v>0</v>
          </cell>
          <cell r="I65">
            <v>0</v>
          </cell>
          <cell r="J65">
            <v>0</v>
          </cell>
          <cell r="K65">
            <v>0</v>
          </cell>
          <cell r="L65">
            <v>0</v>
          </cell>
          <cell r="M65">
            <v>0</v>
          </cell>
        </row>
        <row r="66">
          <cell r="A66" t="str">
            <v>浓缩猪料</v>
          </cell>
          <cell r="B66">
            <v>0</v>
          </cell>
          <cell r="C66">
            <v>323.93000000000006</v>
          </cell>
          <cell r="D66">
            <v>11.384879791513271</v>
          </cell>
          <cell r="E66">
            <v>2820.248356126323</v>
          </cell>
          <cell r="F66">
            <v>298.11</v>
          </cell>
          <cell r="G66">
            <v>12.899945476732414</v>
          </cell>
          <cell r="H66">
            <v>2862.2908657877965</v>
          </cell>
          <cell r="I66">
            <v>48.152075905006932</v>
          </cell>
          <cell r="J66">
            <v>1.5150656852191435</v>
          </cell>
          <cell r="K66">
            <v>42.042509661473559</v>
          </cell>
        </row>
        <row r="67">
          <cell r="A67" t="str">
            <v>全价猪料</v>
          </cell>
          <cell r="B67">
            <v>0</v>
          </cell>
          <cell r="C67">
            <v>622.25</v>
          </cell>
          <cell r="D67">
            <v>21.869667675945827</v>
          </cell>
          <cell r="E67">
            <v>2053.8742466854155</v>
          </cell>
          <cell r="F67">
            <v>567.07000000000005</v>
          </cell>
          <cell r="G67">
            <v>24.538499485058029</v>
          </cell>
          <cell r="H67">
            <v>2047.9838996949225</v>
          </cell>
          <cell r="I67">
            <v>53.36904644877373</v>
          </cell>
          <cell r="J67">
            <v>2.6688318091122021</v>
          </cell>
          <cell r="K67">
            <v>-5.8903469904930716</v>
          </cell>
        </row>
        <row r="68">
          <cell r="A68" t="str">
            <v>猪料合计</v>
          </cell>
          <cell r="B68">
            <v>0</v>
          </cell>
          <cell r="C68">
            <v>946.18000000000006</v>
          </cell>
          <cell r="D68">
            <v>33.254547467459098</v>
          </cell>
          <cell r="E68">
            <v>2316.2466972457669</v>
          </cell>
          <cell r="F68">
            <v>865.18000000000006</v>
          </cell>
          <cell r="G68">
            <v>37.438444961790438</v>
          </cell>
          <cell r="H68">
            <v>2328.5648766730619</v>
          </cell>
          <cell r="I68">
            <v>101.52112235378053</v>
          </cell>
          <cell r="J68">
            <v>4.1838974943313403</v>
          </cell>
          <cell r="K68">
            <v>12.318179427295036</v>
          </cell>
          <cell r="L68">
            <v>88.598350669004816</v>
          </cell>
          <cell r="M68">
            <v>12.922771684775762</v>
          </cell>
        </row>
        <row r="69">
          <cell r="A69" t="str">
            <v>549F</v>
          </cell>
          <cell r="B69" t="str">
            <v>40KG</v>
          </cell>
          <cell r="C69">
            <v>353.4</v>
          </cell>
          <cell r="D69">
            <v>12.420635687712743</v>
          </cell>
          <cell r="E69">
            <v>1342.108404074703</v>
          </cell>
          <cell r="F69">
            <v>178.48</v>
          </cell>
          <cell r="G69">
            <v>7.7232641262862725</v>
          </cell>
          <cell r="H69">
            <v>1345.214533841327</v>
          </cell>
          <cell r="I69">
            <v>-62.803923890538172</v>
          </cell>
          <cell r="J69">
            <v>-4.6973715614264702</v>
          </cell>
          <cell r="K69">
            <v>3.106129766624008</v>
          </cell>
          <cell r="L69">
            <v>-63.043818496519755</v>
          </cell>
          <cell r="M69">
            <v>0.23989460598157153</v>
          </cell>
        </row>
        <row r="70">
          <cell r="A70" t="str">
            <v>549LF</v>
          </cell>
          <cell r="B70" t="str">
            <v>40KG</v>
          </cell>
          <cell r="C70">
            <v>18.600000000000001</v>
          </cell>
          <cell r="D70">
            <v>0.65371766777435503</v>
          </cell>
          <cell r="E70">
            <v>1441.9252688172044</v>
          </cell>
          <cell r="F70">
            <v>30</v>
          </cell>
          <cell r="G70">
            <v>1.2981730378114533</v>
          </cell>
          <cell r="H70">
            <v>1418.6983333333333</v>
          </cell>
          <cell r="I70">
            <v>8.9910390128528626</v>
          </cell>
          <cell r="J70">
            <v>0.6444553700370983</v>
          </cell>
          <cell r="K70">
            <v>-23.226935483871102</v>
          </cell>
          <cell r="L70">
            <v>9.2925648268143384</v>
          </cell>
          <cell r="M70">
            <v>-0.30152581396147587</v>
          </cell>
        </row>
        <row r="71">
          <cell r="A71">
            <v>543</v>
          </cell>
          <cell r="B71" t="str">
            <v>40KG</v>
          </cell>
          <cell r="C71">
            <v>0</v>
          </cell>
          <cell r="D71">
            <v>0</v>
          </cell>
          <cell r="E71">
            <v>0</v>
          </cell>
          <cell r="F71">
            <v>0</v>
          </cell>
          <cell r="G71">
            <v>0</v>
          </cell>
          <cell r="H71">
            <v>0</v>
          </cell>
          <cell r="I71">
            <v>0</v>
          </cell>
          <cell r="J71">
            <v>0</v>
          </cell>
          <cell r="K71">
            <v>0</v>
          </cell>
          <cell r="L71">
            <v>0</v>
          </cell>
          <cell r="M71">
            <v>0</v>
          </cell>
        </row>
        <row r="72">
          <cell r="A72">
            <v>544</v>
          </cell>
          <cell r="B72" t="str">
            <v>40KG</v>
          </cell>
          <cell r="C72">
            <v>10.24</v>
          </cell>
          <cell r="D72">
            <v>0.35989617838760185</v>
          </cell>
          <cell r="E72">
            <v>1472.1982421875</v>
          </cell>
          <cell r="F72">
            <v>20.04</v>
          </cell>
          <cell r="G72">
            <v>0.86717958925805072</v>
          </cell>
          <cell r="H72">
            <v>1463.8383233532934</v>
          </cell>
          <cell r="I72">
            <v>7.3957219479347627</v>
          </cell>
          <cell r="J72">
            <v>0.50728341087044893</v>
          </cell>
          <cell r="K72">
            <v>-8.35991883420661</v>
          </cell>
          <cell r="L72">
            <v>7.4682174577435418</v>
          </cell>
          <cell r="M72">
            <v>-7.2495509808779307E-2</v>
          </cell>
        </row>
        <row r="73">
          <cell r="A73" t="str">
            <v>547M</v>
          </cell>
          <cell r="B73" t="str">
            <v>40KG</v>
          </cell>
          <cell r="C73">
            <v>4</v>
          </cell>
          <cell r="D73">
            <v>0.14058444468265696</v>
          </cell>
          <cell r="E73">
            <v>1528</v>
          </cell>
          <cell r="F73">
            <v>16.96</v>
          </cell>
          <cell r="G73">
            <v>0.73390049070940833</v>
          </cell>
          <cell r="H73">
            <v>1444.4811320754718</v>
          </cell>
          <cell r="I73">
            <v>8.4529238017557073</v>
          </cell>
          <cell r="J73">
            <v>0.59331604602675136</v>
          </cell>
          <cell r="K73">
            <v>-83.518867924528195</v>
          </cell>
          <cell r="L73">
            <v>9.0658691832887612</v>
          </cell>
          <cell r="M73">
            <v>-0.612945381533055</v>
          </cell>
        </row>
        <row r="74">
          <cell r="A74">
            <v>547</v>
          </cell>
          <cell r="B74" t="str">
            <v>40KG</v>
          </cell>
          <cell r="C74">
            <v>0</v>
          </cell>
          <cell r="D74">
            <v>0</v>
          </cell>
          <cell r="E74">
            <v>0</v>
          </cell>
          <cell r="F74">
            <v>0</v>
          </cell>
          <cell r="G74">
            <v>0</v>
          </cell>
          <cell r="H74">
            <v>0</v>
          </cell>
          <cell r="I74">
            <v>0</v>
          </cell>
          <cell r="J74">
            <v>0</v>
          </cell>
          <cell r="K74">
            <v>0</v>
          </cell>
          <cell r="L74">
            <v>0</v>
          </cell>
          <cell r="M74">
            <v>0</v>
          </cell>
        </row>
        <row r="75">
          <cell r="A75">
            <v>548</v>
          </cell>
          <cell r="B75" t="str">
            <v>40KG</v>
          </cell>
          <cell r="C75">
            <v>18.36</v>
          </cell>
          <cell r="D75">
            <v>0.64528260109339552</v>
          </cell>
          <cell r="E75">
            <v>1752.7641612200437</v>
          </cell>
          <cell r="F75">
            <v>15.96</v>
          </cell>
          <cell r="G75">
            <v>0.69062805611569322</v>
          </cell>
          <cell r="H75">
            <v>1758.2030075187968</v>
          </cell>
          <cell r="I75">
            <v>0.83236108284118704</v>
          </cell>
          <cell r="J75">
            <v>4.5345455022297698E-2</v>
          </cell>
          <cell r="K75">
            <v>5.4388462987531057</v>
          </cell>
          <cell r="L75">
            <v>0.7947988843729884</v>
          </cell>
          <cell r="M75">
            <v>3.7562198468198901E-2</v>
          </cell>
        </row>
        <row r="76">
          <cell r="A76">
            <v>549</v>
          </cell>
          <cell r="B76" t="str">
            <v>40KG</v>
          </cell>
          <cell r="C76">
            <v>0</v>
          </cell>
          <cell r="D76">
            <v>0</v>
          </cell>
          <cell r="E76">
            <v>0</v>
          </cell>
          <cell r="F76">
            <v>0</v>
          </cell>
          <cell r="G76">
            <v>0</v>
          </cell>
          <cell r="H76">
            <v>0</v>
          </cell>
          <cell r="I76">
            <v>0</v>
          </cell>
          <cell r="J76">
            <v>0</v>
          </cell>
          <cell r="K76">
            <v>0</v>
          </cell>
          <cell r="L76">
            <v>0</v>
          </cell>
          <cell r="M76">
            <v>0</v>
          </cell>
        </row>
        <row r="77">
          <cell r="A77" t="str">
            <v>鸭料合计</v>
          </cell>
          <cell r="B77">
            <v>0</v>
          </cell>
          <cell r="C77">
            <v>404.6</v>
          </cell>
          <cell r="D77">
            <v>14.220116579650755</v>
          </cell>
          <cell r="E77">
            <v>1370.4621354424121</v>
          </cell>
          <cell r="F77">
            <v>261.44</v>
          </cell>
          <cell r="G77">
            <v>11.313145300180878</v>
          </cell>
          <cell r="H77">
            <v>1394.3906058751531</v>
          </cell>
          <cell r="I77">
            <v>-37.131878045153663</v>
          </cell>
          <cell r="J77">
            <v>-2.906971279469877</v>
          </cell>
          <cell r="K77">
            <v>23.928470432741051</v>
          </cell>
          <cell r="L77">
            <v>-36.42236814430013</v>
          </cell>
          <cell r="M77">
            <v>-0.70950990085353982</v>
          </cell>
        </row>
        <row r="78">
          <cell r="A78" t="str">
            <v>浓缩料</v>
          </cell>
          <cell r="B78">
            <v>0</v>
          </cell>
          <cell r="C78">
            <v>371.85500000000008</v>
          </cell>
          <cell r="D78">
            <v>13.069257169367354</v>
          </cell>
          <cell r="E78">
            <v>2739.7795646152395</v>
          </cell>
          <cell r="F78">
            <v>344.55</v>
          </cell>
          <cell r="G78">
            <v>14.909517339264541</v>
          </cell>
          <cell r="H78">
            <v>2779.8114352053403</v>
          </cell>
          <cell r="I78">
            <v>56.387630757459846</v>
          </cell>
          <cell r="J78">
            <v>1.8402601698971868</v>
          </cell>
          <cell r="K78">
            <v>40.03187059010088</v>
          </cell>
        </row>
        <row r="79">
          <cell r="A79" t="str">
            <v>全价料</v>
          </cell>
          <cell r="B79">
            <v>0</v>
          </cell>
          <cell r="C79">
            <v>2473.41</v>
          </cell>
          <cell r="D79">
            <v>86.930742830632653</v>
          </cell>
          <cell r="E79">
            <v>1731.7668603264315</v>
          </cell>
          <cell r="F79">
            <v>1966.39</v>
          </cell>
          <cell r="G79">
            <v>85.090482660735461</v>
          </cell>
          <cell r="H79">
            <v>1763.3798839497756</v>
          </cell>
          <cell r="I79">
            <v>-4.9693413813103691</v>
          </cell>
          <cell r="J79">
            <v>-1.8402601698971921</v>
          </cell>
          <cell r="K79">
            <v>31.613023623344134</v>
          </cell>
        </row>
        <row r="80">
          <cell r="A80" t="str">
            <v>合计</v>
          </cell>
          <cell r="B80">
            <v>0</v>
          </cell>
          <cell r="C80">
            <v>2845.2649999999999</v>
          </cell>
          <cell r="D80">
            <v>100</v>
          </cell>
          <cell r="E80">
            <v>1863.5066329498304</v>
          </cell>
          <cell r="F80">
            <v>2310.94</v>
          </cell>
          <cell r="G80">
            <v>100</v>
          </cell>
          <cell r="H80">
            <v>1914.9249223259797</v>
          </cell>
          <cell r="I80">
            <v>51.41828937614919</v>
          </cell>
          <cell r="J80">
            <v>0</v>
          </cell>
          <cell r="K80">
            <v>51.418289376149232</v>
          </cell>
          <cell r="L80">
            <v>25.826814511380416</v>
          </cell>
          <cell r="M80">
            <v>25.591474864768603</v>
          </cell>
        </row>
        <row r="82">
          <cell r="M82">
            <v>0</v>
          </cell>
        </row>
        <row r="83">
          <cell r="H83" t="str">
            <v>制表：周平      -10-</v>
          </cell>
          <cell r="I83">
            <v>0</v>
          </cell>
          <cell r="J83">
            <v>0</v>
          </cell>
          <cell r="K83">
            <v>0</v>
          </cell>
          <cell r="L83">
            <v>25.826814511380405</v>
          </cell>
          <cell r="M83">
            <v>25.5914748647686</v>
          </cell>
        </row>
      </sheetData>
      <sheetData sheetId="5" refreshError="1"/>
      <sheetData sheetId="6" refreshError="1">
        <row r="1">
          <cell r="A1" t="str">
            <v>产品单位售价及单位成本表</v>
          </cell>
        </row>
        <row r="2">
          <cell r="A2" t="str">
            <v>平均单位生产成本变动分析表</v>
          </cell>
          <cell r="B2">
            <v>0</v>
          </cell>
          <cell r="C2">
            <v>0</v>
          </cell>
          <cell r="D2">
            <v>0</v>
          </cell>
          <cell r="E2">
            <v>0</v>
          </cell>
          <cell r="F2">
            <v>0</v>
          </cell>
          <cell r="G2">
            <v>0</v>
          </cell>
          <cell r="H2">
            <v>0</v>
          </cell>
          <cell r="I2">
            <v>0</v>
          </cell>
          <cell r="J2">
            <v>0</v>
          </cell>
          <cell r="K2">
            <v>0</v>
          </cell>
          <cell r="L2">
            <v>0</v>
          </cell>
          <cell r="M2">
            <v>0</v>
          </cell>
          <cell r="P2" t="str">
            <v>平均单位销售成本变动分析表</v>
          </cell>
        </row>
        <row r="3">
          <cell r="A3" t="str">
            <v>企业名称：泰州正大饲料有限公司</v>
          </cell>
          <cell r="B3">
            <v>0</v>
          </cell>
          <cell r="C3">
            <v>0</v>
          </cell>
          <cell r="D3">
            <v>0</v>
          </cell>
          <cell r="E3">
            <v>0</v>
          </cell>
          <cell r="F3">
            <v>0</v>
          </cell>
          <cell r="G3">
            <v>0</v>
          </cell>
          <cell r="H3">
            <v>0</v>
          </cell>
          <cell r="I3">
            <v>0</v>
          </cell>
          <cell r="J3">
            <v>0</v>
          </cell>
          <cell r="K3">
            <v>0</v>
          </cell>
          <cell r="L3">
            <v>0</v>
          </cell>
          <cell r="M3">
            <v>0</v>
          </cell>
          <cell r="P3">
            <v>37772</v>
          </cell>
        </row>
        <row r="4">
          <cell r="A4">
            <v>37772</v>
          </cell>
          <cell r="B4" t="str">
            <v>规格</v>
          </cell>
          <cell r="C4" t="str">
            <v>上       期</v>
          </cell>
          <cell r="D4">
            <v>0</v>
          </cell>
          <cell r="E4">
            <v>0</v>
          </cell>
          <cell r="F4" t="str">
            <v>本       期</v>
          </cell>
          <cell r="G4">
            <v>0</v>
          </cell>
          <cell r="H4">
            <v>0</v>
          </cell>
          <cell r="I4" t="str">
            <v>变动情况</v>
          </cell>
          <cell r="J4">
            <v>0</v>
          </cell>
          <cell r="K4" t="str">
            <v>变动影响额</v>
          </cell>
          <cell r="L4">
            <v>0</v>
          </cell>
          <cell r="M4">
            <v>0</v>
          </cell>
          <cell r="P4" t="str">
            <v>品种名称</v>
          </cell>
          <cell r="Q4" t="str">
            <v>规格</v>
          </cell>
          <cell r="R4" t="str">
            <v>上       期</v>
          </cell>
          <cell r="S4">
            <v>0</v>
          </cell>
          <cell r="T4">
            <v>0</v>
          </cell>
          <cell r="U4" t="str">
            <v>本       期</v>
          </cell>
          <cell r="V4">
            <v>0</v>
          </cell>
          <cell r="W4">
            <v>0</v>
          </cell>
          <cell r="X4" t="str">
            <v>变动情况</v>
          </cell>
        </row>
        <row r="5">
          <cell r="B5" t="str">
            <v>上 月</v>
          </cell>
          <cell r="C5" t="str">
            <v>生产数量</v>
          </cell>
          <cell r="D5" t="str">
            <v>本 月</v>
          </cell>
          <cell r="E5" t="str">
            <v>单位成本</v>
          </cell>
          <cell r="F5" t="str">
            <v>生产数量</v>
          </cell>
          <cell r="G5" t="str">
            <v>比重（%）</v>
          </cell>
          <cell r="H5" t="str">
            <v>本年累计</v>
          </cell>
          <cell r="I5" t="str">
            <v>结构</v>
          </cell>
          <cell r="J5" t="str">
            <v>单位成本</v>
          </cell>
          <cell r="K5" t="str">
            <v>结构</v>
          </cell>
          <cell r="L5" t="str">
            <v>上年同期累计       实际</v>
          </cell>
          <cell r="M5" t="str">
            <v>合计</v>
          </cell>
          <cell r="P5">
            <v>0</v>
          </cell>
          <cell r="Q5">
            <v>0</v>
          </cell>
          <cell r="R5" t="str">
            <v>销售数量</v>
          </cell>
          <cell r="S5" t="str">
            <v>比重（%）</v>
          </cell>
          <cell r="T5" t="str">
            <v>单位销售成本</v>
          </cell>
          <cell r="U5" t="str">
            <v>销售数量</v>
          </cell>
          <cell r="V5" t="str">
            <v>比重（%）</v>
          </cell>
          <cell r="W5" t="str">
            <v>单位销售成本</v>
          </cell>
          <cell r="X5" t="str">
            <v>结构</v>
          </cell>
        </row>
        <row r="6">
          <cell r="A6" t="str">
            <v>项        目</v>
          </cell>
          <cell r="B6" t="str">
            <v>实 际</v>
          </cell>
          <cell r="C6">
            <v>0</v>
          </cell>
          <cell r="D6" t="str">
            <v>预 算</v>
          </cell>
          <cell r="E6">
            <v>0</v>
          </cell>
          <cell r="F6" t="str">
            <v>实 际</v>
          </cell>
          <cell r="G6">
            <v>0</v>
          </cell>
          <cell r="H6" t="str">
            <v>预 算</v>
          </cell>
          <cell r="I6">
            <v>0</v>
          </cell>
          <cell r="J6" t="str">
            <v>实  际</v>
          </cell>
          <cell r="K6">
            <v>0</v>
          </cell>
          <cell r="L6">
            <v>0</v>
          </cell>
          <cell r="M6">
            <v>0</v>
          </cell>
          <cell r="P6" t="str">
            <v>510L</v>
          </cell>
          <cell r="Q6" t="str">
            <v>40KG</v>
          </cell>
          <cell r="R6">
            <v>0</v>
          </cell>
          <cell r="S6">
            <v>0</v>
          </cell>
          <cell r="T6">
            <v>0</v>
          </cell>
          <cell r="U6">
            <v>0</v>
          </cell>
          <cell r="V6">
            <v>0</v>
          </cell>
          <cell r="W6">
            <v>0</v>
          </cell>
        </row>
        <row r="7">
          <cell r="A7" t="str">
            <v>510Y</v>
          </cell>
          <cell r="B7" t="str">
            <v>数量</v>
          </cell>
          <cell r="C7" t="str">
            <v>金额</v>
          </cell>
          <cell r="D7" t="str">
            <v>数量</v>
          </cell>
          <cell r="E7" t="str">
            <v>金额</v>
          </cell>
          <cell r="F7" t="str">
            <v>数量</v>
          </cell>
          <cell r="G7" t="str">
            <v>金额</v>
          </cell>
          <cell r="H7" t="str">
            <v>数量</v>
          </cell>
          <cell r="I7" t="str">
            <v>金额</v>
          </cell>
          <cell r="J7" t="str">
            <v>数量</v>
          </cell>
          <cell r="K7" t="str">
            <v>金额</v>
          </cell>
          <cell r="L7" t="str">
            <v>数量</v>
          </cell>
          <cell r="M7" t="str">
            <v>金额</v>
          </cell>
          <cell r="P7" t="str">
            <v>510Y</v>
          </cell>
          <cell r="Q7" t="str">
            <v>40KG</v>
          </cell>
          <cell r="R7">
            <v>45.56</v>
          </cell>
          <cell r="S7">
            <v>1.6012568249354633</v>
          </cell>
          <cell r="T7">
            <v>1777.609964881475</v>
          </cell>
          <cell r="U7">
            <v>33.72</v>
          </cell>
          <cell r="V7">
            <v>1.4591464945000734</v>
          </cell>
          <cell r="W7">
            <v>1812.5999406880192</v>
          </cell>
          <cell r="X7">
            <v>-0.1421103304353899</v>
          </cell>
        </row>
        <row r="8">
          <cell r="A8" t="str">
            <v xml:space="preserve"> 1.全价料单位售价</v>
          </cell>
          <cell r="B8">
            <v>2473410</v>
          </cell>
          <cell r="C8">
            <v>1731.7668603264315</v>
          </cell>
          <cell r="D8">
            <v>2750</v>
          </cell>
          <cell r="E8">
            <v>1741.8181818181818</v>
          </cell>
          <cell r="F8">
            <v>1966390</v>
          </cell>
          <cell r="G8">
            <v>1763.3798839497756</v>
          </cell>
          <cell r="H8">
            <v>2750</v>
          </cell>
          <cell r="I8">
            <v>1741.8181818181818</v>
          </cell>
          <cell r="J8">
            <v>10907970</v>
          </cell>
          <cell r="K8">
            <v>1757</v>
          </cell>
          <cell r="L8">
            <v>1893</v>
          </cell>
          <cell r="M8">
            <v>1732</v>
          </cell>
          <cell r="P8" t="str">
            <v>511Y</v>
          </cell>
          <cell r="Q8" t="str">
            <v>40KG</v>
          </cell>
          <cell r="R8">
            <v>49.88</v>
          </cell>
          <cell r="S8">
            <v>1.7530880251927325</v>
          </cell>
          <cell r="T8">
            <v>1662.8799117882918</v>
          </cell>
          <cell r="U8">
            <v>65.52</v>
          </cell>
          <cell r="V8">
            <v>2.8352099145802141</v>
          </cell>
          <cell r="W8">
            <v>1744.6599511599511</v>
          </cell>
          <cell r="X8">
            <v>1.0821218893874816</v>
          </cell>
        </row>
        <row r="9">
          <cell r="A9" t="str">
            <v xml:space="preserve">                 单位销售成本</v>
          </cell>
          <cell r="B9">
            <v>2473410</v>
          </cell>
          <cell r="C9">
            <v>1637.1340416671721</v>
          </cell>
          <cell r="D9">
            <v>2750</v>
          </cell>
          <cell r="E9">
            <v>1611.2727272727273</v>
          </cell>
          <cell r="F9">
            <v>1966390</v>
          </cell>
          <cell r="G9">
            <v>1698.4568015500488</v>
          </cell>
          <cell r="H9">
            <v>2750</v>
          </cell>
          <cell r="I9">
            <v>1611.2727272727273</v>
          </cell>
          <cell r="J9">
            <v>10907970</v>
          </cell>
          <cell r="K9">
            <v>1652</v>
          </cell>
          <cell r="L9">
            <v>1893</v>
          </cell>
          <cell r="M9">
            <v>1527</v>
          </cell>
          <cell r="P9" t="str">
            <v>512Y</v>
          </cell>
          <cell r="Q9" t="str">
            <v>40KG</v>
          </cell>
          <cell r="R9">
            <v>90.52</v>
          </cell>
          <cell r="S9">
            <v>3.1814259831685274</v>
          </cell>
          <cell r="T9">
            <v>1639.2800486080425</v>
          </cell>
          <cell r="U9">
            <v>111.8</v>
          </cell>
          <cell r="V9">
            <v>4.837858187577349</v>
          </cell>
          <cell r="W9">
            <v>1705.9100178890876</v>
          </cell>
          <cell r="X9">
            <v>1.6564322044088216</v>
          </cell>
        </row>
        <row r="10">
          <cell r="A10" t="str">
            <v xml:space="preserve">                 单位生产成本</v>
          </cell>
          <cell r="B10">
            <v>2337980</v>
          </cell>
          <cell r="C10">
            <v>1649.9418600672377</v>
          </cell>
          <cell r="D10">
            <v>2750</v>
          </cell>
          <cell r="E10">
            <v>1611.2727272727273</v>
          </cell>
          <cell r="F10">
            <v>1814300</v>
          </cell>
          <cell r="G10">
            <v>1711.916336879237</v>
          </cell>
          <cell r="H10">
            <v>2750</v>
          </cell>
          <cell r="I10">
            <v>1611.2727272727273</v>
          </cell>
          <cell r="J10">
            <v>10686000</v>
          </cell>
          <cell r="K10">
            <v>1655.6080348119035</v>
          </cell>
          <cell r="L10">
            <v>1803</v>
          </cell>
          <cell r="M10">
            <v>1515.8854650711439</v>
          </cell>
          <cell r="P10" t="str">
            <v>510S</v>
          </cell>
          <cell r="Q10" t="str">
            <v>40KG</v>
          </cell>
          <cell r="R10">
            <v>0</v>
          </cell>
          <cell r="S10">
            <v>0</v>
          </cell>
          <cell r="T10">
            <v>0</v>
          </cell>
          <cell r="U10">
            <v>0</v>
          </cell>
          <cell r="V10">
            <v>0</v>
          </cell>
          <cell r="W10">
            <v>0</v>
          </cell>
          <cell r="X10">
            <v>0</v>
          </cell>
        </row>
        <row r="11">
          <cell r="A11" t="str">
            <v xml:space="preserve"> 2.浓缩料单位售价</v>
          </cell>
          <cell r="B11">
            <v>371855</v>
          </cell>
          <cell r="C11">
            <v>2739.7795646152395</v>
          </cell>
          <cell r="D11">
            <v>250</v>
          </cell>
          <cell r="E11">
            <v>2692</v>
          </cell>
          <cell r="F11">
            <v>347230</v>
          </cell>
          <cell r="G11">
            <v>2779.8114352053403</v>
          </cell>
          <cell r="H11">
            <v>250</v>
          </cell>
          <cell r="I11">
            <v>2692</v>
          </cell>
          <cell r="J11">
            <v>1588705</v>
          </cell>
          <cell r="K11">
            <v>2770</v>
          </cell>
          <cell r="L11">
            <v>149</v>
          </cell>
          <cell r="M11">
            <v>2495</v>
          </cell>
          <cell r="P11">
            <v>510</v>
          </cell>
          <cell r="Q11" t="str">
            <v>40KG</v>
          </cell>
          <cell r="R11">
            <v>251.27999999999997</v>
          </cell>
          <cell r="S11">
            <v>8.8315148149645104</v>
          </cell>
          <cell r="T11">
            <v>1765.1799984081504</v>
          </cell>
          <cell r="U11">
            <v>152.12</v>
          </cell>
          <cell r="V11">
            <v>6.5826027503959423</v>
          </cell>
          <cell r="W11">
            <v>1819.400013147515</v>
          </cell>
          <cell r="X11">
            <v>-2.2489120645685681</v>
          </cell>
        </row>
        <row r="12">
          <cell r="A12" t="str">
            <v xml:space="preserve">                 单位销售成本</v>
          </cell>
          <cell r="B12">
            <v>371855</v>
          </cell>
          <cell r="C12">
            <v>2562.6544755348177</v>
          </cell>
          <cell r="D12">
            <v>250</v>
          </cell>
          <cell r="E12">
            <v>2568</v>
          </cell>
          <cell r="F12">
            <v>347230</v>
          </cell>
          <cell r="G12">
            <v>2577.4847772456828</v>
          </cell>
          <cell r="H12">
            <v>250</v>
          </cell>
          <cell r="I12">
            <v>2568</v>
          </cell>
          <cell r="J12">
            <v>1588705</v>
          </cell>
          <cell r="K12">
            <v>2553</v>
          </cell>
          <cell r="L12">
            <v>149</v>
          </cell>
          <cell r="M12">
            <v>2114</v>
          </cell>
          <cell r="P12">
            <v>511</v>
          </cell>
          <cell r="Q12" t="str">
            <v>40KG</v>
          </cell>
          <cell r="R12">
            <v>344.96</v>
          </cell>
          <cell r="S12">
            <v>12.124002509432337</v>
          </cell>
          <cell r="T12">
            <v>1657.0200023191096</v>
          </cell>
          <cell r="U12">
            <v>216.28</v>
          </cell>
          <cell r="V12">
            <v>9.3589621539287045</v>
          </cell>
          <cell r="W12">
            <v>1719.9600055483634</v>
          </cell>
          <cell r="X12">
            <v>-2.7650403555036327</v>
          </cell>
        </row>
        <row r="13">
          <cell r="A13" t="str">
            <v xml:space="preserve">                 单位生产成本</v>
          </cell>
          <cell r="B13">
            <v>373230</v>
          </cell>
          <cell r="C13">
            <v>2589.9292661361619</v>
          </cell>
          <cell r="D13">
            <v>250</v>
          </cell>
          <cell r="E13">
            <v>2568</v>
          </cell>
          <cell r="F13">
            <v>291620</v>
          </cell>
          <cell r="G13">
            <v>2582.1697071531448</v>
          </cell>
          <cell r="H13">
            <v>250</v>
          </cell>
          <cell r="I13">
            <v>2568</v>
          </cell>
          <cell r="J13">
            <v>1513710</v>
          </cell>
          <cell r="K13">
            <v>2557.3781834036904</v>
          </cell>
          <cell r="L13">
            <v>147.76</v>
          </cell>
          <cell r="M13">
            <v>2117.3790513566555</v>
          </cell>
          <cell r="P13">
            <v>512</v>
          </cell>
          <cell r="Q13" t="str">
            <v>40KG</v>
          </cell>
          <cell r="R13">
            <v>497.72</v>
          </cell>
          <cell r="S13">
            <v>17.492922451863009</v>
          </cell>
          <cell r="T13">
            <v>1600.6800008036646</v>
          </cell>
          <cell r="U13">
            <v>470.6</v>
          </cell>
          <cell r="V13">
            <v>20.364007719802331</v>
          </cell>
          <cell r="W13">
            <v>1663.419995750106</v>
          </cell>
          <cell r="X13">
            <v>2.8710852679393213</v>
          </cell>
        </row>
        <row r="14">
          <cell r="A14" t="str">
            <v xml:space="preserve"> 3.预混料单位售价</v>
          </cell>
          <cell r="B14" t="str">
            <v>5KG</v>
          </cell>
          <cell r="C14">
            <v>30.240000000000002</v>
          </cell>
          <cell r="D14">
            <v>1.1153691525186173</v>
          </cell>
          <cell r="E14">
            <v>1387.9305555555557</v>
          </cell>
          <cell r="F14">
            <v>10.08</v>
          </cell>
          <cell r="G14">
            <v>0.47865066099376996</v>
          </cell>
          <cell r="H14">
            <v>1408.4583333333333</v>
          </cell>
          <cell r="I14">
            <v>-0.63671849152484739</v>
          </cell>
          <cell r="J14">
            <v>20.527777777777601</v>
          </cell>
          <cell r="K14">
            <v>-8.837210496745767</v>
          </cell>
          <cell r="L14">
            <v>9.8256344020664715E-2</v>
          </cell>
          <cell r="M14">
            <v>-8.7389541527251016</v>
          </cell>
          <cell r="P14">
            <v>810</v>
          </cell>
          <cell r="Q14" t="str">
            <v>5KG</v>
          </cell>
          <cell r="R14">
            <v>40.56</v>
          </cell>
          <cell r="S14">
            <v>1.425526269082142</v>
          </cell>
          <cell r="T14">
            <v>1383.4800295857988</v>
          </cell>
          <cell r="U14">
            <v>11.96</v>
          </cell>
          <cell r="V14">
            <v>0.51753831774083281</v>
          </cell>
          <cell r="W14">
            <v>1402.2299331103677</v>
          </cell>
          <cell r="X14">
            <v>-0.90798795134130916</v>
          </cell>
        </row>
        <row r="15">
          <cell r="A15" t="str">
            <v xml:space="preserve">                 单位销售成本</v>
          </cell>
          <cell r="B15" t="str">
            <v>5KG</v>
          </cell>
          <cell r="C15">
            <v>44.04</v>
          </cell>
          <cell r="D15">
            <v>1.624366980056875</v>
          </cell>
          <cell r="E15">
            <v>1388.5122615803816</v>
          </cell>
          <cell r="F15">
            <v>24.2</v>
          </cell>
          <cell r="G15">
            <v>1.1491414678620269</v>
          </cell>
          <cell r="H15">
            <v>1405.8219008264464</v>
          </cell>
          <cell r="I15">
            <v>-0.4752255121948481</v>
          </cell>
          <cell r="J15">
            <v>17.309639246064762</v>
          </cell>
          <cell r="K15">
            <v>-6.5985645069836378</v>
          </cell>
          <cell r="L15">
            <v>0.19891224251385009</v>
          </cell>
          <cell r="M15">
            <v>-6.3996522644697897</v>
          </cell>
          <cell r="P15" t="str">
            <v>831A</v>
          </cell>
          <cell r="Q15" t="str">
            <v>5KG</v>
          </cell>
          <cell r="R15">
            <v>54.52</v>
          </cell>
          <cell r="S15">
            <v>1.916165981024615</v>
          </cell>
          <cell r="T15">
            <v>1384.6799339691856</v>
          </cell>
          <cell r="U15">
            <v>25.04</v>
          </cell>
          <cell r="V15">
            <v>1.0835417622266263</v>
          </cell>
          <cell r="W15">
            <v>1402.6301916932907</v>
          </cell>
          <cell r="X15">
            <v>-0.83262421879798865</v>
          </cell>
        </row>
        <row r="16">
          <cell r="A16" t="str">
            <v xml:space="preserve">                 单位生产成本</v>
          </cell>
          <cell r="B16" t="str">
            <v>40KG</v>
          </cell>
          <cell r="C16">
            <v>10.48</v>
          </cell>
          <cell r="D16">
            <v>0.38654327772470592</v>
          </cell>
          <cell r="E16">
            <v>1302.6851145038163</v>
          </cell>
          <cell r="F16">
            <v>4</v>
          </cell>
          <cell r="G16">
            <v>0.18994073848959123</v>
          </cell>
          <cell r="H16">
            <v>1342.8400000000001</v>
          </cell>
          <cell r="I16">
            <v>-0.1966025392351147</v>
          </cell>
          <cell r="J16">
            <v>40.154885496183852</v>
          </cell>
          <cell r="K16">
            <v>-2.5611120133523646</v>
          </cell>
          <cell r="L16">
            <v>7.6270486051101372E-2</v>
          </cell>
          <cell r="M16">
            <v>-2.484841527301263</v>
          </cell>
          <cell r="P16" t="str">
            <v>831A</v>
          </cell>
          <cell r="Q16" t="str">
            <v>40KG</v>
          </cell>
          <cell r="R16">
            <v>16.16</v>
          </cell>
          <cell r="S16">
            <v>0.56796115651793422</v>
          </cell>
          <cell r="T16">
            <v>1299.2599009900991</v>
          </cell>
          <cell r="U16">
            <v>4.8</v>
          </cell>
          <cell r="V16">
            <v>0.2077076860498325</v>
          </cell>
          <cell r="W16">
            <v>1335.5604166666667</v>
          </cell>
          <cell r="X16">
            <v>-0.36025347046810174</v>
          </cell>
        </row>
        <row r="17">
          <cell r="A17" t="str">
            <v xml:space="preserve"> 4. DOC 单位售价</v>
          </cell>
          <cell r="B17" t="str">
            <v>5KG</v>
          </cell>
          <cell r="C17">
            <v>0</v>
          </cell>
          <cell r="D17">
            <v>0</v>
          </cell>
          <cell r="E17">
            <v>0</v>
          </cell>
          <cell r="F17">
            <v>0</v>
          </cell>
          <cell r="G17">
            <v>0</v>
          </cell>
          <cell r="H17">
            <v>0</v>
          </cell>
          <cell r="I17">
            <v>0</v>
          </cell>
          <cell r="J17">
            <v>0</v>
          </cell>
          <cell r="K17">
            <v>0</v>
          </cell>
          <cell r="L17">
            <v>0</v>
          </cell>
          <cell r="M17">
            <v>0</v>
          </cell>
          <cell r="P17">
            <v>831</v>
          </cell>
          <cell r="Q17" t="str">
            <v>5KG</v>
          </cell>
          <cell r="R17">
            <v>0</v>
          </cell>
          <cell r="S17">
            <v>0</v>
          </cell>
          <cell r="T17">
            <v>0</v>
          </cell>
          <cell r="U17">
            <v>0</v>
          </cell>
          <cell r="V17">
            <v>0</v>
          </cell>
          <cell r="W17">
            <v>0</v>
          </cell>
          <cell r="X17">
            <v>0</v>
          </cell>
        </row>
        <row r="18">
          <cell r="A18" t="str">
            <v xml:space="preserve">                单位销售成本</v>
          </cell>
          <cell r="B18" t="str">
            <v>40KG</v>
          </cell>
          <cell r="C18">
            <v>0</v>
          </cell>
          <cell r="D18">
            <v>0</v>
          </cell>
          <cell r="E18">
            <v>0</v>
          </cell>
          <cell r="F18">
            <v>0</v>
          </cell>
          <cell r="G18">
            <v>0</v>
          </cell>
          <cell r="H18">
            <v>0</v>
          </cell>
          <cell r="I18">
            <v>0</v>
          </cell>
          <cell r="J18">
            <v>0</v>
          </cell>
          <cell r="K18">
            <v>0</v>
          </cell>
          <cell r="L18">
            <v>0</v>
          </cell>
          <cell r="M18">
            <v>0</v>
          </cell>
          <cell r="P18">
            <v>831</v>
          </cell>
          <cell r="Q18" t="str">
            <v>40KG</v>
          </cell>
          <cell r="R18">
            <v>0</v>
          </cell>
          <cell r="S18">
            <v>0</v>
          </cell>
          <cell r="T18">
            <v>0</v>
          </cell>
          <cell r="U18">
            <v>0</v>
          </cell>
          <cell r="V18">
            <v>0</v>
          </cell>
          <cell r="W18">
            <v>0</v>
          </cell>
          <cell r="X18">
            <v>0</v>
          </cell>
        </row>
        <row r="19">
          <cell r="A19" t="str">
            <v xml:space="preserve">                单位生产成本</v>
          </cell>
          <cell r="B19">
            <v>0</v>
          </cell>
          <cell r="C19">
            <v>1308.24</v>
          </cell>
          <cell r="D19">
            <v>48.252994050626839</v>
          </cell>
          <cell r="E19">
            <v>1644.0438604537396</v>
          </cell>
          <cell r="F19">
            <v>1057.08</v>
          </cell>
          <cell r="G19">
            <v>50.195638960644274</v>
          </cell>
          <cell r="H19">
            <v>1712.0863321602908</v>
          </cell>
          <cell r="I19">
            <v>0</v>
          </cell>
          <cell r="J19">
            <v>0</v>
          </cell>
          <cell r="K19">
            <v>0</v>
          </cell>
          <cell r="L19">
            <v>0</v>
          </cell>
          <cell r="M19">
            <v>66.092287811277643</v>
          </cell>
          <cell r="P19" t="str">
            <v>肉鸡料合计</v>
          </cell>
          <cell r="Q19">
            <v>0</v>
          </cell>
          <cell r="R19">
            <v>1391.16</v>
          </cell>
          <cell r="S19">
            <v>48.893864016181276</v>
          </cell>
          <cell r="T19">
            <v>1636.6005563702236</v>
          </cell>
          <cell r="U19">
            <v>1091.8399999999999</v>
          </cell>
          <cell r="V19">
            <v>47.246574986801903</v>
          </cell>
          <cell r="W19">
            <v>1699.9015240328254</v>
          </cell>
        </row>
        <row r="20">
          <cell r="P20">
            <v>124</v>
          </cell>
          <cell r="Q20" t="str">
            <v>45KG</v>
          </cell>
          <cell r="R20">
            <v>47.924999999999997</v>
          </cell>
          <cell r="S20">
            <v>1.6843773778540838</v>
          </cell>
          <cell r="T20">
            <v>2087.2400625978089</v>
          </cell>
          <cell r="U20">
            <v>46.44</v>
          </cell>
          <cell r="V20">
            <v>2.0095718625321295</v>
          </cell>
          <cell r="W20">
            <v>2119.2900516795867</v>
          </cell>
          <cell r="X20">
            <v>0.32519448467804568</v>
          </cell>
        </row>
        <row r="21">
          <cell r="P21">
            <v>322</v>
          </cell>
          <cell r="Q21" t="str">
            <v>40KG</v>
          </cell>
          <cell r="R21">
            <v>0</v>
          </cell>
          <cell r="S21">
            <v>0</v>
          </cell>
          <cell r="T21">
            <v>0</v>
          </cell>
          <cell r="U21">
            <v>0</v>
          </cell>
          <cell r="V21">
            <v>0</v>
          </cell>
          <cell r="W21">
            <v>0</v>
          </cell>
          <cell r="X21">
            <v>0</v>
          </cell>
        </row>
        <row r="22">
          <cell r="P22">
            <v>324</v>
          </cell>
          <cell r="Q22" t="str">
            <v>40KG</v>
          </cell>
          <cell r="R22">
            <v>0</v>
          </cell>
          <cell r="S22">
            <v>0</v>
          </cell>
          <cell r="T22">
            <v>0</v>
          </cell>
          <cell r="U22">
            <v>0</v>
          </cell>
          <cell r="V22">
            <v>0</v>
          </cell>
          <cell r="W22">
            <v>0</v>
          </cell>
          <cell r="X22">
            <v>0</v>
          </cell>
        </row>
        <row r="23">
          <cell r="P23">
            <v>325</v>
          </cell>
          <cell r="Q23" t="str">
            <v>40KG</v>
          </cell>
          <cell r="R23">
            <v>0</v>
          </cell>
          <cell r="S23">
            <v>0</v>
          </cell>
          <cell r="T23">
            <v>0</v>
          </cell>
          <cell r="U23">
            <v>0</v>
          </cell>
          <cell r="V23">
            <v>0</v>
          </cell>
          <cell r="W23">
            <v>0</v>
          </cell>
          <cell r="X23">
            <v>0</v>
          </cell>
        </row>
        <row r="24">
          <cell r="P24">
            <v>521</v>
          </cell>
          <cell r="Q24" t="str">
            <v>40KG</v>
          </cell>
          <cell r="R24">
            <v>30.96</v>
          </cell>
          <cell r="S24">
            <v>1.0881236018437652</v>
          </cell>
          <cell r="T24">
            <v>1663.1201550387595</v>
          </cell>
          <cell r="U24">
            <v>15.76</v>
          </cell>
          <cell r="V24">
            <v>0.68197356919695007</v>
          </cell>
          <cell r="W24">
            <v>1682.3800761421321</v>
          </cell>
          <cell r="X24">
            <v>-0.40615003264681515</v>
          </cell>
        </row>
        <row r="25">
          <cell r="P25">
            <v>522</v>
          </cell>
          <cell r="Q25" t="str">
            <v>40KG</v>
          </cell>
          <cell r="R25">
            <v>22.48</v>
          </cell>
          <cell r="S25">
            <v>0.79008457911653229</v>
          </cell>
          <cell r="T25">
            <v>1421.4902135231316</v>
          </cell>
          <cell r="U25">
            <v>22.32</v>
          </cell>
          <cell r="V25">
            <v>0.96584074013172128</v>
          </cell>
          <cell r="W25">
            <v>1480.1899641577058</v>
          </cell>
          <cell r="X25">
            <v>0.17575616101518898</v>
          </cell>
        </row>
        <row r="26">
          <cell r="P26">
            <v>524</v>
          </cell>
          <cell r="Q26" t="str">
            <v>40KG</v>
          </cell>
          <cell r="R26">
            <v>1.96</v>
          </cell>
          <cell r="S26">
            <v>6.8886377894501916E-2</v>
          </cell>
          <cell r="T26">
            <v>1467.1326530612248</v>
          </cell>
          <cell r="U26">
            <v>7.96</v>
          </cell>
          <cell r="V26">
            <v>0.34444857936597228</v>
          </cell>
          <cell r="W26">
            <v>1456.0590452261306</v>
          </cell>
          <cell r="X26">
            <v>0.27556220147147037</v>
          </cell>
        </row>
        <row r="27">
          <cell r="P27" t="str">
            <v>浓缩蛋鸡料</v>
          </cell>
          <cell r="Q27">
            <v>0</v>
          </cell>
          <cell r="R27">
            <v>47.924999999999997</v>
          </cell>
          <cell r="S27">
            <v>1.6843773778540838</v>
          </cell>
          <cell r="T27">
            <v>2087.2400625978089</v>
          </cell>
          <cell r="U27">
            <v>46.44</v>
          </cell>
          <cell r="V27">
            <v>2.0095718625321295</v>
          </cell>
          <cell r="W27">
            <v>2119.2900516795867</v>
          </cell>
        </row>
        <row r="28">
          <cell r="P28" t="str">
            <v>全价蛋鸡料</v>
          </cell>
          <cell r="Q28">
            <v>0</v>
          </cell>
          <cell r="R28">
            <v>55.399999999999991</v>
          </cell>
          <cell r="S28">
            <v>1.9470945588547988</v>
          </cell>
          <cell r="T28">
            <v>1558.1386281588448</v>
          </cell>
          <cell r="U28">
            <v>46.039999999999992</v>
          </cell>
          <cell r="V28">
            <v>1.9922628886946434</v>
          </cell>
          <cell r="W28">
            <v>1545.229800173762</v>
          </cell>
        </row>
        <row r="29">
          <cell r="P29" t="str">
            <v>蛋鸡料合计</v>
          </cell>
          <cell r="Q29">
            <v>0</v>
          </cell>
          <cell r="R29">
            <v>103.32499999999999</v>
          </cell>
          <cell r="S29">
            <v>3.6314719367088828</v>
          </cell>
          <cell r="T29">
            <v>1803.550544398742</v>
          </cell>
          <cell r="U29">
            <v>92.47999999999999</v>
          </cell>
          <cell r="V29">
            <v>4.0018347512267729</v>
          </cell>
          <cell r="W29">
            <v>1833.5014057093426</v>
          </cell>
        </row>
      </sheetData>
      <sheetData sheetId="7" refreshError="1"/>
      <sheetData sheetId="8" refreshError="1"/>
      <sheetData sheetId="9" refreshError="1"/>
      <sheetData sheetId="10" refreshError="1">
        <row r="1">
          <cell r="A1" t="str">
            <v>泰 州 正 大 饲 料 有 限 公 司</v>
          </cell>
          <cell r="B1">
            <v>0</v>
          </cell>
          <cell r="C1">
            <v>0</v>
          </cell>
          <cell r="D1">
            <v>0</v>
          </cell>
          <cell r="E1">
            <v>0</v>
          </cell>
          <cell r="F1">
            <v>0</v>
          </cell>
          <cell r="G1">
            <v>0</v>
          </cell>
          <cell r="H1">
            <v>0</v>
          </cell>
          <cell r="I1">
            <v>0</v>
          </cell>
          <cell r="J1">
            <v>0</v>
          </cell>
          <cell r="K1">
            <v>0</v>
          </cell>
          <cell r="L1">
            <v>0</v>
          </cell>
          <cell r="M1">
            <v>0</v>
          </cell>
          <cell r="N1">
            <v>0</v>
          </cell>
          <cell r="O1">
            <v>0</v>
          </cell>
          <cell r="P1" t="str">
            <v>泰 州 正 大 饲 料 有 限 公 司</v>
          </cell>
        </row>
        <row r="2">
          <cell r="A2" t="str">
            <v>平均单位生产成本变动分析表</v>
          </cell>
          <cell r="B2">
            <v>0</v>
          </cell>
          <cell r="C2">
            <v>0</v>
          </cell>
          <cell r="D2">
            <v>0</v>
          </cell>
          <cell r="E2">
            <v>0</v>
          </cell>
          <cell r="F2">
            <v>0</v>
          </cell>
          <cell r="G2">
            <v>0</v>
          </cell>
          <cell r="H2">
            <v>0</v>
          </cell>
          <cell r="I2">
            <v>0</v>
          </cell>
          <cell r="J2">
            <v>0</v>
          </cell>
          <cell r="K2">
            <v>0</v>
          </cell>
          <cell r="L2">
            <v>0</v>
          </cell>
          <cell r="M2">
            <v>0</v>
          </cell>
          <cell r="N2">
            <v>0</v>
          </cell>
          <cell r="O2">
            <v>0</v>
          </cell>
          <cell r="P2" t="str">
            <v>平均单位销售成本变动分析表</v>
          </cell>
        </row>
        <row r="3">
          <cell r="A3">
            <v>37772</v>
          </cell>
          <cell r="B3">
            <v>0</v>
          </cell>
          <cell r="C3">
            <v>0</v>
          </cell>
          <cell r="D3">
            <v>0</v>
          </cell>
          <cell r="E3">
            <v>0</v>
          </cell>
          <cell r="F3">
            <v>0</v>
          </cell>
          <cell r="G3">
            <v>0</v>
          </cell>
          <cell r="H3">
            <v>0</v>
          </cell>
          <cell r="I3">
            <v>0</v>
          </cell>
          <cell r="J3">
            <v>0</v>
          </cell>
          <cell r="K3">
            <v>0</v>
          </cell>
          <cell r="L3">
            <v>0</v>
          </cell>
          <cell r="M3">
            <v>0</v>
          </cell>
          <cell r="N3">
            <v>0</v>
          </cell>
          <cell r="O3">
            <v>0</v>
          </cell>
          <cell r="P3">
            <v>37772</v>
          </cell>
        </row>
        <row r="4">
          <cell r="A4" t="str">
            <v>品种名称</v>
          </cell>
          <cell r="B4" t="str">
            <v>规格</v>
          </cell>
          <cell r="C4" t="str">
            <v>上       期</v>
          </cell>
          <cell r="D4">
            <v>0</v>
          </cell>
          <cell r="E4">
            <v>0</v>
          </cell>
          <cell r="F4" t="str">
            <v>本       期</v>
          </cell>
          <cell r="G4">
            <v>0</v>
          </cell>
          <cell r="H4">
            <v>0</v>
          </cell>
          <cell r="I4" t="str">
            <v>变动情况</v>
          </cell>
          <cell r="J4">
            <v>0</v>
          </cell>
          <cell r="K4" t="str">
            <v>变动影响额</v>
          </cell>
          <cell r="L4">
            <v>0</v>
          </cell>
          <cell r="M4">
            <v>0</v>
          </cell>
          <cell r="N4">
            <v>0</v>
          </cell>
          <cell r="O4">
            <v>0</v>
          </cell>
          <cell r="P4" t="str">
            <v>品种名称</v>
          </cell>
          <cell r="Q4" t="str">
            <v>规格</v>
          </cell>
          <cell r="R4" t="str">
            <v>上       期</v>
          </cell>
          <cell r="S4">
            <v>0</v>
          </cell>
          <cell r="T4">
            <v>0</v>
          </cell>
          <cell r="U4" t="str">
            <v>本       期</v>
          </cell>
          <cell r="V4">
            <v>0</v>
          </cell>
          <cell r="W4">
            <v>0</v>
          </cell>
          <cell r="X4" t="str">
            <v>变动情况</v>
          </cell>
        </row>
        <row r="5">
          <cell r="C5" t="str">
            <v>生产数量</v>
          </cell>
          <cell r="D5" t="str">
            <v>比重（%）</v>
          </cell>
          <cell r="E5" t="str">
            <v>单位成本</v>
          </cell>
          <cell r="F5" t="str">
            <v>生产数量</v>
          </cell>
          <cell r="G5" t="str">
            <v>比重（%）</v>
          </cell>
          <cell r="H5" t="str">
            <v>单位成本</v>
          </cell>
          <cell r="I5" t="str">
            <v>结构</v>
          </cell>
          <cell r="J5" t="str">
            <v>单位成本</v>
          </cell>
          <cell r="K5" t="str">
            <v>结构</v>
          </cell>
          <cell r="L5" t="str">
            <v>单位成本</v>
          </cell>
          <cell r="M5" t="str">
            <v>合计</v>
          </cell>
          <cell r="N5">
            <v>0</v>
          </cell>
          <cell r="O5">
            <v>0</v>
          </cell>
          <cell r="P5">
            <v>0</v>
          </cell>
          <cell r="Q5">
            <v>0</v>
          </cell>
          <cell r="R5" t="str">
            <v>销售数量</v>
          </cell>
          <cell r="S5" t="str">
            <v>比重（%）</v>
          </cell>
          <cell r="T5" t="str">
            <v>单位销售成本</v>
          </cell>
          <cell r="U5" t="str">
            <v>销售数量</v>
          </cell>
          <cell r="V5" t="str">
            <v>比重（%）</v>
          </cell>
          <cell r="W5" t="str">
            <v>单位销售成本</v>
          </cell>
          <cell r="X5" t="str">
            <v>结构</v>
          </cell>
        </row>
        <row r="6">
          <cell r="A6" t="str">
            <v>510L</v>
          </cell>
          <cell r="B6" t="str">
            <v>40KG</v>
          </cell>
          <cell r="C6">
            <v>0</v>
          </cell>
          <cell r="D6">
            <v>0</v>
          </cell>
          <cell r="E6">
            <v>0</v>
          </cell>
          <cell r="F6">
            <v>0</v>
          </cell>
          <cell r="G6">
            <v>0</v>
          </cell>
          <cell r="H6">
            <v>0</v>
          </cell>
          <cell r="I6">
            <v>0</v>
          </cell>
          <cell r="J6">
            <v>0</v>
          </cell>
          <cell r="K6">
            <v>0</v>
          </cell>
          <cell r="L6">
            <v>0</v>
          </cell>
          <cell r="M6">
            <v>0</v>
          </cell>
          <cell r="N6">
            <v>0</v>
          </cell>
          <cell r="O6">
            <v>0</v>
          </cell>
          <cell r="P6" t="str">
            <v>510L</v>
          </cell>
          <cell r="Q6" t="str">
            <v>40KG</v>
          </cell>
          <cell r="R6">
            <v>0</v>
          </cell>
          <cell r="S6">
            <v>0</v>
          </cell>
          <cell r="T6">
            <v>0</v>
          </cell>
          <cell r="U6">
            <v>0</v>
          </cell>
          <cell r="V6">
            <v>0</v>
          </cell>
          <cell r="W6">
            <v>0</v>
          </cell>
        </row>
        <row r="7">
          <cell r="A7" t="str">
            <v>510Y</v>
          </cell>
          <cell r="B7" t="str">
            <v>40KG</v>
          </cell>
          <cell r="C7">
            <v>46.88</v>
          </cell>
          <cell r="D7">
            <v>1.7291172576082265</v>
          </cell>
          <cell r="E7">
            <v>1785.7837030716728</v>
          </cell>
          <cell r="F7">
            <v>39.28</v>
          </cell>
          <cell r="G7">
            <v>1.8652180519677861</v>
          </cell>
          <cell r="H7">
            <v>1819.5465885947044</v>
          </cell>
          <cell r="I7">
            <v>0.13610079435955957</v>
          </cell>
          <cell r="J7">
            <v>33.762885523031628</v>
          </cell>
          <cell r="K7">
            <v>2.4304658054241055</v>
          </cell>
          <cell r="L7">
            <v>0.62975143564080416</v>
          </cell>
          <cell r="M7">
            <v>3.0602172410649109</v>
          </cell>
          <cell r="N7">
            <v>0</v>
          </cell>
          <cell r="O7">
            <v>0</v>
          </cell>
          <cell r="P7" t="str">
            <v>510Y</v>
          </cell>
          <cell r="Q7" t="str">
            <v>40KG</v>
          </cell>
          <cell r="R7">
            <v>45.56</v>
          </cell>
          <cell r="S7">
            <v>1.6012568249354633</v>
          </cell>
          <cell r="T7">
            <v>1777.609964881475</v>
          </cell>
          <cell r="U7">
            <v>33.72</v>
          </cell>
          <cell r="V7">
            <v>1.4591464945000734</v>
          </cell>
          <cell r="W7">
            <v>1812.5999406880192</v>
          </cell>
          <cell r="X7">
            <v>-0.1421103304353899</v>
          </cell>
        </row>
        <row r="8">
          <cell r="A8" t="str">
            <v>511Y</v>
          </cell>
          <cell r="B8" t="str">
            <v>40KG</v>
          </cell>
          <cell r="C8">
            <v>52.28</v>
          </cell>
          <cell r="D8">
            <v>1.9282903205579798</v>
          </cell>
          <cell r="E8">
            <v>1664.391928079571</v>
          </cell>
          <cell r="F8">
            <v>63.28</v>
          </cell>
          <cell r="G8">
            <v>3.0048624829053336</v>
          </cell>
          <cell r="H8">
            <v>1762.2816055625788</v>
          </cell>
          <cell r="I8">
            <v>1.0765721623473539</v>
          </cell>
          <cell r="J8">
            <v>97.889677483007745</v>
          </cell>
          <cell r="K8">
            <v>17.918380170061052</v>
          </cell>
          <cell r="L8">
            <v>2.9414501933239294</v>
          </cell>
          <cell r="M8">
            <v>20.859830363384987</v>
          </cell>
          <cell r="N8">
            <v>0</v>
          </cell>
          <cell r="O8">
            <v>0</v>
          </cell>
          <cell r="P8" t="str">
            <v>511Y</v>
          </cell>
          <cell r="Q8" t="str">
            <v>40KG</v>
          </cell>
          <cell r="R8">
            <v>49.88</v>
          </cell>
          <cell r="S8">
            <v>1.7530880251927325</v>
          </cell>
          <cell r="T8">
            <v>1662.8799117882918</v>
          </cell>
          <cell r="U8">
            <v>65.52</v>
          </cell>
          <cell r="V8">
            <v>2.8352099145802141</v>
          </cell>
          <cell r="W8">
            <v>1744.6599511599511</v>
          </cell>
          <cell r="X8">
            <v>1.0821218893874816</v>
          </cell>
        </row>
        <row r="9">
          <cell r="A9" t="str">
            <v>512Y</v>
          </cell>
          <cell r="B9" t="str">
            <v>40KG</v>
          </cell>
          <cell r="C9">
            <v>110.52</v>
          </cell>
          <cell r="D9">
            <v>4.0764086883716129</v>
          </cell>
          <cell r="E9">
            <v>1642.3266377126311</v>
          </cell>
          <cell r="F9">
            <v>111.92</v>
          </cell>
          <cell r="G9">
            <v>5.3145418629387633</v>
          </cell>
          <cell r="H9">
            <v>1733.0505718370264</v>
          </cell>
          <cell r="I9">
            <v>1.2381331745671504</v>
          </cell>
          <cell r="J9">
            <v>90.723934124395328</v>
          </cell>
          <cell r="K9">
            <v>20.334190936273341</v>
          </cell>
          <cell r="L9">
            <v>4.8215614587459763</v>
          </cell>
          <cell r="M9">
            <v>25.155752395019316</v>
          </cell>
          <cell r="N9">
            <v>0</v>
          </cell>
          <cell r="O9">
            <v>0</v>
          </cell>
          <cell r="P9" t="str">
            <v>512Y</v>
          </cell>
          <cell r="Q9" t="str">
            <v>40KG</v>
          </cell>
          <cell r="R9">
            <v>90.52</v>
          </cell>
          <cell r="S9">
            <v>3.1814259831685274</v>
          </cell>
          <cell r="T9">
            <v>1639.2800486080425</v>
          </cell>
          <cell r="U9">
            <v>111.8</v>
          </cell>
          <cell r="V9">
            <v>4.837858187577349</v>
          </cell>
          <cell r="W9">
            <v>1705.9100178890876</v>
          </cell>
          <cell r="X9">
            <v>1.6564322044088216</v>
          </cell>
        </row>
        <row r="10">
          <cell r="A10" t="str">
            <v>510S</v>
          </cell>
          <cell r="B10" t="str">
            <v>40KG</v>
          </cell>
          <cell r="C10">
            <v>0</v>
          </cell>
          <cell r="D10">
            <v>0</v>
          </cell>
          <cell r="E10">
            <v>0</v>
          </cell>
          <cell r="F10">
            <v>0</v>
          </cell>
          <cell r="G10">
            <v>0</v>
          </cell>
          <cell r="H10">
            <v>0</v>
          </cell>
          <cell r="I10">
            <v>0</v>
          </cell>
          <cell r="J10">
            <v>0</v>
          </cell>
          <cell r="K10">
            <v>0</v>
          </cell>
          <cell r="L10">
            <v>0</v>
          </cell>
          <cell r="M10">
            <v>0</v>
          </cell>
          <cell r="N10">
            <v>0</v>
          </cell>
          <cell r="O10">
            <v>0</v>
          </cell>
          <cell r="P10" t="str">
            <v>510S</v>
          </cell>
          <cell r="Q10" t="str">
            <v>40KG</v>
          </cell>
          <cell r="R10">
            <v>0</v>
          </cell>
          <cell r="S10">
            <v>0</v>
          </cell>
          <cell r="T10">
            <v>0</v>
          </cell>
          <cell r="U10">
            <v>0</v>
          </cell>
          <cell r="V10">
            <v>0</v>
          </cell>
          <cell r="W10">
            <v>0</v>
          </cell>
          <cell r="X10">
            <v>0</v>
          </cell>
        </row>
        <row r="11">
          <cell r="A11">
            <v>510</v>
          </cell>
          <cell r="B11" t="str">
            <v>40KG</v>
          </cell>
          <cell r="C11">
            <v>219.4</v>
          </cell>
          <cell r="D11">
            <v>8.0923277798473752</v>
          </cell>
          <cell r="E11">
            <v>1780.993163172288</v>
          </cell>
          <cell r="F11">
            <v>124.03999999999999</v>
          </cell>
          <cell r="G11">
            <v>5.8900623005622235</v>
          </cell>
          <cell r="H11">
            <v>1840.6252015478879</v>
          </cell>
          <cell r="I11">
            <v>-2.2022654792851517</v>
          </cell>
          <cell r="J11">
            <v>59.632038375599905</v>
          </cell>
          <cell r="K11">
            <v>-39.222197620971968</v>
          </cell>
          <cell r="L11">
            <v>3.5123642114180074</v>
          </cell>
          <cell r="M11">
            <v>-35.709833409553958</v>
          </cell>
          <cell r="N11">
            <v>0</v>
          </cell>
          <cell r="O11">
            <v>0</v>
          </cell>
          <cell r="P11">
            <v>510</v>
          </cell>
          <cell r="Q11" t="str">
            <v>40KG</v>
          </cell>
          <cell r="R11">
            <v>251.27999999999997</v>
          </cell>
          <cell r="S11">
            <v>8.8315148149645104</v>
          </cell>
          <cell r="T11">
            <v>1765.1799984081504</v>
          </cell>
          <cell r="U11">
            <v>152.12</v>
          </cell>
          <cell r="V11">
            <v>6.5826027503959423</v>
          </cell>
          <cell r="W11">
            <v>1819.400013147515</v>
          </cell>
          <cell r="X11">
            <v>-2.2489120645685681</v>
          </cell>
        </row>
        <row r="12">
          <cell r="A12">
            <v>511</v>
          </cell>
          <cell r="B12" t="str">
            <v>40KG</v>
          </cell>
          <cell r="C12">
            <v>278.76</v>
          </cell>
          <cell r="D12">
            <v>10.281756116272808</v>
          </cell>
          <cell r="E12">
            <v>1668.2716315109778</v>
          </cell>
          <cell r="F12">
            <v>240.88</v>
          </cell>
          <cell r="G12">
            <v>11.438231271843184</v>
          </cell>
          <cell r="H12">
            <v>1732.8650365327132</v>
          </cell>
          <cell r="I12">
            <v>1.1564751555703765</v>
          </cell>
          <cell r="J12">
            <v>64.593405021735407</v>
          </cell>
          <cell r="K12">
            <v>19.293146945853039</v>
          </cell>
          <cell r="L12">
            <v>7.3883430527444647</v>
          </cell>
          <cell r="M12">
            <v>26.681489998597499</v>
          </cell>
          <cell r="N12">
            <v>0</v>
          </cell>
          <cell r="O12">
            <v>0</v>
          </cell>
          <cell r="P12">
            <v>511</v>
          </cell>
          <cell r="Q12" t="str">
            <v>40KG</v>
          </cell>
          <cell r="R12">
            <v>344.96</v>
          </cell>
          <cell r="S12">
            <v>12.124002509432337</v>
          </cell>
          <cell r="T12">
            <v>1657.0200023191096</v>
          </cell>
          <cell r="U12">
            <v>216.28</v>
          </cell>
          <cell r="V12">
            <v>9.3589621539287045</v>
          </cell>
          <cell r="W12">
            <v>1719.9600055483634</v>
          </cell>
          <cell r="X12">
            <v>-2.7650403555036327</v>
          </cell>
        </row>
        <row r="13">
          <cell r="A13">
            <v>512</v>
          </cell>
          <cell r="B13" t="str">
            <v>40KG</v>
          </cell>
          <cell r="C13">
            <v>515.64</v>
          </cell>
          <cell r="D13">
            <v>19.018814477668641</v>
          </cell>
          <cell r="E13">
            <v>1601.8763284462029</v>
          </cell>
          <cell r="F13">
            <v>439.4</v>
          </cell>
          <cell r="G13">
            <v>20.864990123081597</v>
          </cell>
          <cell r="H13">
            <v>1669.4288575329997</v>
          </cell>
          <cell r="I13">
            <v>1.8461756454129556</v>
          </cell>
          <cell r="J13">
            <v>67.552529086796767</v>
          </cell>
          <cell r="K13">
            <v>29.573450645409043</v>
          </cell>
          <cell r="L13">
            <v>14.094828521851969</v>
          </cell>
          <cell r="M13">
            <v>43.668279167260991</v>
          </cell>
          <cell r="N13">
            <v>0</v>
          </cell>
          <cell r="O13">
            <v>0</v>
          </cell>
          <cell r="P13">
            <v>512</v>
          </cell>
          <cell r="Q13" t="str">
            <v>40KG</v>
          </cell>
          <cell r="R13">
            <v>497.72</v>
          </cell>
          <cell r="S13">
            <v>17.492922451863009</v>
          </cell>
          <cell r="T13">
            <v>1600.6800008036646</v>
          </cell>
          <cell r="U13">
            <v>470.6</v>
          </cell>
          <cell r="V13">
            <v>20.364007719802331</v>
          </cell>
          <cell r="W13">
            <v>1663.419995750106</v>
          </cell>
          <cell r="X13">
            <v>2.8710852679393213</v>
          </cell>
        </row>
        <row r="14">
          <cell r="A14">
            <v>810</v>
          </cell>
          <cell r="B14" t="str">
            <v>5KG</v>
          </cell>
          <cell r="C14">
            <v>30.240000000000002</v>
          </cell>
          <cell r="D14">
            <v>1.1153691525186173</v>
          </cell>
          <cell r="E14">
            <v>1387.9305555555557</v>
          </cell>
          <cell r="F14">
            <v>10.08</v>
          </cell>
          <cell r="G14">
            <v>0.47865066099376996</v>
          </cell>
          <cell r="H14">
            <v>1408.4583333333333</v>
          </cell>
          <cell r="I14">
            <v>-0.63671849152484739</v>
          </cell>
          <cell r="J14">
            <v>20.527777777777601</v>
          </cell>
          <cell r="K14">
            <v>-8.837210496745767</v>
          </cell>
          <cell r="L14">
            <v>9.8256344020664715E-2</v>
          </cell>
          <cell r="M14">
            <v>-8.7389541527251016</v>
          </cell>
          <cell r="N14">
            <v>0</v>
          </cell>
          <cell r="O14">
            <v>0</v>
          </cell>
          <cell r="P14">
            <v>810</v>
          </cell>
          <cell r="Q14" t="str">
            <v>5KG</v>
          </cell>
          <cell r="R14">
            <v>40.56</v>
          </cell>
          <cell r="S14">
            <v>1.425526269082142</v>
          </cell>
          <cell r="T14">
            <v>1383.4800295857988</v>
          </cell>
          <cell r="U14">
            <v>11.96</v>
          </cell>
          <cell r="V14">
            <v>0.51753831774083281</v>
          </cell>
          <cell r="W14">
            <v>1402.2299331103677</v>
          </cell>
          <cell r="X14">
            <v>-0.90798795134130916</v>
          </cell>
        </row>
        <row r="15">
          <cell r="A15" t="str">
            <v>831A</v>
          </cell>
          <cell r="B15" t="str">
            <v>5KG</v>
          </cell>
          <cell r="C15">
            <v>44.04</v>
          </cell>
          <cell r="D15">
            <v>1.624366980056875</v>
          </cell>
          <cell r="E15">
            <v>1388.5122615803816</v>
          </cell>
          <cell r="F15">
            <v>24.2</v>
          </cell>
          <cell r="G15">
            <v>1.1491414678620269</v>
          </cell>
          <cell r="H15">
            <v>1405.8219008264464</v>
          </cell>
          <cell r="I15">
            <v>-0.4752255121948481</v>
          </cell>
          <cell r="J15">
            <v>17.309639246064762</v>
          </cell>
          <cell r="K15">
            <v>-6.5985645069836378</v>
          </cell>
          <cell r="L15">
            <v>0.19891224251385009</v>
          </cell>
          <cell r="M15">
            <v>-6.3996522644697897</v>
          </cell>
          <cell r="N15">
            <v>0</v>
          </cell>
          <cell r="O15">
            <v>0</v>
          </cell>
          <cell r="P15" t="str">
            <v>831A</v>
          </cell>
          <cell r="Q15" t="str">
            <v>5KG</v>
          </cell>
          <cell r="R15">
            <v>54.52</v>
          </cell>
          <cell r="S15">
            <v>1.916165981024615</v>
          </cell>
          <cell r="T15">
            <v>1384.6799339691856</v>
          </cell>
          <cell r="U15">
            <v>25.04</v>
          </cell>
          <cell r="V15">
            <v>1.0835417622266263</v>
          </cell>
          <cell r="W15">
            <v>1402.6301916932907</v>
          </cell>
          <cell r="X15">
            <v>-0.83262421879798865</v>
          </cell>
        </row>
        <row r="16">
          <cell r="A16" t="str">
            <v>831A</v>
          </cell>
          <cell r="B16" t="str">
            <v>40KG</v>
          </cell>
          <cell r="C16">
            <v>10.48</v>
          </cell>
          <cell r="D16">
            <v>0.38654327772470592</v>
          </cell>
          <cell r="E16">
            <v>1302.6851145038163</v>
          </cell>
          <cell r="F16">
            <v>4</v>
          </cell>
          <cell r="G16">
            <v>0.18994073848959123</v>
          </cell>
          <cell r="H16">
            <v>1342.8400000000001</v>
          </cell>
          <cell r="I16">
            <v>-0.1966025392351147</v>
          </cell>
          <cell r="J16">
            <v>40.154885496183852</v>
          </cell>
          <cell r="K16">
            <v>-2.5611120133523646</v>
          </cell>
          <cell r="L16">
            <v>7.6270486051101372E-2</v>
          </cell>
          <cell r="M16">
            <v>-2.484841527301263</v>
          </cell>
          <cell r="N16">
            <v>0</v>
          </cell>
          <cell r="O16">
            <v>0</v>
          </cell>
          <cell r="P16" t="str">
            <v>831A</v>
          </cell>
          <cell r="Q16" t="str">
            <v>40KG</v>
          </cell>
          <cell r="R16">
            <v>16.16</v>
          </cell>
          <cell r="S16">
            <v>0.56796115651793422</v>
          </cell>
          <cell r="T16">
            <v>1299.2599009900991</v>
          </cell>
          <cell r="U16">
            <v>4.8</v>
          </cell>
          <cell r="V16">
            <v>0.2077076860498325</v>
          </cell>
          <cell r="W16">
            <v>1335.5604166666667</v>
          </cell>
          <cell r="X16">
            <v>-0.36025347046810174</v>
          </cell>
        </row>
        <row r="17">
          <cell r="A17">
            <v>831</v>
          </cell>
          <cell r="B17" t="str">
            <v>5KG</v>
          </cell>
          <cell r="C17">
            <v>0</v>
          </cell>
          <cell r="D17">
            <v>0</v>
          </cell>
          <cell r="E17">
            <v>0</v>
          </cell>
          <cell r="F17">
            <v>0</v>
          </cell>
          <cell r="G17">
            <v>0</v>
          </cell>
          <cell r="H17">
            <v>0</v>
          </cell>
          <cell r="I17">
            <v>0</v>
          </cell>
          <cell r="J17">
            <v>0</v>
          </cell>
          <cell r="K17">
            <v>0</v>
          </cell>
          <cell r="L17">
            <v>0</v>
          </cell>
          <cell r="M17">
            <v>0</v>
          </cell>
          <cell r="N17">
            <v>0</v>
          </cell>
          <cell r="O17">
            <v>0</v>
          </cell>
          <cell r="P17">
            <v>831</v>
          </cell>
          <cell r="Q17" t="str">
            <v>5KG</v>
          </cell>
          <cell r="R17">
            <v>0</v>
          </cell>
          <cell r="S17">
            <v>0</v>
          </cell>
          <cell r="T17">
            <v>0</v>
          </cell>
          <cell r="U17">
            <v>0</v>
          </cell>
          <cell r="V17">
            <v>0</v>
          </cell>
          <cell r="W17">
            <v>0</v>
          </cell>
          <cell r="X17">
            <v>0</v>
          </cell>
        </row>
        <row r="18">
          <cell r="A18">
            <v>831</v>
          </cell>
          <cell r="B18" t="str">
            <v>40KG</v>
          </cell>
          <cell r="C18">
            <v>0</v>
          </cell>
          <cell r="D18">
            <v>0</v>
          </cell>
          <cell r="E18">
            <v>0</v>
          </cell>
          <cell r="F18">
            <v>0</v>
          </cell>
          <cell r="G18">
            <v>0</v>
          </cell>
          <cell r="H18">
            <v>0</v>
          </cell>
          <cell r="I18">
            <v>0</v>
          </cell>
          <cell r="J18">
            <v>0</v>
          </cell>
          <cell r="K18">
            <v>0</v>
          </cell>
          <cell r="L18">
            <v>0</v>
          </cell>
          <cell r="M18">
            <v>0</v>
          </cell>
          <cell r="N18">
            <v>0</v>
          </cell>
          <cell r="O18">
            <v>0</v>
          </cell>
          <cell r="P18">
            <v>831</v>
          </cell>
          <cell r="Q18" t="str">
            <v>40KG</v>
          </cell>
          <cell r="R18">
            <v>0</v>
          </cell>
          <cell r="S18">
            <v>0</v>
          </cell>
          <cell r="T18">
            <v>0</v>
          </cell>
          <cell r="U18">
            <v>0</v>
          </cell>
          <cell r="V18">
            <v>0</v>
          </cell>
          <cell r="W18">
            <v>0</v>
          </cell>
          <cell r="X18">
            <v>0</v>
          </cell>
        </row>
        <row r="19">
          <cell r="A19" t="str">
            <v>肉鸡料合计</v>
          </cell>
          <cell r="B19">
            <v>0</v>
          </cell>
          <cell r="C19">
            <v>1308.24</v>
          </cell>
          <cell r="D19">
            <v>48.252994050626839</v>
          </cell>
          <cell r="E19">
            <v>1644.0438604537396</v>
          </cell>
          <cell r="F19">
            <v>1057.08</v>
          </cell>
          <cell r="G19">
            <v>50.195638960644274</v>
          </cell>
          <cell r="H19">
            <v>1712.0863321602908</v>
          </cell>
          <cell r="I19">
            <v>0</v>
          </cell>
          <cell r="J19">
            <v>0</v>
          </cell>
          <cell r="K19">
            <v>0</v>
          </cell>
          <cell r="L19">
            <v>0</v>
          </cell>
          <cell r="M19">
            <v>66.092287811277643</v>
          </cell>
          <cell r="N19">
            <v>66.0922878112776</v>
          </cell>
          <cell r="O19">
            <v>0</v>
          </cell>
          <cell r="P19" t="str">
            <v>肉鸡料合计</v>
          </cell>
          <cell r="Q19">
            <v>0</v>
          </cell>
          <cell r="R19">
            <v>1391.16</v>
          </cell>
          <cell r="S19">
            <v>48.893864016181276</v>
          </cell>
          <cell r="T19">
            <v>1636.6005563702236</v>
          </cell>
          <cell r="U19">
            <v>1091.8399999999999</v>
          </cell>
          <cell r="V19">
            <v>47.246574986801903</v>
          </cell>
          <cell r="W19">
            <v>1699.9015240328254</v>
          </cell>
        </row>
        <row r="20">
          <cell r="A20">
            <v>124</v>
          </cell>
          <cell r="B20" t="str">
            <v>45KG</v>
          </cell>
          <cell r="C20">
            <v>40.409999999999997</v>
          </cell>
          <cell r="D20">
            <v>1.4904784210739854</v>
          </cell>
          <cell r="E20">
            <v>2114.4132640435537</v>
          </cell>
          <cell r="F20">
            <v>38.340000000000003</v>
          </cell>
          <cell r="G20">
            <v>1.8205819784227324</v>
          </cell>
          <cell r="H20">
            <v>2126.500782472614</v>
          </cell>
          <cell r="I20">
            <v>0.33010355734874697</v>
          </cell>
          <cell r="J20">
            <v>12.08751842906031</v>
          </cell>
          <cell r="K20">
            <v>6.979753401661525</v>
          </cell>
          <cell r="L20">
            <v>0.22006318215799858</v>
          </cell>
          <cell r="M20">
            <v>7.1998165838195201</v>
          </cell>
          <cell r="N20">
            <v>0</v>
          </cell>
          <cell r="O20">
            <v>0</v>
          </cell>
          <cell r="P20">
            <v>124</v>
          </cell>
          <cell r="Q20" t="str">
            <v>45KG</v>
          </cell>
          <cell r="R20">
            <v>47.924999999999997</v>
          </cell>
          <cell r="S20">
            <v>1.6843773778540838</v>
          </cell>
          <cell r="T20">
            <v>2087.2400625978089</v>
          </cell>
          <cell r="U20">
            <v>46.44</v>
          </cell>
          <cell r="V20">
            <v>2.0095718625321295</v>
          </cell>
          <cell r="W20">
            <v>2119.2900516795867</v>
          </cell>
          <cell r="X20">
            <v>0.32519448467804568</v>
          </cell>
        </row>
        <row r="21">
          <cell r="A21">
            <v>322</v>
          </cell>
          <cell r="B21" t="str">
            <v>40KG</v>
          </cell>
          <cell r="C21">
            <v>0</v>
          </cell>
          <cell r="D21">
            <v>0</v>
          </cell>
          <cell r="E21">
            <v>0</v>
          </cell>
          <cell r="F21">
            <v>0</v>
          </cell>
          <cell r="G21">
            <v>0</v>
          </cell>
          <cell r="H21">
            <v>0</v>
          </cell>
          <cell r="I21">
            <v>0</v>
          </cell>
          <cell r="J21">
            <v>0</v>
          </cell>
          <cell r="K21">
            <v>0</v>
          </cell>
          <cell r="L21">
            <v>0</v>
          </cell>
          <cell r="M21">
            <v>0</v>
          </cell>
          <cell r="N21">
            <v>0</v>
          </cell>
          <cell r="O21">
            <v>0</v>
          </cell>
          <cell r="P21">
            <v>322</v>
          </cell>
          <cell r="Q21" t="str">
            <v>40KG</v>
          </cell>
          <cell r="R21">
            <v>0</v>
          </cell>
          <cell r="S21">
            <v>0</v>
          </cell>
          <cell r="T21">
            <v>0</v>
          </cell>
          <cell r="U21">
            <v>0</v>
          </cell>
          <cell r="V21">
            <v>0</v>
          </cell>
          <cell r="W21">
            <v>0</v>
          </cell>
          <cell r="X21">
            <v>0</v>
          </cell>
        </row>
        <row r="22">
          <cell r="A22">
            <v>324</v>
          </cell>
          <cell r="B22" t="str">
            <v>40KG</v>
          </cell>
          <cell r="C22">
            <v>0</v>
          </cell>
          <cell r="D22">
            <v>0</v>
          </cell>
          <cell r="E22">
            <v>0</v>
          </cell>
          <cell r="F22">
            <v>0</v>
          </cell>
          <cell r="G22">
            <v>0</v>
          </cell>
          <cell r="H22">
            <v>0</v>
          </cell>
          <cell r="I22">
            <v>0</v>
          </cell>
          <cell r="J22">
            <v>0</v>
          </cell>
          <cell r="K22">
            <v>0</v>
          </cell>
          <cell r="L22">
            <v>0</v>
          </cell>
          <cell r="M22">
            <v>0</v>
          </cell>
          <cell r="N22">
            <v>0</v>
          </cell>
          <cell r="O22">
            <v>0</v>
          </cell>
          <cell r="P22">
            <v>324</v>
          </cell>
          <cell r="Q22" t="str">
            <v>40KG</v>
          </cell>
          <cell r="R22">
            <v>0</v>
          </cell>
          <cell r="S22">
            <v>0</v>
          </cell>
          <cell r="T22">
            <v>0</v>
          </cell>
          <cell r="U22">
            <v>0</v>
          </cell>
          <cell r="V22">
            <v>0</v>
          </cell>
          <cell r="W22">
            <v>0</v>
          </cell>
          <cell r="X22">
            <v>0</v>
          </cell>
        </row>
        <row r="23">
          <cell r="A23">
            <v>325</v>
          </cell>
          <cell r="B23" t="str">
            <v>40KG</v>
          </cell>
          <cell r="C23">
            <v>0</v>
          </cell>
          <cell r="D23">
            <v>0</v>
          </cell>
          <cell r="E23">
            <v>0</v>
          </cell>
          <cell r="F23">
            <v>0</v>
          </cell>
          <cell r="G23">
            <v>0</v>
          </cell>
          <cell r="H23">
            <v>0</v>
          </cell>
          <cell r="I23">
            <v>0</v>
          </cell>
          <cell r="J23">
            <v>0</v>
          </cell>
          <cell r="K23">
            <v>0</v>
          </cell>
          <cell r="L23">
            <v>0</v>
          </cell>
          <cell r="M23">
            <v>0</v>
          </cell>
          <cell r="N23">
            <v>0</v>
          </cell>
          <cell r="O23">
            <v>0</v>
          </cell>
          <cell r="P23">
            <v>325</v>
          </cell>
          <cell r="Q23" t="str">
            <v>40KG</v>
          </cell>
          <cell r="R23">
            <v>0</v>
          </cell>
          <cell r="S23">
            <v>0</v>
          </cell>
          <cell r="T23">
            <v>0</v>
          </cell>
          <cell r="U23">
            <v>0</v>
          </cell>
          <cell r="V23">
            <v>0</v>
          </cell>
          <cell r="W23">
            <v>0</v>
          </cell>
          <cell r="X23">
            <v>0</v>
          </cell>
        </row>
        <row r="24">
          <cell r="A24">
            <v>521</v>
          </cell>
          <cell r="B24" t="str">
            <v>40KG</v>
          </cell>
          <cell r="C24">
            <v>29.36</v>
          </cell>
          <cell r="D24">
            <v>1.0829113200379166</v>
          </cell>
          <cell r="E24">
            <v>1678.100476839237</v>
          </cell>
          <cell r="F24">
            <v>13.96</v>
          </cell>
          <cell r="G24">
            <v>0.66289317732867348</v>
          </cell>
          <cell r="H24">
            <v>1692.4921203438391</v>
          </cell>
          <cell r="I24">
            <v>-0.42001814270924309</v>
          </cell>
          <cell r="J24">
            <v>14.391643504602143</v>
          </cell>
          <cell r="K24">
            <v>-7.0483264556151148</v>
          </cell>
          <cell r="L24">
            <v>9.5401222897472812E-2</v>
          </cell>
          <cell r="M24">
            <v>-6.9529252327176412</v>
          </cell>
          <cell r="N24">
            <v>0</v>
          </cell>
          <cell r="O24">
            <v>0</v>
          </cell>
          <cell r="P24">
            <v>521</v>
          </cell>
          <cell r="Q24" t="str">
            <v>40KG</v>
          </cell>
          <cell r="R24">
            <v>30.96</v>
          </cell>
          <cell r="S24">
            <v>1.0881236018437652</v>
          </cell>
          <cell r="T24">
            <v>1663.1201550387595</v>
          </cell>
          <cell r="U24">
            <v>15.76</v>
          </cell>
          <cell r="V24">
            <v>0.68197356919695007</v>
          </cell>
          <cell r="W24">
            <v>1682.3800761421321</v>
          </cell>
          <cell r="X24">
            <v>-0.40615003264681515</v>
          </cell>
        </row>
        <row r="25">
          <cell r="A25">
            <v>522</v>
          </cell>
          <cell r="B25" t="str">
            <v>40KG</v>
          </cell>
          <cell r="C25">
            <v>18.88</v>
          </cell>
          <cell r="D25">
            <v>0.6963680423132107</v>
          </cell>
          <cell r="E25">
            <v>1415.8993644067793</v>
          </cell>
          <cell r="F25">
            <v>22.12</v>
          </cell>
          <cell r="G25">
            <v>1.0503722838474396</v>
          </cell>
          <cell r="H25">
            <v>1486.6677215189875</v>
          </cell>
          <cell r="I25">
            <v>0.35400424153422894</v>
          </cell>
          <cell r="J25">
            <v>70.76835711220815</v>
          </cell>
          <cell r="K25">
            <v>5.0123438058561876</v>
          </cell>
          <cell r="L25">
            <v>0.74333120884081272</v>
          </cell>
          <cell r="M25">
            <v>5.755675014697001</v>
          </cell>
          <cell r="N25">
            <v>0</v>
          </cell>
          <cell r="O25">
            <v>0</v>
          </cell>
          <cell r="P25">
            <v>522</v>
          </cell>
          <cell r="Q25" t="str">
            <v>40KG</v>
          </cell>
          <cell r="R25">
            <v>22.48</v>
          </cell>
          <cell r="S25">
            <v>0.79008457911653229</v>
          </cell>
          <cell r="T25">
            <v>1421.4902135231316</v>
          </cell>
          <cell r="U25">
            <v>22.32</v>
          </cell>
          <cell r="V25">
            <v>0.96584074013172128</v>
          </cell>
          <cell r="W25">
            <v>1480.1899641577058</v>
          </cell>
          <cell r="X25">
            <v>0.17575616101518898</v>
          </cell>
        </row>
        <row r="26">
          <cell r="A26">
            <v>524</v>
          </cell>
          <cell r="B26" t="str">
            <v>40KG</v>
          </cell>
          <cell r="C26">
            <v>1.96</v>
          </cell>
          <cell r="D26">
            <v>7.2292445070651107E-2</v>
          </cell>
          <cell r="E26">
            <v>1467.1326530612243</v>
          </cell>
          <cell r="F26">
            <v>7.96</v>
          </cell>
          <cell r="G26">
            <v>0.37798206959428654</v>
          </cell>
          <cell r="H26">
            <v>1456.0590452261306</v>
          </cell>
          <cell r="I26">
            <v>0.30568962452363546</v>
          </cell>
          <cell r="J26">
            <v>-11.073607835093753</v>
          </cell>
          <cell r="K26">
            <v>4.4848722984065077</v>
          </cell>
          <cell r="L26">
            <v>-4.1856252073842443E-2</v>
          </cell>
          <cell r="M26">
            <v>4.4430160463326658</v>
          </cell>
          <cell r="N26">
            <v>0</v>
          </cell>
          <cell r="O26">
            <v>0</v>
          </cell>
          <cell r="P26">
            <v>524</v>
          </cell>
          <cell r="Q26" t="str">
            <v>40KG</v>
          </cell>
          <cell r="R26">
            <v>1.96</v>
          </cell>
          <cell r="S26">
            <v>6.8886377894501916E-2</v>
          </cell>
          <cell r="T26">
            <v>1467.1326530612248</v>
          </cell>
          <cell r="U26">
            <v>7.96</v>
          </cell>
          <cell r="V26">
            <v>0.34444857936597228</v>
          </cell>
          <cell r="W26">
            <v>1456.0590452261306</v>
          </cell>
          <cell r="X26">
            <v>0.27556220147147037</v>
          </cell>
        </row>
        <row r="27">
          <cell r="A27" t="str">
            <v>浓缩蛋鸡料</v>
          </cell>
          <cell r="B27">
            <v>0</v>
          </cell>
          <cell r="C27">
            <v>40.409999999999997</v>
          </cell>
          <cell r="D27">
            <v>1.4904784210739854</v>
          </cell>
          <cell r="E27">
            <v>2114.4132640435537</v>
          </cell>
          <cell r="F27">
            <v>38.340000000000003</v>
          </cell>
          <cell r="G27">
            <v>1.8205819784227324</v>
          </cell>
          <cell r="H27">
            <v>2126.500782472614</v>
          </cell>
          <cell r="I27">
            <v>0</v>
          </cell>
          <cell r="J27">
            <v>0</v>
          </cell>
          <cell r="K27">
            <v>0</v>
          </cell>
          <cell r="L27">
            <v>0</v>
          </cell>
          <cell r="M27">
            <v>7.1998165838195201</v>
          </cell>
          <cell r="N27">
            <v>0</v>
          </cell>
          <cell r="O27">
            <v>0</v>
          </cell>
          <cell r="P27" t="str">
            <v>浓缩蛋鸡料</v>
          </cell>
          <cell r="Q27">
            <v>0</v>
          </cell>
          <cell r="R27">
            <v>47.924999999999997</v>
          </cell>
          <cell r="S27">
            <v>1.6843773778540838</v>
          </cell>
          <cell r="T27">
            <v>2087.2400625978089</v>
          </cell>
          <cell r="U27">
            <v>46.44</v>
          </cell>
          <cell r="V27">
            <v>2.0095718625321295</v>
          </cell>
          <cell r="W27">
            <v>2119.2900516795867</v>
          </cell>
        </row>
        <row r="28">
          <cell r="A28" t="str">
            <v>全价蛋鸡料</v>
          </cell>
          <cell r="B28">
            <v>0</v>
          </cell>
          <cell r="C28">
            <v>50.199999999999989</v>
          </cell>
          <cell r="D28">
            <v>1.8515718074217782</v>
          </cell>
          <cell r="E28">
            <v>1571.2507968127488</v>
          </cell>
          <cell r="F28">
            <v>44.039999999999992</v>
          </cell>
          <cell r="G28">
            <v>2.0912475307703993</v>
          </cell>
          <cell r="H28">
            <v>1546.3785195277023</v>
          </cell>
          <cell r="I28">
            <v>0</v>
          </cell>
          <cell r="J28">
            <v>0</v>
          </cell>
          <cell r="K28">
            <v>0</v>
          </cell>
          <cell r="L28">
            <v>0</v>
          </cell>
          <cell r="M28">
            <v>3.2457658283120234</v>
          </cell>
          <cell r="N28">
            <v>0</v>
          </cell>
          <cell r="O28">
            <v>0</v>
          </cell>
          <cell r="P28" t="str">
            <v>全价蛋鸡料</v>
          </cell>
          <cell r="Q28">
            <v>0</v>
          </cell>
          <cell r="R28">
            <v>55.399999999999991</v>
          </cell>
          <cell r="S28">
            <v>1.9470945588547988</v>
          </cell>
          <cell r="T28">
            <v>1558.1386281588448</v>
          </cell>
          <cell r="U28">
            <v>46.039999999999992</v>
          </cell>
          <cell r="V28">
            <v>1.9922628886946434</v>
          </cell>
          <cell r="W28">
            <v>1545.229800173762</v>
          </cell>
        </row>
        <row r="29">
          <cell r="A29" t="str">
            <v>蛋鸡料合计</v>
          </cell>
          <cell r="B29">
            <v>0</v>
          </cell>
          <cell r="C29">
            <v>90.609999999999985</v>
          </cell>
          <cell r="D29">
            <v>3.3420502284957632</v>
          </cell>
          <cell r="E29">
            <v>1813.4889085089947</v>
          </cell>
          <cell r="F29">
            <v>82.38</v>
          </cell>
          <cell r="G29">
            <v>3.9118295091931312</v>
          </cell>
          <cell r="H29">
            <v>1816.3698713279925</v>
          </cell>
          <cell r="I29">
            <v>0</v>
          </cell>
          <cell r="J29">
            <v>0</v>
          </cell>
          <cell r="K29">
            <v>0</v>
          </cell>
          <cell r="L29">
            <v>0</v>
          </cell>
          <cell r="M29">
            <v>10.445582412131543</v>
          </cell>
          <cell r="N29">
            <v>0</v>
          </cell>
          <cell r="O29">
            <v>0</v>
          </cell>
          <cell r="P29" t="str">
            <v>蛋鸡料合计</v>
          </cell>
          <cell r="Q29">
            <v>0</v>
          </cell>
          <cell r="R29">
            <v>103.32499999999999</v>
          </cell>
          <cell r="S29">
            <v>3.6314719367088828</v>
          </cell>
          <cell r="T29">
            <v>1803.550544398742</v>
          </cell>
          <cell r="U29">
            <v>92.47999999999999</v>
          </cell>
          <cell r="V29">
            <v>4.0018347512267729</v>
          </cell>
          <cell r="W29">
            <v>1833.5014057093426</v>
          </cell>
        </row>
        <row r="30">
          <cell r="A30" t="str">
            <v>浓缩鸡料</v>
          </cell>
          <cell r="B30">
            <v>0</v>
          </cell>
          <cell r="C30">
            <v>40.409999999999997</v>
          </cell>
          <cell r="D30">
            <v>1.4904784210739854</v>
          </cell>
          <cell r="E30">
            <v>2114.4132640435537</v>
          </cell>
          <cell r="F30">
            <v>38.340000000000003</v>
          </cell>
          <cell r="G30">
            <v>1.8205819784227324</v>
          </cell>
          <cell r="H30">
            <v>2126.500782472614</v>
          </cell>
          <cell r="I30">
            <v>0</v>
          </cell>
          <cell r="J30">
            <v>0</v>
          </cell>
          <cell r="K30">
            <v>0</v>
          </cell>
          <cell r="L30">
            <v>0</v>
          </cell>
          <cell r="M30">
            <v>7.1998165838195201</v>
          </cell>
          <cell r="N30">
            <v>0</v>
          </cell>
          <cell r="O30">
            <v>0</v>
          </cell>
          <cell r="P30" t="str">
            <v>浓缩鸡料</v>
          </cell>
          <cell r="Q30">
            <v>0</v>
          </cell>
          <cell r="R30">
            <v>47.924999999999997</v>
          </cell>
          <cell r="S30">
            <v>1.6843773778540838</v>
          </cell>
          <cell r="T30">
            <v>2087.2400625978089</v>
          </cell>
          <cell r="U30">
            <v>46.44</v>
          </cell>
          <cell r="V30">
            <v>2.0095718625321295</v>
          </cell>
          <cell r="W30">
            <v>2119.2900516795867</v>
          </cell>
        </row>
        <row r="31">
          <cell r="A31" t="str">
            <v>全价鸡料</v>
          </cell>
          <cell r="B31">
            <v>0</v>
          </cell>
          <cell r="C31">
            <v>1358.4399999999998</v>
          </cell>
          <cell r="D31">
            <v>50.104565858048609</v>
          </cell>
          <cell r="E31">
            <v>1641.3538544212483</v>
          </cell>
          <cell r="F31">
            <v>1101.1200000000001</v>
          </cell>
          <cell r="G31">
            <v>52.286886491414684</v>
          </cell>
          <cell r="H31">
            <v>1705.4587420081371</v>
          </cell>
          <cell r="I31">
            <v>0</v>
          </cell>
          <cell r="J31">
            <v>0</v>
          </cell>
          <cell r="K31">
            <v>0</v>
          </cell>
          <cell r="L31">
            <v>0</v>
          </cell>
          <cell r="M31">
            <v>69.338053639589631</v>
          </cell>
          <cell r="N31">
            <v>0</v>
          </cell>
          <cell r="O31">
            <v>0</v>
          </cell>
          <cell r="P31" t="str">
            <v>全价鸡料</v>
          </cell>
          <cell r="Q31">
            <v>0</v>
          </cell>
          <cell r="R31">
            <v>1446.5600000000002</v>
          </cell>
          <cell r="S31">
            <v>50.840958575036076</v>
          </cell>
          <cell r="T31">
            <v>1633.5956406924013</v>
          </cell>
          <cell r="U31">
            <v>1137.8799999999999</v>
          </cell>
          <cell r="V31">
            <v>49.238837875496543</v>
          </cell>
          <cell r="W31">
            <v>1693.6433191549197</v>
          </cell>
        </row>
        <row r="32">
          <cell r="A32" t="str">
            <v>鸡料合计</v>
          </cell>
          <cell r="B32">
            <v>0</v>
          </cell>
          <cell r="C32">
            <v>1398.85</v>
          </cell>
          <cell r="D32">
            <v>51.595044279122604</v>
          </cell>
          <cell r="E32">
            <v>1655.0196018157776</v>
          </cell>
          <cell r="F32">
            <v>1139.46</v>
          </cell>
          <cell r="G32">
            <v>54.107468469837407</v>
          </cell>
          <cell r="H32">
            <v>1719.6257613255402</v>
          </cell>
          <cell r="I32">
            <v>0</v>
          </cell>
          <cell r="J32">
            <v>0</v>
          </cell>
          <cell r="K32">
            <v>41.759192915275953</v>
          </cell>
          <cell r="L32">
            <v>34.778677308133204</v>
          </cell>
          <cell r="M32">
            <v>76.537870223408973</v>
          </cell>
          <cell r="N32">
            <v>0</v>
          </cell>
          <cell r="O32">
            <v>0</v>
          </cell>
          <cell r="P32" t="str">
            <v>鸡料合计</v>
          </cell>
          <cell r="Q32">
            <v>0</v>
          </cell>
          <cell r="R32">
            <v>1494.4850000000001</v>
          </cell>
          <cell r="S32">
            <v>52.52533595289016</v>
          </cell>
          <cell r="T32">
            <v>1648.1430660060155</v>
          </cell>
          <cell r="U32">
            <v>1184.32</v>
          </cell>
          <cell r="V32">
            <v>51.248409738028677</v>
          </cell>
          <cell r="W32">
            <v>1710.3339384625776</v>
          </cell>
        </row>
        <row r="33">
          <cell r="A33" t="str">
            <v>151-38</v>
          </cell>
          <cell r="B33" t="str">
            <v>5KG</v>
          </cell>
          <cell r="C33">
            <v>0</v>
          </cell>
          <cell r="D33">
            <v>0</v>
          </cell>
          <cell r="E33">
            <v>0</v>
          </cell>
          <cell r="F33">
            <v>0</v>
          </cell>
          <cell r="G33">
            <v>0</v>
          </cell>
          <cell r="H33">
            <v>0</v>
          </cell>
          <cell r="I33">
            <v>0</v>
          </cell>
          <cell r="J33">
            <v>0</v>
          </cell>
          <cell r="K33">
            <v>0</v>
          </cell>
          <cell r="L33">
            <v>0</v>
          </cell>
          <cell r="M33">
            <v>0</v>
          </cell>
          <cell r="N33">
            <v>0</v>
          </cell>
          <cell r="O33">
            <v>0</v>
          </cell>
          <cell r="P33" t="str">
            <v>151-38</v>
          </cell>
          <cell r="Q33" t="str">
            <v>5KG</v>
          </cell>
          <cell r="R33">
            <v>0</v>
          </cell>
          <cell r="S33">
            <v>0</v>
          </cell>
          <cell r="T33">
            <v>0</v>
          </cell>
          <cell r="U33">
            <v>0</v>
          </cell>
          <cell r="V33">
            <v>0</v>
          </cell>
          <cell r="W33">
            <v>0</v>
          </cell>
          <cell r="X33">
            <v>0</v>
          </cell>
        </row>
        <row r="34">
          <cell r="A34" t="str">
            <v>151-38</v>
          </cell>
          <cell r="B34" t="str">
            <v>10KG</v>
          </cell>
          <cell r="C34">
            <v>16.309999999999999</v>
          </cell>
          <cell r="D34">
            <v>0.60157641790934668</v>
          </cell>
          <cell r="E34">
            <v>2552.0496627835691</v>
          </cell>
          <cell r="F34">
            <v>13.319999999999999</v>
          </cell>
          <cell r="G34">
            <v>0.63250265917033877</v>
          </cell>
          <cell r="H34">
            <v>2544.0435435435443</v>
          </cell>
          <cell r="I34">
            <v>3.0926241260992082E-2</v>
          </cell>
          <cell r="J34">
            <v>-8.0061192400248729</v>
          </cell>
          <cell r="K34">
            <v>0.78925303581278139</v>
          </cell>
          <cell r="L34">
            <v>-5.0638917089505436E-2</v>
          </cell>
          <cell r="M34">
            <v>0.73861411872327609</v>
          </cell>
          <cell r="N34">
            <v>0</v>
          </cell>
          <cell r="O34">
            <v>0</v>
          </cell>
          <cell r="P34" t="str">
            <v>151-38</v>
          </cell>
          <cell r="Q34" t="str">
            <v>10KG</v>
          </cell>
          <cell r="R34">
            <v>18.22</v>
          </cell>
          <cell r="S34">
            <v>0.64036214552950244</v>
          </cell>
          <cell r="T34">
            <v>2504.8397365532383</v>
          </cell>
          <cell r="U34">
            <v>15</v>
          </cell>
          <cell r="V34">
            <v>0.64908651890572666</v>
          </cell>
          <cell r="W34">
            <v>2535.0899999999997</v>
          </cell>
          <cell r="X34">
            <v>8.7243733762242259E-3</v>
          </cell>
        </row>
        <row r="35">
          <cell r="A35" t="str">
            <v>151-38</v>
          </cell>
          <cell r="B35" t="str">
            <v>20KG</v>
          </cell>
          <cell r="C35">
            <v>13.940000000000001</v>
          </cell>
          <cell r="D35">
            <v>0.51416157361473291</v>
          </cell>
          <cell r="E35">
            <v>2535.7740315638448</v>
          </cell>
          <cell r="F35">
            <v>12</v>
          </cell>
          <cell r="G35">
            <v>0.56982221546877376</v>
          </cell>
          <cell r="H35">
            <v>2523.2650000000003</v>
          </cell>
          <cell r="I35">
            <v>5.5660641854040849E-2</v>
          </cell>
          <cell r="J35">
            <v>-12.509031563844474</v>
          </cell>
          <cell r="K35">
            <v>1.4114281019365245</v>
          </cell>
          <cell r="L35">
            <v>-7.1279240790786777E-2</v>
          </cell>
          <cell r="M35">
            <v>1.3401488611457375</v>
          </cell>
          <cell r="N35">
            <v>0</v>
          </cell>
          <cell r="O35">
            <v>0</v>
          </cell>
          <cell r="P35" t="str">
            <v>151-38</v>
          </cell>
          <cell r="Q35" t="str">
            <v>20KG</v>
          </cell>
          <cell r="R35">
            <v>13.88</v>
          </cell>
          <cell r="S35">
            <v>0.48782802304881978</v>
          </cell>
          <cell r="T35">
            <v>2495.6397694524499</v>
          </cell>
          <cell r="U35">
            <v>14.6</v>
          </cell>
          <cell r="V35">
            <v>0.63177754506824058</v>
          </cell>
          <cell r="W35">
            <v>2516.25</v>
          </cell>
          <cell r="X35">
            <v>0.14394952201942079</v>
          </cell>
        </row>
        <row r="36">
          <cell r="A36" t="str">
            <v>151-38</v>
          </cell>
          <cell r="B36" t="str">
            <v>40KG</v>
          </cell>
          <cell r="C36">
            <v>42.44</v>
          </cell>
          <cell r="D36">
            <v>1.5653527391828741</v>
          </cell>
          <cell r="E36">
            <v>2509.9352026390202</v>
          </cell>
          <cell r="F36">
            <v>30.080000000000002</v>
          </cell>
          <cell r="G36">
            <v>1.4283543534417262</v>
          </cell>
          <cell r="H36">
            <v>2505.3553856382987</v>
          </cell>
          <cell r="I36">
            <v>-0.13699838574114787</v>
          </cell>
          <cell r="J36">
            <v>-4.5798170007215049</v>
          </cell>
          <cell r="K36">
            <v>-3.438570710764266</v>
          </cell>
          <cell r="L36">
            <v>-6.5416015509469905E-2</v>
          </cell>
          <cell r="M36">
            <v>-3.5039867262737379</v>
          </cell>
          <cell r="N36">
            <v>0</v>
          </cell>
          <cell r="O36">
            <v>0</v>
          </cell>
          <cell r="P36" t="str">
            <v>151-38</v>
          </cell>
          <cell r="Q36" t="str">
            <v>40KG</v>
          </cell>
          <cell r="R36">
            <v>38.92</v>
          </cell>
          <cell r="S36">
            <v>1.3678866467622526</v>
          </cell>
          <cell r="T36">
            <v>2499.5899280575536</v>
          </cell>
          <cell r="U36">
            <v>33.96</v>
          </cell>
          <cell r="V36">
            <v>1.4695318788025653</v>
          </cell>
          <cell r="W36">
            <v>2504.1101295641934</v>
          </cell>
          <cell r="X36">
            <v>0.10164523204031273</v>
          </cell>
        </row>
        <row r="37">
          <cell r="A37" t="str">
            <v>151-40</v>
          </cell>
          <cell r="B37" t="str">
            <v>5KG</v>
          </cell>
          <cell r="C37">
            <v>0</v>
          </cell>
          <cell r="D37">
            <v>0</v>
          </cell>
          <cell r="E37">
            <v>0</v>
          </cell>
          <cell r="F37">
            <v>0</v>
          </cell>
          <cell r="G37">
            <v>0</v>
          </cell>
          <cell r="H37">
            <v>0</v>
          </cell>
          <cell r="I37">
            <v>0</v>
          </cell>
          <cell r="J37">
            <v>0</v>
          </cell>
          <cell r="K37">
            <v>0</v>
          </cell>
          <cell r="L37">
            <v>0</v>
          </cell>
          <cell r="M37">
            <v>0</v>
          </cell>
          <cell r="N37">
            <v>0</v>
          </cell>
          <cell r="O37">
            <v>0</v>
          </cell>
          <cell r="P37" t="str">
            <v>151-40</v>
          </cell>
          <cell r="Q37" t="str">
            <v>5KG</v>
          </cell>
          <cell r="R37">
            <v>0</v>
          </cell>
          <cell r="S37">
            <v>0</v>
          </cell>
          <cell r="T37">
            <v>0</v>
          </cell>
          <cell r="U37">
            <v>0</v>
          </cell>
          <cell r="V37">
            <v>0</v>
          </cell>
          <cell r="W37">
            <v>0</v>
          </cell>
          <cell r="X37">
            <v>0</v>
          </cell>
        </row>
        <row r="38">
          <cell r="A38" t="str">
            <v>151-40</v>
          </cell>
          <cell r="B38" t="str">
            <v>10KG</v>
          </cell>
          <cell r="C38">
            <v>14.48</v>
          </cell>
          <cell r="D38">
            <v>0.53407887990970815</v>
          </cell>
          <cell r="E38">
            <v>2687.6574585635353</v>
          </cell>
          <cell r="F38">
            <v>11.1</v>
          </cell>
          <cell r="G38">
            <v>0.52708554930861562</v>
          </cell>
          <cell r="H38">
            <v>2705.409009009009</v>
          </cell>
          <cell r="I38">
            <v>-6.9933306010925289E-3</v>
          </cell>
          <cell r="J38">
            <v>17.75155044547364</v>
          </cell>
          <cell r="K38">
            <v>-0.18795677150226947</v>
          </cell>
          <cell r="L38">
            <v>9.3565857176320738E-2</v>
          </cell>
          <cell r="M38">
            <v>-9.4390914325949773E-2</v>
          </cell>
          <cell r="N38">
            <v>0</v>
          </cell>
          <cell r="O38">
            <v>0</v>
          </cell>
          <cell r="P38" t="str">
            <v>151-40</v>
          </cell>
          <cell r="Q38" t="str">
            <v>10KG</v>
          </cell>
          <cell r="R38">
            <v>18.82</v>
          </cell>
          <cell r="S38">
            <v>0.66144981223190102</v>
          </cell>
          <cell r="T38">
            <v>2656.1997874601489</v>
          </cell>
          <cell r="U38">
            <v>15.62</v>
          </cell>
          <cell r="V38">
            <v>0.67591542835383001</v>
          </cell>
          <cell r="W38">
            <v>2690.9500640204865</v>
          </cell>
          <cell r="X38">
            <v>1.4465616121928981E-2</v>
          </cell>
        </row>
        <row r="39">
          <cell r="A39" t="str">
            <v>151-40</v>
          </cell>
          <cell r="B39" t="str">
            <v>20KG</v>
          </cell>
          <cell r="C39">
            <v>40.94</v>
          </cell>
          <cell r="D39">
            <v>1.5100268883634982</v>
          </cell>
          <cell r="E39">
            <v>2678.1592574499273</v>
          </cell>
          <cell r="F39">
            <v>25.32</v>
          </cell>
          <cell r="G39">
            <v>1.2023248746391126</v>
          </cell>
          <cell r="H39">
            <v>2679.912717219589</v>
          </cell>
          <cell r="I39">
            <v>-0.30770201372438555</v>
          </cell>
          <cell r="J39">
            <v>1.7534597696617311</v>
          </cell>
          <cell r="K39">
            <v>-8.2407499659194769</v>
          </cell>
          <cell r="L39">
            <v>2.1082282977432684E-2</v>
          </cell>
          <cell r="M39">
            <v>-8.2196676829420454</v>
          </cell>
          <cell r="N39">
            <v>0</v>
          </cell>
          <cell r="O39">
            <v>0</v>
          </cell>
          <cell r="P39" t="str">
            <v>151-40</v>
          </cell>
          <cell r="Q39" t="str">
            <v>20KG</v>
          </cell>
          <cell r="R39">
            <v>38.24</v>
          </cell>
          <cell r="S39">
            <v>1.3439872911662007</v>
          </cell>
          <cell r="T39">
            <v>2670.4900627615061</v>
          </cell>
          <cell r="U39">
            <v>30.5</v>
          </cell>
          <cell r="V39">
            <v>1.3198092551083109</v>
          </cell>
          <cell r="W39">
            <v>2678.04</v>
          </cell>
          <cell r="X39">
            <v>-2.4178036057889818E-2</v>
          </cell>
        </row>
        <row r="40">
          <cell r="A40" t="str">
            <v>151-40</v>
          </cell>
          <cell r="B40" t="str">
            <v>40KG</v>
          </cell>
          <cell r="C40">
            <v>7</v>
          </cell>
          <cell r="D40">
            <v>0.25818730382375393</v>
          </cell>
          <cell r="E40">
            <v>2643.1100000000006</v>
          </cell>
          <cell r="F40">
            <v>5.12</v>
          </cell>
          <cell r="G40">
            <v>0.24312414526667681</v>
          </cell>
          <cell r="H40">
            <v>2660.6445312500005</v>
          </cell>
          <cell r="I40">
            <v>-1.5063158557077128E-2</v>
          </cell>
          <cell r="J40">
            <v>17.534531249999873</v>
          </cell>
          <cell r="K40">
            <v>-0.39813585013796138</v>
          </cell>
          <cell r="L40">
            <v>4.2630679228080531E-2</v>
          </cell>
          <cell r="M40">
            <v>-0.35550517090988021</v>
          </cell>
          <cell r="N40">
            <v>0</v>
          </cell>
          <cell r="O40">
            <v>0</v>
          </cell>
          <cell r="P40" t="str">
            <v>151-40</v>
          </cell>
          <cell r="Q40" t="str">
            <v>40KG</v>
          </cell>
          <cell r="R40">
            <v>7</v>
          </cell>
          <cell r="S40">
            <v>0.24602277819464974</v>
          </cell>
          <cell r="T40">
            <v>2623.2000000000003</v>
          </cell>
          <cell r="U40">
            <v>5.92</v>
          </cell>
          <cell r="V40">
            <v>0.25617281279479343</v>
          </cell>
          <cell r="W40">
            <v>2652.5996621621621</v>
          </cell>
          <cell r="X40">
            <v>1.0150034600143687E-2</v>
          </cell>
        </row>
        <row r="41">
          <cell r="A41" t="str">
            <v>151-42</v>
          </cell>
          <cell r="B41" t="str">
            <v>5KG</v>
          </cell>
          <cell r="C41">
            <v>0</v>
          </cell>
          <cell r="D41">
            <v>0</v>
          </cell>
          <cell r="E41">
            <v>0</v>
          </cell>
          <cell r="F41">
            <v>0</v>
          </cell>
          <cell r="G41">
            <v>0</v>
          </cell>
          <cell r="H41">
            <v>0</v>
          </cell>
          <cell r="I41">
            <v>0</v>
          </cell>
          <cell r="J41">
            <v>0</v>
          </cell>
          <cell r="K41">
            <v>0</v>
          </cell>
          <cell r="L41">
            <v>0</v>
          </cell>
          <cell r="M41">
            <v>0</v>
          </cell>
          <cell r="N41">
            <v>0</v>
          </cell>
          <cell r="O41">
            <v>0</v>
          </cell>
          <cell r="P41" t="str">
            <v>151-42</v>
          </cell>
          <cell r="Q41" t="str">
            <v>5KG</v>
          </cell>
          <cell r="R41">
            <v>0</v>
          </cell>
          <cell r="S41">
            <v>0</v>
          </cell>
          <cell r="T41">
            <v>0</v>
          </cell>
          <cell r="U41">
            <v>0</v>
          </cell>
          <cell r="V41">
            <v>0</v>
          </cell>
          <cell r="W41">
            <v>0</v>
          </cell>
          <cell r="X41">
            <v>0</v>
          </cell>
        </row>
        <row r="42">
          <cell r="A42" t="str">
            <v>151-42</v>
          </cell>
          <cell r="B42" t="str">
            <v>10KG</v>
          </cell>
          <cell r="C42">
            <v>0</v>
          </cell>
          <cell r="D42">
            <v>0</v>
          </cell>
          <cell r="E42">
            <v>0</v>
          </cell>
          <cell r="F42">
            <v>0</v>
          </cell>
          <cell r="G42">
            <v>0</v>
          </cell>
          <cell r="H42">
            <v>0</v>
          </cell>
          <cell r="I42">
            <v>0</v>
          </cell>
          <cell r="J42">
            <v>0</v>
          </cell>
          <cell r="K42">
            <v>0</v>
          </cell>
          <cell r="L42">
            <v>0</v>
          </cell>
          <cell r="M42">
            <v>0</v>
          </cell>
          <cell r="N42">
            <v>0</v>
          </cell>
          <cell r="O42">
            <v>0</v>
          </cell>
          <cell r="P42" t="str">
            <v>151-42</v>
          </cell>
          <cell r="Q42" t="str">
            <v>10KG</v>
          </cell>
          <cell r="R42">
            <v>0</v>
          </cell>
          <cell r="S42">
            <v>0</v>
          </cell>
          <cell r="T42">
            <v>0</v>
          </cell>
          <cell r="U42">
            <v>0</v>
          </cell>
          <cell r="V42">
            <v>0</v>
          </cell>
          <cell r="W42">
            <v>0</v>
          </cell>
          <cell r="X42">
            <v>0</v>
          </cell>
        </row>
        <row r="43">
          <cell r="A43" t="str">
            <v>151-42</v>
          </cell>
          <cell r="B43" t="str">
            <v>20KG</v>
          </cell>
          <cell r="C43">
            <v>0</v>
          </cell>
          <cell r="D43">
            <v>0</v>
          </cell>
          <cell r="E43">
            <v>0</v>
          </cell>
          <cell r="F43">
            <v>0</v>
          </cell>
          <cell r="G43">
            <v>0</v>
          </cell>
          <cell r="H43">
            <v>0</v>
          </cell>
          <cell r="I43">
            <v>0</v>
          </cell>
          <cell r="J43">
            <v>0</v>
          </cell>
          <cell r="K43">
            <v>0</v>
          </cell>
          <cell r="L43">
            <v>0</v>
          </cell>
          <cell r="M43">
            <v>0</v>
          </cell>
          <cell r="N43">
            <v>0</v>
          </cell>
          <cell r="O43">
            <v>0</v>
          </cell>
          <cell r="P43" t="str">
            <v>151-42</v>
          </cell>
          <cell r="Q43" t="str">
            <v>20KG</v>
          </cell>
          <cell r="R43">
            <v>0</v>
          </cell>
          <cell r="S43">
            <v>0</v>
          </cell>
          <cell r="T43">
            <v>0</v>
          </cell>
          <cell r="U43">
            <v>0</v>
          </cell>
          <cell r="V43">
            <v>0</v>
          </cell>
          <cell r="W43">
            <v>0</v>
          </cell>
          <cell r="X43">
            <v>0</v>
          </cell>
        </row>
        <row r="44">
          <cell r="A44" t="str">
            <v>151-42</v>
          </cell>
          <cell r="B44" t="str">
            <v>40KG</v>
          </cell>
          <cell r="C44">
            <v>0</v>
          </cell>
          <cell r="D44">
            <v>0</v>
          </cell>
          <cell r="E44">
            <v>0</v>
          </cell>
          <cell r="F44">
            <v>0</v>
          </cell>
          <cell r="G44">
            <v>0</v>
          </cell>
          <cell r="H44">
            <v>0</v>
          </cell>
          <cell r="I44">
            <v>0</v>
          </cell>
          <cell r="J44">
            <v>0</v>
          </cell>
          <cell r="K44">
            <v>0</v>
          </cell>
          <cell r="L44">
            <v>0</v>
          </cell>
          <cell r="M44">
            <v>0</v>
          </cell>
          <cell r="N44">
            <v>0</v>
          </cell>
          <cell r="O44">
            <v>0</v>
          </cell>
          <cell r="P44" t="str">
            <v>151-42</v>
          </cell>
          <cell r="Q44" t="str">
            <v>40KG</v>
          </cell>
          <cell r="R44">
            <v>0</v>
          </cell>
          <cell r="S44">
            <v>0</v>
          </cell>
          <cell r="T44">
            <v>0</v>
          </cell>
          <cell r="U44">
            <v>0</v>
          </cell>
          <cell r="V44">
            <v>0</v>
          </cell>
          <cell r="W44">
            <v>0</v>
          </cell>
          <cell r="X44">
            <v>0</v>
          </cell>
        </row>
        <row r="45">
          <cell r="A45">
            <v>988</v>
          </cell>
          <cell r="B45" t="str">
            <v>10KG</v>
          </cell>
          <cell r="C45">
            <v>57.91</v>
          </cell>
          <cell r="D45">
            <v>2.1359466806333702</v>
          </cell>
          <cell r="E45">
            <v>2701.6159557934725</v>
          </cell>
          <cell r="F45">
            <v>50.86</v>
          </cell>
          <cell r="G45">
            <v>2.4150964898951526</v>
          </cell>
          <cell r="H45">
            <v>2715.8666928824227</v>
          </cell>
          <cell r="I45">
            <v>0.27914980926178234</v>
          </cell>
          <cell r="J45">
            <v>14.250737088950245</v>
          </cell>
          <cell r="K45">
            <v>7.5415557875833565</v>
          </cell>
          <cell r="L45">
            <v>0.34416905121942398</v>
          </cell>
          <cell r="M45">
            <v>7.8857248388027799</v>
          </cell>
          <cell r="N45">
            <v>0</v>
          </cell>
          <cell r="O45">
            <v>0</v>
          </cell>
          <cell r="P45">
            <v>988</v>
          </cell>
          <cell r="Q45" t="str">
            <v>10KG</v>
          </cell>
          <cell r="R45">
            <v>54.33</v>
          </cell>
          <cell r="S45">
            <v>1.9094882199021883</v>
          </cell>
          <cell r="T45">
            <v>2694.5199705503405</v>
          </cell>
          <cell r="U45">
            <v>60.99</v>
          </cell>
          <cell r="V45">
            <v>2.6391857858706844</v>
          </cell>
          <cell r="W45">
            <v>2712.3172651254299</v>
          </cell>
          <cell r="X45">
            <v>0.72969756596849611</v>
          </cell>
        </row>
        <row r="46">
          <cell r="A46">
            <v>988</v>
          </cell>
          <cell r="B46" t="str">
            <v>20KG</v>
          </cell>
          <cell r="C46">
            <v>0</v>
          </cell>
          <cell r="D46">
            <v>0</v>
          </cell>
          <cell r="E46">
            <v>0</v>
          </cell>
          <cell r="F46">
            <v>0</v>
          </cell>
          <cell r="G46">
            <v>0</v>
          </cell>
          <cell r="H46">
            <v>0</v>
          </cell>
          <cell r="I46">
            <v>0</v>
          </cell>
          <cell r="J46">
            <v>0</v>
          </cell>
          <cell r="K46">
            <v>0</v>
          </cell>
          <cell r="L46">
            <v>0</v>
          </cell>
          <cell r="M46">
            <v>0</v>
          </cell>
          <cell r="N46">
            <v>0</v>
          </cell>
          <cell r="O46">
            <v>0</v>
          </cell>
          <cell r="P46">
            <v>988</v>
          </cell>
          <cell r="Q46" t="str">
            <v>20KG</v>
          </cell>
          <cell r="R46">
            <v>0</v>
          </cell>
          <cell r="S46">
            <v>0</v>
          </cell>
          <cell r="T46">
            <v>0</v>
          </cell>
          <cell r="U46">
            <v>0</v>
          </cell>
          <cell r="V46">
            <v>0</v>
          </cell>
          <cell r="W46">
            <v>0</v>
          </cell>
          <cell r="X46">
            <v>0</v>
          </cell>
        </row>
        <row r="47">
          <cell r="A47">
            <v>988</v>
          </cell>
          <cell r="B47" t="str">
            <v>40KG</v>
          </cell>
          <cell r="C47">
            <v>139.80000000000001</v>
          </cell>
          <cell r="D47">
            <v>5.1563692963658294</v>
          </cell>
          <cell r="E47">
            <v>2676.5959942775385</v>
          </cell>
          <cell r="F47">
            <v>105.47999999999999</v>
          </cell>
          <cell r="G47">
            <v>5.0087372739705209</v>
          </cell>
          <cell r="H47">
            <v>2676.511660978385</v>
          </cell>
          <cell r="I47">
            <v>-0.14763202239530848</v>
          </cell>
          <cell r="J47">
            <v>-8.4333299153513508E-2</v>
          </cell>
          <cell r="K47">
            <v>-3.951512797703745</v>
          </cell>
          <cell r="L47">
            <v>-4.2240333890710968E-3</v>
          </cell>
          <cell r="M47">
            <v>-3.9557368310928176</v>
          </cell>
          <cell r="N47">
            <v>0</v>
          </cell>
          <cell r="O47">
            <v>0</v>
          </cell>
          <cell r="P47">
            <v>988</v>
          </cell>
          <cell r="Q47" t="str">
            <v>40KG</v>
          </cell>
          <cell r="R47">
            <v>134.52000000000001</v>
          </cell>
          <cell r="S47">
            <v>4.7278548746777549</v>
          </cell>
          <cell r="T47">
            <v>2664.8699821587866</v>
          </cell>
          <cell r="U47">
            <v>121.52</v>
          </cell>
          <cell r="V47">
            <v>5.2584662518282599</v>
          </cell>
          <cell r="W47">
            <v>2674.530036208032</v>
          </cell>
          <cell r="X47">
            <v>0.53061137715050499</v>
          </cell>
        </row>
        <row r="48">
          <cell r="A48" t="str">
            <v>551SS</v>
          </cell>
          <cell r="B48" t="str">
            <v>20KG</v>
          </cell>
          <cell r="C48">
            <v>0</v>
          </cell>
          <cell r="D48">
            <v>0</v>
          </cell>
          <cell r="E48">
            <v>0</v>
          </cell>
          <cell r="F48">
            <v>5.74</v>
          </cell>
          <cell r="G48">
            <v>0.27256495973256345</v>
          </cell>
          <cell r="H48">
            <v>2394.9808362369345</v>
          </cell>
          <cell r="I48">
            <v>0.27256495973256345</v>
          </cell>
          <cell r="J48">
            <v>2394.9808362369345</v>
          </cell>
          <cell r="K48">
            <v>0</v>
          </cell>
          <cell r="L48">
            <v>6.5278785518918117</v>
          </cell>
          <cell r="M48">
            <v>6.5278785518918117</v>
          </cell>
          <cell r="N48">
            <v>0</v>
          </cell>
          <cell r="O48">
            <v>0</v>
          </cell>
          <cell r="P48" t="str">
            <v>551SS</v>
          </cell>
          <cell r="Q48" t="str">
            <v>20KG</v>
          </cell>
          <cell r="R48">
            <v>0</v>
          </cell>
          <cell r="S48">
            <v>0</v>
          </cell>
          <cell r="T48">
            <v>0</v>
          </cell>
          <cell r="U48">
            <v>5.08</v>
          </cell>
          <cell r="V48">
            <v>0.21982396773607277</v>
          </cell>
          <cell r="W48">
            <v>2394.98031496063</v>
          </cell>
          <cell r="X48">
            <v>0.21982396773607277</v>
          </cell>
        </row>
        <row r="49">
          <cell r="A49" t="str">
            <v>551S</v>
          </cell>
          <cell r="B49" t="str">
            <v>40KG</v>
          </cell>
          <cell r="C49">
            <v>244.12</v>
          </cell>
          <cell r="D49">
            <v>9.0040978013506887</v>
          </cell>
          <cell r="E49">
            <v>1860.8271751597572</v>
          </cell>
          <cell r="F49">
            <v>211.12</v>
          </cell>
          <cell r="G49">
            <v>10.025072177480626</v>
          </cell>
          <cell r="H49">
            <v>1900.1967601364149</v>
          </cell>
          <cell r="I49">
            <v>1.0209743761299368</v>
          </cell>
          <cell r="J49">
            <v>39.369584976657734</v>
          </cell>
          <cell r="K49">
            <v>18.998568642443658</v>
          </cell>
          <cell r="L49">
            <v>3.9468293098845066</v>
          </cell>
          <cell r="M49">
            <v>22.945397952328168</v>
          </cell>
          <cell r="N49">
            <v>0</v>
          </cell>
          <cell r="O49">
            <v>0</v>
          </cell>
          <cell r="P49" t="str">
            <v>551S</v>
          </cell>
          <cell r="Q49" t="str">
            <v>40KG</v>
          </cell>
          <cell r="R49">
            <v>255.95999999999998</v>
          </cell>
          <cell r="S49">
            <v>8.9959986152432201</v>
          </cell>
          <cell r="T49">
            <v>1853.5</v>
          </cell>
          <cell r="U49">
            <v>225.51999999999998</v>
          </cell>
          <cell r="V49">
            <v>9.7587994495746315</v>
          </cell>
          <cell r="W49">
            <v>1893.4400053210361</v>
          </cell>
          <cell r="X49">
            <v>0.76280083433141144</v>
          </cell>
        </row>
        <row r="50">
          <cell r="A50" t="str">
            <v>950S(20)</v>
          </cell>
          <cell r="B50" t="str">
            <v>10KG</v>
          </cell>
          <cell r="C50">
            <v>0</v>
          </cell>
          <cell r="D50">
            <v>0</v>
          </cell>
          <cell r="E50">
            <v>0</v>
          </cell>
          <cell r="F50">
            <v>0</v>
          </cell>
          <cell r="G50">
            <v>0</v>
          </cell>
          <cell r="H50">
            <v>0</v>
          </cell>
          <cell r="I50">
            <v>0</v>
          </cell>
          <cell r="J50">
            <v>0</v>
          </cell>
          <cell r="K50">
            <v>0</v>
          </cell>
          <cell r="L50">
            <v>0</v>
          </cell>
          <cell r="M50">
            <v>0</v>
          </cell>
          <cell r="N50">
            <v>0</v>
          </cell>
          <cell r="O50">
            <v>0</v>
          </cell>
          <cell r="P50" t="str">
            <v>950S(20)</v>
          </cell>
          <cell r="Q50" t="str">
            <v>10KG</v>
          </cell>
          <cell r="R50">
            <v>0</v>
          </cell>
          <cell r="S50">
            <v>0</v>
          </cell>
          <cell r="T50">
            <v>0</v>
          </cell>
          <cell r="U50">
            <v>0</v>
          </cell>
          <cell r="V50">
            <v>0</v>
          </cell>
          <cell r="W50">
            <v>0</v>
          </cell>
          <cell r="X50">
            <v>0</v>
          </cell>
        </row>
        <row r="51">
          <cell r="A51" t="str">
            <v>950S-20</v>
          </cell>
          <cell r="B51" t="str">
            <v>20KG</v>
          </cell>
          <cell r="C51">
            <v>0</v>
          </cell>
          <cell r="D51">
            <v>0</v>
          </cell>
          <cell r="E51">
            <v>0</v>
          </cell>
          <cell r="F51">
            <v>0</v>
          </cell>
          <cell r="G51">
            <v>0</v>
          </cell>
          <cell r="H51">
            <v>0</v>
          </cell>
          <cell r="I51">
            <v>0</v>
          </cell>
          <cell r="J51">
            <v>0</v>
          </cell>
          <cell r="K51">
            <v>0</v>
          </cell>
          <cell r="L51">
            <v>0</v>
          </cell>
          <cell r="M51">
            <v>0</v>
          </cell>
          <cell r="N51">
            <v>0</v>
          </cell>
          <cell r="O51">
            <v>0</v>
          </cell>
          <cell r="P51" t="str">
            <v>950S-20</v>
          </cell>
          <cell r="Q51" t="str">
            <v>20KG</v>
          </cell>
          <cell r="R51">
            <v>0</v>
          </cell>
          <cell r="S51">
            <v>0</v>
          </cell>
          <cell r="T51">
            <v>0</v>
          </cell>
          <cell r="U51">
            <v>0</v>
          </cell>
          <cell r="V51">
            <v>0</v>
          </cell>
          <cell r="W51">
            <v>0</v>
          </cell>
          <cell r="X51">
            <v>0</v>
          </cell>
        </row>
        <row r="52">
          <cell r="A52" t="str">
            <v>950S(20)</v>
          </cell>
          <cell r="B52" t="str">
            <v>40KG</v>
          </cell>
          <cell r="C52">
            <v>0</v>
          </cell>
          <cell r="D52">
            <v>0</v>
          </cell>
          <cell r="E52">
            <v>0</v>
          </cell>
          <cell r="F52">
            <v>0</v>
          </cell>
          <cell r="G52">
            <v>0</v>
          </cell>
          <cell r="H52">
            <v>0</v>
          </cell>
          <cell r="I52">
            <v>0</v>
          </cell>
          <cell r="J52">
            <v>0</v>
          </cell>
          <cell r="K52">
            <v>0</v>
          </cell>
          <cell r="L52">
            <v>0</v>
          </cell>
          <cell r="M52">
            <v>0</v>
          </cell>
          <cell r="N52">
            <v>0</v>
          </cell>
          <cell r="O52">
            <v>0</v>
          </cell>
          <cell r="P52" t="str">
            <v>950S(20)</v>
          </cell>
          <cell r="Q52" t="str">
            <v>40KG</v>
          </cell>
          <cell r="R52">
            <v>0</v>
          </cell>
          <cell r="S52">
            <v>0</v>
          </cell>
          <cell r="T52">
            <v>0</v>
          </cell>
          <cell r="U52">
            <v>0</v>
          </cell>
          <cell r="V52">
            <v>0</v>
          </cell>
          <cell r="W52">
            <v>0</v>
          </cell>
          <cell r="X52">
            <v>0</v>
          </cell>
        </row>
        <row r="53">
          <cell r="A53" t="str">
            <v>950S(22)</v>
          </cell>
          <cell r="B53" t="str">
            <v>10KG</v>
          </cell>
          <cell r="C53">
            <v>3.7</v>
          </cell>
          <cell r="D53">
            <v>0.1364704320211271</v>
          </cell>
          <cell r="E53">
            <v>2670.5621621621617</v>
          </cell>
          <cell r="F53">
            <v>0</v>
          </cell>
          <cell r="G53">
            <v>0</v>
          </cell>
          <cell r="H53">
            <v>0</v>
          </cell>
          <cell r="I53">
            <v>-0.1364704320211271</v>
          </cell>
          <cell r="J53">
            <v>-2670.5621621621617</v>
          </cell>
          <cell r="K53">
            <v>-3.6445277200954553</v>
          </cell>
          <cell r="L53">
            <v>0</v>
          </cell>
          <cell r="M53">
            <v>-3.6445277200954553</v>
          </cell>
          <cell r="N53">
            <v>0</v>
          </cell>
          <cell r="O53">
            <v>0</v>
          </cell>
          <cell r="P53" t="str">
            <v>950S(22)</v>
          </cell>
          <cell r="Q53" t="str">
            <v>10KG</v>
          </cell>
          <cell r="R53">
            <v>4.46</v>
          </cell>
          <cell r="S53">
            <v>0.15675165582116252</v>
          </cell>
          <cell r="T53">
            <v>2633.0829596412559</v>
          </cell>
          <cell r="U53">
            <v>0</v>
          </cell>
          <cell r="V53">
            <v>0</v>
          </cell>
          <cell r="W53">
            <v>0</v>
          </cell>
          <cell r="X53">
            <v>-0.15675165582116252</v>
          </cell>
        </row>
        <row r="54">
          <cell r="A54" t="str">
            <v>950S(22)</v>
          </cell>
          <cell r="B54" t="str">
            <v>20KG</v>
          </cell>
          <cell r="C54">
            <v>0</v>
          </cell>
          <cell r="D54">
            <v>0</v>
          </cell>
          <cell r="E54">
            <v>0</v>
          </cell>
          <cell r="F54">
            <v>0</v>
          </cell>
          <cell r="G54">
            <v>0</v>
          </cell>
          <cell r="H54">
            <v>0</v>
          </cell>
          <cell r="I54">
            <v>0</v>
          </cell>
          <cell r="J54">
            <v>0</v>
          </cell>
          <cell r="K54">
            <v>0</v>
          </cell>
          <cell r="L54">
            <v>0</v>
          </cell>
          <cell r="M54">
            <v>0</v>
          </cell>
          <cell r="N54">
            <v>0</v>
          </cell>
          <cell r="O54">
            <v>0</v>
          </cell>
          <cell r="P54" t="str">
            <v>950S(22)</v>
          </cell>
          <cell r="Q54" t="str">
            <v>20KG</v>
          </cell>
          <cell r="R54">
            <v>0</v>
          </cell>
          <cell r="S54">
            <v>0</v>
          </cell>
          <cell r="T54">
            <v>0</v>
          </cell>
          <cell r="U54">
            <v>0</v>
          </cell>
          <cell r="V54">
            <v>0</v>
          </cell>
          <cell r="W54">
            <v>0</v>
          </cell>
          <cell r="X54">
            <v>0</v>
          </cell>
        </row>
        <row r="55">
          <cell r="A55" t="str">
            <v>950S(22)</v>
          </cell>
          <cell r="B55" t="str">
            <v>40KG</v>
          </cell>
          <cell r="C55">
            <v>0</v>
          </cell>
          <cell r="D55">
            <v>0</v>
          </cell>
          <cell r="E55">
            <v>0</v>
          </cell>
          <cell r="F55">
            <v>0</v>
          </cell>
          <cell r="G55">
            <v>0</v>
          </cell>
          <cell r="H55">
            <v>0</v>
          </cell>
          <cell r="I55">
            <v>0</v>
          </cell>
          <cell r="J55">
            <v>0</v>
          </cell>
          <cell r="K55">
            <v>0</v>
          </cell>
          <cell r="L55">
            <v>0</v>
          </cell>
          <cell r="M55">
            <v>0</v>
          </cell>
          <cell r="N55">
            <v>0</v>
          </cell>
          <cell r="O55">
            <v>0</v>
          </cell>
          <cell r="P55" t="str">
            <v>950S(22)</v>
          </cell>
          <cell r="Q55" t="str">
            <v>40KG</v>
          </cell>
          <cell r="R55">
            <v>0</v>
          </cell>
          <cell r="S55">
            <v>0</v>
          </cell>
          <cell r="T55">
            <v>0</v>
          </cell>
          <cell r="U55">
            <v>0</v>
          </cell>
          <cell r="V55">
            <v>0</v>
          </cell>
          <cell r="W55">
            <v>0</v>
          </cell>
          <cell r="X55">
            <v>0</v>
          </cell>
        </row>
        <row r="56">
          <cell r="A56" t="str">
            <v>951S</v>
          </cell>
          <cell r="B56" t="str">
            <v>40KG</v>
          </cell>
          <cell r="C56">
            <v>0</v>
          </cell>
          <cell r="D56">
            <v>0</v>
          </cell>
          <cell r="E56">
            <v>0</v>
          </cell>
          <cell r="F56">
            <v>0</v>
          </cell>
          <cell r="G56">
            <v>0</v>
          </cell>
          <cell r="H56">
            <v>0</v>
          </cell>
          <cell r="I56">
            <v>0</v>
          </cell>
          <cell r="J56">
            <v>0</v>
          </cell>
          <cell r="K56">
            <v>0</v>
          </cell>
          <cell r="L56">
            <v>0</v>
          </cell>
          <cell r="M56">
            <v>0</v>
          </cell>
          <cell r="N56">
            <v>0</v>
          </cell>
          <cell r="O56">
            <v>0</v>
          </cell>
          <cell r="P56" t="str">
            <v>951S</v>
          </cell>
          <cell r="Q56" t="str">
            <v>40KG</v>
          </cell>
          <cell r="R56">
            <v>0</v>
          </cell>
          <cell r="S56">
            <v>0</v>
          </cell>
          <cell r="T56">
            <v>0</v>
          </cell>
          <cell r="U56">
            <v>0</v>
          </cell>
          <cell r="V56">
            <v>0</v>
          </cell>
          <cell r="W56">
            <v>0</v>
          </cell>
          <cell r="X56">
            <v>0</v>
          </cell>
        </row>
        <row r="57">
          <cell r="A57">
            <v>951</v>
          </cell>
          <cell r="B57" t="str">
            <v>40KG</v>
          </cell>
          <cell r="C57">
            <v>48.96</v>
          </cell>
          <cell r="D57">
            <v>1.8058357707444277</v>
          </cell>
          <cell r="E57">
            <v>1789.3970588235295</v>
          </cell>
          <cell r="F57">
            <v>34.96</v>
          </cell>
          <cell r="G57">
            <v>1.6600820543990276</v>
          </cell>
          <cell r="H57">
            <v>1839.6152745995423</v>
          </cell>
          <cell r="I57">
            <v>-0.14575371634540013</v>
          </cell>
          <cell r="J57">
            <v>50.218215776012812</v>
          </cell>
          <cell r="K57">
            <v>-2.6081127134105797</v>
          </cell>
          <cell r="L57">
            <v>0.83366358813697006</v>
          </cell>
          <cell r="M57">
            <v>-1.7744491252736088</v>
          </cell>
          <cell r="N57">
            <v>0</v>
          </cell>
          <cell r="O57">
            <v>0</v>
          </cell>
          <cell r="P57">
            <v>951</v>
          </cell>
          <cell r="Q57" t="str">
            <v>40KG</v>
          </cell>
          <cell r="R57">
            <v>50.12</v>
          </cell>
          <cell r="S57">
            <v>1.7615230918736919</v>
          </cell>
          <cell r="T57">
            <v>1786.1300877893057</v>
          </cell>
          <cell r="U57">
            <v>40.72</v>
          </cell>
          <cell r="V57">
            <v>1.7620535366560792</v>
          </cell>
          <cell r="W57">
            <v>1832.0505893909628</v>
          </cell>
          <cell r="X57">
            <v>5.3044478238728487E-4</v>
          </cell>
        </row>
        <row r="58">
          <cell r="A58">
            <v>551</v>
          </cell>
          <cell r="B58" t="str">
            <v>10KG</v>
          </cell>
          <cell r="C58">
            <v>16.04</v>
          </cell>
          <cell r="D58">
            <v>0.59161776476185901</v>
          </cell>
          <cell r="E58">
            <v>1840.0274314214464</v>
          </cell>
          <cell r="F58">
            <v>17.96</v>
          </cell>
          <cell r="G58">
            <v>0.85283391581826473</v>
          </cell>
          <cell r="H58">
            <v>1874.8853006681511</v>
          </cell>
          <cell r="I58">
            <v>0.26121615105640572</v>
          </cell>
          <cell r="J58">
            <v>34.857869246704695</v>
          </cell>
          <cell r="K58">
            <v>4.8064488347411478</v>
          </cell>
          <cell r="L58">
            <v>0.29727973126748231</v>
          </cell>
          <cell r="M58">
            <v>5.1037285660086305</v>
          </cell>
          <cell r="N58">
            <v>0</v>
          </cell>
          <cell r="O58">
            <v>0</v>
          </cell>
          <cell r="P58">
            <v>551</v>
          </cell>
          <cell r="Q58" t="str">
            <v>10KG</v>
          </cell>
          <cell r="R58">
            <v>16.75</v>
          </cell>
          <cell r="S58">
            <v>0.58869736210862611</v>
          </cell>
          <cell r="T58">
            <v>1836.5301492537315</v>
          </cell>
          <cell r="U58">
            <v>18.630000000000003</v>
          </cell>
          <cell r="V58">
            <v>0.80616545648091265</v>
          </cell>
          <cell r="W58">
            <v>1871.0300590445515</v>
          </cell>
          <cell r="X58">
            <v>0.21746809437228654</v>
          </cell>
        </row>
        <row r="59">
          <cell r="A59">
            <v>551</v>
          </cell>
          <cell r="B59" t="str">
            <v>40KG</v>
          </cell>
          <cell r="C59">
            <v>242.8</v>
          </cell>
          <cell r="D59">
            <v>8.9554110526296373</v>
          </cell>
          <cell r="E59">
            <v>1806.5677512355849</v>
          </cell>
          <cell r="F59">
            <v>162.28</v>
          </cell>
          <cell r="G59">
            <v>7.7058957605227167</v>
          </cell>
          <cell r="H59">
            <v>1848.5056075918164</v>
          </cell>
          <cell r="I59">
            <v>-1.2495152921069206</v>
          </cell>
          <cell r="J59">
            <v>41.937856356231578</v>
          </cell>
          <cell r="K59">
            <v>-22.573340313960742</v>
          </cell>
          <cell r="L59">
            <v>3.2316874950089556</v>
          </cell>
          <cell r="M59">
            <v>-19.34165281895179</v>
          </cell>
          <cell r="N59">
            <v>0</v>
          </cell>
          <cell r="O59">
            <v>0</v>
          </cell>
          <cell r="P59">
            <v>551</v>
          </cell>
          <cell r="Q59" t="str">
            <v>40KG</v>
          </cell>
          <cell r="R59">
            <v>221.68</v>
          </cell>
          <cell r="S59">
            <v>7.7911899243128495</v>
          </cell>
          <cell r="T59">
            <v>1804.0700108264164</v>
          </cell>
          <cell r="U59">
            <v>196.28</v>
          </cell>
          <cell r="V59">
            <v>8.4935134620544019</v>
          </cell>
          <cell r="W59">
            <v>1838.2700224169555</v>
          </cell>
          <cell r="X59">
            <v>0.70232353774155243</v>
          </cell>
        </row>
        <row r="60">
          <cell r="A60">
            <v>552</v>
          </cell>
          <cell r="B60" t="str">
            <v>40KG</v>
          </cell>
          <cell r="C60">
            <v>20.440000000000001</v>
          </cell>
          <cell r="D60">
            <v>0.75390692716536156</v>
          </cell>
          <cell r="E60">
            <v>1451.043542074364</v>
          </cell>
          <cell r="F60">
            <v>24.4</v>
          </cell>
          <cell r="G60">
            <v>1.1586385047865067</v>
          </cell>
          <cell r="H60">
            <v>1508.8389344262298</v>
          </cell>
          <cell r="I60">
            <v>0.40473157762114509</v>
          </cell>
          <cell r="J60">
            <v>57.795392351865758</v>
          </cell>
          <cell r="K60">
            <v>5.8728314198073175</v>
          </cell>
          <cell r="L60">
            <v>0.66963966978115241</v>
          </cell>
          <cell r="M60">
            <v>6.542471089588469</v>
          </cell>
          <cell r="N60">
            <v>0</v>
          </cell>
          <cell r="O60">
            <v>0</v>
          </cell>
          <cell r="P60">
            <v>552</v>
          </cell>
          <cell r="Q60" t="str">
            <v>40KG</v>
          </cell>
          <cell r="R60">
            <v>18.64</v>
          </cell>
          <cell r="S60">
            <v>0.65512351222118148</v>
          </cell>
          <cell r="T60">
            <v>1449.0901287553647</v>
          </cell>
          <cell r="U60">
            <v>26.48</v>
          </cell>
          <cell r="V60">
            <v>1.1458540680415761</v>
          </cell>
          <cell r="W60">
            <v>1502.6098942598187</v>
          </cell>
          <cell r="X60">
            <v>0.4907305558203946</v>
          </cell>
        </row>
        <row r="61">
          <cell r="A61">
            <v>553</v>
          </cell>
          <cell r="B61" t="str">
            <v>40KG</v>
          </cell>
          <cell r="C61">
            <v>0</v>
          </cell>
          <cell r="D61">
            <v>0</v>
          </cell>
          <cell r="E61">
            <v>0</v>
          </cell>
          <cell r="F61">
            <v>0</v>
          </cell>
          <cell r="G61">
            <v>0</v>
          </cell>
          <cell r="H61">
            <v>0</v>
          </cell>
          <cell r="I61">
            <v>0</v>
          </cell>
          <cell r="J61">
            <v>0</v>
          </cell>
          <cell r="K61">
            <v>0</v>
          </cell>
          <cell r="L61">
            <v>0</v>
          </cell>
          <cell r="M61">
            <v>0</v>
          </cell>
          <cell r="N61">
            <v>0</v>
          </cell>
          <cell r="O61">
            <v>0</v>
          </cell>
          <cell r="P61">
            <v>553</v>
          </cell>
          <cell r="Q61" t="str">
            <v>40KG</v>
          </cell>
          <cell r="R61">
            <v>0</v>
          </cell>
          <cell r="S61">
            <v>0</v>
          </cell>
          <cell r="T61">
            <v>0</v>
          </cell>
          <cell r="U61">
            <v>0</v>
          </cell>
          <cell r="V61">
            <v>0</v>
          </cell>
          <cell r="W61">
            <v>0</v>
          </cell>
          <cell r="X61">
            <v>0</v>
          </cell>
        </row>
        <row r="62">
          <cell r="A62">
            <v>555</v>
          </cell>
          <cell r="B62" t="str">
            <v>40KG</v>
          </cell>
          <cell r="C62">
            <v>4.28</v>
          </cell>
          <cell r="D62">
            <v>0.15786309433795243</v>
          </cell>
          <cell r="E62">
            <v>1247.5560747663551</v>
          </cell>
          <cell r="F62">
            <v>8.48</v>
          </cell>
          <cell r="G62">
            <v>0.40267436559793346</v>
          </cell>
          <cell r="H62">
            <v>1293.4150943396226</v>
          </cell>
          <cell r="I62">
            <v>0.24481127125998103</v>
          </cell>
          <cell r="J62">
            <v>45.85901957326746</v>
          </cell>
          <cell r="K62">
            <v>3.0541578863166334</v>
          </cell>
          <cell r="L62">
            <v>0.18466251613608686</v>
          </cell>
          <cell r="M62">
            <v>3.2388204024527205</v>
          </cell>
          <cell r="N62">
            <v>0</v>
          </cell>
          <cell r="O62">
            <v>0</v>
          </cell>
          <cell r="P62">
            <v>555</v>
          </cell>
          <cell r="Q62" t="str">
            <v>40KG</v>
          </cell>
          <cell r="R62">
            <v>6.72</v>
          </cell>
          <cell r="S62">
            <v>0.23618186706686373</v>
          </cell>
          <cell r="T62">
            <v>1245.3303571428573</v>
          </cell>
          <cell r="U62">
            <v>10.6</v>
          </cell>
          <cell r="V62">
            <v>0.45868780669338016</v>
          </cell>
          <cell r="W62">
            <v>1282.4000000000001</v>
          </cell>
          <cell r="X62">
            <v>0.22250593962651644</v>
          </cell>
        </row>
        <row r="63">
          <cell r="A63">
            <v>851</v>
          </cell>
          <cell r="B63" t="str">
            <v>10KG</v>
          </cell>
          <cell r="C63">
            <v>0</v>
          </cell>
          <cell r="D63">
            <v>0</v>
          </cell>
          <cell r="E63">
            <v>0</v>
          </cell>
          <cell r="F63">
            <v>0</v>
          </cell>
          <cell r="G63">
            <v>0</v>
          </cell>
          <cell r="H63">
            <v>0</v>
          </cell>
          <cell r="I63">
            <v>0</v>
          </cell>
          <cell r="J63">
            <v>0</v>
          </cell>
          <cell r="K63">
            <v>0</v>
          </cell>
          <cell r="L63">
            <v>0</v>
          </cell>
          <cell r="M63">
            <v>0</v>
          </cell>
          <cell r="N63">
            <v>0</v>
          </cell>
          <cell r="O63">
            <v>0</v>
          </cell>
          <cell r="P63">
            <v>851</v>
          </cell>
          <cell r="Q63" t="str">
            <v>10KG</v>
          </cell>
          <cell r="R63">
            <v>0</v>
          </cell>
          <cell r="S63">
            <v>0</v>
          </cell>
          <cell r="T63">
            <v>0</v>
          </cell>
          <cell r="U63">
            <v>0</v>
          </cell>
          <cell r="V63">
            <v>0</v>
          </cell>
          <cell r="W63">
            <v>0</v>
          </cell>
          <cell r="X63">
            <v>0</v>
          </cell>
        </row>
        <row r="64">
          <cell r="A64">
            <v>851</v>
          </cell>
          <cell r="B64" t="str">
            <v>40KG</v>
          </cell>
          <cell r="C64">
            <v>53.120000000000005</v>
          </cell>
          <cell r="D64">
            <v>1.9592727970168304</v>
          </cell>
          <cell r="E64">
            <v>1657.8166415662652</v>
          </cell>
          <cell r="F64">
            <v>32.880000000000003</v>
          </cell>
          <cell r="G64">
            <v>1.5613128703844401</v>
          </cell>
          <cell r="H64">
            <v>1683.9644160583941</v>
          </cell>
          <cell r="I64">
            <v>-0.39795992663239033</v>
          </cell>
          <cell r="J64">
            <v>26.147774492128974</v>
          </cell>
          <cell r="K64">
            <v>-6.5974458904766662</v>
          </cell>
          <cell r="L64">
            <v>0.40824856846470936</v>
          </cell>
          <cell r="M64">
            <v>-6.1891973220119549</v>
          </cell>
          <cell r="N64">
            <v>0</v>
          </cell>
          <cell r="O64">
            <v>0</v>
          </cell>
          <cell r="P64">
            <v>851</v>
          </cell>
          <cell r="Q64" t="str">
            <v>40KG</v>
          </cell>
          <cell r="R64">
            <v>47.92</v>
          </cell>
          <cell r="S64">
            <v>1.6842016472982309</v>
          </cell>
          <cell r="T64">
            <v>1657.9000417362272</v>
          </cell>
          <cell r="U64">
            <v>43.760000000000005</v>
          </cell>
          <cell r="V64">
            <v>1.8936017378209733</v>
          </cell>
          <cell r="W64">
            <v>1676.9099634369286</v>
          </cell>
          <cell r="X64">
            <v>0.20940009052274244</v>
          </cell>
        </row>
        <row r="65">
          <cell r="A65">
            <v>852</v>
          </cell>
          <cell r="B65" t="str">
            <v>40KG</v>
          </cell>
          <cell r="C65">
            <v>0</v>
          </cell>
          <cell r="D65">
            <v>0</v>
          </cell>
          <cell r="E65">
            <v>0</v>
          </cell>
          <cell r="F65">
            <v>0</v>
          </cell>
          <cell r="G65">
            <v>0</v>
          </cell>
          <cell r="H65">
            <v>0</v>
          </cell>
          <cell r="I65">
            <v>0</v>
          </cell>
          <cell r="J65">
            <v>0</v>
          </cell>
          <cell r="K65">
            <v>0</v>
          </cell>
          <cell r="L65">
            <v>0</v>
          </cell>
          <cell r="M65">
            <v>0</v>
          </cell>
          <cell r="N65">
            <v>0</v>
          </cell>
          <cell r="O65">
            <v>0</v>
          </cell>
          <cell r="P65">
            <v>852</v>
          </cell>
          <cell r="Q65" t="str">
            <v>40KG</v>
          </cell>
          <cell r="R65">
            <v>0</v>
          </cell>
          <cell r="S65">
            <v>0</v>
          </cell>
          <cell r="T65">
            <v>0</v>
          </cell>
          <cell r="U65">
            <v>0</v>
          </cell>
          <cell r="V65">
            <v>0</v>
          </cell>
          <cell r="W65">
            <v>0</v>
          </cell>
          <cell r="X65">
            <v>0</v>
          </cell>
        </row>
        <row r="66">
          <cell r="A66" t="str">
            <v>浓缩猪料</v>
          </cell>
          <cell r="B66">
            <v>0</v>
          </cell>
          <cell r="C66">
            <v>332.82000000000005</v>
          </cell>
          <cell r="D66">
            <v>12.275699779803114</v>
          </cell>
          <cell r="E66">
            <v>2647.6649840754753</v>
          </cell>
          <cell r="F66">
            <v>253.28</v>
          </cell>
          <cell r="G66">
            <v>12.027047561160916</v>
          </cell>
          <cell r="H66">
            <v>2651.1461228679723</v>
          </cell>
          <cell r="I66">
            <v>0</v>
          </cell>
          <cell r="J66">
            <v>0</v>
          </cell>
          <cell r="K66">
            <v>0</v>
          </cell>
          <cell r="L66">
            <v>0</v>
          </cell>
          <cell r="M66">
            <v>-6.1647995068726233</v>
          </cell>
          <cell r="N66">
            <v>0</v>
          </cell>
          <cell r="O66">
            <v>0</v>
          </cell>
          <cell r="P66" t="str">
            <v>浓缩猪料</v>
          </cell>
          <cell r="Q66">
            <v>0</v>
          </cell>
          <cell r="R66">
            <v>323.93000000000006</v>
          </cell>
          <cell r="S66">
            <v>11.384879791513271</v>
          </cell>
          <cell r="T66">
            <v>2632.9913870280607</v>
          </cell>
          <cell r="U66">
            <v>298.11</v>
          </cell>
          <cell r="V66">
            <v>12.899945476732414</v>
          </cell>
          <cell r="W66">
            <v>2648.8630035892793</v>
          </cell>
        </row>
        <row r="67">
          <cell r="A67" t="str">
            <v>全价猪料</v>
          </cell>
          <cell r="B67">
            <v>0</v>
          </cell>
          <cell r="C67">
            <v>633.46</v>
          </cell>
          <cell r="D67">
            <v>23.364475640027884</v>
          </cell>
          <cell r="E67">
            <v>1804.3220882139358</v>
          </cell>
          <cell r="F67">
            <v>497.81999999999994</v>
          </cell>
          <cell r="G67">
            <v>23.639074608722073</v>
          </cell>
          <cell r="H67">
            <v>1840.0841468803983</v>
          </cell>
          <cell r="I67">
            <v>0</v>
          </cell>
          <cell r="J67">
            <v>0</v>
          </cell>
          <cell r="K67">
            <v>0</v>
          </cell>
          <cell r="L67">
            <v>0</v>
          </cell>
          <cell r="M67">
            <v>13.408469575936978</v>
          </cell>
          <cell r="N67">
            <v>0</v>
          </cell>
          <cell r="O67">
            <v>0</v>
          </cell>
          <cell r="P67" t="str">
            <v>全价猪料</v>
          </cell>
          <cell r="Q67">
            <v>0</v>
          </cell>
          <cell r="R67">
            <v>622.25</v>
          </cell>
          <cell r="S67">
            <v>21.869667675945827</v>
          </cell>
          <cell r="T67">
            <v>1801.8490960224992</v>
          </cell>
          <cell r="U67">
            <v>567.07000000000005</v>
          </cell>
          <cell r="V67">
            <v>24.538499485058029</v>
          </cell>
          <cell r="W67">
            <v>1827.311002169045</v>
          </cell>
        </row>
        <row r="68">
          <cell r="A68" t="str">
            <v>猪料合计</v>
          </cell>
          <cell r="B68">
            <v>0</v>
          </cell>
          <cell r="C68">
            <v>966.28000000000009</v>
          </cell>
          <cell r="D68">
            <v>35.640175419830996</v>
          </cell>
          <cell r="E68">
            <v>2094.7983296766979</v>
          </cell>
          <cell r="F68">
            <v>751.09999999999991</v>
          </cell>
          <cell r="G68">
            <v>35.666122169882989</v>
          </cell>
          <cell r="H68">
            <v>2113.584050059912</v>
          </cell>
          <cell r="I68">
            <v>0</v>
          </cell>
          <cell r="J68">
            <v>0</v>
          </cell>
          <cell r="K68">
            <v>-9.1661090253297424</v>
          </cell>
          <cell r="L68">
            <v>16.4097790943941</v>
          </cell>
          <cell r="M68">
            <v>7.2436700690642466</v>
          </cell>
          <cell r="N68">
            <v>7.2436700690643541</v>
          </cell>
          <cell r="O68">
            <v>0</v>
          </cell>
          <cell r="P68" t="str">
            <v>猪料合计</v>
          </cell>
          <cell r="Q68">
            <v>0</v>
          </cell>
          <cell r="R68">
            <v>946.18000000000006</v>
          </cell>
          <cell r="S68">
            <v>33.254547467459098</v>
          </cell>
          <cell r="T68">
            <v>2086.3952947642097</v>
          </cell>
          <cell r="U68">
            <v>865.18000000000006</v>
          </cell>
          <cell r="V68">
            <v>37.438444961790438</v>
          </cell>
          <cell r="W68">
            <v>2110.3883584918749</v>
          </cell>
        </row>
        <row r="69">
          <cell r="A69" t="str">
            <v>549F</v>
          </cell>
          <cell r="B69" t="str">
            <v>40KG</v>
          </cell>
          <cell r="C69">
            <v>273.76</v>
          </cell>
          <cell r="D69">
            <v>10.097336613541556</v>
          </cell>
          <cell r="E69">
            <v>1380.7088325540619</v>
          </cell>
          <cell r="F69">
            <v>151.16</v>
          </cell>
          <cell r="G69">
            <v>7.1778605075216522</v>
          </cell>
          <cell r="H69">
            <v>1415.6890711828528</v>
          </cell>
          <cell r="I69">
            <v>-2.9194761060199035</v>
          </cell>
          <cell r="J69">
            <v>34.980238628790858</v>
          </cell>
          <cell r="K69">
            <v>-40.3094644601222</v>
          </cell>
          <cell r="L69">
            <v>2.5108327339728125</v>
          </cell>
          <cell r="M69">
            <v>-37.798631726149381</v>
          </cell>
          <cell r="N69">
            <v>0</v>
          </cell>
          <cell r="O69">
            <v>0</v>
          </cell>
          <cell r="P69" t="str">
            <v>549F</v>
          </cell>
          <cell r="Q69" t="str">
            <v>40KG</v>
          </cell>
          <cell r="R69">
            <v>353.4</v>
          </cell>
          <cell r="S69">
            <v>12.420635687712743</v>
          </cell>
          <cell r="T69">
            <v>1382.0599886813809</v>
          </cell>
          <cell r="U69">
            <v>178.48</v>
          </cell>
          <cell r="V69">
            <v>7.7232641262862725</v>
          </cell>
          <cell r="W69">
            <v>1410.5327207530256</v>
          </cell>
          <cell r="X69">
            <v>-4.6973715614264702</v>
          </cell>
        </row>
        <row r="70">
          <cell r="A70" t="str">
            <v>549LF</v>
          </cell>
          <cell r="B70" t="str">
            <v>40KG</v>
          </cell>
          <cell r="C70">
            <v>18.16</v>
          </cell>
          <cell r="D70">
            <v>0.66981163391991028</v>
          </cell>
          <cell r="E70">
            <v>1413.0947136563877</v>
          </cell>
          <cell r="F70">
            <v>26.360000000000003</v>
          </cell>
          <cell r="G70">
            <v>1.2517094666464064</v>
          </cell>
          <cell r="H70">
            <v>1446.1092564491655</v>
          </cell>
          <cell r="I70">
            <v>0.58189783272649609</v>
          </cell>
          <cell r="J70">
            <v>33.014542792777775</v>
          </cell>
          <cell r="K70">
            <v>8.2227675131392068</v>
          </cell>
          <cell r="L70">
            <v>0.41324615750722826</v>
          </cell>
          <cell r="M70">
            <v>8.6360136706464345</v>
          </cell>
          <cell r="N70">
            <v>0</v>
          </cell>
          <cell r="O70">
            <v>0</v>
          </cell>
          <cell r="P70" t="str">
            <v>549LF</v>
          </cell>
          <cell r="Q70" t="str">
            <v>40KG</v>
          </cell>
          <cell r="R70">
            <v>18.600000000000001</v>
          </cell>
          <cell r="S70">
            <v>0.65371766777435503</v>
          </cell>
          <cell r="T70">
            <v>1399.4801075268817</v>
          </cell>
          <cell r="U70">
            <v>30</v>
          </cell>
          <cell r="V70">
            <v>1.2981730378114533</v>
          </cell>
          <cell r="W70">
            <v>1435.65</v>
          </cell>
          <cell r="X70">
            <v>0.6444553700370983</v>
          </cell>
        </row>
        <row r="71">
          <cell r="A71">
            <v>543</v>
          </cell>
          <cell r="B71" t="str">
            <v>40KG</v>
          </cell>
          <cell r="C71">
            <v>0</v>
          </cell>
          <cell r="D71">
            <v>0</v>
          </cell>
          <cell r="E71">
            <v>0</v>
          </cell>
          <cell r="F71">
            <v>0</v>
          </cell>
          <cell r="G71">
            <v>0</v>
          </cell>
          <cell r="H71">
            <v>0</v>
          </cell>
          <cell r="I71">
            <v>0</v>
          </cell>
          <cell r="J71">
            <v>0</v>
          </cell>
          <cell r="K71">
            <v>0</v>
          </cell>
          <cell r="L71">
            <v>0</v>
          </cell>
          <cell r="M71">
            <v>0</v>
          </cell>
          <cell r="N71">
            <v>0</v>
          </cell>
          <cell r="O71">
            <v>0</v>
          </cell>
          <cell r="P71">
            <v>543</v>
          </cell>
          <cell r="Q71" t="str">
            <v>40KG</v>
          </cell>
          <cell r="R71">
            <v>0</v>
          </cell>
          <cell r="S71">
            <v>0</v>
          </cell>
          <cell r="T71">
            <v>0</v>
          </cell>
          <cell r="U71">
            <v>0</v>
          </cell>
          <cell r="V71">
            <v>0</v>
          </cell>
          <cell r="W71">
            <v>0</v>
          </cell>
          <cell r="X71">
            <v>0</v>
          </cell>
        </row>
        <row r="72">
          <cell r="A72">
            <v>544</v>
          </cell>
          <cell r="B72" t="str">
            <v>40KG</v>
          </cell>
          <cell r="C72">
            <v>10.24</v>
          </cell>
          <cell r="D72">
            <v>0.37769114159360584</v>
          </cell>
          <cell r="E72">
            <v>1441.4580078125</v>
          </cell>
          <cell r="F72">
            <v>20.04</v>
          </cell>
          <cell r="G72">
            <v>0.95160309983285207</v>
          </cell>
          <cell r="H72">
            <v>1514.9466067864271</v>
          </cell>
          <cell r="I72">
            <v>0.57391195823924623</v>
          </cell>
          <cell r="J72">
            <v>73.488598973927083</v>
          </cell>
          <cell r="K72">
            <v>8.2726998798331461</v>
          </cell>
          <cell r="L72">
            <v>0.69931978585962373</v>
          </cell>
          <cell r="M72">
            <v>8.9720196656927698</v>
          </cell>
          <cell r="N72">
            <v>0</v>
          </cell>
          <cell r="O72">
            <v>0</v>
          </cell>
          <cell r="P72">
            <v>544</v>
          </cell>
          <cell r="Q72" t="str">
            <v>40KG</v>
          </cell>
          <cell r="R72">
            <v>10.24</v>
          </cell>
          <cell r="S72">
            <v>0.35989617838760185</v>
          </cell>
          <cell r="T72">
            <v>1441.4580078124998</v>
          </cell>
          <cell r="U72">
            <v>20.04</v>
          </cell>
          <cell r="V72">
            <v>0.86717958925805072</v>
          </cell>
          <cell r="W72">
            <v>1514.9466067864271</v>
          </cell>
          <cell r="X72">
            <v>0.50728341087044893</v>
          </cell>
        </row>
        <row r="73">
          <cell r="A73" t="str">
            <v>547M</v>
          </cell>
          <cell r="B73" t="str">
            <v>40KG</v>
          </cell>
          <cell r="C73">
            <v>29.96</v>
          </cell>
          <cell r="D73">
            <v>1.105041660365667</v>
          </cell>
          <cell r="E73">
            <v>1459.6168224299065</v>
          </cell>
          <cell r="F73">
            <v>0</v>
          </cell>
          <cell r="G73">
            <v>0</v>
          </cell>
          <cell r="H73">
            <v>0</v>
          </cell>
          <cell r="I73">
            <v>-1.105041660365667</v>
          </cell>
          <cell r="J73">
            <v>-1459.6168224299065</v>
          </cell>
          <cell r="K73">
            <v>-16.129373969556028</v>
          </cell>
          <cell r="L73">
            <v>0</v>
          </cell>
          <cell r="M73">
            <v>-16.129373969556028</v>
          </cell>
          <cell r="N73">
            <v>0</v>
          </cell>
          <cell r="O73">
            <v>0</v>
          </cell>
          <cell r="P73" t="str">
            <v>547M</v>
          </cell>
          <cell r="Q73" t="str">
            <v>40KG</v>
          </cell>
          <cell r="R73">
            <v>4</v>
          </cell>
          <cell r="S73">
            <v>0.14058444468265696</v>
          </cell>
          <cell r="T73">
            <v>1467.79</v>
          </cell>
          <cell r="U73">
            <v>16.96</v>
          </cell>
          <cell r="V73">
            <v>0.73390049070940833</v>
          </cell>
          <cell r="W73">
            <v>1467.7900943396226</v>
          </cell>
          <cell r="X73">
            <v>0.59331604602675136</v>
          </cell>
        </row>
        <row r="74">
          <cell r="A74">
            <v>547</v>
          </cell>
          <cell r="B74" t="str">
            <v>40KG</v>
          </cell>
          <cell r="C74">
            <v>0</v>
          </cell>
          <cell r="D74">
            <v>0</v>
          </cell>
          <cell r="E74">
            <v>0</v>
          </cell>
          <cell r="F74">
            <v>0</v>
          </cell>
          <cell r="G74">
            <v>0</v>
          </cell>
          <cell r="H74">
            <v>0</v>
          </cell>
          <cell r="I74">
            <v>0</v>
          </cell>
          <cell r="J74">
            <v>0</v>
          </cell>
          <cell r="K74">
            <v>0</v>
          </cell>
          <cell r="L74">
            <v>0</v>
          </cell>
          <cell r="M74">
            <v>0</v>
          </cell>
          <cell r="N74">
            <v>0</v>
          </cell>
          <cell r="O74">
            <v>0</v>
          </cell>
          <cell r="P74">
            <v>547</v>
          </cell>
          <cell r="Q74" t="str">
            <v>40KG</v>
          </cell>
          <cell r="R74">
            <v>0</v>
          </cell>
          <cell r="S74">
            <v>0</v>
          </cell>
          <cell r="T74">
            <v>0</v>
          </cell>
          <cell r="U74">
            <v>0</v>
          </cell>
          <cell r="V74">
            <v>0</v>
          </cell>
          <cell r="W74">
            <v>0</v>
          </cell>
          <cell r="X74">
            <v>0</v>
          </cell>
        </row>
        <row r="75">
          <cell r="A75">
            <v>548</v>
          </cell>
          <cell r="B75" t="str">
            <v>40KG</v>
          </cell>
          <cell r="C75">
            <v>13.96</v>
          </cell>
          <cell r="D75">
            <v>0.51489925162565797</v>
          </cell>
          <cell r="E75">
            <v>1629.59670487106</v>
          </cell>
          <cell r="F75">
            <v>17.8</v>
          </cell>
          <cell r="G75">
            <v>0.84523628627868108</v>
          </cell>
          <cell r="H75">
            <v>1657.8573033707862</v>
          </cell>
          <cell r="I75">
            <v>0.33033703465302311</v>
          </cell>
          <cell r="J75">
            <v>28.260598499726257</v>
          </cell>
          <cell r="K75">
            <v>5.3831614316744352</v>
          </cell>
          <cell r="L75">
            <v>0.23886883323921487</v>
          </cell>
          <cell r="M75">
            <v>5.6220302649136507</v>
          </cell>
          <cell r="N75">
            <v>0</v>
          </cell>
          <cell r="O75">
            <v>0</v>
          </cell>
          <cell r="P75">
            <v>548</v>
          </cell>
          <cell r="Q75" t="str">
            <v>40KG</v>
          </cell>
          <cell r="R75">
            <v>18.36</v>
          </cell>
          <cell r="S75">
            <v>0.64528260109339552</v>
          </cell>
          <cell r="T75">
            <v>1630.0098039215686</v>
          </cell>
          <cell r="U75">
            <v>15.96</v>
          </cell>
          <cell r="V75">
            <v>0.69062805611569322</v>
          </cell>
          <cell r="W75">
            <v>1652.7399749373433</v>
          </cell>
          <cell r="X75">
            <v>4.5345455022297698E-2</v>
          </cell>
        </row>
        <row r="76">
          <cell r="A76">
            <v>549</v>
          </cell>
          <cell r="B76" t="str">
            <v>40KG</v>
          </cell>
          <cell r="C76">
            <v>0</v>
          </cell>
          <cell r="D76">
            <v>0</v>
          </cell>
          <cell r="E76">
            <v>0</v>
          </cell>
          <cell r="F76">
            <v>0</v>
          </cell>
          <cell r="G76">
            <v>0</v>
          </cell>
          <cell r="H76">
            <v>0</v>
          </cell>
          <cell r="I76">
            <v>0</v>
          </cell>
          <cell r="J76">
            <v>0</v>
          </cell>
          <cell r="K76">
            <v>0</v>
          </cell>
          <cell r="L76">
            <v>0</v>
          </cell>
          <cell r="M76">
            <v>0</v>
          </cell>
          <cell r="N76">
            <v>0</v>
          </cell>
          <cell r="O76">
            <v>0</v>
          </cell>
          <cell r="P76">
            <v>549</v>
          </cell>
          <cell r="Q76" t="str">
            <v>40KG</v>
          </cell>
          <cell r="R76">
            <v>0</v>
          </cell>
          <cell r="S76">
            <v>0</v>
          </cell>
          <cell r="T76">
            <v>0</v>
          </cell>
          <cell r="U76">
            <v>0</v>
          </cell>
          <cell r="V76">
            <v>0</v>
          </cell>
          <cell r="W76">
            <v>0</v>
          </cell>
          <cell r="X76">
            <v>0</v>
          </cell>
        </row>
        <row r="77">
          <cell r="A77" t="str">
            <v>鸭料合计</v>
          </cell>
          <cell r="B77">
            <v>0</v>
          </cell>
          <cell r="C77">
            <v>346.08</v>
          </cell>
          <cell r="D77">
            <v>12.764780301046397</v>
          </cell>
          <cell r="E77">
            <v>1401.0762540453075</v>
          </cell>
          <cell r="F77">
            <v>215.36</v>
          </cell>
          <cell r="G77">
            <v>10.226409360279593</v>
          </cell>
          <cell r="H77">
            <v>1448.664515230312</v>
          </cell>
          <cell r="I77">
            <v>0</v>
          </cell>
          <cell r="J77">
            <v>0</v>
          </cell>
          <cell r="K77">
            <v>-34.560209605031439</v>
          </cell>
          <cell r="L77">
            <v>3.8622675105788793</v>
          </cell>
          <cell r="M77">
            <v>-30.697942094452557</v>
          </cell>
          <cell r="N77">
            <v>-30.697942094452554</v>
          </cell>
          <cell r="O77">
            <v>0</v>
          </cell>
          <cell r="P77" t="str">
            <v>鸭料合计</v>
          </cell>
          <cell r="Q77">
            <v>0</v>
          </cell>
          <cell r="R77">
            <v>404.6</v>
          </cell>
          <cell r="S77">
            <v>14.220116579650755</v>
          </cell>
          <cell r="T77">
            <v>1396.463173504696</v>
          </cell>
          <cell r="U77">
            <v>261.44</v>
          </cell>
          <cell r="V77">
            <v>11.313145300180878</v>
          </cell>
          <cell r="W77">
            <v>1439.9187576499387</v>
          </cell>
        </row>
        <row r="78">
          <cell r="A78" t="str">
            <v>浓缩料</v>
          </cell>
          <cell r="B78">
            <v>0</v>
          </cell>
          <cell r="C78">
            <v>373.23</v>
          </cell>
          <cell r="D78">
            <v>13.7661782008771</v>
          </cell>
          <cell r="E78">
            <v>2589.9292661361619</v>
          </cell>
          <cell r="F78">
            <v>291.62</v>
          </cell>
          <cell r="G78">
            <v>13.84762953958365</v>
          </cell>
          <cell r="H78">
            <v>2582.1697071531448</v>
          </cell>
          <cell r="I78">
            <v>0</v>
          </cell>
          <cell r="J78">
            <v>0</v>
          </cell>
          <cell r="K78">
            <v>0</v>
          </cell>
          <cell r="L78">
            <v>0</v>
          </cell>
          <cell r="M78">
            <v>1.0350170769468969</v>
          </cell>
          <cell r="N78">
            <v>0</v>
          </cell>
          <cell r="O78">
            <v>0</v>
          </cell>
          <cell r="P78" t="str">
            <v>浓缩料</v>
          </cell>
          <cell r="Q78">
            <v>0</v>
          </cell>
          <cell r="R78">
            <v>371.85500000000008</v>
          </cell>
          <cell r="S78">
            <v>13.069257169367354</v>
          </cell>
          <cell r="T78">
            <v>2562.6544755348177</v>
          </cell>
          <cell r="U78">
            <v>344.55</v>
          </cell>
          <cell r="V78">
            <v>14.909517339264541</v>
          </cell>
          <cell r="W78">
            <v>2577.4847772456828</v>
          </cell>
        </row>
        <row r="79">
          <cell r="A79" t="str">
            <v>全价料</v>
          </cell>
          <cell r="B79">
            <v>0</v>
          </cell>
          <cell r="C79">
            <v>2337.98</v>
          </cell>
          <cell r="D79">
            <v>86.233821799122907</v>
          </cell>
          <cell r="E79">
            <v>1649.9418600672377</v>
          </cell>
          <cell r="F79">
            <v>1814.3000000000002</v>
          </cell>
          <cell r="G79">
            <v>86.152370460416364</v>
          </cell>
          <cell r="H79">
            <v>1711.916336879237</v>
          </cell>
          <cell r="I79">
            <v>0</v>
          </cell>
          <cell r="J79">
            <v>0</v>
          </cell>
          <cell r="K79">
            <v>0</v>
          </cell>
          <cell r="L79">
            <v>0</v>
          </cell>
          <cell r="M79">
            <v>52.048581121074093</v>
          </cell>
          <cell r="N79">
            <v>0</v>
          </cell>
          <cell r="O79">
            <v>0</v>
          </cell>
          <cell r="P79" t="str">
            <v>全价料</v>
          </cell>
          <cell r="Q79">
            <v>0</v>
          </cell>
          <cell r="R79">
            <v>2473.41</v>
          </cell>
          <cell r="S79">
            <v>86.930742830632653</v>
          </cell>
          <cell r="T79">
            <v>1637.1340416671721</v>
          </cell>
          <cell r="U79">
            <v>1966.39</v>
          </cell>
          <cell r="V79">
            <v>85.090482660735461</v>
          </cell>
          <cell r="W79">
            <v>1698.4568015500488</v>
          </cell>
        </row>
        <row r="80">
          <cell r="A80" t="str">
            <v>合计</v>
          </cell>
          <cell r="B80">
            <v>0</v>
          </cell>
          <cell r="C80">
            <v>2711.21</v>
          </cell>
          <cell r="D80">
            <v>100</v>
          </cell>
          <cell r="E80">
            <v>1779.3422014524881</v>
          </cell>
          <cell r="F80">
            <v>2105.92</v>
          </cell>
          <cell r="G80">
            <v>100</v>
          </cell>
          <cell r="H80">
            <v>1832.4257996505091</v>
          </cell>
          <cell r="I80">
            <v>0</v>
          </cell>
          <cell r="J80">
            <v>53.083598198021036</v>
          </cell>
          <cell r="K80">
            <v>-1.967125715085225</v>
          </cell>
          <cell r="L80">
            <v>55.050723913106182</v>
          </cell>
          <cell r="M80">
            <v>53.083598198021065</v>
          </cell>
          <cell r="N80">
            <v>0</v>
          </cell>
          <cell r="O80">
            <v>0</v>
          </cell>
          <cell r="P80" t="str">
            <v>合计</v>
          </cell>
          <cell r="Q80">
            <v>0</v>
          </cell>
          <cell r="R80">
            <v>2845.2649999999999</v>
          </cell>
          <cell r="S80">
            <v>100</v>
          </cell>
          <cell r="T80">
            <v>1758.0926873243793</v>
          </cell>
          <cell r="U80">
            <v>2310.94</v>
          </cell>
          <cell r="V80">
            <v>100</v>
          </cell>
          <cell r="W80">
            <v>1829.5156300033755</v>
          </cell>
          <cell r="X80">
            <v>0</v>
          </cell>
        </row>
        <row r="82">
          <cell r="H82" t="str">
            <v>制表：周平      -10-</v>
          </cell>
        </row>
        <row r="83">
          <cell r="K83">
            <v>-1.9671257150852242</v>
          </cell>
          <cell r="L83">
            <v>55.050723913106189</v>
          </cell>
          <cell r="M83">
            <v>53.083598198021036</v>
          </cell>
        </row>
      </sheetData>
      <sheetData sheetId="11" refreshError="1">
        <row r="1">
          <cell r="A1" t="str">
            <v>泰 州 正 大 饲 料 有 限 公 司</v>
          </cell>
        </row>
        <row r="4">
          <cell r="A4" t="str">
            <v>品名</v>
          </cell>
          <cell r="B4" t="str">
            <v>规格</v>
          </cell>
          <cell r="C4" t="str">
            <v>销售量</v>
          </cell>
          <cell r="D4">
            <v>0</v>
          </cell>
          <cell r="E4">
            <v>0</v>
          </cell>
          <cell r="F4" t="str">
            <v>单位销售成本</v>
          </cell>
          <cell r="G4">
            <v>0</v>
          </cell>
          <cell r="H4">
            <v>0</v>
          </cell>
          <cell r="I4" t="str">
            <v>单位销价</v>
          </cell>
          <cell r="J4">
            <v>0</v>
          </cell>
          <cell r="K4">
            <v>0</v>
          </cell>
          <cell r="L4" t="str">
            <v>单位毛利</v>
          </cell>
          <cell r="M4">
            <v>0</v>
          </cell>
          <cell r="N4">
            <v>0</v>
          </cell>
          <cell r="O4" t="str">
            <v>销售毛利</v>
          </cell>
          <cell r="P4">
            <v>0</v>
          </cell>
          <cell r="Q4">
            <v>0</v>
          </cell>
          <cell r="R4" t="str">
            <v>销售量      变动影响</v>
          </cell>
          <cell r="S4" t="str">
            <v>单位销售成本变动影响</v>
          </cell>
          <cell r="T4" t="str">
            <v>平均净销价  变动影响</v>
          </cell>
          <cell r="U4" t="str">
            <v>影响总额</v>
          </cell>
        </row>
        <row r="5">
          <cell r="C5" t="str">
            <v>上期</v>
          </cell>
          <cell r="D5" t="str">
            <v>本期</v>
          </cell>
          <cell r="E5" t="str">
            <v>差异</v>
          </cell>
          <cell r="F5" t="str">
            <v>上期</v>
          </cell>
          <cell r="G5" t="str">
            <v>本期</v>
          </cell>
          <cell r="H5" t="str">
            <v>差异</v>
          </cell>
          <cell r="I5" t="str">
            <v>上期</v>
          </cell>
          <cell r="J5" t="str">
            <v>本期</v>
          </cell>
          <cell r="K5" t="str">
            <v>差异</v>
          </cell>
          <cell r="L5" t="str">
            <v>上期</v>
          </cell>
          <cell r="M5" t="str">
            <v>本期</v>
          </cell>
          <cell r="N5" t="str">
            <v>差异</v>
          </cell>
          <cell r="O5" t="str">
            <v>上期</v>
          </cell>
          <cell r="P5" t="str">
            <v>本期</v>
          </cell>
          <cell r="Q5" t="str">
            <v>差异</v>
          </cell>
          <cell r="R5" t="str">
            <v>(+增利 -减利)</v>
          </cell>
          <cell r="S5" t="str">
            <v>（-增利+减利）</v>
          </cell>
          <cell r="T5" t="str">
            <v>（+增利-减利）</v>
          </cell>
        </row>
        <row r="6">
          <cell r="A6" t="str">
            <v>510L</v>
          </cell>
          <cell r="B6" t="str">
            <v>40KG</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row>
        <row r="7">
          <cell r="A7" t="str">
            <v>510Y</v>
          </cell>
          <cell r="B7" t="str">
            <v>40KG</v>
          </cell>
          <cell r="C7">
            <v>45.56</v>
          </cell>
          <cell r="D7">
            <v>33.72</v>
          </cell>
          <cell r="E7">
            <v>-11.840000000000003</v>
          </cell>
          <cell r="F7">
            <v>1777.609964881475</v>
          </cell>
          <cell r="G7">
            <v>1812.5999406880192</v>
          </cell>
          <cell r="H7">
            <v>34.98997580654418</v>
          </cell>
          <cell r="I7">
            <v>1894.1262071992976</v>
          </cell>
          <cell r="J7">
            <v>1910.8579478054569</v>
          </cell>
          <cell r="K7">
            <v>16.731740606159292</v>
          </cell>
          <cell r="L7">
            <v>116.51624231782256</v>
          </cell>
          <cell r="M7">
            <v>98.258007117437785</v>
          </cell>
          <cell r="N7">
            <v>-18.258235200384775</v>
          </cell>
          <cell r="O7">
            <v>5308.4799999999959</v>
          </cell>
          <cell r="P7">
            <v>3313.260000000002</v>
          </cell>
          <cell r="Q7">
            <v>-1995.2199999999939</v>
          </cell>
          <cell r="R7">
            <v>-1379.5523090430195</v>
          </cell>
          <cell r="S7">
            <v>1179.8619841966697</v>
          </cell>
          <cell r="T7">
            <v>564.19429323969132</v>
          </cell>
          <cell r="U7">
            <v>-1995.2199999999975</v>
          </cell>
        </row>
        <row r="8">
          <cell r="A8" t="str">
            <v>511Y</v>
          </cell>
          <cell r="B8" t="str">
            <v>40KG</v>
          </cell>
          <cell r="C8">
            <v>49.88</v>
          </cell>
          <cell r="D8">
            <v>65.52</v>
          </cell>
          <cell r="E8">
            <v>15.639999999999993</v>
          </cell>
          <cell r="F8">
            <v>1662.8799117882918</v>
          </cell>
          <cell r="G8">
            <v>1744.6599511599511</v>
          </cell>
          <cell r="H8">
            <v>81.780039371659313</v>
          </cell>
          <cell r="I8">
            <v>1700.5116279069766</v>
          </cell>
          <cell r="J8">
            <v>1698.7597680097679</v>
          </cell>
          <cell r="K8">
            <v>-1.7518598972087602</v>
          </cell>
          <cell r="L8">
            <v>37.631716118684984</v>
          </cell>
          <cell r="M8">
            <v>-45.900183150183224</v>
          </cell>
          <cell r="N8">
            <v>-83.531899268868216</v>
          </cell>
          <cell r="O8">
            <v>1877.070000000007</v>
          </cell>
          <cell r="P8">
            <v>-3007.3800000000047</v>
          </cell>
          <cell r="Q8">
            <v>-4884.4500000000116</v>
          </cell>
          <cell r="R8">
            <v>588.56004009623291</v>
          </cell>
          <cell r="S8">
            <v>5358.2281796311181</v>
          </cell>
          <cell r="T8">
            <v>-114.78186046511796</v>
          </cell>
          <cell r="U8">
            <v>-4884.4500000000035</v>
          </cell>
        </row>
        <row r="9">
          <cell r="A9" t="str">
            <v>512Y</v>
          </cell>
          <cell r="B9" t="str">
            <v>40KG</v>
          </cell>
          <cell r="C9">
            <v>90.52</v>
          </cell>
          <cell r="D9">
            <v>111.8</v>
          </cell>
          <cell r="E9">
            <v>21.28</v>
          </cell>
          <cell r="F9">
            <v>1639.2800486080425</v>
          </cell>
          <cell r="G9">
            <v>1705.9100178890876</v>
          </cell>
          <cell r="H9">
            <v>66.629969281045078</v>
          </cell>
          <cell r="I9">
            <v>1641.2401679186921</v>
          </cell>
          <cell r="J9">
            <v>1677.2676207513418</v>
          </cell>
          <cell r="K9">
            <v>36.027452832649715</v>
          </cell>
          <cell r="L9">
            <v>1.9601193106495032</v>
          </cell>
          <cell r="M9">
            <v>-28.642397137745725</v>
          </cell>
          <cell r="N9">
            <v>-30.602516448395228</v>
          </cell>
          <cell r="O9">
            <v>177.42999999999302</v>
          </cell>
          <cell r="P9">
            <v>-3202.2199999999721</v>
          </cell>
          <cell r="Q9">
            <v>-3379.6499999999651</v>
          </cell>
          <cell r="R9">
            <v>41.71133893062143</v>
          </cell>
          <cell r="S9">
            <v>7449.2305656208391</v>
          </cell>
          <cell r="T9">
            <v>4027.8692266902381</v>
          </cell>
          <cell r="U9">
            <v>-3379.6499999999796</v>
          </cell>
        </row>
        <row r="10">
          <cell r="A10" t="str">
            <v>510S</v>
          </cell>
          <cell r="B10" t="str">
            <v>40KG</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row>
        <row r="11">
          <cell r="A11">
            <v>510</v>
          </cell>
          <cell r="B11" t="str">
            <v>40KG</v>
          </cell>
          <cell r="C11">
            <v>251.27999999999997</v>
          </cell>
          <cell r="D11">
            <v>152.12</v>
          </cell>
          <cell r="E11">
            <v>-99.159999999999968</v>
          </cell>
          <cell r="F11">
            <v>1765.1799984081504</v>
          </cell>
          <cell r="G11">
            <v>1819.400013147515</v>
          </cell>
          <cell r="H11">
            <v>54.220014739364615</v>
          </cell>
          <cell r="I11">
            <v>1857.6940862782556</v>
          </cell>
          <cell r="J11">
            <v>1889.4541151722322</v>
          </cell>
          <cell r="K11">
            <v>31.760028893976596</v>
          </cell>
          <cell r="L11">
            <v>92.514087870105087</v>
          </cell>
          <cell r="M11">
            <v>70.054102024716968</v>
          </cell>
          <cell r="N11">
            <v>-22.459985845388118</v>
          </cell>
          <cell r="O11">
            <v>23246.940000000002</v>
          </cell>
          <cell r="P11">
            <v>10656.629999999946</v>
          </cell>
          <cell r="Q11">
            <v>-12590.310000000056</v>
          </cell>
          <cell r="R11">
            <v>-9173.6969531996183</v>
          </cell>
          <cell r="S11">
            <v>8247.9486421521451</v>
          </cell>
          <cell r="T11">
            <v>4831.3355953517203</v>
          </cell>
          <cell r="U11">
            <v>-12590.310000000045</v>
          </cell>
        </row>
        <row r="12">
          <cell r="A12">
            <v>511</v>
          </cell>
          <cell r="B12" t="str">
            <v>40KG</v>
          </cell>
          <cell r="C12">
            <v>344.96</v>
          </cell>
          <cell r="D12">
            <v>216.28</v>
          </cell>
          <cell r="E12">
            <v>-128.67999999999998</v>
          </cell>
          <cell r="F12">
            <v>1657.0200023191096</v>
          </cell>
          <cell r="G12">
            <v>1719.9600055483634</v>
          </cell>
          <cell r="H12">
            <v>62.940003229253762</v>
          </cell>
          <cell r="I12">
            <v>1691.0894886363637</v>
          </cell>
          <cell r="J12">
            <v>1717.6099963010911</v>
          </cell>
          <cell r="K12">
            <v>26.520507664727347</v>
          </cell>
          <cell r="L12">
            <v>34.069486317254139</v>
          </cell>
          <cell r="M12">
            <v>-2.3500092472720979</v>
          </cell>
          <cell r="N12">
            <v>-36.419495564526237</v>
          </cell>
          <cell r="O12">
            <v>11752.609999999986</v>
          </cell>
          <cell r="P12">
            <v>-508.26000000000931</v>
          </cell>
          <cell r="Q12">
            <v>-12260.869999999995</v>
          </cell>
          <cell r="R12">
            <v>-4384.0614993042618</v>
          </cell>
          <cell r="S12">
            <v>13612.663898423003</v>
          </cell>
          <cell r="T12">
            <v>5735.8553977272304</v>
          </cell>
          <cell r="U12">
            <v>-12260.870000000032</v>
          </cell>
        </row>
        <row r="13">
          <cell r="A13">
            <v>512</v>
          </cell>
          <cell r="B13" t="str">
            <v>40KG</v>
          </cell>
          <cell r="C13">
            <v>497.72</v>
          </cell>
          <cell r="D13">
            <v>470.6</v>
          </cell>
          <cell r="E13">
            <v>-27.120000000000005</v>
          </cell>
          <cell r="F13">
            <v>1600.6800008036646</v>
          </cell>
          <cell r="G13">
            <v>1663.419995750106</v>
          </cell>
          <cell r="H13">
            <v>62.739994946441357</v>
          </cell>
          <cell r="I13">
            <v>1618.9484449087838</v>
          </cell>
          <cell r="J13">
            <v>1646.5417339566509</v>
          </cell>
          <cell r="K13">
            <v>27.593289047867074</v>
          </cell>
          <cell r="L13">
            <v>18.26844410511924</v>
          </cell>
          <cell r="M13">
            <v>-16.878261793455231</v>
          </cell>
          <cell r="N13">
            <v>-35.146705898574467</v>
          </cell>
          <cell r="O13">
            <v>9092.5699999999488</v>
          </cell>
          <cell r="P13">
            <v>-7942.9100000000326</v>
          </cell>
          <cell r="Q13">
            <v>-17035.479999999981</v>
          </cell>
          <cell r="R13">
            <v>-495.44020413083388</v>
          </cell>
          <cell r="S13">
            <v>29525.441621795304</v>
          </cell>
          <cell r="T13">
            <v>12985.401825926247</v>
          </cell>
          <cell r="U13">
            <v>-17035.479999999894</v>
          </cell>
        </row>
        <row r="14">
          <cell r="A14">
            <v>810</v>
          </cell>
          <cell r="B14" t="str">
            <v>5KG</v>
          </cell>
          <cell r="C14">
            <v>40.56</v>
          </cell>
          <cell r="D14">
            <v>11.96</v>
          </cell>
          <cell r="E14">
            <v>-28.6</v>
          </cell>
          <cell r="F14">
            <v>1383.4800295857988</v>
          </cell>
          <cell r="G14">
            <v>1402.2299331103677</v>
          </cell>
          <cell r="H14">
            <v>18.749903524568936</v>
          </cell>
          <cell r="I14">
            <v>1591.082100591716</v>
          </cell>
          <cell r="J14">
            <v>1603.8319397993312</v>
          </cell>
          <cell r="K14">
            <v>12.749839207615196</v>
          </cell>
          <cell r="L14">
            <v>207.60207100591725</v>
          </cell>
          <cell r="M14">
            <v>201.60200668896348</v>
          </cell>
          <cell r="N14">
            <v>-6.0000643169537682</v>
          </cell>
          <cell r="O14">
            <v>8420.3400000000038</v>
          </cell>
          <cell r="P14">
            <v>2411.1600000000035</v>
          </cell>
          <cell r="Q14">
            <v>-6009.18</v>
          </cell>
          <cell r="R14">
            <v>-5937.4192307692338</v>
          </cell>
          <cell r="S14">
            <v>224.24884615384448</v>
          </cell>
          <cell r="T14">
            <v>152.48807692307776</v>
          </cell>
          <cell r="U14">
            <v>-6009.18</v>
          </cell>
        </row>
        <row r="15">
          <cell r="A15" t="str">
            <v>831A</v>
          </cell>
          <cell r="B15" t="str">
            <v>5KG</v>
          </cell>
          <cell r="C15">
            <v>54.52</v>
          </cell>
          <cell r="D15">
            <v>25.04</v>
          </cell>
          <cell r="E15">
            <v>-29.480000000000004</v>
          </cell>
          <cell r="F15">
            <v>1384.6799339691856</v>
          </cell>
          <cell r="G15">
            <v>1402.6301916932907</v>
          </cell>
          <cell r="H15">
            <v>17.950257724105086</v>
          </cell>
          <cell r="I15">
            <v>1662.3506969919295</v>
          </cell>
          <cell r="J15">
            <v>1681.2963258785944</v>
          </cell>
          <cell r="K15">
            <v>18.945628886664963</v>
          </cell>
          <cell r="L15">
            <v>277.67076302274393</v>
          </cell>
          <cell r="M15">
            <v>278.66613418530363</v>
          </cell>
          <cell r="N15">
            <v>0.99537116255970659</v>
          </cell>
          <cell r="O15">
            <v>15138.61</v>
          </cell>
          <cell r="P15">
            <v>6977.8000000000029</v>
          </cell>
          <cell r="Q15">
            <v>-8160.8099999999977</v>
          </cell>
          <cell r="R15">
            <v>-8185.7340939104924</v>
          </cell>
          <cell r="S15">
            <v>449.47445341159136</v>
          </cell>
          <cell r="T15">
            <v>474.39854732209068</v>
          </cell>
          <cell r="U15">
            <v>-8160.8099999999922</v>
          </cell>
        </row>
        <row r="16">
          <cell r="A16" t="str">
            <v>831A</v>
          </cell>
          <cell r="B16" t="str">
            <v>40KG</v>
          </cell>
          <cell r="C16">
            <v>16.16</v>
          </cell>
          <cell r="D16">
            <v>4.8</v>
          </cell>
          <cell r="E16">
            <v>-11.36</v>
          </cell>
          <cell r="F16">
            <v>1299.2599009900991</v>
          </cell>
          <cell r="G16">
            <v>1335.5604166666667</v>
          </cell>
          <cell r="H16">
            <v>36.300515676567557</v>
          </cell>
          <cell r="I16">
            <v>1576.7023514851485</v>
          </cell>
          <cell r="J16">
            <v>1594.7645833333333</v>
          </cell>
          <cell r="K16">
            <v>18.062231848184865</v>
          </cell>
          <cell r="L16">
            <v>277.44245049504934</v>
          </cell>
          <cell r="M16">
            <v>259.20416666666677</v>
          </cell>
          <cell r="N16">
            <v>-18.238283828382578</v>
          </cell>
          <cell r="O16">
            <v>4483.4699999999975</v>
          </cell>
          <cell r="P16">
            <v>1244.1800000000003</v>
          </cell>
          <cell r="Q16">
            <v>-3239.2899999999972</v>
          </cell>
          <cell r="R16">
            <v>-3151.7462376237604</v>
          </cell>
          <cell r="S16">
            <v>174.24247524752425</v>
          </cell>
          <cell r="T16">
            <v>86.698712871287356</v>
          </cell>
          <cell r="U16">
            <v>-3239.2899999999977</v>
          </cell>
        </row>
        <row r="17">
          <cell r="A17">
            <v>831</v>
          </cell>
          <cell r="B17" t="str">
            <v>5KG</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row>
        <row r="18">
          <cell r="A18">
            <v>831</v>
          </cell>
          <cell r="B18" t="str">
            <v>40KG</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row>
        <row r="19">
          <cell r="A19" t="str">
            <v>肉鸡料合计</v>
          </cell>
          <cell r="B19">
            <v>0</v>
          </cell>
          <cell r="C19">
            <v>1391.16</v>
          </cell>
          <cell r="D19">
            <v>1091.8399999999999</v>
          </cell>
          <cell r="E19">
            <v>-299.32000000000016</v>
          </cell>
          <cell r="F19">
            <v>1636.6005563702236</v>
          </cell>
          <cell r="G19">
            <v>1699.9015240328254</v>
          </cell>
          <cell r="H19">
            <v>63.300967662601806</v>
          </cell>
          <cell r="I19">
            <v>1693.7453276402423</v>
          </cell>
          <cell r="J19">
            <v>1709.0074919402111</v>
          </cell>
          <cell r="K19">
            <v>15.262164299968845</v>
          </cell>
          <cell r="L19">
            <v>57.144771270019213</v>
          </cell>
          <cell r="M19">
            <v>9.1059679073856401</v>
          </cell>
          <cell r="N19">
            <v>-48.038803362633573</v>
          </cell>
          <cell r="O19">
            <v>79497.519999999931</v>
          </cell>
          <cell r="P19">
            <v>9942.2599999999366</v>
          </cell>
          <cell r="Q19">
            <v>-69555.259999999995</v>
          </cell>
          <cell r="R19">
            <v>-17104.572936542161</v>
          </cell>
          <cell r="S19">
            <v>69114.528532735145</v>
          </cell>
          <cell r="T19">
            <v>16663.841469277981</v>
          </cell>
          <cell r="U19">
            <v>-69555.259999999325</v>
          </cell>
        </row>
        <row r="20">
          <cell r="A20">
            <v>124</v>
          </cell>
          <cell r="B20" t="str">
            <v>45KG</v>
          </cell>
          <cell r="C20">
            <v>47.924999999999997</v>
          </cell>
          <cell r="D20">
            <v>46.44</v>
          </cell>
          <cell r="E20">
            <v>-1.4849999999999994</v>
          </cell>
          <cell r="F20">
            <v>2087.2400625978089</v>
          </cell>
          <cell r="G20">
            <v>2119.2900516795867</v>
          </cell>
          <cell r="H20">
            <v>32.049989081777767</v>
          </cell>
          <cell r="I20">
            <v>2195.8827334376633</v>
          </cell>
          <cell r="J20">
            <v>2250.3552971576228</v>
          </cell>
          <cell r="K20">
            <v>54.472563719959453</v>
          </cell>
          <cell r="L20">
            <v>108.64267083985419</v>
          </cell>
          <cell r="M20">
            <v>131.06524547803613</v>
          </cell>
          <cell r="N20">
            <v>22.422574638181942</v>
          </cell>
          <cell r="O20">
            <v>5206.7000000000116</v>
          </cell>
          <cell r="P20">
            <v>6086.6699999999983</v>
          </cell>
          <cell r="Q20">
            <v>879.96999999998661</v>
          </cell>
          <cell r="R20">
            <v>-161.33436619718341</v>
          </cell>
          <cell r="S20">
            <v>1488.4014929577595</v>
          </cell>
          <cell r="T20">
            <v>2529.7058591549167</v>
          </cell>
          <cell r="U20">
            <v>879.96999999997365</v>
          </cell>
        </row>
        <row r="21">
          <cell r="A21">
            <v>322</v>
          </cell>
          <cell r="B21" t="str">
            <v>40KG</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row>
        <row r="22">
          <cell r="A22">
            <v>324</v>
          </cell>
          <cell r="B22" t="str">
            <v>40KG</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row>
        <row r="23">
          <cell r="A23">
            <v>325</v>
          </cell>
          <cell r="B23" t="str">
            <v>40KG</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row>
        <row r="24">
          <cell r="A24">
            <v>521</v>
          </cell>
          <cell r="B24" t="str">
            <v>40KG</v>
          </cell>
          <cell r="C24">
            <v>30.96</v>
          </cell>
          <cell r="D24">
            <v>15.76</v>
          </cell>
          <cell r="E24">
            <v>-15.200000000000001</v>
          </cell>
          <cell r="F24">
            <v>1663.1201550387595</v>
          </cell>
          <cell r="G24">
            <v>1682.3800761421321</v>
          </cell>
          <cell r="H24">
            <v>19.259921103372562</v>
          </cell>
          <cell r="I24">
            <v>1818.9925710594316</v>
          </cell>
          <cell r="J24">
            <v>1823.8356598984772</v>
          </cell>
          <cell r="K24">
            <v>4.8430888390455493</v>
          </cell>
          <cell r="L24">
            <v>155.87241602067198</v>
          </cell>
          <cell r="M24">
            <v>141.45558375634519</v>
          </cell>
          <cell r="N24">
            <v>-14.416832264326786</v>
          </cell>
          <cell r="O24">
            <v>4825.8100000000049</v>
          </cell>
          <cell r="P24">
            <v>2229.34</v>
          </cell>
          <cell r="Q24">
            <v>-2596.4700000000048</v>
          </cell>
          <cell r="R24">
            <v>-2369.2607235142141</v>
          </cell>
          <cell r="S24">
            <v>303.53635658915158</v>
          </cell>
          <cell r="T24">
            <v>76.327080103357858</v>
          </cell>
          <cell r="U24">
            <v>-2596.470000000008</v>
          </cell>
        </row>
        <row r="25">
          <cell r="A25">
            <v>522</v>
          </cell>
          <cell r="B25" t="str">
            <v>40KG</v>
          </cell>
          <cell r="C25">
            <v>22.48</v>
          </cell>
          <cell r="D25">
            <v>22.32</v>
          </cell>
          <cell r="E25">
            <v>-0.16000000000000014</v>
          </cell>
          <cell r="F25">
            <v>1421.4902135231316</v>
          </cell>
          <cell r="G25">
            <v>1480.1899641577058</v>
          </cell>
          <cell r="H25">
            <v>58.699750634574229</v>
          </cell>
          <cell r="I25">
            <v>1567.2811387900358</v>
          </cell>
          <cell r="J25">
            <v>1562.5465949820787</v>
          </cell>
          <cell r="K25">
            <v>-4.7345438079571522</v>
          </cell>
          <cell r="L25">
            <v>145.79092526690411</v>
          </cell>
          <cell r="M25">
            <v>82.35663082437263</v>
          </cell>
          <cell r="N25">
            <v>-63.434294442531481</v>
          </cell>
          <cell r="O25">
            <v>3277.3800000000047</v>
          </cell>
          <cell r="P25">
            <v>1838.1999999999971</v>
          </cell>
          <cell r="Q25">
            <v>-1439.1800000000076</v>
          </cell>
          <cell r="R25">
            <v>-23.32654804270468</v>
          </cell>
          <cell r="S25">
            <v>1310.1784341636969</v>
          </cell>
          <cell r="T25">
            <v>-105.67501779360364</v>
          </cell>
          <cell r="U25">
            <v>-1439.1800000000053</v>
          </cell>
        </row>
        <row r="26">
          <cell r="A26">
            <v>524</v>
          </cell>
          <cell r="B26" t="str">
            <v>40KG</v>
          </cell>
          <cell r="C26">
            <v>1.96</v>
          </cell>
          <cell r="D26">
            <v>7.96</v>
          </cell>
          <cell r="E26">
            <v>6</v>
          </cell>
          <cell r="F26">
            <v>1467.1326530612248</v>
          </cell>
          <cell r="G26">
            <v>1456.0590452261306</v>
          </cell>
          <cell r="H26">
            <v>-11.073607835094208</v>
          </cell>
          <cell r="I26">
            <v>1550</v>
          </cell>
          <cell r="J26">
            <v>1508.8479899497488</v>
          </cell>
          <cell r="K26">
            <v>-41.152010050251192</v>
          </cell>
          <cell r="L26">
            <v>82.867346938775313</v>
          </cell>
          <cell r="M26">
            <v>52.788944723618179</v>
          </cell>
          <cell r="N26">
            <v>-30.078402215157134</v>
          </cell>
          <cell r="O26">
            <v>162.41999999999962</v>
          </cell>
          <cell r="P26">
            <v>420.20000000000073</v>
          </cell>
          <cell r="Q26">
            <v>257.78000000000111</v>
          </cell>
          <cell r="R26">
            <v>497.20408163265188</v>
          </cell>
          <cell r="S26">
            <v>-88.145918367349893</v>
          </cell>
          <cell r="T26">
            <v>-327.56999999999948</v>
          </cell>
          <cell r="U26">
            <v>257.78000000000225</v>
          </cell>
        </row>
        <row r="27">
          <cell r="A27" t="str">
            <v>蛋鸡料合计</v>
          </cell>
          <cell r="B27">
            <v>0</v>
          </cell>
          <cell r="C27">
            <v>103.32499999999999</v>
          </cell>
          <cell r="D27">
            <v>92.47999999999999</v>
          </cell>
          <cell r="E27">
            <v>-10.844999999999999</v>
          </cell>
          <cell r="F27">
            <v>1803.550544398742</v>
          </cell>
          <cell r="G27">
            <v>1833.5014057093426</v>
          </cell>
          <cell r="H27">
            <v>29.950861310600658</v>
          </cell>
          <cell r="I27">
            <v>1933.9382530849266</v>
          </cell>
          <cell r="J27">
            <v>1947.8440743944639</v>
          </cell>
          <cell r="K27">
            <v>13.905821309537259</v>
          </cell>
          <cell r="L27">
            <v>130.3877086861846</v>
          </cell>
          <cell r="M27">
            <v>114.34266868512108</v>
          </cell>
          <cell r="N27">
            <v>-16.045040001063512</v>
          </cell>
          <cell r="O27">
            <v>13472.310000000021</v>
          </cell>
          <cell r="P27">
            <v>10574.409999999996</v>
          </cell>
          <cell r="Q27">
            <v>-2897.9000000000251</v>
          </cell>
          <cell r="R27">
            <v>-1414.0547007016719</v>
          </cell>
          <cell r="S27">
            <v>2769.8556540043487</v>
          </cell>
          <cell r="T27">
            <v>1286.0103547060055</v>
          </cell>
          <cell r="U27">
            <v>-2897.9000000000151</v>
          </cell>
        </row>
        <row r="28">
          <cell r="A28" t="str">
            <v>鸡料合计</v>
          </cell>
          <cell r="B28">
            <v>0</v>
          </cell>
          <cell r="C28">
            <v>1494.4850000000001</v>
          </cell>
          <cell r="D28">
            <v>1184.32</v>
          </cell>
          <cell r="E28">
            <v>-310.16500000000019</v>
          </cell>
          <cell r="F28">
            <v>1648.1430660060155</v>
          </cell>
          <cell r="G28">
            <v>1710.3339384625776</v>
          </cell>
          <cell r="H28">
            <v>62.190872456562147</v>
          </cell>
          <cell r="I28">
            <v>1710.3516729843386</v>
          </cell>
          <cell r="J28">
            <v>1727.657524993245</v>
          </cell>
          <cell r="K28">
            <v>17.305852008906413</v>
          </cell>
          <cell r="L28">
            <v>62.208606978323601</v>
          </cell>
          <cell r="M28">
            <v>17.323586530667331</v>
          </cell>
          <cell r="N28">
            <v>-44.885020447656274</v>
          </cell>
          <cell r="O28">
            <v>92969.829999999958</v>
          </cell>
          <cell r="P28">
            <v>20516.669999999933</v>
          </cell>
          <cell r="Q28">
            <v>-72453.160000000033</v>
          </cell>
          <cell r="R28">
            <v>-19294.932583431753</v>
          </cell>
          <cell r="S28">
            <v>73653.894067755682</v>
          </cell>
          <cell r="T28">
            <v>20495.666651188043</v>
          </cell>
          <cell r="U28">
            <v>-72453.159999999392</v>
          </cell>
        </row>
        <row r="29">
          <cell r="A29" t="str">
            <v>151-38</v>
          </cell>
          <cell r="B29" t="str">
            <v>5KG</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row>
        <row r="30">
          <cell r="A30" t="str">
            <v>151-38</v>
          </cell>
          <cell r="B30" t="str">
            <v>10KG</v>
          </cell>
          <cell r="C30">
            <v>18.22</v>
          </cell>
          <cell r="D30">
            <v>15</v>
          </cell>
          <cell r="E30">
            <v>-3.2199999999999989</v>
          </cell>
          <cell r="F30">
            <v>2504.8397365532383</v>
          </cell>
          <cell r="G30">
            <v>2535.0899999999997</v>
          </cell>
          <cell r="H30">
            <v>30.250263446761437</v>
          </cell>
          <cell r="I30">
            <v>2749.3111964873765</v>
          </cell>
          <cell r="J30">
            <v>2756.2180000000003</v>
          </cell>
          <cell r="K30">
            <v>6.9068035126238101</v>
          </cell>
          <cell r="L30">
            <v>244.47145993413815</v>
          </cell>
          <cell r="M30">
            <v>221.12800000000036</v>
          </cell>
          <cell r="N30">
            <v>-23.343459934137798</v>
          </cell>
          <cell r="O30">
            <v>4454.2699999999968</v>
          </cell>
          <cell r="P30">
            <v>3316.9200000000055</v>
          </cell>
          <cell r="Q30">
            <v>-1137.3499999999913</v>
          </cell>
          <cell r="R30">
            <v>-787.19810098792459</v>
          </cell>
          <cell r="S30">
            <v>453.75395170142156</v>
          </cell>
          <cell r="T30">
            <v>103.60205268935715</v>
          </cell>
          <cell r="U30">
            <v>-1137.349999999989</v>
          </cell>
        </row>
        <row r="31">
          <cell r="A31" t="str">
            <v>151-38</v>
          </cell>
          <cell r="B31" t="str">
            <v>20KG</v>
          </cell>
          <cell r="C31">
            <v>13.88</v>
          </cell>
          <cell r="D31">
            <v>14.6</v>
          </cell>
          <cell r="E31">
            <v>0.71999999999999886</v>
          </cell>
          <cell r="F31">
            <v>2495.6397694524499</v>
          </cell>
          <cell r="G31">
            <v>2516.25</v>
          </cell>
          <cell r="H31">
            <v>20.610230547550145</v>
          </cell>
          <cell r="I31">
            <v>2723.4747838616713</v>
          </cell>
          <cell r="J31">
            <v>2713.3301369863016</v>
          </cell>
          <cell r="K31">
            <v>-10.144646875369745</v>
          </cell>
          <cell r="L31">
            <v>227.83501440922177</v>
          </cell>
          <cell r="M31">
            <v>197.08013698630157</v>
          </cell>
          <cell r="N31">
            <v>-30.754877422920202</v>
          </cell>
          <cell r="O31">
            <v>3162.3499999999985</v>
          </cell>
          <cell r="P31">
            <v>2877.3700000000026</v>
          </cell>
          <cell r="Q31">
            <v>-284.97999999999593</v>
          </cell>
          <cell r="R31">
            <v>164.04121037463941</v>
          </cell>
          <cell r="S31">
            <v>300.90936599423213</v>
          </cell>
          <cell r="T31">
            <v>-148.11184438039825</v>
          </cell>
          <cell r="U31">
            <v>-284.97999999999098</v>
          </cell>
        </row>
        <row r="32">
          <cell r="A32" t="str">
            <v>151-38</v>
          </cell>
          <cell r="B32" t="str">
            <v>40KG</v>
          </cell>
          <cell r="C32">
            <v>38.92</v>
          </cell>
          <cell r="D32">
            <v>33.96</v>
          </cell>
          <cell r="E32">
            <v>-4.9600000000000009</v>
          </cell>
          <cell r="F32">
            <v>2499.5899280575536</v>
          </cell>
          <cell r="G32">
            <v>2504.1101295641934</v>
          </cell>
          <cell r="H32">
            <v>4.5202015066397507</v>
          </cell>
          <cell r="I32">
            <v>2672.1346351490233</v>
          </cell>
          <cell r="J32">
            <v>2684.0877502944641</v>
          </cell>
          <cell r="K32">
            <v>11.953115145440734</v>
          </cell>
          <cell r="L32">
            <v>172.54470709146975</v>
          </cell>
          <cell r="M32">
            <v>179.9776207302707</v>
          </cell>
          <cell r="N32">
            <v>7.4329136388009545</v>
          </cell>
          <cell r="O32">
            <v>6715.4400000000023</v>
          </cell>
          <cell r="P32">
            <v>6112.0399999999936</v>
          </cell>
          <cell r="Q32">
            <v>-603.40000000000873</v>
          </cell>
          <cell r="R32">
            <v>-855.82174717369014</v>
          </cell>
          <cell r="S32">
            <v>153.50604316548595</v>
          </cell>
          <cell r="T32">
            <v>405.9277903391673</v>
          </cell>
          <cell r="U32">
            <v>-603.40000000000873</v>
          </cell>
        </row>
        <row r="33">
          <cell r="A33" t="str">
            <v>151-40</v>
          </cell>
          <cell r="B33" t="str">
            <v>5KG</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row>
        <row r="34">
          <cell r="A34" t="str">
            <v>151-40</v>
          </cell>
          <cell r="B34" t="str">
            <v>10KG</v>
          </cell>
          <cell r="C34">
            <v>18.82</v>
          </cell>
          <cell r="D34">
            <v>15.62</v>
          </cell>
          <cell r="E34">
            <v>-3.2000000000000011</v>
          </cell>
          <cell r="F34">
            <v>2656.1997874601489</v>
          </cell>
          <cell r="G34">
            <v>2690.9500640204865</v>
          </cell>
          <cell r="H34">
            <v>34.750276560337625</v>
          </cell>
          <cell r="I34">
            <v>2890.4952178533476</v>
          </cell>
          <cell r="J34">
            <v>2933.7848911651731</v>
          </cell>
          <cell r="K34">
            <v>43.289673311825482</v>
          </cell>
          <cell r="L34">
            <v>234.29543039319884</v>
          </cell>
          <cell r="M34">
            <v>242.83482714468641</v>
          </cell>
          <cell r="N34">
            <v>8.5393967514875726</v>
          </cell>
          <cell r="O34">
            <v>4409.4400000000023</v>
          </cell>
          <cell r="P34">
            <v>3793.0800000000017</v>
          </cell>
          <cell r="Q34">
            <v>-616.36000000000058</v>
          </cell>
          <cell r="R34">
            <v>-749.74537725823654</v>
          </cell>
          <cell r="S34">
            <v>542.79931987247369</v>
          </cell>
          <cell r="T34">
            <v>676.18469713071397</v>
          </cell>
          <cell r="U34">
            <v>-616.35999999999615</v>
          </cell>
        </row>
        <row r="35">
          <cell r="A35" t="str">
            <v>151-40</v>
          </cell>
          <cell r="B35" t="str">
            <v>20KG</v>
          </cell>
          <cell r="C35">
            <v>38.24</v>
          </cell>
          <cell r="D35">
            <v>30.5</v>
          </cell>
          <cell r="E35">
            <v>-7.740000000000002</v>
          </cell>
          <cell r="F35">
            <v>2670.4900627615061</v>
          </cell>
          <cell r="G35">
            <v>2678.04</v>
          </cell>
          <cell r="H35">
            <v>7.5499372384938397</v>
          </cell>
          <cell r="I35">
            <v>2866.9103033472802</v>
          </cell>
          <cell r="J35">
            <v>2914.6990163934424</v>
          </cell>
          <cell r="K35">
            <v>47.788713046162229</v>
          </cell>
          <cell r="L35">
            <v>196.42024058577405</v>
          </cell>
          <cell r="M35">
            <v>236.65901639344233</v>
          </cell>
          <cell r="N35">
            <v>40.238775807668276</v>
          </cell>
          <cell r="O35">
            <v>7511.1100000000006</v>
          </cell>
          <cell r="P35">
            <v>7218.0999999999913</v>
          </cell>
          <cell r="Q35">
            <v>-293.01000000000931</v>
          </cell>
          <cell r="R35">
            <v>-1520.2926621338916</v>
          </cell>
          <cell r="S35">
            <v>230.27308577406211</v>
          </cell>
          <cell r="T35">
            <v>1457.555747907948</v>
          </cell>
          <cell r="U35">
            <v>-293.01000000000568</v>
          </cell>
        </row>
        <row r="36">
          <cell r="A36" t="str">
            <v>151-40</v>
          </cell>
          <cell r="B36" t="str">
            <v>40KG</v>
          </cell>
          <cell r="C36">
            <v>7</v>
          </cell>
          <cell r="D36">
            <v>5.92</v>
          </cell>
          <cell r="E36">
            <v>-1.08</v>
          </cell>
          <cell r="F36">
            <v>2623.2000000000003</v>
          </cell>
          <cell r="G36">
            <v>2652.5996621621621</v>
          </cell>
          <cell r="H36">
            <v>29.399662162161803</v>
          </cell>
          <cell r="I36">
            <v>2837.3757142857144</v>
          </cell>
          <cell r="J36">
            <v>2881.7871621621621</v>
          </cell>
          <cell r="K36">
            <v>44.41144787644771</v>
          </cell>
          <cell r="L36">
            <v>214.17571428571424</v>
          </cell>
          <cell r="M36">
            <v>229.18750000000014</v>
          </cell>
          <cell r="N36">
            <v>15.011785714285907</v>
          </cell>
          <cell r="O36">
            <v>1499.2299999999996</v>
          </cell>
          <cell r="P36">
            <v>1356.7900000000009</v>
          </cell>
          <cell r="Q36">
            <v>-142.43999999999869</v>
          </cell>
          <cell r="R36">
            <v>-231.30977142857139</v>
          </cell>
          <cell r="S36">
            <v>174.04599999999786</v>
          </cell>
          <cell r="T36">
            <v>262.91577142857045</v>
          </cell>
          <cell r="U36">
            <v>-142.4399999999988</v>
          </cell>
        </row>
        <row r="37">
          <cell r="A37" t="str">
            <v>151-42</v>
          </cell>
          <cell r="B37" t="str">
            <v>5KG</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row>
        <row r="38">
          <cell r="A38" t="str">
            <v>151-42</v>
          </cell>
          <cell r="B38" t="str">
            <v>10KG</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row>
        <row r="39">
          <cell r="A39" t="str">
            <v>151-42</v>
          </cell>
          <cell r="B39" t="str">
            <v>20KG</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row>
        <row r="40">
          <cell r="A40" t="str">
            <v>151-42</v>
          </cell>
          <cell r="B40" t="str">
            <v>40KG</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row>
        <row r="41">
          <cell r="A41">
            <v>988</v>
          </cell>
          <cell r="B41" t="str">
            <v>10KG</v>
          </cell>
          <cell r="C41">
            <v>54.33</v>
          </cell>
          <cell r="D41">
            <v>60.99</v>
          </cell>
          <cell r="E41">
            <v>6.6600000000000037</v>
          </cell>
          <cell r="F41">
            <v>2694.5199705503405</v>
          </cell>
          <cell r="G41">
            <v>2712.3172651254299</v>
          </cell>
          <cell r="H41">
            <v>17.797294575089381</v>
          </cell>
          <cell r="I41">
            <v>2875.440456469722</v>
          </cell>
          <cell r="J41">
            <v>2912.9849155599281</v>
          </cell>
          <cell r="K41">
            <v>37.544459090206146</v>
          </cell>
          <cell r="L41">
            <v>180.92048591938163</v>
          </cell>
          <cell r="M41">
            <v>200.66765043449794</v>
          </cell>
          <cell r="N41">
            <v>19.74716451511631</v>
          </cell>
          <cell r="O41">
            <v>9829.4100000000035</v>
          </cell>
          <cell r="P41">
            <v>12238.72000000003</v>
          </cell>
          <cell r="Q41">
            <v>2409.3100000000268</v>
          </cell>
          <cell r="R41">
            <v>1204.9304362230823</v>
          </cell>
          <cell r="S41">
            <v>1085.4569961347015</v>
          </cell>
          <cell r="T41">
            <v>2289.8365599116728</v>
          </cell>
          <cell r="U41">
            <v>2409.3100000000536</v>
          </cell>
        </row>
        <row r="42">
          <cell r="A42">
            <v>988</v>
          </cell>
          <cell r="B42" t="str">
            <v>20KG</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row>
        <row r="43">
          <cell r="A43">
            <v>988</v>
          </cell>
          <cell r="B43" t="str">
            <v>40KG</v>
          </cell>
          <cell r="C43">
            <v>134.52000000000001</v>
          </cell>
          <cell r="D43">
            <v>121.52</v>
          </cell>
          <cell r="E43">
            <v>-13.000000000000014</v>
          </cell>
          <cell r="F43">
            <v>2664.8699821587866</v>
          </cell>
          <cell r="G43">
            <v>2674.530036208032</v>
          </cell>
          <cell r="H43">
            <v>9.6600540492454456</v>
          </cell>
          <cell r="I43">
            <v>2836.4199375557532</v>
          </cell>
          <cell r="J43">
            <v>2894.3453752468731</v>
          </cell>
          <cell r="K43">
            <v>57.925437691119896</v>
          </cell>
          <cell r="L43">
            <v>171.54995539696671</v>
          </cell>
          <cell r="M43">
            <v>219.81533903884153</v>
          </cell>
          <cell r="N43">
            <v>48.26538364187482</v>
          </cell>
          <cell r="O43">
            <v>23076.899999999965</v>
          </cell>
          <cell r="P43">
            <v>26711.960000000021</v>
          </cell>
          <cell r="Q43">
            <v>3635.0600000000559</v>
          </cell>
          <cell r="R43">
            <v>-2230.1494201605697</v>
          </cell>
          <cell r="S43">
            <v>1173.8897680643065</v>
          </cell>
          <cell r="T43">
            <v>7039.09918822489</v>
          </cell>
          <cell r="U43">
            <v>3635.060000000014</v>
          </cell>
        </row>
        <row r="44">
          <cell r="A44" t="str">
            <v>551SS</v>
          </cell>
          <cell r="B44" t="str">
            <v>20KG</v>
          </cell>
          <cell r="C44">
            <v>0</v>
          </cell>
          <cell r="D44">
            <v>5.08</v>
          </cell>
          <cell r="E44">
            <v>5.08</v>
          </cell>
          <cell r="F44">
            <v>0</v>
          </cell>
          <cell r="G44">
            <v>2394.98031496063</v>
          </cell>
          <cell r="H44">
            <v>2394.98031496063</v>
          </cell>
          <cell r="I44">
            <v>0</v>
          </cell>
          <cell r="J44">
            <v>2835.4448818897636</v>
          </cell>
          <cell r="K44">
            <v>2835.4448818897636</v>
          </cell>
          <cell r="L44">
            <v>0</v>
          </cell>
          <cell r="M44">
            <v>440.46456692913375</v>
          </cell>
          <cell r="N44">
            <v>440.46456692913375</v>
          </cell>
          <cell r="O44">
            <v>0</v>
          </cell>
          <cell r="P44">
            <v>2237.5599999999995</v>
          </cell>
          <cell r="Q44">
            <v>2237.5599999999995</v>
          </cell>
          <cell r="R44">
            <v>0</v>
          </cell>
          <cell r="S44">
            <v>12166.5</v>
          </cell>
          <cell r="T44">
            <v>14404.06</v>
          </cell>
          <cell r="U44">
            <v>2237.5599999999995</v>
          </cell>
        </row>
        <row r="45">
          <cell r="A45" t="str">
            <v>551S</v>
          </cell>
          <cell r="B45" t="str">
            <v>40KG</v>
          </cell>
          <cell r="C45">
            <v>255.95999999999998</v>
          </cell>
          <cell r="D45">
            <v>225.51999999999998</v>
          </cell>
          <cell r="E45">
            <v>-30.439999999999998</v>
          </cell>
          <cell r="F45">
            <v>1853.5</v>
          </cell>
          <cell r="G45">
            <v>1893.4400053210361</v>
          </cell>
          <cell r="H45">
            <v>39.940005321036097</v>
          </cell>
          <cell r="I45">
            <v>2105.9254571026727</v>
          </cell>
          <cell r="J45">
            <v>2127.3670184462576</v>
          </cell>
          <cell r="K45">
            <v>21.441561343584908</v>
          </cell>
          <cell r="L45">
            <v>252.42545710267257</v>
          </cell>
          <cell r="M45">
            <v>233.92701312522161</v>
          </cell>
          <cell r="N45">
            <v>-18.498443977450961</v>
          </cell>
          <cell r="O45">
            <v>64610.820000000065</v>
          </cell>
          <cell r="P45">
            <v>52755.219999999972</v>
          </cell>
          <cell r="Q45">
            <v>-11855.600000000093</v>
          </cell>
          <cell r="R45">
            <v>-7683.8309142053522</v>
          </cell>
          <cell r="S45">
            <v>9007.2700000000605</v>
          </cell>
          <cell r="T45">
            <v>4835.5009142052677</v>
          </cell>
          <cell r="U45">
            <v>-11855.600000000146</v>
          </cell>
        </row>
        <row r="46">
          <cell r="A46" t="str">
            <v>950S(20)</v>
          </cell>
          <cell r="B46" t="str">
            <v>10KG</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row>
        <row r="47">
          <cell r="A47" t="str">
            <v>950S-20</v>
          </cell>
          <cell r="B47" t="str">
            <v>20KG</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row>
        <row r="48">
          <cell r="A48" t="str">
            <v>950S(20)</v>
          </cell>
          <cell r="B48" t="str">
            <v>40KG</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row>
        <row r="49">
          <cell r="A49" t="str">
            <v>950S(22)</v>
          </cell>
          <cell r="B49" t="str">
            <v>10KG</v>
          </cell>
          <cell r="C49">
            <v>4.46</v>
          </cell>
          <cell r="D49">
            <v>0</v>
          </cell>
          <cell r="E49">
            <v>-4.46</v>
          </cell>
          <cell r="F49">
            <v>2633.0829596412559</v>
          </cell>
          <cell r="G49">
            <v>0</v>
          </cell>
          <cell r="H49">
            <v>-2633.0829596412559</v>
          </cell>
          <cell r="I49">
            <v>3107.3542600896862</v>
          </cell>
          <cell r="J49">
            <v>0</v>
          </cell>
          <cell r="K49">
            <v>-3107.3542600896862</v>
          </cell>
          <cell r="L49">
            <v>474.27130044843051</v>
          </cell>
          <cell r="M49">
            <v>0</v>
          </cell>
          <cell r="N49">
            <v>-474.27130044843051</v>
          </cell>
          <cell r="O49">
            <v>2115.25</v>
          </cell>
          <cell r="P49">
            <v>0</v>
          </cell>
          <cell r="Q49">
            <v>-2115.25</v>
          </cell>
          <cell r="R49">
            <v>-2115.25</v>
          </cell>
          <cell r="S49">
            <v>0</v>
          </cell>
          <cell r="T49">
            <v>0</v>
          </cell>
          <cell r="U49">
            <v>-2115.25</v>
          </cell>
        </row>
        <row r="50">
          <cell r="A50" t="str">
            <v>950S(22)</v>
          </cell>
          <cell r="B50" t="str">
            <v>20KG</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row>
        <row r="51">
          <cell r="A51" t="str">
            <v>950S(22)</v>
          </cell>
          <cell r="B51" t="str">
            <v>40KG</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row>
        <row r="52">
          <cell r="A52" t="str">
            <v>951S</v>
          </cell>
          <cell r="B52" t="str">
            <v>40KG</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row>
        <row r="53">
          <cell r="A53">
            <v>951</v>
          </cell>
          <cell r="B53" t="str">
            <v>40KG</v>
          </cell>
          <cell r="C53">
            <v>50.12</v>
          </cell>
          <cell r="D53">
            <v>40.72</v>
          </cell>
          <cell r="E53">
            <v>-9.3999999999999986</v>
          </cell>
          <cell r="F53">
            <v>1786.1300877893057</v>
          </cell>
          <cell r="G53">
            <v>1832.0505893909628</v>
          </cell>
          <cell r="H53">
            <v>45.920501601657179</v>
          </cell>
          <cell r="I53">
            <v>2028.8507581803672</v>
          </cell>
          <cell r="J53">
            <v>2045.0282416502948</v>
          </cell>
          <cell r="K53">
            <v>16.177483469927665</v>
          </cell>
          <cell r="L53">
            <v>242.72067039106153</v>
          </cell>
          <cell r="M53">
            <v>212.97765225933196</v>
          </cell>
          <cell r="N53">
            <v>-29.743018131729571</v>
          </cell>
          <cell r="O53">
            <v>12165.160000000003</v>
          </cell>
          <cell r="P53">
            <v>8672.4499999999971</v>
          </cell>
          <cell r="Q53">
            <v>-3492.7100000000064</v>
          </cell>
          <cell r="R53">
            <v>-2281.5743016759779</v>
          </cell>
          <cell r="S53">
            <v>1869.8828252194803</v>
          </cell>
          <cell r="T53">
            <v>658.74712689545447</v>
          </cell>
          <cell r="U53">
            <v>-3492.7100000000041</v>
          </cell>
        </row>
        <row r="54">
          <cell r="A54">
            <v>551</v>
          </cell>
          <cell r="B54" t="str">
            <v>10KG</v>
          </cell>
          <cell r="C54">
            <v>16.75</v>
          </cell>
          <cell r="D54">
            <v>18.630000000000003</v>
          </cell>
          <cell r="E54">
            <v>1.8800000000000026</v>
          </cell>
          <cell r="F54">
            <v>1836.5301492537315</v>
          </cell>
          <cell r="G54">
            <v>1871.0300590445515</v>
          </cell>
          <cell r="H54">
            <v>34.499909790820084</v>
          </cell>
          <cell r="I54">
            <v>2137.2925373134326</v>
          </cell>
          <cell r="J54">
            <v>2112.2458400429414</v>
          </cell>
          <cell r="K54">
            <v>-25.046697270491222</v>
          </cell>
          <cell r="L54">
            <v>300.7623880597011</v>
          </cell>
          <cell r="M54">
            <v>241.21578099838959</v>
          </cell>
          <cell r="N54">
            <v>-59.546607061311505</v>
          </cell>
          <cell r="O54">
            <v>5037.7699999999932</v>
          </cell>
          <cell r="P54">
            <v>4493.8499999999985</v>
          </cell>
          <cell r="Q54">
            <v>-543.91999999999462</v>
          </cell>
          <cell r="R54">
            <v>565.43328955223888</v>
          </cell>
          <cell r="S54">
            <v>642.73331940297828</v>
          </cell>
          <cell r="T54">
            <v>-466.61997014925151</v>
          </cell>
          <cell r="U54">
            <v>-543.91999999999098</v>
          </cell>
        </row>
        <row r="55">
          <cell r="A55">
            <v>551</v>
          </cell>
          <cell r="B55" t="str">
            <v>40KG</v>
          </cell>
          <cell r="C55">
            <v>221.68</v>
          </cell>
          <cell r="D55">
            <v>196.28</v>
          </cell>
          <cell r="E55">
            <v>-25.400000000000006</v>
          </cell>
          <cell r="F55">
            <v>1804.0700108264164</v>
          </cell>
          <cell r="G55">
            <v>1838.2700224169555</v>
          </cell>
          <cell r="H55">
            <v>34.200011590539134</v>
          </cell>
          <cell r="I55">
            <v>2048.5782659689644</v>
          </cell>
          <cell r="J55">
            <v>2056.7178520480943</v>
          </cell>
          <cell r="K55">
            <v>8.1395860791299128</v>
          </cell>
          <cell r="L55">
            <v>244.50825514254794</v>
          </cell>
          <cell r="M55">
            <v>218.44782963113892</v>
          </cell>
          <cell r="N55">
            <v>-26.060425511409022</v>
          </cell>
          <cell r="O55">
            <v>54202.590000000026</v>
          </cell>
          <cell r="P55">
            <v>42876.939999999944</v>
          </cell>
          <cell r="Q55">
            <v>-11325.650000000081</v>
          </cell>
          <cell r="R55">
            <v>-6210.5096806207193</v>
          </cell>
          <cell r="S55">
            <v>6712.7782749910211</v>
          </cell>
          <cell r="T55">
            <v>1597.6379556116192</v>
          </cell>
          <cell r="U55">
            <v>-11325.650000000122</v>
          </cell>
        </row>
        <row r="56">
          <cell r="A56">
            <v>552</v>
          </cell>
          <cell r="B56" t="str">
            <v>40KG</v>
          </cell>
          <cell r="C56">
            <v>18.64</v>
          </cell>
          <cell r="D56">
            <v>26.48</v>
          </cell>
          <cell r="E56">
            <v>7.84</v>
          </cell>
          <cell r="F56">
            <v>1449.0901287553647</v>
          </cell>
          <cell r="G56">
            <v>1502.6098942598187</v>
          </cell>
          <cell r="H56">
            <v>53.519765504453972</v>
          </cell>
          <cell r="I56">
            <v>1693.9447424892703</v>
          </cell>
          <cell r="J56">
            <v>1623.0173716012084</v>
          </cell>
          <cell r="K56">
            <v>-70.927370888061887</v>
          </cell>
          <cell r="L56">
            <v>244.85461373390558</v>
          </cell>
          <cell r="M56">
            <v>120.40747734138971</v>
          </cell>
          <cell r="N56">
            <v>-124.44713639251587</v>
          </cell>
          <cell r="O56">
            <v>4564.09</v>
          </cell>
          <cell r="P56">
            <v>3188.3899999999994</v>
          </cell>
          <cell r="Q56">
            <v>-1375.7000000000007</v>
          </cell>
          <cell r="R56">
            <v>1919.6601716738196</v>
          </cell>
          <cell r="S56">
            <v>1417.2033905579412</v>
          </cell>
          <cell r="T56">
            <v>-1878.1567811158789</v>
          </cell>
          <cell r="U56">
            <v>-1375.7000000000005</v>
          </cell>
        </row>
        <row r="57">
          <cell r="A57">
            <v>553</v>
          </cell>
          <cell r="B57" t="str">
            <v>40KG</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row>
        <row r="58">
          <cell r="A58">
            <v>555</v>
          </cell>
          <cell r="B58" t="str">
            <v>40KG</v>
          </cell>
          <cell r="C58">
            <v>6.72</v>
          </cell>
          <cell r="D58">
            <v>10.6</v>
          </cell>
          <cell r="E58">
            <v>3.88</v>
          </cell>
          <cell r="F58">
            <v>1245.3303571428573</v>
          </cell>
          <cell r="G58">
            <v>1282.4000000000001</v>
          </cell>
          <cell r="H58">
            <v>37.069642857142753</v>
          </cell>
          <cell r="I58">
            <v>1382.2723214285713</v>
          </cell>
          <cell r="J58">
            <v>1347.8735849056604</v>
          </cell>
          <cell r="K58">
            <v>-34.398736522910895</v>
          </cell>
          <cell r="L58">
            <v>136.94196428571402</v>
          </cell>
          <cell r="M58">
            <v>65.473584905660246</v>
          </cell>
          <cell r="N58">
            <v>-71.468379380053776</v>
          </cell>
          <cell r="O58">
            <v>920.24999999999818</v>
          </cell>
          <cell r="P58">
            <v>694.01999999999862</v>
          </cell>
          <cell r="Q58">
            <v>-226.22999999999956</v>
          </cell>
          <cell r="R58">
            <v>531.33482142857042</v>
          </cell>
          <cell r="S58">
            <v>392.93821428571317</v>
          </cell>
          <cell r="T58">
            <v>-364.62660714285545</v>
          </cell>
          <cell r="U58">
            <v>-226.2299999999982</v>
          </cell>
        </row>
        <row r="59">
          <cell r="A59">
            <v>851</v>
          </cell>
          <cell r="B59" t="str">
            <v>10KG</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row>
        <row r="60">
          <cell r="A60">
            <v>851</v>
          </cell>
          <cell r="B60" t="str">
            <v>40KG</v>
          </cell>
          <cell r="C60">
            <v>47.92</v>
          </cell>
          <cell r="D60">
            <v>43.760000000000005</v>
          </cell>
          <cell r="E60">
            <v>-4.1599999999999966</v>
          </cell>
          <cell r="F60">
            <v>1657.9000417362272</v>
          </cell>
          <cell r="G60">
            <v>1676.9099634369286</v>
          </cell>
          <cell r="H60">
            <v>19.009921700701398</v>
          </cell>
          <cell r="I60">
            <v>1933.4993739565944</v>
          </cell>
          <cell r="J60">
            <v>1910.4234460694697</v>
          </cell>
          <cell r="K60">
            <v>-23.075927887124635</v>
          </cell>
          <cell r="L60">
            <v>275.59933222036727</v>
          </cell>
          <cell r="M60">
            <v>233.51348263254118</v>
          </cell>
          <cell r="N60">
            <v>-42.08584958782609</v>
          </cell>
          <cell r="O60">
            <v>13206.720000000001</v>
          </cell>
          <cell r="P60">
            <v>10218.550000000003</v>
          </cell>
          <cell r="Q60">
            <v>-2988.1699999999983</v>
          </cell>
          <cell r="R60">
            <v>-1146.4932220367268</v>
          </cell>
          <cell r="S60">
            <v>831.87417362269321</v>
          </cell>
          <cell r="T60">
            <v>-1009.8026043405741</v>
          </cell>
          <cell r="U60">
            <v>-2988.1699999999942</v>
          </cell>
        </row>
        <row r="61">
          <cell r="A61">
            <v>852</v>
          </cell>
          <cell r="B61" t="str">
            <v>40KG</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row>
        <row r="62">
          <cell r="A62" t="str">
            <v>猪料合计</v>
          </cell>
          <cell r="B62">
            <v>0</v>
          </cell>
          <cell r="C62">
            <v>946.18000000000006</v>
          </cell>
          <cell r="D62">
            <v>865.18000000000006</v>
          </cell>
          <cell r="E62">
            <v>-81</v>
          </cell>
          <cell r="F62">
            <v>2086.3952947642097</v>
          </cell>
          <cell r="G62">
            <v>2110.3883584918749</v>
          </cell>
          <cell r="H62">
            <v>23.993063727665231</v>
          </cell>
          <cell r="I62">
            <v>2316.2466972457669</v>
          </cell>
          <cell r="J62">
            <v>2328.5648766730619</v>
          </cell>
          <cell r="K62">
            <v>12.318179427295036</v>
          </cell>
          <cell r="L62">
            <v>229.85140248155744</v>
          </cell>
          <cell r="M62">
            <v>218.17651818118767</v>
          </cell>
          <cell r="N62">
            <v>-11.674884300369769</v>
          </cell>
          <cell r="O62">
            <v>217480.80000000005</v>
          </cell>
          <cell r="P62">
            <v>188761.95999999996</v>
          </cell>
          <cell r="Q62">
            <v>-28718.840000000084</v>
          </cell>
          <cell r="R62">
            <v>-18617.963601006151</v>
          </cell>
          <cell r="S62">
            <v>20758.318875901405</v>
          </cell>
          <cell r="T62">
            <v>10657.442476907119</v>
          </cell>
          <cell r="U62">
            <v>-28718.840000000433</v>
          </cell>
        </row>
        <row r="63">
          <cell r="A63" t="str">
            <v>549F</v>
          </cell>
          <cell r="B63" t="str">
            <v>40KG</v>
          </cell>
          <cell r="C63">
            <v>353.4</v>
          </cell>
          <cell r="D63">
            <v>178.48</v>
          </cell>
          <cell r="E63">
            <v>-174.92</v>
          </cell>
          <cell r="F63">
            <v>1382.0599886813809</v>
          </cell>
          <cell r="G63">
            <v>1410.5327207530256</v>
          </cell>
          <cell r="H63">
            <v>28.472732071644714</v>
          </cell>
          <cell r="I63">
            <v>1342.108404074703</v>
          </cell>
          <cell r="J63">
            <v>1345.214533841327</v>
          </cell>
          <cell r="K63">
            <v>3.106129766624008</v>
          </cell>
          <cell r="L63">
            <v>-39.951584606678026</v>
          </cell>
          <cell r="M63">
            <v>-65.318186911698746</v>
          </cell>
          <cell r="N63">
            <v>-25.36660230502072</v>
          </cell>
          <cell r="O63">
            <v>-14118.890000000014</v>
          </cell>
          <cell r="P63">
            <v>-11657.989999999991</v>
          </cell>
          <cell r="Q63">
            <v>2460.9000000000233</v>
          </cell>
          <cell r="R63">
            <v>6988.3311794001202</v>
          </cell>
          <cell r="S63">
            <v>5081.8132201471481</v>
          </cell>
          <cell r="T63">
            <v>554.38204074705288</v>
          </cell>
          <cell r="U63">
            <v>2460.9000000000251</v>
          </cell>
        </row>
        <row r="64">
          <cell r="A64" t="str">
            <v>549LF</v>
          </cell>
          <cell r="B64" t="str">
            <v>40KG</v>
          </cell>
          <cell r="C64">
            <v>18.600000000000001</v>
          </cell>
          <cell r="D64">
            <v>30</v>
          </cell>
          <cell r="E64">
            <v>11.399999999999999</v>
          </cell>
          <cell r="F64">
            <v>1399.4801075268817</v>
          </cell>
          <cell r="G64">
            <v>1435.65</v>
          </cell>
          <cell r="H64">
            <v>36.169892473118352</v>
          </cell>
          <cell r="I64">
            <v>1441.9252688172044</v>
          </cell>
          <cell r="J64">
            <v>1418.6983333333333</v>
          </cell>
          <cell r="K64">
            <v>-23.226935483871102</v>
          </cell>
          <cell r="L64">
            <v>42.445161290322552</v>
          </cell>
          <cell r="M64">
            <v>-16.951666666666764</v>
          </cell>
          <cell r="N64">
            <v>-59.396827956989313</v>
          </cell>
          <cell r="O64">
            <v>789.47999999999956</v>
          </cell>
          <cell r="P64">
            <v>-508.55000000000291</v>
          </cell>
          <cell r="Q64">
            <v>-1298.0300000000025</v>
          </cell>
          <cell r="R64">
            <v>483.87483870967702</v>
          </cell>
          <cell r="S64">
            <v>1085.0967741935506</v>
          </cell>
          <cell r="T64">
            <v>-696.80806451613307</v>
          </cell>
          <cell r="U64">
            <v>-1298.0300000000066</v>
          </cell>
        </row>
        <row r="65">
          <cell r="A65">
            <v>543</v>
          </cell>
          <cell r="B65" t="str">
            <v>40KG</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row>
        <row r="66">
          <cell r="A66">
            <v>544</v>
          </cell>
          <cell r="B66" t="str">
            <v>40KG</v>
          </cell>
          <cell r="C66">
            <v>10.24</v>
          </cell>
          <cell r="D66">
            <v>20.04</v>
          </cell>
          <cell r="E66">
            <v>9.7999999999999989</v>
          </cell>
          <cell r="F66">
            <v>1441.4580078124998</v>
          </cell>
          <cell r="G66">
            <v>1514.9466067864271</v>
          </cell>
          <cell r="H66">
            <v>73.48859897392731</v>
          </cell>
          <cell r="I66">
            <v>1472.1982421875</v>
          </cell>
          <cell r="J66">
            <v>1463.8383233532934</v>
          </cell>
          <cell r="K66">
            <v>-8.35991883420661</v>
          </cell>
          <cell r="L66">
            <v>30.740234375000064</v>
          </cell>
          <cell r="M66">
            <v>-51.108283433133693</v>
          </cell>
          <cell r="N66">
            <v>-81.848517808133749</v>
          </cell>
          <cell r="O66">
            <v>314.78000000000065</v>
          </cell>
          <cell r="P66">
            <v>-1024.2099999999991</v>
          </cell>
          <cell r="Q66">
            <v>-1338.9899999999998</v>
          </cell>
          <cell r="R66">
            <v>301.25429687500059</v>
          </cell>
          <cell r="S66">
            <v>1472.7115234375033</v>
          </cell>
          <cell r="T66">
            <v>-167.53277343750045</v>
          </cell>
          <cell r="U66">
            <v>-1338.9900000000032</v>
          </cell>
        </row>
        <row r="67">
          <cell r="A67" t="str">
            <v>547M</v>
          </cell>
          <cell r="B67" t="str">
            <v>40KG</v>
          </cell>
          <cell r="C67">
            <v>4</v>
          </cell>
          <cell r="D67">
            <v>16.96</v>
          </cell>
          <cell r="E67">
            <v>12.96</v>
          </cell>
          <cell r="F67">
            <v>1467.79</v>
          </cell>
          <cell r="G67">
            <v>1467.7900943396226</v>
          </cell>
          <cell r="H67">
            <v>9.4339622592087835E-5</v>
          </cell>
          <cell r="I67">
            <v>1528</v>
          </cell>
          <cell r="J67">
            <v>1444.4811320754718</v>
          </cell>
          <cell r="K67">
            <v>-83.518867924528195</v>
          </cell>
          <cell r="L67">
            <v>60.210000000000036</v>
          </cell>
          <cell r="M67">
            <v>-23.308962264150924</v>
          </cell>
          <cell r="N67">
            <v>-83.518962264150957</v>
          </cell>
          <cell r="O67">
            <v>240.84000000000015</v>
          </cell>
          <cell r="P67">
            <v>-395.31999999999971</v>
          </cell>
          <cell r="Q67">
            <v>-636.15999999999985</v>
          </cell>
          <cell r="R67">
            <v>780.32160000000056</v>
          </cell>
          <cell r="S67">
            <v>1.5999999991618097E-3</v>
          </cell>
          <cell r="T67">
            <v>-1416.4799999999982</v>
          </cell>
          <cell r="U67">
            <v>-636.15999999999678</v>
          </cell>
        </row>
        <row r="68">
          <cell r="A68">
            <v>547</v>
          </cell>
          <cell r="B68" t="str">
            <v>40KG</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row>
        <row r="69">
          <cell r="A69">
            <v>548</v>
          </cell>
          <cell r="B69" t="str">
            <v>40KG</v>
          </cell>
          <cell r="C69">
            <v>18.36</v>
          </cell>
          <cell r="D69">
            <v>15.96</v>
          </cell>
          <cell r="E69">
            <v>-2.3999999999999986</v>
          </cell>
          <cell r="F69">
            <v>1630.0098039215686</v>
          </cell>
          <cell r="G69">
            <v>1652.7399749373433</v>
          </cell>
          <cell r="H69">
            <v>22.730171015774658</v>
          </cell>
          <cell r="I69">
            <v>1752.7641612200437</v>
          </cell>
          <cell r="J69">
            <v>1758.2030075187968</v>
          </cell>
          <cell r="K69">
            <v>5.4388462987531057</v>
          </cell>
          <cell r="L69">
            <v>122.75435729847497</v>
          </cell>
          <cell r="M69">
            <v>105.46303258145355</v>
          </cell>
          <cell r="N69">
            <v>-17.291324717021425</v>
          </cell>
          <cell r="O69">
            <v>2253.7700000000004</v>
          </cell>
          <cell r="P69">
            <v>1683.1899999999987</v>
          </cell>
          <cell r="Q69">
            <v>-570.58000000000175</v>
          </cell>
          <cell r="R69">
            <v>-294.61045751633975</v>
          </cell>
          <cell r="S69">
            <v>362.77352941176355</v>
          </cell>
          <cell r="T69">
            <v>86.803986928099576</v>
          </cell>
          <cell r="U69">
            <v>-570.58000000000368</v>
          </cell>
        </row>
        <row r="70">
          <cell r="A70">
            <v>549</v>
          </cell>
          <cell r="B70" t="str">
            <v>40KG</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row>
        <row r="71">
          <cell r="A71" t="str">
            <v>鸭料合计</v>
          </cell>
          <cell r="B71">
            <v>0</v>
          </cell>
          <cell r="C71">
            <v>404.6</v>
          </cell>
          <cell r="D71">
            <v>261.44</v>
          </cell>
          <cell r="E71">
            <v>-143.16000000000003</v>
          </cell>
          <cell r="F71">
            <v>1396.463173504696</v>
          </cell>
          <cell r="G71">
            <v>1439.9187576499387</v>
          </cell>
          <cell r="H71">
            <v>43.45558414524271</v>
          </cell>
          <cell r="I71">
            <v>1370.4621354424121</v>
          </cell>
          <cell r="J71">
            <v>1394.3906058751531</v>
          </cell>
          <cell r="K71">
            <v>23.928470432741051</v>
          </cell>
          <cell r="L71">
            <v>-26.001038062283769</v>
          </cell>
          <cell r="M71">
            <v>-45.528151774785776</v>
          </cell>
          <cell r="N71">
            <v>-19.527113712502008</v>
          </cell>
          <cell r="O71">
            <v>-10520.020000000013</v>
          </cell>
          <cell r="P71">
            <v>-11902.879999999994</v>
          </cell>
          <cell r="Q71">
            <v>-1382.8599999999806</v>
          </cell>
          <cell r="R71">
            <v>3722.308608996545</v>
          </cell>
          <cell r="S71">
            <v>11361.027918932254</v>
          </cell>
          <cell r="T71">
            <v>6255.8593099358204</v>
          </cell>
          <cell r="U71">
            <v>-1382.8599999998878</v>
          </cell>
        </row>
        <row r="72">
          <cell r="A72" t="str">
            <v>合计</v>
          </cell>
          <cell r="B72">
            <v>0</v>
          </cell>
          <cell r="C72">
            <v>2845.2649999999999</v>
          </cell>
          <cell r="D72">
            <v>2310.94</v>
          </cell>
          <cell r="E72">
            <v>-534.32499999999982</v>
          </cell>
          <cell r="F72">
            <v>1758.0926873243793</v>
          </cell>
          <cell r="G72">
            <v>1829.5156300033755</v>
          </cell>
          <cell r="H72">
            <v>71.422942678996151</v>
          </cell>
          <cell r="I72">
            <v>1863.5066329498304</v>
          </cell>
          <cell r="J72">
            <v>1914.9249223259797</v>
          </cell>
          <cell r="K72">
            <v>51.418289376149232</v>
          </cell>
          <cell r="L72">
            <v>105.4139456254514</v>
          </cell>
          <cell r="M72">
            <v>85.4092923226046</v>
          </cell>
          <cell r="N72">
            <v>-20.004653302846805</v>
          </cell>
          <cell r="O72">
            <v>299930.61</v>
          </cell>
          <cell r="P72">
            <v>197375.74999999988</v>
          </cell>
          <cell r="Q72">
            <v>-102554.8600000001</v>
          </cell>
          <cell r="R72">
            <v>-56325.306496319303</v>
          </cell>
          <cell r="S72">
            <v>165054.13515459938</v>
          </cell>
          <cell r="T72">
            <v>118824.58165091831</v>
          </cell>
          <cell r="U72">
            <v>-102554.86000000038</v>
          </cell>
        </row>
      </sheetData>
      <sheetData sheetId="12" refreshError="1">
        <row r="1">
          <cell r="A1" t="str">
            <v>泰 州 正 大 饲 料 有 限 公 司</v>
          </cell>
        </row>
        <row r="2">
          <cell r="A2" t="str">
            <v>平均单位直接材料成本变动分析表</v>
          </cell>
        </row>
        <row r="3">
          <cell r="A3">
            <v>37772</v>
          </cell>
        </row>
        <row r="4">
          <cell r="A4" t="str">
            <v>品种名称</v>
          </cell>
          <cell r="B4" t="str">
            <v>规格</v>
          </cell>
          <cell r="C4" t="str">
            <v>上       期</v>
          </cell>
          <cell r="D4">
            <v>0</v>
          </cell>
          <cell r="E4">
            <v>0</v>
          </cell>
          <cell r="F4" t="str">
            <v>本       期</v>
          </cell>
          <cell r="G4">
            <v>0</v>
          </cell>
          <cell r="H4">
            <v>0</v>
          </cell>
          <cell r="I4" t="str">
            <v>变动情况</v>
          </cell>
          <cell r="J4">
            <v>0</v>
          </cell>
          <cell r="K4" t="str">
            <v>变动影响额</v>
          </cell>
        </row>
        <row r="5">
          <cell r="C5" t="str">
            <v>生产数量</v>
          </cell>
          <cell r="D5" t="str">
            <v>比重（%）</v>
          </cell>
          <cell r="E5" t="str">
            <v>单位成本</v>
          </cell>
          <cell r="F5" t="str">
            <v>生产数量</v>
          </cell>
          <cell r="G5" t="str">
            <v>比重（%）</v>
          </cell>
          <cell r="H5" t="str">
            <v>单位成本</v>
          </cell>
          <cell r="I5" t="str">
            <v>结构</v>
          </cell>
          <cell r="J5" t="str">
            <v>单位成本</v>
          </cell>
          <cell r="K5" t="str">
            <v>结构</v>
          </cell>
          <cell r="L5" t="str">
            <v>单位成本</v>
          </cell>
          <cell r="M5" t="str">
            <v>合计</v>
          </cell>
        </row>
        <row r="6">
          <cell r="A6" t="str">
            <v>510L</v>
          </cell>
          <cell r="B6" t="str">
            <v>40KG</v>
          </cell>
          <cell r="C6">
            <v>0</v>
          </cell>
          <cell r="D6">
            <v>0</v>
          </cell>
          <cell r="E6">
            <v>0</v>
          </cell>
          <cell r="F6">
            <v>0</v>
          </cell>
          <cell r="G6">
            <v>0</v>
          </cell>
          <cell r="H6">
            <v>0</v>
          </cell>
          <cell r="I6">
            <v>0</v>
          </cell>
          <cell r="J6">
            <v>0</v>
          </cell>
          <cell r="K6">
            <v>0</v>
          </cell>
          <cell r="L6">
            <v>0</v>
          </cell>
          <cell r="M6">
            <v>0</v>
          </cell>
        </row>
        <row r="7">
          <cell r="A7" t="str">
            <v>510Y</v>
          </cell>
          <cell r="B7" t="str">
            <v>40KG</v>
          </cell>
          <cell r="C7">
            <v>46.88</v>
          </cell>
          <cell r="D7">
            <v>1.7291172576082265</v>
          </cell>
          <cell r="E7">
            <v>1651.37</v>
          </cell>
          <cell r="F7">
            <v>39.28</v>
          </cell>
          <cell r="G7">
            <v>1.8652180519677861</v>
          </cell>
          <cell r="H7">
            <v>1666.05</v>
          </cell>
          <cell r="I7">
            <v>0.13610079435955957</v>
          </cell>
          <cell r="J7">
            <v>14.680000000000064</v>
          </cell>
          <cell r="K7">
            <v>2.2475276878154586</v>
          </cell>
          <cell r="L7">
            <v>0.27381401002887218</v>
          </cell>
          <cell r="M7">
            <v>2.5213416978443273</v>
          </cell>
        </row>
        <row r="8">
          <cell r="A8" t="str">
            <v>511Y</v>
          </cell>
          <cell r="B8" t="str">
            <v>40KG</v>
          </cell>
          <cell r="C8">
            <v>52.28</v>
          </cell>
          <cell r="D8">
            <v>1.9282903205579798</v>
          </cell>
          <cell r="E8">
            <v>1530</v>
          </cell>
          <cell r="F8">
            <v>63.28</v>
          </cell>
          <cell r="G8">
            <v>3.0048624829053336</v>
          </cell>
          <cell r="H8">
            <v>1608.79</v>
          </cell>
          <cell r="I8">
            <v>1.0765721623473539</v>
          </cell>
          <cell r="J8">
            <v>78.789999999999964</v>
          </cell>
          <cell r="K8">
            <v>16.471554083914512</v>
          </cell>
          <cell r="L8">
            <v>2.3675311502811112</v>
          </cell>
          <cell r="M8">
            <v>18.839085234195625</v>
          </cell>
        </row>
        <row r="9">
          <cell r="A9" t="str">
            <v>512Y</v>
          </cell>
          <cell r="B9" t="str">
            <v>40KG</v>
          </cell>
          <cell r="C9">
            <v>110.52</v>
          </cell>
          <cell r="D9">
            <v>4.0764086883716129</v>
          </cell>
          <cell r="E9">
            <v>1507.89</v>
          </cell>
          <cell r="F9">
            <v>111.92</v>
          </cell>
          <cell r="G9">
            <v>5.3145418629387633</v>
          </cell>
          <cell r="H9">
            <v>1579.53</v>
          </cell>
          <cell r="I9">
            <v>1.2381331745671504</v>
          </cell>
          <cell r="J9">
            <v>71.639999999999873</v>
          </cell>
          <cell r="K9">
            <v>18.669686325980607</v>
          </cell>
          <cell r="L9">
            <v>3.8073377906093229</v>
          </cell>
          <cell r="M9">
            <v>22.477024116589927</v>
          </cell>
        </row>
        <row r="10">
          <cell r="A10" t="str">
            <v>510S</v>
          </cell>
          <cell r="B10" t="str">
            <v>40KG</v>
          </cell>
          <cell r="C10">
            <v>0</v>
          </cell>
          <cell r="D10">
            <v>0</v>
          </cell>
          <cell r="E10">
            <v>0</v>
          </cell>
          <cell r="F10">
            <v>0</v>
          </cell>
          <cell r="G10">
            <v>0</v>
          </cell>
          <cell r="H10">
            <v>0</v>
          </cell>
          <cell r="I10">
            <v>0</v>
          </cell>
          <cell r="J10">
            <v>0</v>
          </cell>
          <cell r="K10">
            <v>0</v>
          </cell>
          <cell r="L10">
            <v>0</v>
          </cell>
          <cell r="M10">
            <v>0</v>
          </cell>
        </row>
        <row r="11">
          <cell r="A11">
            <v>510</v>
          </cell>
          <cell r="B11" t="str">
            <v>40KG</v>
          </cell>
          <cell r="C11">
            <v>219.4</v>
          </cell>
          <cell r="D11">
            <v>8.0923277798473752</v>
          </cell>
          <cell r="E11">
            <v>1646.6</v>
          </cell>
          <cell r="F11">
            <v>124.03999999999999</v>
          </cell>
          <cell r="G11">
            <v>5.8900623005622235</v>
          </cell>
          <cell r="H11">
            <v>1687.11</v>
          </cell>
          <cell r="I11">
            <v>-2.2022654792851517</v>
          </cell>
          <cell r="J11">
            <v>40.509999999999991</v>
          </cell>
          <cell r="K11">
            <v>-36.262503381909305</v>
          </cell>
          <cell r="L11">
            <v>2.3860642379577559</v>
          </cell>
          <cell r="M11">
            <v>-33.876439143951536</v>
          </cell>
        </row>
        <row r="12">
          <cell r="A12">
            <v>511</v>
          </cell>
          <cell r="B12" t="str">
            <v>40KG</v>
          </cell>
          <cell r="C12">
            <v>278.76</v>
          </cell>
          <cell r="D12">
            <v>10.281756116272808</v>
          </cell>
          <cell r="E12">
            <v>1533.87</v>
          </cell>
          <cell r="F12">
            <v>240.88</v>
          </cell>
          <cell r="G12">
            <v>11.438231271843184</v>
          </cell>
          <cell r="H12">
            <v>1579.26</v>
          </cell>
          <cell r="I12">
            <v>1.1564751555703765</v>
          </cell>
          <cell r="J12">
            <v>45.3900000000001</v>
          </cell>
          <cell r="K12">
            <v>17.738825468747333</v>
          </cell>
          <cell r="L12">
            <v>5.1918131742896332</v>
          </cell>
          <cell r="M12">
            <v>22.930638643036982</v>
          </cell>
        </row>
        <row r="13">
          <cell r="A13">
            <v>512</v>
          </cell>
          <cell r="B13" t="str">
            <v>40KG</v>
          </cell>
          <cell r="C13">
            <v>515.64</v>
          </cell>
          <cell r="D13">
            <v>19.018814477668641</v>
          </cell>
          <cell r="E13">
            <v>1467.47</v>
          </cell>
          <cell r="F13">
            <v>439.4</v>
          </cell>
          <cell r="G13">
            <v>20.864990123081597</v>
          </cell>
          <cell r="H13">
            <v>1515.93</v>
          </cell>
          <cell r="I13">
            <v>1.8461756454129556</v>
          </cell>
          <cell r="J13">
            <v>48.460000000000036</v>
          </cell>
          <cell r="K13">
            <v>27.092073743741501</v>
          </cell>
          <cell r="L13">
            <v>10.111174213645349</v>
          </cell>
          <cell r="M13">
            <v>37.203247957386886</v>
          </cell>
        </row>
        <row r="14">
          <cell r="A14">
            <v>810</v>
          </cell>
          <cell r="B14" t="str">
            <v>5KG</v>
          </cell>
          <cell r="C14">
            <v>30.240000000000002</v>
          </cell>
          <cell r="D14">
            <v>1.1153691525186173</v>
          </cell>
          <cell r="E14">
            <v>1183.54</v>
          </cell>
          <cell r="F14">
            <v>10.08</v>
          </cell>
          <cell r="G14">
            <v>0.47865066099376996</v>
          </cell>
          <cell r="H14">
            <v>1184.96</v>
          </cell>
          <cell r="I14">
            <v>-0.63671849152484739</v>
          </cell>
          <cell r="J14">
            <v>1.4200000000000728</v>
          </cell>
          <cell r="K14">
            <v>-7.535818034593178</v>
          </cell>
          <cell r="L14">
            <v>6.796839386111881E-3</v>
          </cell>
          <cell r="M14">
            <v>-7.5290211952070676</v>
          </cell>
        </row>
        <row r="15">
          <cell r="A15" t="str">
            <v>831A</v>
          </cell>
          <cell r="B15" t="str">
            <v>5KG</v>
          </cell>
          <cell r="C15">
            <v>44.04</v>
          </cell>
          <cell r="D15">
            <v>1.624366980056875</v>
          </cell>
          <cell r="E15">
            <v>1184.1400000000001</v>
          </cell>
          <cell r="F15">
            <v>24.2</v>
          </cell>
          <cell r="G15">
            <v>1.1491414678620269</v>
          </cell>
          <cell r="H15">
            <v>1182.33</v>
          </cell>
          <cell r="I15">
            <v>-0.4752255121948481</v>
          </cell>
          <cell r="J15">
            <v>-1.8100000000001728</v>
          </cell>
          <cell r="K15">
            <v>-5.6273353801040749</v>
          </cell>
          <cell r="L15">
            <v>-2.0799460568304669E-2</v>
          </cell>
          <cell r="M15">
            <v>-5.6481348406723786</v>
          </cell>
        </row>
        <row r="16">
          <cell r="A16" t="str">
            <v>831A</v>
          </cell>
          <cell r="B16" t="str">
            <v>40KG</v>
          </cell>
          <cell r="C16">
            <v>10.48</v>
          </cell>
          <cell r="D16">
            <v>0.38654327772470592</v>
          </cell>
          <cell r="E16">
            <v>1164.42</v>
          </cell>
          <cell r="F16">
            <v>4</v>
          </cell>
          <cell r="G16">
            <v>0.18994073848959123</v>
          </cell>
          <cell r="H16">
            <v>1185.5999999999999</v>
          </cell>
          <cell r="I16">
            <v>-0.1966025392351147</v>
          </cell>
          <cell r="J16">
            <v>21.179999999999836</v>
          </cell>
          <cell r="K16">
            <v>-2.2892792873615226</v>
          </cell>
          <cell r="L16">
            <v>4.0229448412095109E-2</v>
          </cell>
          <cell r="M16">
            <v>-2.2490498389494276</v>
          </cell>
        </row>
        <row r="17">
          <cell r="A17">
            <v>831</v>
          </cell>
          <cell r="B17" t="str">
            <v>5KG</v>
          </cell>
          <cell r="C17">
            <v>0</v>
          </cell>
          <cell r="D17">
            <v>0</v>
          </cell>
          <cell r="E17">
            <v>0</v>
          </cell>
          <cell r="F17">
            <v>0</v>
          </cell>
          <cell r="G17">
            <v>0</v>
          </cell>
          <cell r="H17">
            <v>0</v>
          </cell>
          <cell r="I17">
            <v>0</v>
          </cell>
          <cell r="J17">
            <v>0</v>
          </cell>
          <cell r="K17">
            <v>0</v>
          </cell>
          <cell r="L17">
            <v>0</v>
          </cell>
          <cell r="M17">
            <v>0</v>
          </cell>
        </row>
        <row r="18">
          <cell r="A18">
            <v>831</v>
          </cell>
          <cell r="B18" t="str">
            <v>40KG</v>
          </cell>
          <cell r="C18">
            <v>0</v>
          </cell>
          <cell r="D18">
            <v>0</v>
          </cell>
          <cell r="E18">
            <v>0</v>
          </cell>
          <cell r="F18">
            <v>0</v>
          </cell>
          <cell r="G18">
            <v>0</v>
          </cell>
          <cell r="H18">
            <v>0</v>
          </cell>
          <cell r="I18">
            <v>0</v>
          </cell>
          <cell r="J18">
            <v>0</v>
          </cell>
          <cell r="K18">
            <v>0</v>
          </cell>
          <cell r="L18">
            <v>0</v>
          </cell>
          <cell r="M18">
            <v>0</v>
          </cell>
        </row>
        <row r="19">
          <cell r="A19" t="str">
            <v>肉鸡料合计</v>
          </cell>
          <cell r="B19">
            <v>0</v>
          </cell>
          <cell r="C19">
            <v>1308.24</v>
          </cell>
          <cell r="D19">
            <v>48.252994050626839</v>
          </cell>
          <cell r="E19">
            <v>1505.64</v>
          </cell>
          <cell r="F19">
            <v>1057.08</v>
          </cell>
          <cell r="G19">
            <v>50.195638960644274</v>
          </cell>
          <cell r="H19">
            <v>1556.28</v>
          </cell>
          <cell r="I19">
            <v>1.9426449100174352</v>
          </cell>
          <cell r="J19">
            <v>50.639999999999873</v>
          </cell>
          <cell r="K19">
            <v>30.504731226231343</v>
          </cell>
          <cell r="L19">
            <v>24.163961404041945</v>
          </cell>
          <cell r="M19">
            <v>54.668310392856803</v>
          </cell>
          <cell r="N19">
            <v>54.668692630273341</v>
          </cell>
        </row>
        <row r="20">
          <cell r="A20">
            <v>124</v>
          </cell>
          <cell r="B20" t="str">
            <v>45KG</v>
          </cell>
          <cell r="C20">
            <v>40.409999999999997</v>
          </cell>
          <cell r="D20">
            <v>1.4904784210739854</v>
          </cell>
          <cell r="E20">
            <v>2010.89</v>
          </cell>
          <cell r="F20">
            <v>38.340000000000003</v>
          </cell>
          <cell r="G20">
            <v>1.8205819784227324</v>
          </cell>
          <cell r="H20">
            <v>2007.91</v>
          </cell>
          <cell r="I20">
            <v>0.33010355734874697</v>
          </cell>
          <cell r="J20">
            <v>-2.9800000000000182</v>
          </cell>
          <cell r="K20">
            <v>6.638019424370218</v>
          </cell>
          <cell r="L20">
            <v>-5.4253342956997755E-2</v>
          </cell>
          <cell r="M20">
            <v>6.5837660814132235</v>
          </cell>
        </row>
        <row r="21">
          <cell r="A21">
            <v>322</v>
          </cell>
          <cell r="B21" t="str">
            <v>40KG</v>
          </cell>
          <cell r="C21">
            <v>0</v>
          </cell>
          <cell r="D21">
            <v>0</v>
          </cell>
          <cell r="E21">
            <v>0</v>
          </cell>
          <cell r="F21">
            <v>0</v>
          </cell>
          <cell r="G21">
            <v>0</v>
          </cell>
          <cell r="H21">
            <v>0</v>
          </cell>
          <cell r="I21">
            <v>0</v>
          </cell>
          <cell r="J21">
            <v>0</v>
          </cell>
          <cell r="K21">
            <v>0</v>
          </cell>
          <cell r="L21">
            <v>0</v>
          </cell>
          <cell r="M21">
            <v>0</v>
          </cell>
        </row>
        <row r="22">
          <cell r="A22">
            <v>324</v>
          </cell>
          <cell r="B22" t="str">
            <v>40KG</v>
          </cell>
          <cell r="C22">
            <v>0</v>
          </cell>
          <cell r="D22">
            <v>0</v>
          </cell>
          <cell r="E22">
            <v>0</v>
          </cell>
          <cell r="F22">
            <v>0</v>
          </cell>
          <cell r="G22">
            <v>0</v>
          </cell>
          <cell r="H22">
            <v>0</v>
          </cell>
          <cell r="I22">
            <v>0</v>
          </cell>
          <cell r="J22">
            <v>0</v>
          </cell>
          <cell r="K22">
            <v>0</v>
          </cell>
          <cell r="L22">
            <v>0</v>
          </cell>
          <cell r="M22">
            <v>0</v>
          </cell>
        </row>
        <row r="23">
          <cell r="A23">
            <v>325</v>
          </cell>
          <cell r="B23" t="str">
            <v>40KG</v>
          </cell>
          <cell r="C23">
            <v>0</v>
          </cell>
          <cell r="D23">
            <v>0</v>
          </cell>
          <cell r="E23">
            <v>0</v>
          </cell>
          <cell r="F23">
            <v>0</v>
          </cell>
          <cell r="G23">
            <v>0</v>
          </cell>
          <cell r="H23">
            <v>0</v>
          </cell>
          <cell r="I23">
            <v>0</v>
          </cell>
          <cell r="J23">
            <v>0</v>
          </cell>
          <cell r="K23">
            <v>0</v>
          </cell>
          <cell r="L23">
            <v>0</v>
          </cell>
          <cell r="M23">
            <v>0</v>
          </cell>
        </row>
        <row r="24">
          <cell r="A24">
            <v>521</v>
          </cell>
          <cell r="B24" t="str">
            <v>40KG</v>
          </cell>
          <cell r="C24">
            <v>29.36</v>
          </cell>
          <cell r="D24">
            <v>1.0829113200379166</v>
          </cell>
          <cell r="E24">
            <v>1543.67</v>
          </cell>
          <cell r="F24">
            <v>13.96</v>
          </cell>
          <cell r="G24">
            <v>0.66289317732867348</v>
          </cell>
          <cell r="H24">
            <v>1539</v>
          </cell>
          <cell r="I24">
            <v>-0.42001814270924309</v>
          </cell>
          <cell r="J24">
            <v>-4.6700000000000728</v>
          </cell>
          <cell r="K24">
            <v>-6.4836940635597724</v>
          </cell>
          <cell r="L24">
            <v>-3.0957111381249534E-2</v>
          </cell>
          <cell r="M24">
            <v>-6.5146511749410232</v>
          </cell>
        </row>
        <row r="25">
          <cell r="A25">
            <v>522</v>
          </cell>
          <cell r="B25" t="str">
            <v>40KG</v>
          </cell>
          <cell r="C25">
            <v>18.88</v>
          </cell>
          <cell r="D25">
            <v>0.6963680423132107</v>
          </cell>
          <cell r="E25">
            <v>1281.45</v>
          </cell>
          <cell r="F25">
            <v>22.12</v>
          </cell>
          <cell r="G25">
            <v>1.0503722838474396</v>
          </cell>
          <cell r="H25">
            <v>1333.01</v>
          </cell>
          <cell r="I25">
            <v>0.35400424153422894</v>
          </cell>
          <cell r="J25">
            <v>51.559999999999945</v>
          </cell>
          <cell r="K25">
            <v>4.5363873531403769</v>
          </cell>
          <cell r="L25">
            <v>0.54157194955173926</v>
          </cell>
          <cell r="M25">
            <v>5.0779593026921157</v>
          </cell>
        </row>
        <row r="26">
          <cell r="A26">
            <v>524</v>
          </cell>
          <cell r="B26" t="str">
            <v>40KG</v>
          </cell>
          <cell r="C26">
            <v>1.96</v>
          </cell>
          <cell r="D26">
            <v>7.2292445070651107E-2</v>
          </cell>
          <cell r="E26">
            <v>1332.55</v>
          </cell>
          <cell r="F26">
            <v>7.96</v>
          </cell>
          <cell r="G26">
            <v>0.37798206959428654</v>
          </cell>
          <cell r="H26">
            <v>1302.3900000000001</v>
          </cell>
          <cell r="I26">
            <v>0.30568962452363546</v>
          </cell>
          <cell r="J26">
            <v>-30.159999999999854</v>
          </cell>
          <cell r="K26">
            <v>4.0734670915897047</v>
          </cell>
          <cell r="L26">
            <v>-0.11399939218963627</v>
          </cell>
          <cell r="M26">
            <v>3.9594676994000673</v>
          </cell>
        </row>
        <row r="27">
          <cell r="A27" t="str">
            <v>浓缩蛋鸡料</v>
          </cell>
          <cell r="B27">
            <v>0</v>
          </cell>
          <cell r="C27">
            <v>40.409999999999997</v>
          </cell>
          <cell r="D27">
            <v>1.4904784210739854</v>
          </cell>
          <cell r="E27">
            <v>2010.89</v>
          </cell>
          <cell r="F27">
            <v>38.340000000000003</v>
          </cell>
          <cell r="G27">
            <v>1.8205819784227324</v>
          </cell>
          <cell r="H27">
            <v>2007.91</v>
          </cell>
          <cell r="I27">
            <v>0.33010355734874697</v>
          </cell>
          <cell r="J27">
            <v>-2.9800000000000182</v>
          </cell>
          <cell r="K27">
            <v>6.638019424370218</v>
          </cell>
          <cell r="L27">
            <v>-5.4253342956997755E-2</v>
          </cell>
          <cell r="M27">
            <v>6.5837660814132235</v>
          </cell>
        </row>
        <row r="28">
          <cell r="A28" t="str">
            <v>全价蛋鸡料</v>
          </cell>
          <cell r="B28">
            <v>0</v>
          </cell>
          <cell r="C28">
            <v>50.199999999999989</v>
          </cell>
          <cell r="D28">
            <v>1.8515718074217782</v>
          </cell>
          <cell r="E28">
            <v>1436.81</v>
          </cell>
          <cell r="F28">
            <v>44.039999999999992</v>
          </cell>
          <cell r="G28">
            <v>2.0912475307703993</v>
          </cell>
          <cell r="H28">
            <v>1392.77</v>
          </cell>
          <cell r="I28">
            <v>0.23967572334862108</v>
          </cell>
          <cell r="J28">
            <v>-44.039999999999964</v>
          </cell>
          <cell r="K28">
            <v>2.1261603811703091</v>
          </cell>
          <cell r="L28">
            <v>0.39661544598085346</v>
          </cell>
          <cell r="M28">
            <v>2.5226993480940383</v>
          </cell>
        </row>
        <row r="29">
          <cell r="A29" t="str">
            <v>蛋鸡料合计</v>
          </cell>
          <cell r="B29">
            <v>0</v>
          </cell>
          <cell r="C29">
            <v>90.609999999999985</v>
          </cell>
          <cell r="D29">
            <v>3.3420502284957632</v>
          </cell>
          <cell r="E29">
            <v>1692.84</v>
          </cell>
          <cell r="F29">
            <v>82.38</v>
          </cell>
          <cell r="G29">
            <v>3.9118295091931312</v>
          </cell>
          <cell r="H29">
            <v>1679.06</v>
          </cell>
          <cell r="I29">
            <v>0.56977928069736805</v>
          </cell>
          <cell r="J29">
            <v>-13.779999999999973</v>
          </cell>
          <cell r="K29">
            <v>8.7641798055405271</v>
          </cell>
          <cell r="L29">
            <v>0.34236210302385572</v>
          </cell>
          <cell r="M29">
            <v>9.1064014689905157</v>
          </cell>
          <cell r="N29">
            <v>9.1065419085643828</v>
          </cell>
        </row>
        <row r="30">
          <cell r="A30" t="str">
            <v>浓缩鸡料</v>
          </cell>
          <cell r="B30">
            <v>0</v>
          </cell>
          <cell r="C30">
            <v>40.409999999999997</v>
          </cell>
          <cell r="D30">
            <v>1.4904784210739854</v>
          </cell>
          <cell r="E30">
            <v>2010.89</v>
          </cell>
          <cell r="F30">
            <v>38.340000000000003</v>
          </cell>
          <cell r="G30">
            <v>1.8205819784227324</v>
          </cell>
          <cell r="H30">
            <v>2007.91</v>
          </cell>
          <cell r="I30">
            <v>0.33010355734874697</v>
          </cell>
          <cell r="J30">
            <v>-2.9800000000000182</v>
          </cell>
          <cell r="K30">
            <v>6.638019424370218</v>
          </cell>
          <cell r="L30">
            <v>-5.4253342956997755E-2</v>
          </cell>
          <cell r="M30">
            <v>6.5837660814132235</v>
          </cell>
        </row>
        <row r="31">
          <cell r="A31" t="str">
            <v>全价鸡料</v>
          </cell>
          <cell r="B31">
            <v>0</v>
          </cell>
          <cell r="C31">
            <v>1358.4399999999998</v>
          </cell>
          <cell r="D31">
            <v>50.104565858048609</v>
          </cell>
          <cell r="E31">
            <v>1503.09</v>
          </cell>
          <cell r="F31">
            <v>1101.1200000000001</v>
          </cell>
          <cell r="G31">
            <v>52.286886491414684</v>
          </cell>
          <cell r="H31">
            <v>1549.74</v>
          </cell>
          <cell r="I31">
            <v>2.182320633366075</v>
          </cell>
          <cell r="J31">
            <v>46.650000000000091</v>
          </cell>
          <cell r="K31">
            <v>32.630891607401651</v>
          </cell>
          <cell r="L31">
            <v>24.560576850022798</v>
          </cell>
          <cell r="M31">
            <v>57.194075756307136</v>
          </cell>
        </row>
        <row r="32">
          <cell r="A32" t="str">
            <v>鸡料合计</v>
          </cell>
          <cell r="B32">
            <v>0</v>
          </cell>
          <cell r="C32">
            <v>1398.85</v>
          </cell>
          <cell r="D32">
            <v>51.595044279122604</v>
          </cell>
          <cell r="E32">
            <v>1517.76</v>
          </cell>
          <cell r="F32">
            <v>1139.46</v>
          </cell>
          <cell r="G32">
            <v>54.107468469837407</v>
          </cell>
          <cell r="H32">
            <v>1565.15</v>
          </cell>
          <cell r="I32">
            <v>2.5124241907148033</v>
          </cell>
          <cell r="J32">
            <v>47.3900000000001</v>
          </cell>
          <cell r="K32">
            <v>39.268911031771871</v>
          </cell>
          <cell r="L32">
            <v>24.506323507065801</v>
          </cell>
          <cell r="M32">
            <v>63.774098704849024</v>
          </cell>
        </row>
        <row r="33">
          <cell r="A33" t="str">
            <v>151-38</v>
          </cell>
          <cell r="B33" t="str">
            <v>5KG</v>
          </cell>
          <cell r="C33">
            <v>0</v>
          </cell>
          <cell r="D33">
            <v>0</v>
          </cell>
          <cell r="E33">
            <v>0</v>
          </cell>
          <cell r="F33">
            <v>0</v>
          </cell>
          <cell r="G33">
            <v>0</v>
          </cell>
          <cell r="H33">
            <v>0</v>
          </cell>
          <cell r="I33">
            <v>0</v>
          </cell>
          <cell r="J33">
            <v>0</v>
          </cell>
          <cell r="K33">
            <v>0</v>
          </cell>
          <cell r="L33">
            <v>0</v>
          </cell>
          <cell r="M33">
            <v>0</v>
          </cell>
        </row>
        <row r="34">
          <cell r="A34" t="str">
            <v>151-38</v>
          </cell>
          <cell r="B34" t="str">
            <v>10KG</v>
          </cell>
          <cell r="C34">
            <v>16.309999999999999</v>
          </cell>
          <cell r="D34">
            <v>0.60157641790934668</v>
          </cell>
          <cell r="E34">
            <v>2397.15</v>
          </cell>
          <cell r="F34">
            <v>13.319999999999999</v>
          </cell>
          <cell r="G34">
            <v>0.63250265917033877</v>
          </cell>
          <cell r="H34">
            <v>2374.15</v>
          </cell>
          <cell r="I34">
            <v>3.0926241260992082E-2</v>
          </cell>
          <cell r="J34">
            <v>-23</v>
          </cell>
          <cell r="K34">
            <v>0.74134839238787176</v>
          </cell>
          <cell r="L34">
            <v>-0.14547561160917791</v>
          </cell>
          <cell r="M34">
            <v>0.59587278077869543</v>
          </cell>
        </row>
        <row r="35">
          <cell r="A35" t="str">
            <v>151-38</v>
          </cell>
          <cell r="B35" t="str">
            <v>20KG</v>
          </cell>
          <cell r="C35">
            <v>13.940000000000001</v>
          </cell>
          <cell r="D35">
            <v>0.51416157361473291</v>
          </cell>
          <cell r="E35">
            <v>2398.66</v>
          </cell>
          <cell r="F35">
            <v>12</v>
          </cell>
          <cell r="G35">
            <v>0.56982221546877376</v>
          </cell>
          <cell r="H35">
            <v>2371.37</v>
          </cell>
          <cell r="I35">
            <v>5.5660641854040849E-2</v>
          </cell>
          <cell r="J35">
            <v>-27.289999999999964</v>
          </cell>
          <cell r="K35">
            <v>1.335109551896136</v>
          </cell>
          <cell r="L35">
            <v>-0.15550448260142816</v>
          </cell>
          <cell r="M35">
            <v>1.1796050692947073</v>
          </cell>
        </row>
        <row r="36">
          <cell r="A36" t="str">
            <v>151-38</v>
          </cell>
          <cell r="B36" t="str">
            <v>40KG</v>
          </cell>
          <cell r="C36">
            <v>42.44</v>
          </cell>
          <cell r="D36">
            <v>1.5653527391828741</v>
          </cell>
          <cell r="E36">
            <v>2403.08</v>
          </cell>
          <cell r="F36">
            <v>30.080000000000002</v>
          </cell>
          <cell r="G36">
            <v>1.4283543534417262</v>
          </cell>
          <cell r="H36">
            <v>2383.42</v>
          </cell>
          <cell r="I36">
            <v>-0.13699838574114787</v>
          </cell>
          <cell r="J36">
            <v>-19.659999999999854</v>
          </cell>
          <cell r="K36">
            <v>-3.2921808080683759</v>
          </cell>
          <cell r="L36">
            <v>-0.28081446588664127</v>
          </cell>
          <cell r="M36">
            <v>-3.572995273955021</v>
          </cell>
        </row>
        <row r="37">
          <cell r="A37" t="str">
            <v>151-40</v>
          </cell>
          <cell r="B37" t="str">
            <v>5KG</v>
          </cell>
          <cell r="C37">
            <v>0</v>
          </cell>
          <cell r="D37">
            <v>0</v>
          </cell>
          <cell r="E37">
            <v>0</v>
          </cell>
          <cell r="F37">
            <v>0</v>
          </cell>
          <cell r="G37">
            <v>0</v>
          </cell>
          <cell r="H37">
            <v>0</v>
          </cell>
          <cell r="I37">
            <v>0</v>
          </cell>
          <cell r="J37">
            <v>0</v>
          </cell>
          <cell r="K37">
            <v>0</v>
          </cell>
          <cell r="L37">
            <v>0</v>
          </cell>
          <cell r="M37">
            <v>0</v>
          </cell>
        </row>
        <row r="38">
          <cell r="A38" t="str">
            <v>151-40</v>
          </cell>
          <cell r="B38" t="str">
            <v>10KG</v>
          </cell>
          <cell r="C38">
            <v>14.48</v>
          </cell>
          <cell r="D38">
            <v>0.53407887990970815</v>
          </cell>
          <cell r="E38">
            <v>2532.59</v>
          </cell>
          <cell r="F38">
            <v>11.1</v>
          </cell>
          <cell r="G38">
            <v>0.52708554930861562</v>
          </cell>
          <cell r="H38">
            <v>2535.37</v>
          </cell>
          <cell r="I38">
            <v>-6.9933306010925289E-3</v>
          </cell>
          <cell r="J38">
            <v>2.7799999999997453</v>
          </cell>
          <cell r="K38">
            <v>-0.1771123914702093</v>
          </cell>
          <cell r="L38">
            <v>1.4652978270778171E-2</v>
          </cell>
          <cell r="M38">
            <v>-0.16245941319943086</v>
          </cell>
        </row>
        <row r="39">
          <cell r="A39" t="str">
            <v>151-40</v>
          </cell>
          <cell r="B39" t="str">
            <v>20KG</v>
          </cell>
          <cell r="C39">
            <v>40.94</v>
          </cell>
          <cell r="D39">
            <v>1.5100268883634982</v>
          </cell>
          <cell r="E39">
            <v>2541.2199999999998</v>
          </cell>
          <cell r="F39">
            <v>25.32</v>
          </cell>
          <cell r="G39">
            <v>1.2023248746391126</v>
          </cell>
          <cell r="H39">
            <v>2528.06</v>
          </cell>
          <cell r="I39">
            <v>-0.30770201372438555</v>
          </cell>
          <cell r="J39">
            <v>-13.159999999999854</v>
          </cell>
          <cell r="K39">
            <v>-7.8193851131668293</v>
          </cell>
          <cell r="L39">
            <v>-0.15822595350250546</v>
          </cell>
          <cell r="M39">
            <v>-7.9776110666693372</v>
          </cell>
        </row>
        <row r="40">
          <cell r="A40" t="str">
            <v>151-40</v>
          </cell>
          <cell r="B40" t="str">
            <v>40KG</v>
          </cell>
          <cell r="C40">
            <v>7</v>
          </cell>
          <cell r="D40">
            <v>0.25818730382375393</v>
          </cell>
          <cell r="E40">
            <v>2536.25</v>
          </cell>
          <cell r="F40">
            <v>5.12</v>
          </cell>
          <cell r="G40">
            <v>0.24312414526667681</v>
          </cell>
          <cell r="H40">
            <v>2538.75</v>
          </cell>
          <cell r="I40">
            <v>-1.5063158557077128E-2</v>
          </cell>
          <cell r="J40">
            <v>2.5</v>
          </cell>
          <cell r="K40">
            <v>-0.38203935890386864</v>
          </cell>
          <cell r="L40">
            <v>6.0781036316669198E-3</v>
          </cell>
          <cell r="M40">
            <v>-0.37596125527220126</v>
          </cell>
        </row>
        <row r="41">
          <cell r="A41" t="str">
            <v>151-42</v>
          </cell>
          <cell r="B41" t="str">
            <v>5KG</v>
          </cell>
          <cell r="C41">
            <v>0</v>
          </cell>
          <cell r="D41">
            <v>0</v>
          </cell>
          <cell r="E41">
            <v>0</v>
          </cell>
          <cell r="F41">
            <v>0</v>
          </cell>
          <cell r="G41">
            <v>0</v>
          </cell>
          <cell r="H41">
            <v>0</v>
          </cell>
          <cell r="I41">
            <v>0</v>
          </cell>
          <cell r="J41">
            <v>0</v>
          </cell>
          <cell r="K41">
            <v>0</v>
          </cell>
          <cell r="L41">
            <v>0</v>
          </cell>
          <cell r="M41">
            <v>0</v>
          </cell>
        </row>
        <row r="42">
          <cell r="A42" t="str">
            <v>151-42</v>
          </cell>
          <cell r="B42" t="str">
            <v>10KG</v>
          </cell>
          <cell r="C42">
            <v>0</v>
          </cell>
          <cell r="D42">
            <v>0</v>
          </cell>
          <cell r="E42">
            <v>0</v>
          </cell>
          <cell r="F42">
            <v>0</v>
          </cell>
          <cell r="G42">
            <v>0</v>
          </cell>
          <cell r="H42">
            <v>0</v>
          </cell>
          <cell r="I42">
            <v>0</v>
          </cell>
          <cell r="J42">
            <v>0</v>
          </cell>
          <cell r="K42">
            <v>0</v>
          </cell>
          <cell r="L42">
            <v>0</v>
          </cell>
          <cell r="M42">
            <v>0</v>
          </cell>
        </row>
        <row r="43">
          <cell r="A43" t="str">
            <v>151-42</v>
          </cell>
          <cell r="B43" t="str">
            <v>20KG</v>
          </cell>
          <cell r="C43">
            <v>0</v>
          </cell>
          <cell r="D43">
            <v>0</v>
          </cell>
          <cell r="E43">
            <v>0</v>
          </cell>
          <cell r="F43">
            <v>0</v>
          </cell>
          <cell r="G43">
            <v>0</v>
          </cell>
          <cell r="H43">
            <v>0</v>
          </cell>
          <cell r="I43">
            <v>0</v>
          </cell>
          <cell r="J43">
            <v>0</v>
          </cell>
          <cell r="K43">
            <v>0</v>
          </cell>
          <cell r="L43">
            <v>0</v>
          </cell>
          <cell r="M43">
            <v>0</v>
          </cell>
        </row>
        <row r="44">
          <cell r="A44" t="str">
            <v>151-42</v>
          </cell>
          <cell r="B44" t="str">
            <v>40KG</v>
          </cell>
          <cell r="C44">
            <v>0</v>
          </cell>
          <cell r="D44">
            <v>0</v>
          </cell>
          <cell r="E44">
            <v>0</v>
          </cell>
          <cell r="F44">
            <v>0</v>
          </cell>
          <cell r="G44">
            <v>0</v>
          </cell>
          <cell r="H44">
            <v>0</v>
          </cell>
          <cell r="I44">
            <v>0</v>
          </cell>
          <cell r="J44">
            <v>0</v>
          </cell>
          <cell r="K44">
            <v>0</v>
          </cell>
          <cell r="L44">
            <v>0</v>
          </cell>
          <cell r="M44">
            <v>0</v>
          </cell>
        </row>
        <row r="45">
          <cell r="A45">
            <v>988</v>
          </cell>
          <cell r="B45" t="str">
            <v>10KG</v>
          </cell>
          <cell r="C45">
            <v>57.91</v>
          </cell>
          <cell r="D45">
            <v>2.1359466806333702</v>
          </cell>
          <cell r="E45">
            <v>2544.02</v>
          </cell>
          <cell r="F45">
            <v>50.86</v>
          </cell>
          <cell r="G45">
            <v>2.4150964898951526</v>
          </cell>
          <cell r="H45">
            <v>2544.7600000000002</v>
          </cell>
          <cell r="I45">
            <v>0.27914980926178234</v>
          </cell>
          <cell r="J45">
            <v>0.74000000000023647</v>
          </cell>
          <cell r="K45">
            <v>7.1016269775815957</v>
          </cell>
          <cell r="L45">
            <v>1.7871714025229839E-2</v>
          </cell>
          <cell r="M45">
            <v>7.1194986916068226</v>
          </cell>
        </row>
        <row r="46">
          <cell r="A46">
            <v>988</v>
          </cell>
          <cell r="B46" t="str">
            <v>20KG</v>
          </cell>
          <cell r="C46">
            <v>0</v>
          </cell>
          <cell r="D46">
            <v>0</v>
          </cell>
          <cell r="E46">
            <v>0</v>
          </cell>
          <cell r="F46">
            <v>0</v>
          </cell>
          <cell r="G46">
            <v>0</v>
          </cell>
          <cell r="H46">
            <v>0</v>
          </cell>
          <cell r="I46">
            <v>0</v>
          </cell>
          <cell r="J46">
            <v>0</v>
          </cell>
          <cell r="K46">
            <v>0</v>
          </cell>
          <cell r="L46">
            <v>0</v>
          </cell>
          <cell r="M46">
            <v>0</v>
          </cell>
        </row>
        <row r="47">
          <cell r="A47">
            <v>988</v>
          </cell>
          <cell r="B47" t="str">
            <v>40KG</v>
          </cell>
          <cell r="C47">
            <v>139.80000000000001</v>
          </cell>
          <cell r="D47">
            <v>5.1563692963658294</v>
          </cell>
          <cell r="E47">
            <v>2555.9699999999998</v>
          </cell>
          <cell r="F47">
            <v>105.47999999999999</v>
          </cell>
          <cell r="G47">
            <v>5.0087372739705209</v>
          </cell>
          <cell r="H47">
            <v>2540.7800000000002</v>
          </cell>
          <cell r="I47">
            <v>-0.14763202239530848</v>
          </cell>
          <cell r="J47">
            <v>-15.1899999999996</v>
          </cell>
          <cell r="K47">
            <v>-3.7734302028173659</v>
          </cell>
          <cell r="L47">
            <v>-0.76082719191610204</v>
          </cell>
          <cell r="M47">
            <v>-4.5342573947334675</v>
          </cell>
        </row>
        <row r="48">
          <cell r="A48" t="str">
            <v>551SS</v>
          </cell>
          <cell r="B48" t="str">
            <v>20KG</v>
          </cell>
          <cell r="C48">
            <v>0</v>
          </cell>
          <cell r="D48">
            <v>0</v>
          </cell>
          <cell r="E48">
            <v>0</v>
          </cell>
          <cell r="F48">
            <v>5.74</v>
          </cell>
          <cell r="G48">
            <v>0.27256495973256345</v>
          </cell>
          <cell r="H48">
            <v>2211.4899999999998</v>
          </cell>
          <cell r="I48">
            <v>0.27256495973256345</v>
          </cell>
          <cell r="J48">
            <v>2211.4899999999998</v>
          </cell>
          <cell r="K48">
            <v>0</v>
          </cell>
          <cell r="L48">
            <v>6.0277468279896667</v>
          </cell>
          <cell r="M48">
            <v>6.0277468279896667</v>
          </cell>
        </row>
        <row r="49">
          <cell r="A49" t="str">
            <v>551S</v>
          </cell>
          <cell r="B49" t="str">
            <v>40KG</v>
          </cell>
          <cell r="C49">
            <v>244.12</v>
          </cell>
          <cell r="D49">
            <v>9.0040978013506887</v>
          </cell>
          <cell r="E49">
            <v>1712.68</v>
          </cell>
          <cell r="F49">
            <v>211.12</v>
          </cell>
          <cell r="G49">
            <v>10.025072177480626</v>
          </cell>
          <cell r="H49">
            <v>1732.93</v>
          </cell>
          <cell r="I49">
            <v>1.0209743761299368</v>
          </cell>
          <cell r="J49">
            <v>20.25</v>
          </cell>
          <cell r="K49">
            <v>17.4860239451022</v>
          </cell>
          <cell r="L49">
            <v>2.0300771159398265</v>
          </cell>
          <cell r="M49">
            <v>19.516101061042047</v>
          </cell>
        </row>
        <row r="50">
          <cell r="A50" t="str">
            <v>950S(20)</v>
          </cell>
          <cell r="B50" t="str">
            <v>10KG</v>
          </cell>
          <cell r="C50">
            <v>0</v>
          </cell>
          <cell r="D50">
            <v>0</v>
          </cell>
          <cell r="E50">
            <v>0</v>
          </cell>
          <cell r="F50">
            <v>0</v>
          </cell>
          <cell r="G50">
            <v>0</v>
          </cell>
          <cell r="H50">
            <v>0</v>
          </cell>
          <cell r="I50">
            <v>0</v>
          </cell>
          <cell r="J50">
            <v>0</v>
          </cell>
          <cell r="K50">
            <v>0</v>
          </cell>
          <cell r="L50">
            <v>0</v>
          </cell>
          <cell r="M50">
            <v>0</v>
          </cell>
        </row>
        <row r="51">
          <cell r="A51" t="str">
            <v>950S-20</v>
          </cell>
          <cell r="B51" t="str">
            <v>20KG</v>
          </cell>
          <cell r="C51">
            <v>0</v>
          </cell>
          <cell r="D51">
            <v>0</v>
          </cell>
          <cell r="E51">
            <v>0</v>
          </cell>
          <cell r="F51">
            <v>0</v>
          </cell>
          <cell r="G51">
            <v>0</v>
          </cell>
          <cell r="H51">
            <v>0</v>
          </cell>
          <cell r="I51">
            <v>0</v>
          </cell>
          <cell r="J51">
            <v>0</v>
          </cell>
          <cell r="K51">
            <v>0</v>
          </cell>
          <cell r="L51">
            <v>0</v>
          </cell>
          <cell r="M51">
            <v>0</v>
          </cell>
        </row>
        <row r="52">
          <cell r="A52" t="str">
            <v>950S(20)</v>
          </cell>
          <cell r="B52" t="str">
            <v>40KG</v>
          </cell>
          <cell r="C52">
            <v>0</v>
          </cell>
          <cell r="D52">
            <v>0</v>
          </cell>
          <cell r="E52">
            <v>0</v>
          </cell>
          <cell r="F52">
            <v>0</v>
          </cell>
          <cell r="G52">
            <v>0</v>
          </cell>
          <cell r="H52">
            <v>0</v>
          </cell>
          <cell r="I52">
            <v>0</v>
          </cell>
          <cell r="J52">
            <v>0</v>
          </cell>
          <cell r="K52">
            <v>0</v>
          </cell>
          <cell r="L52">
            <v>0</v>
          </cell>
          <cell r="M52">
            <v>0</v>
          </cell>
        </row>
        <row r="53">
          <cell r="A53" t="str">
            <v>950S(22)</v>
          </cell>
          <cell r="B53" t="str">
            <v>10KG</v>
          </cell>
          <cell r="C53">
            <v>3.7</v>
          </cell>
          <cell r="D53">
            <v>0.1364704320211271</v>
          </cell>
          <cell r="E53">
            <v>2480.0700000000002</v>
          </cell>
          <cell r="F53">
            <v>0</v>
          </cell>
          <cell r="G53">
            <v>0</v>
          </cell>
          <cell r="H53">
            <v>0</v>
          </cell>
          <cell r="I53">
            <v>-0.1364704320211271</v>
          </cell>
          <cell r="J53">
            <v>-2480.0700000000002</v>
          </cell>
          <cell r="K53">
            <v>-3.3845622434263669</v>
          </cell>
          <cell r="L53">
            <v>0</v>
          </cell>
          <cell r="M53">
            <v>-3.3845622434263669</v>
          </cell>
        </row>
        <row r="54">
          <cell r="A54" t="str">
            <v>950S(22)</v>
          </cell>
          <cell r="B54" t="str">
            <v>20KG</v>
          </cell>
          <cell r="C54">
            <v>0</v>
          </cell>
          <cell r="D54">
            <v>0</v>
          </cell>
          <cell r="E54">
            <v>0</v>
          </cell>
          <cell r="F54">
            <v>0</v>
          </cell>
          <cell r="G54">
            <v>0</v>
          </cell>
          <cell r="H54">
            <v>0</v>
          </cell>
          <cell r="I54">
            <v>0</v>
          </cell>
          <cell r="J54">
            <v>0</v>
          </cell>
          <cell r="K54">
            <v>0</v>
          </cell>
          <cell r="L54">
            <v>0</v>
          </cell>
          <cell r="M54">
            <v>0</v>
          </cell>
        </row>
        <row r="55">
          <cell r="A55" t="str">
            <v>950S(22)</v>
          </cell>
          <cell r="B55" t="str">
            <v>40KG</v>
          </cell>
          <cell r="C55">
            <v>0</v>
          </cell>
          <cell r="D55">
            <v>0</v>
          </cell>
          <cell r="E55">
            <v>0</v>
          </cell>
          <cell r="F55">
            <v>0</v>
          </cell>
          <cell r="G55">
            <v>0</v>
          </cell>
          <cell r="H55">
            <v>0</v>
          </cell>
          <cell r="I55">
            <v>0</v>
          </cell>
          <cell r="J55">
            <v>0</v>
          </cell>
          <cell r="K55">
            <v>0</v>
          </cell>
          <cell r="L55">
            <v>0</v>
          </cell>
          <cell r="M55">
            <v>0</v>
          </cell>
        </row>
        <row r="56">
          <cell r="A56" t="str">
            <v>951S</v>
          </cell>
          <cell r="B56" t="str">
            <v>40KG</v>
          </cell>
          <cell r="C56">
            <v>0</v>
          </cell>
          <cell r="D56">
            <v>0</v>
          </cell>
          <cell r="E56">
            <v>0</v>
          </cell>
          <cell r="F56">
            <v>0</v>
          </cell>
          <cell r="G56">
            <v>0</v>
          </cell>
          <cell r="H56">
            <v>0</v>
          </cell>
          <cell r="I56">
            <v>0</v>
          </cell>
          <cell r="J56">
            <v>0</v>
          </cell>
          <cell r="K56">
            <v>0</v>
          </cell>
          <cell r="L56">
            <v>0</v>
          </cell>
          <cell r="M56">
            <v>0</v>
          </cell>
        </row>
        <row r="57">
          <cell r="A57">
            <v>951</v>
          </cell>
          <cell r="B57" t="str">
            <v>40KG</v>
          </cell>
          <cell r="C57">
            <v>48.96</v>
          </cell>
          <cell r="D57">
            <v>1.8058357707444277</v>
          </cell>
          <cell r="E57">
            <v>1654.98</v>
          </cell>
          <cell r="F57">
            <v>34.96</v>
          </cell>
          <cell r="G57">
            <v>1.6600820543990276</v>
          </cell>
          <cell r="H57">
            <v>1686.09</v>
          </cell>
          <cell r="I57">
            <v>-0.14575371634540013</v>
          </cell>
          <cell r="J57">
            <v>31.1099999999999</v>
          </cell>
          <cell r="K57">
            <v>-2.4121948547731034</v>
          </cell>
          <cell r="L57">
            <v>0.51645152712353581</v>
          </cell>
          <cell r="M57">
            <v>-1.8957433276495703</v>
          </cell>
        </row>
        <row r="58">
          <cell r="A58">
            <v>551</v>
          </cell>
          <cell r="B58" t="str">
            <v>10KG</v>
          </cell>
          <cell r="C58">
            <v>16.04</v>
          </cell>
          <cell r="D58">
            <v>0.59161776476185901</v>
          </cell>
          <cell r="E58">
            <v>1667</v>
          </cell>
          <cell r="F58">
            <v>17.96</v>
          </cell>
          <cell r="G58">
            <v>0.85283391581826473</v>
          </cell>
          <cell r="H58">
            <v>1685.14</v>
          </cell>
          <cell r="I58">
            <v>0.26121615105640572</v>
          </cell>
          <cell r="J58">
            <v>18.1400000000001</v>
          </cell>
          <cell r="K58">
            <v>4.354473238110284</v>
          </cell>
          <cell r="L58">
            <v>0.15470407232943409</v>
          </cell>
          <cell r="M58">
            <v>4.5091773104397168</v>
          </cell>
        </row>
        <row r="59">
          <cell r="A59">
            <v>551</v>
          </cell>
          <cell r="B59" t="str">
            <v>40KG</v>
          </cell>
          <cell r="C59">
            <v>242.8</v>
          </cell>
          <cell r="D59">
            <v>8.9554110526296373</v>
          </cell>
          <cell r="E59">
            <v>1661.9</v>
          </cell>
          <cell r="F59">
            <v>162.28</v>
          </cell>
          <cell r="G59">
            <v>7.7058957605227167</v>
          </cell>
          <cell r="H59">
            <v>1684.64</v>
          </cell>
          <cell r="I59">
            <v>-1.2495152921069206</v>
          </cell>
          <cell r="J59">
            <v>22.740000000000009</v>
          </cell>
          <cell r="K59">
            <v>-20.765694639524913</v>
          </cell>
          <cell r="L59">
            <v>1.7523206959428665</v>
          </cell>
          <cell r="M59">
            <v>-19.013373943582064</v>
          </cell>
        </row>
        <row r="60">
          <cell r="A60">
            <v>552</v>
          </cell>
          <cell r="B60" t="str">
            <v>40KG</v>
          </cell>
          <cell r="C60">
            <v>20.440000000000001</v>
          </cell>
          <cell r="D60">
            <v>0.75390692716536156</v>
          </cell>
          <cell r="E60">
            <v>1316.6</v>
          </cell>
          <cell r="F60">
            <v>24.4</v>
          </cell>
          <cell r="G60">
            <v>1.1586385047865067</v>
          </cell>
          <cell r="H60">
            <v>1355.29</v>
          </cell>
          <cell r="I60">
            <v>0.40473157762114509</v>
          </cell>
          <cell r="J60">
            <v>38.690000000000055</v>
          </cell>
          <cell r="K60">
            <v>5.3286959509599958</v>
          </cell>
          <cell r="L60">
            <v>0.44827723750190002</v>
          </cell>
          <cell r="M60">
            <v>5.7769731884618967</v>
          </cell>
        </row>
        <row r="61">
          <cell r="A61">
            <v>553</v>
          </cell>
          <cell r="B61" t="str">
            <v>40KG</v>
          </cell>
          <cell r="C61">
            <v>0</v>
          </cell>
          <cell r="D61">
            <v>0</v>
          </cell>
          <cell r="E61">
            <v>0</v>
          </cell>
          <cell r="F61">
            <v>0</v>
          </cell>
          <cell r="G61">
            <v>0</v>
          </cell>
          <cell r="H61">
            <v>0</v>
          </cell>
          <cell r="I61">
            <v>0</v>
          </cell>
          <cell r="J61">
            <v>0</v>
          </cell>
          <cell r="K61">
            <v>0</v>
          </cell>
          <cell r="L61">
            <v>0</v>
          </cell>
          <cell r="M61">
            <v>0</v>
          </cell>
        </row>
      </sheetData>
      <sheetData sheetId="13" refreshError="1"/>
      <sheetData sheetId="14" refreshError="1"/>
      <sheetData sheetId="15" refreshError="1"/>
      <sheetData sheetId="16" refreshError="1"/>
      <sheetData sheetId="17" refreshError="1">
        <row r="1">
          <cell r="A1" t="str">
            <v>贡      献      边      际      分      析      表</v>
          </cell>
        </row>
        <row r="2">
          <cell r="A2">
            <v>37772</v>
          </cell>
        </row>
        <row r="3">
          <cell r="A3" t="str">
            <v>（未考虑变动销售费用及固定销售费用、管理费用、财务费用）</v>
          </cell>
        </row>
        <row r="4">
          <cell r="Q4">
            <v>-133762.60999999999</v>
          </cell>
          <cell r="R4">
            <v>0</v>
          </cell>
          <cell r="S4">
            <v>0</v>
          </cell>
          <cell r="T4">
            <v>0</v>
          </cell>
          <cell r="U4">
            <v>0</v>
          </cell>
          <cell r="V4">
            <v>0</v>
          </cell>
          <cell r="W4">
            <v>0</v>
          </cell>
          <cell r="X4">
            <v>0</v>
          </cell>
          <cell r="Y4">
            <v>0</v>
          </cell>
          <cell r="Z4">
            <v>0</v>
          </cell>
          <cell r="AA4">
            <v>0</v>
          </cell>
          <cell r="AB4">
            <v>0</v>
          </cell>
          <cell r="AC4">
            <v>0</v>
          </cell>
          <cell r="AD4">
            <v>0</v>
          </cell>
          <cell r="AE4">
            <v>133762.60999999999</v>
          </cell>
          <cell r="AF4">
            <v>0</v>
          </cell>
          <cell r="AG4">
            <v>0</v>
          </cell>
          <cell r="AH4">
            <v>0</v>
          </cell>
          <cell r="AI4">
            <v>0</v>
          </cell>
          <cell r="AJ4">
            <v>0</v>
          </cell>
          <cell r="AK4">
            <v>0</v>
          </cell>
          <cell r="AL4">
            <v>0</v>
          </cell>
          <cell r="AM4">
            <v>0</v>
          </cell>
          <cell r="AN4">
            <v>0</v>
          </cell>
          <cell r="AO4">
            <v>0</v>
          </cell>
          <cell r="AP4">
            <v>0</v>
          </cell>
        </row>
        <row r="5">
          <cell r="A5" t="str">
            <v>品名</v>
          </cell>
          <cell r="B5" t="str">
            <v>销量</v>
          </cell>
          <cell r="C5">
            <v>0</v>
          </cell>
          <cell r="D5">
            <v>0</v>
          </cell>
          <cell r="E5" t="str">
            <v>净价</v>
          </cell>
          <cell r="F5" t="str">
            <v>销售净收入</v>
          </cell>
          <cell r="G5" t="str">
            <v xml:space="preserve">单   位  变  动  成  本 </v>
          </cell>
          <cell r="H5">
            <v>0</v>
          </cell>
          <cell r="I5">
            <v>0</v>
          </cell>
          <cell r="J5">
            <v>0</v>
          </cell>
          <cell r="K5">
            <v>0</v>
          </cell>
          <cell r="L5">
            <v>0</v>
          </cell>
          <cell r="M5">
            <v>0</v>
          </cell>
          <cell r="N5">
            <v>0</v>
          </cell>
          <cell r="O5" t="str">
            <v>变动成本</v>
          </cell>
          <cell r="P5">
            <v>0</v>
          </cell>
          <cell r="Q5">
            <v>0</v>
          </cell>
          <cell r="R5">
            <v>0</v>
          </cell>
          <cell r="S5">
            <v>0</v>
          </cell>
          <cell r="T5">
            <v>0</v>
          </cell>
          <cell r="U5">
            <v>0</v>
          </cell>
          <cell r="V5">
            <v>0</v>
          </cell>
          <cell r="W5" t="str">
            <v>单位</v>
          </cell>
          <cell r="X5" t="str">
            <v>贡献边际</v>
          </cell>
          <cell r="Y5" t="str">
            <v>单位固定成本</v>
          </cell>
          <cell r="Z5">
            <v>0</v>
          </cell>
          <cell r="AA5">
            <v>0</v>
          </cell>
          <cell r="AB5">
            <v>0</v>
          </cell>
          <cell r="AC5">
            <v>0</v>
          </cell>
          <cell r="AD5">
            <v>0</v>
          </cell>
          <cell r="AE5" t="str">
            <v>固定成本</v>
          </cell>
          <cell r="AF5">
            <v>0</v>
          </cell>
          <cell r="AG5">
            <v>0</v>
          </cell>
          <cell r="AH5">
            <v>0</v>
          </cell>
          <cell r="AI5">
            <v>0</v>
          </cell>
          <cell r="AJ5">
            <v>0</v>
          </cell>
          <cell r="AK5" t="str">
            <v>单位销售成本</v>
          </cell>
          <cell r="AL5" t="str">
            <v>销售成本</v>
          </cell>
          <cell r="AM5" t="str">
            <v>单位</v>
          </cell>
          <cell r="AN5" t="str">
            <v>毛利额</v>
          </cell>
          <cell r="AO5" t="str">
            <v>贡献</v>
          </cell>
          <cell r="AP5" t="str">
            <v>销售额</v>
          </cell>
        </row>
        <row r="6">
          <cell r="C6" t="str">
            <v>系数</v>
          </cell>
          <cell r="D6" t="str">
            <v>总系数</v>
          </cell>
          <cell r="E6">
            <v>0</v>
          </cell>
          <cell r="F6">
            <v>0</v>
          </cell>
          <cell r="G6" t="str">
            <v>直接材料</v>
          </cell>
          <cell r="H6" t="str">
            <v>包装物</v>
          </cell>
          <cell r="I6" t="str">
            <v>制造费用</v>
          </cell>
          <cell r="J6" t="str">
            <v>销售佣金</v>
          </cell>
          <cell r="K6" t="str">
            <v>送货费用</v>
          </cell>
          <cell r="L6" t="str">
            <v>销售绩效</v>
          </cell>
          <cell r="M6" t="str">
            <v>其它</v>
          </cell>
          <cell r="N6" t="str">
            <v>小计</v>
          </cell>
          <cell r="O6" t="str">
            <v>直接材料</v>
          </cell>
          <cell r="P6" t="str">
            <v>包装物</v>
          </cell>
          <cell r="Q6" t="str">
            <v>制造费用</v>
          </cell>
          <cell r="R6" t="str">
            <v>销售佣金</v>
          </cell>
          <cell r="S6" t="str">
            <v>送货费用</v>
          </cell>
          <cell r="T6" t="str">
            <v>销售绩效</v>
          </cell>
          <cell r="U6" t="str">
            <v>其它</v>
          </cell>
          <cell r="V6" t="str">
            <v>小计</v>
          </cell>
          <cell r="W6" t="str">
            <v>贡献边际</v>
          </cell>
          <cell r="X6">
            <v>0</v>
          </cell>
          <cell r="Y6" t="str">
            <v>折旧费</v>
          </cell>
          <cell r="Z6" t="str">
            <v>保险费</v>
          </cell>
          <cell r="AA6" t="str">
            <v>采购品管工资</v>
          </cell>
          <cell r="AB6" t="str">
            <v>管理销售费用</v>
          </cell>
          <cell r="AC6" t="str">
            <v>财务费用</v>
          </cell>
          <cell r="AD6" t="str">
            <v>小计</v>
          </cell>
          <cell r="AE6" t="str">
            <v>折旧费</v>
          </cell>
          <cell r="AF6" t="str">
            <v>保险费</v>
          </cell>
          <cell r="AG6" t="str">
            <v>采购品管工资</v>
          </cell>
          <cell r="AH6" t="str">
            <v>管理销售费用</v>
          </cell>
          <cell r="AI6" t="str">
            <v>财务费用</v>
          </cell>
          <cell r="AJ6" t="str">
            <v>小计</v>
          </cell>
          <cell r="AK6">
            <v>0</v>
          </cell>
          <cell r="AL6">
            <v>0</v>
          </cell>
          <cell r="AM6" t="str">
            <v>毛利</v>
          </cell>
          <cell r="AN6">
            <v>0</v>
          </cell>
          <cell r="AO6" t="str">
            <v>边际率</v>
          </cell>
          <cell r="AP6" t="str">
            <v>比重</v>
          </cell>
        </row>
        <row r="7">
          <cell r="A7" t="str">
            <v>510L</v>
          </cell>
          <cell r="B7">
            <v>0</v>
          </cell>
          <cell r="C7">
            <v>1</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t="e">
            <v>#REF!</v>
          </cell>
        </row>
        <row r="8">
          <cell r="A8" t="str">
            <v>510Y</v>
          </cell>
          <cell r="B8">
            <v>33.72</v>
          </cell>
          <cell r="C8">
            <v>1</v>
          </cell>
          <cell r="D8">
            <v>33.72</v>
          </cell>
          <cell r="E8">
            <v>1910.8579478054569</v>
          </cell>
          <cell r="F8">
            <v>64434.130000000005</v>
          </cell>
          <cell r="G8">
            <v>56956.630274949086</v>
          </cell>
          <cell r="H8">
            <v>2753.5710794297347</v>
          </cell>
          <cell r="I8" t="e">
            <v>#REF!</v>
          </cell>
          <cell r="J8" t="e">
            <v>#REF!</v>
          </cell>
          <cell r="K8" t="e">
            <v>#REF!</v>
          </cell>
          <cell r="L8" t="e">
            <v>#REF!</v>
          </cell>
          <cell r="M8" t="e">
            <v>#REF!</v>
          </cell>
          <cell r="N8" t="e">
            <v>#REF!</v>
          </cell>
          <cell r="O8">
            <v>1920577.5728712832</v>
          </cell>
          <cell r="P8">
            <v>92850.416798370657</v>
          </cell>
          <cell r="Q8" t="e">
            <v>#REF!</v>
          </cell>
          <cell r="R8" t="e">
            <v>#REF!</v>
          </cell>
          <cell r="S8" t="e">
            <v>#REF!</v>
          </cell>
          <cell r="T8" t="e">
            <v>#REF!</v>
          </cell>
          <cell r="U8" t="e">
            <v>#REF!</v>
          </cell>
          <cell r="V8" t="e">
            <v>#REF!</v>
          </cell>
          <cell r="W8" t="e">
            <v>#REF!</v>
          </cell>
          <cell r="X8" t="e">
            <v>#REF!</v>
          </cell>
          <cell r="Y8" t="e">
            <v>#REF!</v>
          </cell>
          <cell r="Z8" t="e">
            <v>#REF!</v>
          </cell>
          <cell r="AA8" t="e">
            <v>#REF!</v>
          </cell>
          <cell r="AB8" t="e">
            <v>#REF!</v>
          </cell>
          <cell r="AC8" t="e">
            <v>#REF!</v>
          </cell>
          <cell r="AD8" t="e">
            <v>#REF!</v>
          </cell>
          <cell r="AE8" t="e">
            <v>#REF!</v>
          </cell>
          <cell r="AF8" t="e">
            <v>#REF!</v>
          </cell>
          <cell r="AG8" t="e">
            <v>#REF!</v>
          </cell>
          <cell r="AH8" t="e">
            <v>#REF!</v>
          </cell>
          <cell r="AI8" t="e">
            <v>#REF!</v>
          </cell>
          <cell r="AJ8" t="e">
            <v>#REF!</v>
          </cell>
          <cell r="AK8" t="e">
            <v>#REF!</v>
          </cell>
          <cell r="AL8" t="e">
            <v>#REF!</v>
          </cell>
          <cell r="AM8" t="e">
            <v>#REF!</v>
          </cell>
          <cell r="AN8" t="e">
            <v>#REF!</v>
          </cell>
          <cell r="AO8" t="e">
            <v>#REF!</v>
          </cell>
          <cell r="AP8" t="e">
            <v>#REF!</v>
          </cell>
        </row>
        <row r="9">
          <cell r="A9" t="str">
            <v>511Y</v>
          </cell>
          <cell r="B9">
            <v>65.52</v>
          </cell>
          <cell r="C9">
            <v>1</v>
          </cell>
          <cell r="D9">
            <v>65.52</v>
          </cell>
          <cell r="E9">
            <v>1698.7597680097679</v>
          </cell>
          <cell r="F9">
            <v>111302.73999999999</v>
          </cell>
          <cell r="G9">
            <v>106218.74168141592</v>
          </cell>
          <cell r="H9">
            <v>5350.3582300884946</v>
          </cell>
          <cell r="I9" t="e">
            <v>#REF!</v>
          </cell>
          <cell r="J9" t="e">
            <v>#REF!</v>
          </cell>
          <cell r="K9" t="e">
            <v>#REF!</v>
          </cell>
          <cell r="L9" t="e">
            <v>#REF!</v>
          </cell>
          <cell r="M9" t="e">
            <v>#REF!</v>
          </cell>
          <cell r="N9" t="e">
            <v>#REF!</v>
          </cell>
          <cell r="O9">
            <v>6959451.9549663709</v>
          </cell>
          <cell r="P9">
            <v>350555.47123539814</v>
          </cell>
          <cell r="Q9" t="e">
            <v>#REF!</v>
          </cell>
          <cell r="R9" t="e">
            <v>#REF!</v>
          </cell>
          <cell r="S9" t="e">
            <v>#REF!</v>
          </cell>
          <cell r="T9" t="e">
            <v>#REF!</v>
          </cell>
          <cell r="U9" t="e">
            <v>#REF!</v>
          </cell>
          <cell r="V9" t="e">
            <v>#REF!</v>
          </cell>
          <cell r="W9" t="e">
            <v>#REF!</v>
          </cell>
          <cell r="X9" t="e">
            <v>#REF!</v>
          </cell>
          <cell r="Y9" t="e">
            <v>#REF!</v>
          </cell>
          <cell r="Z9" t="e">
            <v>#REF!</v>
          </cell>
          <cell r="AA9" t="e">
            <v>#REF!</v>
          </cell>
          <cell r="AB9" t="e">
            <v>#REF!</v>
          </cell>
          <cell r="AC9" t="e">
            <v>#REF!</v>
          </cell>
          <cell r="AD9" t="e">
            <v>#REF!</v>
          </cell>
          <cell r="AE9" t="e">
            <v>#REF!</v>
          </cell>
          <cell r="AF9" t="e">
            <v>#REF!</v>
          </cell>
          <cell r="AG9" t="e">
            <v>#REF!</v>
          </cell>
          <cell r="AH9" t="e">
            <v>#REF!</v>
          </cell>
          <cell r="AI9" t="e">
            <v>#REF!</v>
          </cell>
          <cell r="AJ9" t="e">
            <v>#REF!</v>
          </cell>
          <cell r="AK9" t="e">
            <v>#REF!</v>
          </cell>
          <cell r="AL9" t="e">
            <v>#REF!</v>
          </cell>
          <cell r="AM9" t="e">
            <v>#REF!</v>
          </cell>
          <cell r="AN9" t="e">
            <v>#REF!</v>
          </cell>
          <cell r="AO9" t="e">
            <v>#REF!</v>
          </cell>
          <cell r="AP9" t="e">
            <v>#REF!</v>
          </cell>
        </row>
        <row r="10">
          <cell r="A10" t="str">
            <v>512Y</v>
          </cell>
          <cell r="B10">
            <v>111.8</v>
          </cell>
          <cell r="C10">
            <v>1</v>
          </cell>
          <cell r="D10">
            <v>111.8</v>
          </cell>
          <cell r="E10">
            <v>1677.2676207513418</v>
          </cell>
          <cell r="F10">
            <v>187518.52000000002</v>
          </cell>
          <cell r="G10">
            <v>176914.01937812724</v>
          </cell>
          <cell r="H10">
            <v>9129.5907969978562</v>
          </cell>
          <cell r="I10" t="e">
            <v>#REF!</v>
          </cell>
          <cell r="J10" t="e">
            <v>#REF!</v>
          </cell>
          <cell r="K10" t="e">
            <v>#REF!</v>
          </cell>
          <cell r="L10" t="e">
            <v>#REF!</v>
          </cell>
          <cell r="M10" t="e">
            <v>#REF!</v>
          </cell>
          <cell r="N10" t="e">
            <v>#REF!</v>
          </cell>
          <cell r="O10">
            <v>19778987.366474625</v>
          </cell>
          <cell r="P10">
            <v>1020688.2511043603</v>
          </cell>
          <cell r="Q10" t="e">
            <v>#REF!</v>
          </cell>
          <cell r="R10" t="e">
            <v>#REF!</v>
          </cell>
          <cell r="S10" t="e">
            <v>#REF!</v>
          </cell>
          <cell r="T10" t="e">
            <v>#REF!</v>
          </cell>
          <cell r="U10" t="e">
            <v>#REF!</v>
          </cell>
          <cell r="V10" t="e">
            <v>#REF!</v>
          </cell>
          <cell r="W10" t="e">
            <v>#REF!</v>
          </cell>
          <cell r="X10" t="e">
            <v>#REF!</v>
          </cell>
          <cell r="Y10" t="e">
            <v>#REF!</v>
          </cell>
          <cell r="Z10" t="e">
            <v>#REF!</v>
          </cell>
          <cell r="AA10" t="e">
            <v>#REF!</v>
          </cell>
          <cell r="AB10" t="e">
            <v>#REF!</v>
          </cell>
          <cell r="AC10" t="e">
            <v>#REF!</v>
          </cell>
          <cell r="AD10" t="e">
            <v>#REF!</v>
          </cell>
          <cell r="AE10" t="e">
            <v>#REF!</v>
          </cell>
          <cell r="AF10" t="e">
            <v>#REF!</v>
          </cell>
          <cell r="AG10" t="e">
            <v>#REF!</v>
          </cell>
          <cell r="AH10" t="e">
            <v>#REF!</v>
          </cell>
          <cell r="AI10" t="e">
            <v>#REF!</v>
          </cell>
          <cell r="AJ10" t="e">
            <v>#REF!</v>
          </cell>
          <cell r="AK10" t="e">
            <v>#REF!</v>
          </cell>
          <cell r="AL10" t="e">
            <v>#REF!</v>
          </cell>
          <cell r="AM10" t="e">
            <v>#REF!</v>
          </cell>
          <cell r="AN10" t="e">
            <v>#REF!</v>
          </cell>
          <cell r="AO10" t="e">
            <v>#REF!</v>
          </cell>
          <cell r="AP10" t="e">
            <v>#REF!</v>
          </cell>
        </row>
        <row r="11">
          <cell r="A11" t="str">
            <v>510S</v>
          </cell>
          <cell r="B11">
            <v>0</v>
          </cell>
          <cell r="C11">
            <v>1</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t="e">
            <v>#REF!</v>
          </cell>
        </row>
        <row r="12">
          <cell r="A12">
            <v>510</v>
          </cell>
          <cell r="B12">
            <v>152.12</v>
          </cell>
          <cell r="C12">
            <v>0</v>
          </cell>
          <cell r="D12">
            <v>0</v>
          </cell>
          <cell r="E12">
            <v>1889.4541151722322</v>
          </cell>
          <cell r="F12">
            <v>287423.75999999995</v>
          </cell>
          <cell r="G12">
            <v>257981.09488229605</v>
          </cell>
          <cell r="H12">
            <v>12422.123614962913</v>
          </cell>
          <cell r="I12" t="e">
            <v>#REF!</v>
          </cell>
          <cell r="J12" t="e">
            <v>#REF!</v>
          </cell>
          <cell r="K12" t="e">
            <v>#REF!</v>
          </cell>
          <cell r="L12" t="e">
            <v>#REF!</v>
          </cell>
          <cell r="M12" t="e">
            <v>#REF!</v>
          </cell>
          <cell r="N12" t="e">
            <v>#REF!</v>
          </cell>
          <cell r="O12">
            <v>39244084.15349488</v>
          </cell>
          <cell r="P12">
            <v>1889653.4443081585</v>
          </cell>
          <cell r="Q12" t="e">
            <v>#REF!</v>
          </cell>
          <cell r="R12" t="e">
            <v>#REF!</v>
          </cell>
          <cell r="S12" t="e">
            <v>#REF!</v>
          </cell>
          <cell r="T12" t="e">
            <v>#REF!</v>
          </cell>
          <cell r="U12" t="e">
            <v>#REF!</v>
          </cell>
          <cell r="V12" t="e">
            <v>#REF!</v>
          </cell>
          <cell r="W12" t="e">
            <v>#REF!</v>
          </cell>
          <cell r="X12" t="e">
            <v>#REF!</v>
          </cell>
          <cell r="Y12" t="e">
            <v>#REF!</v>
          </cell>
          <cell r="Z12" t="e">
            <v>#REF!</v>
          </cell>
          <cell r="AA12" t="e">
            <v>#REF!</v>
          </cell>
          <cell r="AB12" t="e">
            <v>#REF!</v>
          </cell>
          <cell r="AC12" t="e">
            <v>#REF!</v>
          </cell>
          <cell r="AD12" t="e">
            <v>#REF!</v>
          </cell>
          <cell r="AE12" t="e">
            <v>#REF!</v>
          </cell>
          <cell r="AF12" t="e">
            <v>#REF!</v>
          </cell>
          <cell r="AG12" t="e">
            <v>#REF!</v>
          </cell>
          <cell r="AH12" t="e">
            <v>#REF!</v>
          </cell>
          <cell r="AI12" t="e">
            <v>#REF!</v>
          </cell>
          <cell r="AJ12" t="e">
            <v>#REF!</v>
          </cell>
          <cell r="AK12" t="e">
            <v>#REF!</v>
          </cell>
          <cell r="AL12" t="e">
            <v>#REF!</v>
          </cell>
          <cell r="AM12" t="e">
            <v>#REF!</v>
          </cell>
          <cell r="AN12" t="e">
            <v>#REF!</v>
          </cell>
          <cell r="AO12" t="e">
            <v>#REF!</v>
          </cell>
          <cell r="AP12" t="e">
            <v>#REF!</v>
          </cell>
        </row>
        <row r="13">
          <cell r="A13">
            <v>511</v>
          </cell>
          <cell r="B13">
            <v>216.28</v>
          </cell>
          <cell r="C13">
            <v>1</v>
          </cell>
          <cell r="D13">
            <v>216.28</v>
          </cell>
          <cell r="E13">
            <v>1717.6099963010911</v>
          </cell>
          <cell r="F13">
            <v>371484.69</v>
          </cell>
          <cell r="G13">
            <v>345283.4923430754</v>
          </cell>
          <cell r="H13">
            <v>17661.424081700432</v>
          </cell>
          <cell r="I13" t="e">
            <v>#REF!</v>
          </cell>
          <cell r="J13" t="e">
            <v>#REF!</v>
          </cell>
          <cell r="K13" t="e">
            <v>#REF!</v>
          </cell>
          <cell r="L13" t="e">
            <v>#REF!</v>
          </cell>
          <cell r="M13" t="e">
            <v>#REF!</v>
          </cell>
          <cell r="N13" t="e">
            <v>#REF!</v>
          </cell>
          <cell r="O13">
            <v>74677913.723960355</v>
          </cell>
          <cell r="P13">
            <v>3819812.8003901695</v>
          </cell>
          <cell r="Q13" t="e">
            <v>#REF!</v>
          </cell>
          <cell r="R13" t="e">
            <v>#REF!</v>
          </cell>
          <cell r="S13" t="e">
            <v>#REF!</v>
          </cell>
          <cell r="T13" t="e">
            <v>#REF!</v>
          </cell>
          <cell r="U13" t="e">
            <v>#REF!</v>
          </cell>
          <cell r="V13" t="e">
            <v>#REF!</v>
          </cell>
          <cell r="W13" t="e">
            <v>#REF!</v>
          </cell>
          <cell r="X13" t="e">
            <v>#REF!</v>
          </cell>
          <cell r="Y13" t="e">
            <v>#REF!</v>
          </cell>
          <cell r="Z13" t="e">
            <v>#REF!</v>
          </cell>
          <cell r="AA13" t="e">
            <v>#REF!</v>
          </cell>
          <cell r="AB13" t="e">
            <v>#REF!</v>
          </cell>
          <cell r="AC13" t="e">
            <v>#REF!</v>
          </cell>
          <cell r="AD13" t="e">
            <v>#REF!</v>
          </cell>
          <cell r="AE13" t="e">
            <v>#REF!</v>
          </cell>
          <cell r="AF13" t="e">
            <v>#REF!</v>
          </cell>
          <cell r="AG13" t="e">
            <v>#REF!</v>
          </cell>
          <cell r="AH13" t="e">
            <v>#REF!</v>
          </cell>
          <cell r="AI13" t="e">
            <v>#REF!</v>
          </cell>
          <cell r="AJ13" t="e">
            <v>#REF!</v>
          </cell>
          <cell r="AK13" t="e">
            <v>#REF!</v>
          </cell>
          <cell r="AL13" t="e">
            <v>#REF!</v>
          </cell>
          <cell r="AM13" t="e">
            <v>#REF!</v>
          </cell>
          <cell r="AN13" t="e">
            <v>#REF!</v>
          </cell>
          <cell r="AO13" t="e">
            <v>#REF!</v>
          </cell>
          <cell r="AP13" t="e">
            <v>#REF!</v>
          </cell>
        </row>
        <row r="14">
          <cell r="A14">
            <v>512</v>
          </cell>
          <cell r="B14">
            <v>470.6</v>
          </cell>
          <cell r="C14">
            <v>1</v>
          </cell>
          <cell r="D14">
            <v>470.6</v>
          </cell>
          <cell r="E14">
            <v>1646.5417339566509</v>
          </cell>
          <cell r="F14">
            <v>774862.53999999992</v>
          </cell>
          <cell r="G14">
            <v>724688.79189349106</v>
          </cell>
          <cell r="H14">
            <v>38429.181005917155</v>
          </cell>
          <cell r="I14" t="e">
            <v>#REF!</v>
          </cell>
          <cell r="J14" t="e">
            <v>#REF!</v>
          </cell>
          <cell r="K14" t="e">
            <v>#REF!</v>
          </cell>
          <cell r="L14" t="e">
            <v>#REF!</v>
          </cell>
          <cell r="M14" t="e">
            <v>#REF!</v>
          </cell>
          <cell r="N14" t="e">
            <v>#REF!</v>
          </cell>
          <cell r="O14">
            <v>341038545.46507692</v>
          </cell>
          <cell r="P14">
            <v>18084772.581384614</v>
          </cell>
          <cell r="Q14" t="e">
            <v>#REF!</v>
          </cell>
          <cell r="R14" t="e">
            <v>#REF!</v>
          </cell>
          <cell r="S14" t="e">
            <v>#REF!</v>
          </cell>
          <cell r="T14" t="e">
            <v>#REF!</v>
          </cell>
          <cell r="U14" t="e">
            <v>#REF!</v>
          </cell>
          <cell r="V14" t="e">
            <v>#REF!</v>
          </cell>
          <cell r="W14" t="e">
            <v>#REF!</v>
          </cell>
          <cell r="X14" t="e">
            <v>#REF!</v>
          </cell>
          <cell r="Y14" t="e">
            <v>#REF!</v>
          </cell>
          <cell r="Z14" t="e">
            <v>#REF!</v>
          </cell>
          <cell r="AA14" t="e">
            <v>#REF!</v>
          </cell>
          <cell r="AB14" t="e">
            <v>#REF!</v>
          </cell>
          <cell r="AC14" t="e">
            <v>#REF!</v>
          </cell>
          <cell r="AD14" t="e">
            <v>#REF!</v>
          </cell>
          <cell r="AE14" t="e">
            <v>#REF!</v>
          </cell>
          <cell r="AF14" t="e">
            <v>#REF!</v>
          </cell>
          <cell r="AG14" t="e">
            <v>#REF!</v>
          </cell>
          <cell r="AH14" t="e">
            <v>#REF!</v>
          </cell>
          <cell r="AI14" t="e">
            <v>#REF!</v>
          </cell>
          <cell r="AJ14" t="e">
            <v>#REF!</v>
          </cell>
          <cell r="AK14" t="e">
            <v>#REF!</v>
          </cell>
          <cell r="AL14" t="e">
            <v>#REF!</v>
          </cell>
          <cell r="AM14" t="e">
            <v>#REF!</v>
          </cell>
          <cell r="AN14" t="e">
            <v>#REF!</v>
          </cell>
          <cell r="AO14" t="e">
            <v>#REF!</v>
          </cell>
          <cell r="AP14" t="e">
            <v>#REF!</v>
          </cell>
        </row>
        <row r="15">
          <cell r="A15">
            <v>810</v>
          </cell>
          <cell r="B15">
            <v>11.96</v>
          </cell>
          <cell r="C15">
            <v>1</v>
          </cell>
          <cell r="D15">
            <v>11.96</v>
          </cell>
          <cell r="E15">
            <v>1603.8319397993312</v>
          </cell>
          <cell r="F15">
            <v>19181.830000000002</v>
          </cell>
          <cell r="G15">
            <v>15293.681190476189</v>
          </cell>
          <cell r="H15">
            <v>976.65027777777755</v>
          </cell>
          <cell r="I15" t="e">
            <v>#REF!</v>
          </cell>
          <cell r="J15" t="e">
            <v>#REF!</v>
          </cell>
          <cell r="K15" t="e">
            <v>#REF!</v>
          </cell>
          <cell r="L15" t="e">
            <v>#REF!</v>
          </cell>
          <cell r="M15" t="e">
            <v>#REF!</v>
          </cell>
          <cell r="N15" t="e">
            <v>#REF!</v>
          </cell>
          <cell r="O15">
            <v>182912.42703809522</v>
          </cell>
          <cell r="P15">
            <v>11680.73732222222</v>
          </cell>
          <cell r="Q15" t="e">
            <v>#REF!</v>
          </cell>
          <cell r="R15" t="e">
            <v>#REF!</v>
          </cell>
          <cell r="S15" t="e">
            <v>#REF!</v>
          </cell>
          <cell r="T15" t="e">
            <v>#REF!</v>
          </cell>
          <cell r="U15" t="e">
            <v>#REF!</v>
          </cell>
          <cell r="V15" t="e">
            <v>#REF!</v>
          </cell>
          <cell r="W15" t="e">
            <v>#REF!</v>
          </cell>
          <cell r="X15" t="e">
            <v>#REF!</v>
          </cell>
          <cell r="Y15" t="e">
            <v>#REF!</v>
          </cell>
          <cell r="Z15" t="e">
            <v>#REF!</v>
          </cell>
          <cell r="AA15" t="e">
            <v>#REF!</v>
          </cell>
          <cell r="AB15" t="e">
            <v>#REF!</v>
          </cell>
          <cell r="AC15" t="e">
            <v>#REF!</v>
          </cell>
          <cell r="AD15" t="e">
            <v>#REF!</v>
          </cell>
          <cell r="AE15" t="e">
            <v>#REF!</v>
          </cell>
          <cell r="AF15" t="e">
            <v>#REF!</v>
          </cell>
          <cell r="AG15" t="e">
            <v>#REF!</v>
          </cell>
          <cell r="AH15" t="e">
            <v>#REF!</v>
          </cell>
          <cell r="AI15" t="e">
            <v>#REF!</v>
          </cell>
          <cell r="AJ15" t="e">
            <v>#REF!</v>
          </cell>
          <cell r="AK15" t="e">
            <v>#REF!</v>
          </cell>
          <cell r="AL15" t="e">
            <v>#REF!</v>
          </cell>
          <cell r="AM15" t="e">
            <v>#REF!</v>
          </cell>
          <cell r="AN15" t="e">
            <v>#REF!</v>
          </cell>
          <cell r="AO15" t="e">
            <v>#REF!</v>
          </cell>
          <cell r="AP15" t="e">
            <v>#REF!</v>
          </cell>
        </row>
        <row r="16">
          <cell r="A16" t="str">
            <v>831A</v>
          </cell>
          <cell r="B16">
            <v>25.04</v>
          </cell>
          <cell r="C16">
            <v>1</v>
          </cell>
          <cell r="D16">
            <v>25.04</v>
          </cell>
          <cell r="E16">
            <v>1681.2963258785944</v>
          </cell>
          <cell r="F16">
            <v>42099.66</v>
          </cell>
          <cell r="G16">
            <v>32029.544165289255</v>
          </cell>
          <cell r="H16">
            <v>2044.7746776859503</v>
          </cell>
          <cell r="I16" t="e">
            <v>#REF!</v>
          </cell>
          <cell r="J16" t="e">
            <v>#REF!</v>
          </cell>
          <cell r="K16" t="e">
            <v>#REF!</v>
          </cell>
          <cell r="L16" t="e">
            <v>#REF!</v>
          </cell>
          <cell r="M16" t="e">
            <v>#REF!</v>
          </cell>
          <cell r="N16" t="e">
            <v>#REF!</v>
          </cell>
          <cell r="O16">
            <v>802019.78589884297</v>
          </cell>
          <cell r="P16">
            <v>51201.157929256195</v>
          </cell>
          <cell r="Q16" t="e">
            <v>#REF!</v>
          </cell>
          <cell r="R16" t="e">
            <v>#REF!</v>
          </cell>
          <cell r="S16" t="e">
            <v>#REF!</v>
          </cell>
          <cell r="T16" t="e">
            <v>#REF!</v>
          </cell>
          <cell r="U16" t="e">
            <v>#REF!</v>
          </cell>
          <cell r="V16" t="e">
            <v>#REF!</v>
          </cell>
          <cell r="W16" t="e">
            <v>#REF!</v>
          </cell>
          <cell r="X16" t="e">
            <v>#REF!</v>
          </cell>
          <cell r="Y16" t="e">
            <v>#REF!</v>
          </cell>
          <cell r="Z16" t="e">
            <v>#REF!</v>
          </cell>
          <cell r="AA16" t="e">
            <v>#REF!</v>
          </cell>
          <cell r="AB16" t="e">
            <v>#REF!</v>
          </cell>
          <cell r="AC16" t="e">
            <v>#REF!</v>
          </cell>
          <cell r="AD16" t="e">
            <v>#REF!</v>
          </cell>
          <cell r="AE16" t="e">
            <v>#REF!</v>
          </cell>
          <cell r="AF16" t="e">
            <v>#REF!</v>
          </cell>
          <cell r="AG16" t="e">
            <v>#REF!</v>
          </cell>
          <cell r="AH16" t="e">
            <v>#REF!</v>
          </cell>
          <cell r="AI16" t="e">
            <v>#REF!</v>
          </cell>
          <cell r="AJ16" t="e">
            <v>#REF!</v>
          </cell>
          <cell r="AK16" t="e">
            <v>#REF!</v>
          </cell>
          <cell r="AL16" t="e">
            <v>#REF!</v>
          </cell>
          <cell r="AM16" t="e">
            <v>#REF!</v>
          </cell>
          <cell r="AN16" t="e">
            <v>#REF!</v>
          </cell>
          <cell r="AO16" t="e">
            <v>#REF!</v>
          </cell>
          <cell r="AP16" t="e">
            <v>#REF!</v>
          </cell>
        </row>
        <row r="17">
          <cell r="A17" t="str">
            <v>831A</v>
          </cell>
          <cell r="B17">
            <v>4.8</v>
          </cell>
          <cell r="C17">
            <v>1</v>
          </cell>
          <cell r="D17">
            <v>4.8</v>
          </cell>
          <cell r="E17">
            <v>1594.7645833333333</v>
          </cell>
          <cell r="F17">
            <v>7654.87</v>
          </cell>
          <cell r="G17">
            <v>5817.9259999999995</v>
          </cell>
          <cell r="H17">
            <v>391.95599999999996</v>
          </cell>
          <cell r="I17" t="e">
            <v>#REF!</v>
          </cell>
          <cell r="J17" t="e">
            <v>#REF!</v>
          </cell>
          <cell r="K17" t="e">
            <v>#REF!</v>
          </cell>
          <cell r="L17" t="e">
            <v>#REF!</v>
          </cell>
          <cell r="M17" t="e">
            <v>#REF!</v>
          </cell>
          <cell r="N17" t="e">
            <v>#REF!</v>
          </cell>
          <cell r="O17">
            <v>27926.044799999996</v>
          </cell>
          <cell r="P17">
            <v>1881.3887999999997</v>
          </cell>
          <cell r="Q17" t="e">
            <v>#REF!</v>
          </cell>
          <cell r="R17" t="e">
            <v>#REF!</v>
          </cell>
          <cell r="S17" t="e">
            <v>#REF!</v>
          </cell>
          <cell r="T17" t="e">
            <v>#REF!</v>
          </cell>
          <cell r="U17" t="e">
            <v>#REF!</v>
          </cell>
          <cell r="V17" t="e">
            <v>#REF!</v>
          </cell>
          <cell r="W17" t="e">
            <v>#REF!</v>
          </cell>
          <cell r="X17" t="e">
            <v>#REF!</v>
          </cell>
          <cell r="Y17" t="e">
            <v>#REF!</v>
          </cell>
          <cell r="Z17" t="e">
            <v>#REF!</v>
          </cell>
          <cell r="AA17" t="e">
            <v>#REF!</v>
          </cell>
          <cell r="AB17" t="e">
            <v>#REF!</v>
          </cell>
          <cell r="AC17" t="e">
            <v>#REF!</v>
          </cell>
          <cell r="AD17" t="e">
            <v>#REF!</v>
          </cell>
          <cell r="AE17" t="e">
            <v>#REF!</v>
          </cell>
          <cell r="AF17" t="e">
            <v>#REF!</v>
          </cell>
          <cell r="AG17" t="e">
            <v>#REF!</v>
          </cell>
          <cell r="AH17" t="e">
            <v>#REF!</v>
          </cell>
          <cell r="AI17" t="e">
            <v>#REF!</v>
          </cell>
          <cell r="AJ17" t="e">
            <v>#REF!</v>
          </cell>
          <cell r="AK17" t="e">
            <v>#REF!</v>
          </cell>
          <cell r="AL17" t="e">
            <v>#REF!</v>
          </cell>
          <cell r="AM17" t="e">
            <v>#REF!</v>
          </cell>
          <cell r="AN17" t="e">
            <v>#REF!</v>
          </cell>
          <cell r="AO17" t="e">
            <v>#REF!</v>
          </cell>
          <cell r="AP17" t="e">
            <v>#REF!</v>
          </cell>
        </row>
        <row r="18">
          <cell r="A18">
            <v>831</v>
          </cell>
          <cell r="B18">
            <v>0</v>
          </cell>
          <cell r="C18">
            <v>1</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t="e">
            <v>#REF!</v>
          </cell>
        </row>
        <row r="19">
          <cell r="I19">
            <v>0</v>
          </cell>
          <cell r="J19">
            <v>0</v>
          </cell>
          <cell r="K19">
            <v>0</v>
          </cell>
          <cell r="L19">
            <v>0</v>
          </cell>
          <cell r="M19">
            <v>0</v>
          </cell>
          <cell r="N19">
            <v>0</v>
          </cell>
          <cell r="O19">
            <v>0</v>
          </cell>
          <cell r="P19">
            <v>0</v>
          </cell>
          <cell r="Q19">
            <v>0</v>
          </cell>
        </row>
        <row r="20">
          <cell r="A20">
            <v>124</v>
          </cell>
          <cell r="B20">
            <v>46.44</v>
          </cell>
          <cell r="C20">
            <v>0.8125</v>
          </cell>
          <cell r="D20">
            <v>37.732500000000002</v>
          </cell>
          <cell r="E20">
            <v>2250.3552971576228</v>
          </cell>
          <cell r="F20">
            <v>104506.5</v>
          </cell>
          <cell r="G20">
            <v>1721183.9218091203</v>
          </cell>
          <cell r="H20">
            <v>89159.629764560319</v>
          </cell>
          <cell r="I20" t="e">
            <v>#REF!</v>
          </cell>
          <cell r="J20" t="e">
            <v>#REF!</v>
          </cell>
          <cell r="K20" t="e">
            <v>#REF!</v>
          </cell>
          <cell r="L20" t="e">
            <v>#REF!</v>
          </cell>
          <cell r="M20" t="e">
            <v>#REF!</v>
          </cell>
          <cell r="N20" t="e">
            <v>#REF!</v>
          </cell>
          <cell r="O20">
            <v>79931781.32881555</v>
          </cell>
          <cell r="P20">
            <v>4140573.2062661811</v>
          </cell>
          <cell r="Q20" t="e">
            <v>#REF!</v>
          </cell>
          <cell r="R20" t="e">
            <v>#REF!</v>
          </cell>
          <cell r="S20" t="e">
            <v>#REF!</v>
          </cell>
          <cell r="T20" t="e">
            <v>#REF!</v>
          </cell>
          <cell r="U20" t="e">
            <v>#REF!</v>
          </cell>
          <cell r="V20" t="e">
            <v>#REF!</v>
          </cell>
          <cell r="W20" t="e">
            <v>#REF!</v>
          </cell>
          <cell r="X20" t="e">
            <v>#REF!</v>
          </cell>
          <cell r="Y20" t="e">
            <v>#REF!</v>
          </cell>
          <cell r="Z20" t="e">
            <v>#REF!</v>
          </cell>
          <cell r="AA20" t="e">
            <v>#REF!</v>
          </cell>
          <cell r="AB20" t="e">
            <v>#REF!</v>
          </cell>
          <cell r="AC20" t="e">
            <v>#REF!</v>
          </cell>
          <cell r="AD20" t="e">
            <v>#REF!</v>
          </cell>
          <cell r="AE20" t="e">
            <v>#REF!</v>
          </cell>
          <cell r="AF20" t="e">
            <v>#REF!</v>
          </cell>
          <cell r="AG20" t="e">
            <v>#REF!</v>
          </cell>
          <cell r="AH20" t="e">
            <v>#REF!</v>
          </cell>
          <cell r="AI20" t="e">
            <v>#REF!</v>
          </cell>
          <cell r="AJ20" t="e">
            <v>#REF!</v>
          </cell>
          <cell r="AK20" t="e">
            <v>#REF!</v>
          </cell>
          <cell r="AL20" t="e">
            <v>#REF!</v>
          </cell>
          <cell r="AM20" t="e">
            <v>#REF!</v>
          </cell>
          <cell r="AN20" t="e">
            <v>#REF!</v>
          </cell>
          <cell r="AO20" t="e">
            <v>#REF!</v>
          </cell>
          <cell r="AP20" t="e">
            <v>#REF!</v>
          </cell>
        </row>
        <row r="21">
          <cell r="A21">
            <v>322</v>
          </cell>
          <cell r="B21">
            <v>0</v>
          </cell>
          <cell r="C21">
            <v>0.8125</v>
          </cell>
          <cell r="D21">
            <v>0</v>
          </cell>
          <cell r="E21">
            <v>0</v>
          </cell>
          <cell r="F21">
            <v>0</v>
          </cell>
          <cell r="G21">
            <v>94152.170845070417</v>
          </cell>
          <cell r="H21">
            <v>3287.4287323943659</v>
          </cell>
          <cell r="I21">
            <v>0</v>
          </cell>
          <cell r="J21">
            <v>0</v>
          </cell>
          <cell r="K21">
            <v>0</v>
          </cell>
          <cell r="L21">
            <v>0</v>
          </cell>
          <cell r="M21">
            <v>0</v>
          </cell>
          <cell r="N21">
            <v>97439.599577464789</v>
          </cell>
          <cell r="O21">
            <v>0</v>
          </cell>
          <cell r="P21">
            <v>0</v>
          </cell>
          <cell r="Q21">
            <v>0</v>
          </cell>
          <cell r="R21">
            <v>0</v>
          </cell>
          <cell r="S21">
            <v>0</v>
          </cell>
          <cell r="T21">
            <v>0</v>
          </cell>
          <cell r="U21">
            <v>0</v>
          </cell>
          <cell r="V21">
            <v>0</v>
          </cell>
          <cell r="W21">
            <v>-97439.599577464789</v>
          </cell>
          <cell r="X21">
            <v>0</v>
          </cell>
          <cell r="Y21">
            <v>0</v>
          </cell>
          <cell r="Z21">
            <v>0</v>
          </cell>
          <cell r="AA21">
            <v>0</v>
          </cell>
          <cell r="AB21">
            <v>0</v>
          </cell>
          <cell r="AC21">
            <v>0</v>
          </cell>
          <cell r="AD21">
            <v>0</v>
          </cell>
          <cell r="AE21">
            <v>0</v>
          </cell>
          <cell r="AF21">
            <v>0</v>
          </cell>
          <cell r="AG21">
            <v>0</v>
          </cell>
          <cell r="AH21">
            <v>0</v>
          </cell>
          <cell r="AI21">
            <v>0</v>
          </cell>
          <cell r="AJ21">
            <v>0</v>
          </cell>
          <cell r="AK21">
            <v>97439.599577464789</v>
          </cell>
          <cell r="AL21">
            <v>0</v>
          </cell>
          <cell r="AM21">
            <v>-97439.599577464789</v>
          </cell>
          <cell r="AN21">
            <v>0</v>
          </cell>
          <cell r="AO21">
            <v>0</v>
          </cell>
          <cell r="AP21" t="e">
            <v>#REF!</v>
          </cell>
        </row>
        <row r="22">
          <cell r="A22">
            <v>324</v>
          </cell>
          <cell r="B22">
            <v>0</v>
          </cell>
          <cell r="C22">
            <v>0.8125</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t="e">
            <v>#REF!</v>
          </cell>
        </row>
        <row r="23">
          <cell r="A23">
            <v>325</v>
          </cell>
          <cell r="B23">
            <v>0</v>
          </cell>
          <cell r="C23">
            <v>0.8125</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t="e">
            <v>#REF!</v>
          </cell>
        </row>
        <row r="24">
          <cell r="A24">
            <v>521</v>
          </cell>
          <cell r="B24">
            <v>15.76</v>
          </cell>
          <cell r="C24">
            <v>1</v>
          </cell>
          <cell r="D24">
            <v>15.76</v>
          </cell>
          <cell r="E24">
            <v>1823.8356598984772</v>
          </cell>
          <cell r="F24">
            <v>28743.65</v>
          </cell>
          <cell r="G24">
            <v>0</v>
          </cell>
          <cell r="H24">
            <v>0</v>
          </cell>
          <cell r="I24" t="e">
            <v>#REF!</v>
          </cell>
          <cell r="J24" t="e">
            <v>#REF!</v>
          </cell>
          <cell r="K24" t="e">
            <v>#REF!</v>
          </cell>
          <cell r="L24" t="e">
            <v>#REF!</v>
          </cell>
          <cell r="M24" t="e">
            <v>#REF!</v>
          </cell>
          <cell r="N24" t="e">
            <v>#REF!</v>
          </cell>
          <cell r="O24">
            <v>0</v>
          </cell>
          <cell r="P24">
            <v>0</v>
          </cell>
          <cell r="Q24" t="e">
            <v>#REF!</v>
          </cell>
          <cell r="R24" t="e">
            <v>#REF!</v>
          </cell>
          <cell r="S24" t="e">
            <v>#REF!</v>
          </cell>
          <cell r="T24" t="e">
            <v>#REF!</v>
          </cell>
          <cell r="U24" t="e">
            <v>#REF!</v>
          </cell>
          <cell r="V24" t="e">
            <v>#REF!</v>
          </cell>
          <cell r="W24" t="e">
            <v>#REF!</v>
          </cell>
          <cell r="X24" t="e">
            <v>#REF!</v>
          </cell>
          <cell r="Y24" t="e">
            <v>#REF!</v>
          </cell>
          <cell r="Z24" t="e">
            <v>#REF!</v>
          </cell>
          <cell r="AA24" t="e">
            <v>#REF!</v>
          </cell>
          <cell r="AB24" t="e">
            <v>#REF!</v>
          </cell>
          <cell r="AC24" t="e">
            <v>#REF!</v>
          </cell>
          <cell r="AD24" t="e">
            <v>#REF!</v>
          </cell>
          <cell r="AE24" t="e">
            <v>#REF!</v>
          </cell>
          <cell r="AF24" t="e">
            <v>#REF!</v>
          </cell>
          <cell r="AG24" t="e">
            <v>#REF!</v>
          </cell>
          <cell r="AH24" t="e">
            <v>#REF!</v>
          </cell>
          <cell r="AI24" t="e">
            <v>#REF!</v>
          </cell>
          <cell r="AJ24" t="e">
            <v>#REF!</v>
          </cell>
          <cell r="AK24" t="e">
            <v>#REF!</v>
          </cell>
          <cell r="AL24" t="e">
            <v>#REF!</v>
          </cell>
          <cell r="AM24" t="e">
            <v>#REF!</v>
          </cell>
          <cell r="AN24" t="e">
            <v>#REF!</v>
          </cell>
          <cell r="AO24" t="e">
            <v>#REF!</v>
          </cell>
          <cell r="AP24" t="e">
            <v>#REF!</v>
          </cell>
        </row>
        <row r="25">
          <cell r="A25">
            <v>522</v>
          </cell>
          <cell r="B25">
            <v>22.32</v>
          </cell>
          <cell r="C25">
            <v>1</v>
          </cell>
          <cell r="D25">
            <v>22.32</v>
          </cell>
          <cell r="E25">
            <v>1562.5465949820787</v>
          </cell>
          <cell r="F25">
            <v>34876.039999999994</v>
          </cell>
          <cell r="G25">
            <v>24568.029025787968</v>
          </cell>
          <cell r="H25">
            <v>1286.9688252148997</v>
          </cell>
          <cell r="I25" t="e">
            <v>#REF!</v>
          </cell>
          <cell r="J25" t="e">
            <v>#REF!</v>
          </cell>
          <cell r="K25" t="e">
            <v>#REF!</v>
          </cell>
          <cell r="L25" t="e">
            <v>#REF!</v>
          </cell>
          <cell r="M25" t="e">
            <v>#REF!</v>
          </cell>
          <cell r="N25" t="e">
            <v>#REF!</v>
          </cell>
          <cell r="O25">
            <v>548358.40785558743</v>
          </cell>
          <cell r="P25">
            <v>28725.14417879656</v>
          </cell>
          <cell r="Q25" t="e">
            <v>#REF!</v>
          </cell>
          <cell r="R25" t="e">
            <v>#REF!</v>
          </cell>
          <cell r="S25" t="e">
            <v>#REF!</v>
          </cell>
          <cell r="T25" t="e">
            <v>#REF!</v>
          </cell>
          <cell r="U25" t="e">
            <v>#REF!</v>
          </cell>
          <cell r="V25" t="e">
            <v>#REF!</v>
          </cell>
          <cell r="W25" t="e">
            <v>#REF!</v>
          </cell>
          <cell r="X25" t="e">
            <v>#REF!</v>
          </cell>
          <cell r="Y25" t="e">
            <v>#REF!</v>
          </cell>
          <cell r="Z25" t="e">
            <v>#REF!</v>
          </cell>
          <cell r="AA25" t="e">
            <v>#REF!</v>
          </cell>
          <cell r="AB25" t="e">
            <v>#REF!</v>
          </cell>
          <cell r="AC25" t="e">
            <v>#REF!</v>
          </cell>
          <cell r="AD25" t="e">
            <v>#REF!</v>
          </cell>
          <cell r="AE25" t="e">
            <v>#REF!</v>
          </cell>
          <cell r="AF25" t="e">
            <v>#REF!</v>
          </cell>
          <cell r="AG25" t="e">
            <v>#REF!</v>
          </cell>
          <cell r="AH25" t="e">
            <v>#REF!</v>
          </cell>
          <cell r="AI25" t="e">
            <v>#REF!</v>
          </cell>
          <cell r="AJ25" t="e">
            <v>#REF!</v>
          </cell>
          <cell r="AK25" t="e">
            <v>#REF!</v>
          </cell>
          <cell r="AL25" t="e">
            <v>#REF!</v>
          </cell>
          <cell r="AM25" t="e">
            <v>#REF!</v>
          </cell>
          <cell r="AN25" t="e">
            <v>#REF!</v>
          </cell>
          <cell r="AO25" t="e">
            <v>#REF!</v>
          </cell>
          <cell r="AP25" t="e">
            <v>#REF!</v>
          </cell>
        </row>
        <row r="26">
          <cell r="A26">
            <v>524</v>
          </cell>
          <cell r="B26">
            <v>7.96</v>
          </cell>
          <cell r="C26">
            <v>1</v>
          </cell>
          <cell r="D26">
            <v>7.96</v>
          </cell>
          <cell r="E26">
            <v>1508.8479899497488</v>
          </cell>
          <cell r="F26">
            <v>12010.43</v>
          </cell>
          <cell r="G26">
            <v>30281.441084990955</v>
          </cell>
          <cell r="H26">
            <v>1822.6419168173597</v>
          </cell>
          <cell r="I26" t="e">
            <v>#REF!</v>
          </cell>
          <cell r="J26" t="e">
            <v>#REF!</v>
          </cell>
          <cell r="K26" t="e">
            <v>#REF!</v>
          </cell>
          <cell r="L26" t="e">
            <v>#REF!</v>
          </cell>
          <cell r="M26" t="e">
            <v>#REF!</v>
          </cell>
          <cell r="N26" t="e">
            <v>#REF!</v>
          </cell>
          <cell r="O26">
            <v>241040.27103652799</v>
          </cell>
          <cell r="P26">
            <v>14508.229657866183</v>
          </cell>
          <cell r="Q26" t="e">
            <v>#REF!</v>
          </cell>
          <cell r="R26" t="e">
            <v>#REF!</v>
          </cell>
          <cell r="S26" t="e">
            <v>#REF!</v>
          </cell>
          <cell r="T26" t="e">
            <v>#REF!</v>
          </cell>
          <cell r="U26" t="e">
            <v>#REF!</v>
          </cell>
          <cell r="V26" t="e">
            <v>#REF!</v>
          </cell>
          <cell r="W26" t="e">
            <v>#REF!</v>
          </cell>
          <cell r="X26" t="e">
            <v>#REF!</v>
          </cell>
          <cell r="Y26" t="e">
            <v>#REF!</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cell r="AM26" t="e">
            <v>#REF!</v>
          </cell>
          <cell r="AN26" t="e">
            <v>#REF!</v>
          </cell>
          <cell r="AO26" t="e">
            <v>#REF!</v>
          </cell>
          <cell r="AP26" t="e">
            <v>#REF!</v>
          </cell>
        </row>
        <row r="27">
          <cell r="I27">
            <v>0</v>
          </cell>
          <cell r="J27">
            <v>0</v>
          </cell>
          <cell r="K27">
            <v>0</v>
          </cell>
          <cell r="L27">
            <v>0</v>
          </cell>
          <cell r="M27">
            <v>0</v>
          </cell>
          <cell r="N27">
            <v>0</v>
          </cell>
          <cell r="O27">
            <v>0</v>
          </cell>
          <cell r="P27">
            <v>0</v>
          </cell>
          <cell r="Q27">
            <v>0</v>
          </cell>
        </row>
        <row r="28">
          <cell r="I28">
            <v>0</v>
          </cell>
          <cell r="J28">
            <v>0</v>
          </cell>
          <cell r="K28">
            <v>0</v>
          </cell>
          <cell r="L28">
            <v>0</v>
          </cell>
          <cell r="M28">
            <v>0</v>
          </cell>
          <cell r="N28">
            <v>0</v>
          </cell>
          <cell r="O28">
            <v>0</v>
          </cell>
          <cell r="P28">
            <v>0</v>
          </cell>
          <cell r="Q28">
            <v>0</v>
          </cell>
        </row>
        <row r="29">
          <cell r="A29" t="str">
            <v>151-38</v>
          </cell>
          <cell r="B29">
            <v>0</v>
          </cell>
          <cell r="C29">
            <v>0.8125</v>
          </cell>
          <cell r="D29">
            <v>0</v>
          </cell>
          <cell r="E29">
            <v>0</v>
          </cell>
          <cell r="F29">
            <v>0</v>
          </cell>
          <cell r="G29">
            <v>65456.690110778924</v>
          </cell>
          <cell r="H29">
            <v>3759.6207420322598</v>
          </cell>
          <cell r="I29">
            <v>0</v>
          </cell>
          <cell r="J29">
            <v>0</v>
          </cell>
          <cell r="K29">
            <v>0</v>
          </cell>
          <cell r="L29">
            <v>0</v>
          </cell>
          <cell r="M29">
            <v>0</v>
          </cell>
          <cell r="N29">
            <v>69216.310852811177</v>
          </cell>
          <cell r="O29">
            <v>0</v>
          </cell>
          <cell r="P29">
            <v>0</v>
          </cell>
          <cell r="Q29">
            <v>0</v>
          </cell>
          <cell r="R29">
            <v>0</v>
          </cell>
          <cell r="S29">
            <v>0</v>
          </cell>
          <cell r="T29">
            <v>0</v>
          </cell>
          <cell r="U29">
            <v>0</v>
          </cell>
          <cell r="V29">
            <v>0</v>
          </cell>
          <cell r="W29">
            <v>-69216.310852811177</v>
          </cell>
          <cell r="X29">
            <v>0</v>
          </cell>
          <cell r="Y29">
            <v>0</v>
          </cell>
          <cell r="Z29">
            <v>0</v>
          </cell>
          <cell r="AA29">
            <v>0</v>
          </cell>
          <cell r="AB29">
            <v>0</v>
          </cell>
          <cell r="AC29">
            <v>0</v>
          </cell>
          <cell r="AD29">
            <v>0</v>
          </cell>
          <cell r="AE29">
            <v>0</v>
          </cell>
          <cell r="AF29">
            <v>0</v>
          </cell>
          <cell r="AG29">
            <v>0</v>
          </cell>
          <cell r="AH29">
            <v>0</v>
          </cell>
          <cell r="AI29">
            <v>0</v>
          </cell>
          <cell r="AJ29">
            <v>0</v>
          </cell>
          <cell r="AK29">
            <v>69216.310852811177</v>
          </cell>
          <cell r="AL29">
            <v>0</v>
          </cell>
          <cell r="AM29">
            <v>-69216.310852811177</v>
          </cell>
          <cell r="AN29">
            <v>0</v>
          </cell>
          <cell r="AO29">
            <v>0</v>
          </cell>
          <cell r="AP29" t="e">
            <v>#REF!</v>
          </cell>
        </row>
        <row r="30">
          <cell r="A30" t="str">
            <v>151-38</v>
          </cell>
          <cell r="B30">
            <v>15</v>
          </cell>
          <cell r="C30">
            <v>0.8125</v>
          </cell>
          <cell r="D30">
            <v>12.1875</v>
          </cell>
          <cell r="E30">
            <v>2756.2180000000003</v>
          </cell>
          <cell r="F30">
            <v>41343.270000000004</v>
          </cell>
          <cell r="G30">
            <v>159608.86095584935</v>
          </cell>
          <cell r="H30">
            <v>7047.0494744266252</v>
          </cell>
          <cell r="I30" t="e">
            <v>#REF!</v>
          </cell>
          <cell r="J30" t="e">
            <v>#REF!</v>
          </cell>
          <cell r="K30" t="e">
            <v>#REF!</v>
          </cell>
          <cell r="L30" t="e">
            <v>#REF!</v>
          </cell>
          <cell r="M30" t="e">
            <v>#REF!</v>
          </cell>
          <cell r="N30" t="e">
            <v>#REF!</v>
          </cell>
          <cell r="O30">
            <v>2394132.9143377403</v>
          </cell>
          <cell r="P30">
            <v>105705.74211639937</v>
          </cell>
          <cell r="Q30" t="e">
            <v>#REF!</v>
          </cell>
          <cell r="R30" t="e">
            <v>#REF!</v>
          </cell>
          <cell r="S30" t="e">
            <v>#REF!</v>
          </cell>
          <cell r="T30" t="e">
            <v>#REF!</v>
          </cell>
          <cell r="U30" t="e">
            <v>#REF!</v>
          </cell>
          <cell r="V30" t="e">
            <v>#REF!</v>
          </cell>
          <cell r="W30" t="e">
            <v>#REF!</v>
          </cell>
          <cell r="X30" t="e">
            <v>#REF!</v>
          </cell>
          <cell r="Y30" t="e">
            <v>#REF!</v>
          </cell>
          <cell r="Z30" t="e">
            <v>#REF!</v>
          </cell>
          <cell r="AA30" t="e">
            <v>#REF!</v>
          </cell>
          <cell r="AB30" t="e">
            <v>#REF!</v>
          </cell>
          <cell r="AC30" t="e">
            <v>#REF!</v>
          </cell>
          <cell r="AD30" t="e">
            <v>#REF!</v>
          </cell>
          <cell r="AE30" t="e">
            <v>#REF!</v>
          </cell>
          <cell r="AF30" t="e">
            <v>#REF!</v>
          </cell>
          <cell r="AG30" t="e">
            <v>#REF!</v>
          </cell>
          <cell r="AH30" t="e">
            <v>#REF!</v>
          </cell>
          <cell r="AI30" t="e">
            <v>#REF!</v>
          </cell>
          <cell r="AJ30" t="e">
            <v>#REF!</v>
          </cell>
          <cell r="AK30" t="e">
            <v>#REF!</v>
          </cell>
          <cell r="AL30" t="e">
            <v>#REF!</v>
          </cell>
          <cell r="AM30" t="e">
            <v>#REF!</v>
          </cell>
          <cell r="AN30" t="e">
            <v>#REF!</v>
          </cell>
          <cell r="AO30" t="e">
            <v>#REF!</v>
          </cell>
          <cell r="AP30" t="e">
            <v>#REF!</v>
          </cell>
        </row>
        <row r="31">
          <cell r="A31" t="str">
            <v>151-38</v>
          </cell>
          <cell r="B31">
            <v>14.6</v>
          </cell>
          <cell r="C31">
            <v>0.8125</v>
          </cell>
          <cell r="D31">
            <v>11.862499999999999</v>
          </cell>
          <cell r="E31">
            <v>2713.3301369863016</v>
          </cell>
          <cell r="F31">
            <v>39614.620000000003</v>
          </cell>
          <cell r="G31">
            <v>94152.170845070417</v>
          </cell>
          <cell r="H31">
            <v>3287.4287323943659</v>
          </cell>
          <cell r="I31" t="e">
            <v>#REF!</v>
          </cell>
          <cell r="J31" t="e">
            <v>#REF!</v>
          </cell>
          <cell r="K31" t="e">
            <v>#REF!</v>
          </cell>
          <cell r="L31" t="e">
            <v>#REF!</v>
          </cell>
          <cell r="M31" t="e">
            <v>#REF!</v>
          </cell>
          <cell r="N31" t="e">
            <v>#REF!</v>
          </cell>
          <cell r="O31">
            <v>1374621.6943380281</v>
          </cell>
          <cell r="P31">
            <v>47996.459492957743</v>
          </cell>
          <cell r="Q31" t="e">
            <v>#REF!</v>
          </cell>
          <cell r="R31" t="e">
            <v>#REF!</v>
          </cell>
          <cell r="S31" t="e">
            <v>#REF!</v>
          </cell>
          <cell r="T31" t="e">
            <v>#REF!</v>
          </cell>
          <cell r="U31" t="e">
            <v>#REF!</v>
          </cell>
          <cell r="V31" t="e">
            <v>#REF!</v>
          </cell>
          <cell r="W31" t="e">
            <v>#REF!</v>
          </cell>
          <cell r="X31" t="e">
            <v>#REF!</v>
          </cell>
          <cell r="Y31" t="e">
            <v>#REF!</v>
          </cell>
          <cell r="Z31" t="e">
            <v>#REF!</v>
          </cell>
          <cell r="AA31" t="e">
            <v>#REF!</v>
          </cell>
          <cell r="AB31" t="e">
            <v>#REF!</v>
          </cell>
          <cell r="AC31" t="e">
            <v>#REF!</v>
          </cell>
          <cell r="AD31" t="e">
            <v>#REF!</v>
          </cell>
          <cell r="AE31" t="e">
            <v>#REF!</v>
          </cell>
          <cell r="AF31" t="e">
            <v>#REF!</v>
          </cell>
          <cell r="AG31" t="e">
            <v>#REF!</v>
          </cell>
          <cell r="AH31" t="e">
            <v>#REF!</v>
          </cell>
          <cell r="AI31" t="e">
            <v>#REF!</v>
          </cell>
          <cell r="AJ31" t="e">
            <v>#REF!</v>
          </cell>
          <cell r="AK31" t="e">
            <v>#REF!</v>
          </cell>
          <cell r="AL31" t="e">
            <v>#REF!</v>
          </cell>
          <cell r="AM31" t="e">
            <v>#REF!</v>
          </cell>
          <cell r="AN31" t="e">
            <v>#REF!</v>
          </cell>
          <cell r="AO31" t="e">
            <v>#REF!</v>
          </cell>
          <cell r="AP31" t="e">
            <v>#REF!</v>
          </cell>
        </row>
        <row r="32">
          <cell r="A32" t="str">
            <v>151-38</v>
          </cell>
          <cell r="B32">
            <v>33.96</v>
          </cell>
          <cell r="C32">
            <v>0.8125</v>
          </cell>
          <cell r="D32">
            <v>27.592500000000001</v>
          </cell>
          <cell r="E32">
            <v>2684.0877502944641</v>
          </cell>
          <cell r="F32">
            <v>91151.62</v>
          </cell>
          <cell r="G32">
            <v>1786640.6119198992</v>
          </cell>
          <cell r="H32">
            <v>92919.25050659258</v>
          </cell>
          <cell r="I32" t="e">
            <v>#REF!</v>
          </cell>
          <cell r="J32" t="e">
            <v>#REF!</v>
          </cell>
          <cell r="K32" t="e">
            <v>#REF!</v>
          </cell>
          <cell r="L32" t="e">
            <v>#REF!</v>
          </cell>
          <cell r="M32" t="e">
            <v>#REF!</v>
          </cell>
          <cell r="N32" t="e">
            <v>#REF!</v>
          </cell>
          <cell r="O32">
            <v>60674315.180799782</v>
          </cell>
          <cell r="P32">
            <v>3155537.7472038842</v>
          </cell>
          <cell r="Q32" t="e">
            <v>#REF!</v>
          </cell>
          <cell r="R32" t="e">
            <v>#REF!</v>
          </cell>
          <cell r="S32" t="e">
            <v>#REF!</v>
          </cell>
          <cell r="T32" t="e">
            <v>#REF!</v>
          </cell>
          <cell r="U32" t="e">
            <v>#REF!</v>
          </cell>
          <cell r="V32" t="e">
            <v>#REF!</v>
          </cell>
          <cell r="W32" t="e">
            <v>#REF!</v>
          </cell>
          <cell r="X32" t="e">
            <v>#REF!</v>
          </cell>
          <cell r="Y32" t="e">
            <v>#REF!</v>
          </cell>
          <cell r="Z32" t="e">
            <v>#REF!</v>
          </cell>
          <cell r="AA32" t="e">
            <v>#REF!</v>
          </cell>
          <cell r="AB32" t="e">
            <v>#REF!</v>
          </cell>
          <cell r="AC32" t="e">
            <v>#REF!</v>
          </cell>
          <cell r="AD32" t="e">
            <v>#REF!</v>
          </cell>
          <cell r="AE32" t="e">
            <v>#REF!</v>
          </cell>
          <cell r="AF32" t="e">
            <v>#REF!</v>
          </cell>
          <cell r="AG32" t="e">
            <v>#REF!</v>
          </cell>
          <cell r="AH32" t="e">
            <v>#REF!</v>
          </cell>
          <cell r="AI32" t="e">
            <v>#REF!</v>
          </cell>
          <cell r="AJ32" t="e">
            <v>#REF!</v>
          </cell>
          <cell r="AK32" t="e">
            <v>#REF!</v>
          </cell>
          <cell r="AL32" t="e">
            <v>#REF!</v>
          </cell>
          <cell r="AM32" t="e">
            <v>#REF!</v>
          </cell>
          <cell r="AN32" t="e">
            <v>#REF!</v>
          </cell>
          <cell r="AO32" t="e">
            <v>#REF!</v>
          </cell>
          <cell r="AP32" t="e">
            <v>#REF!</v>
          </cell>
        </row>
        <row r="33">
          <cell r="A33" t="str">
            <v>151-40</v>
          </cell>
          <cell r="B33">
            <v>0</v>
          </cell>
          <cell r="C33">
            <v>1</v>
          </cell>
          <cell r="D33">
            <v>0</v>
          </cell>
          <cell r="E33">
            <v>0</v>
          </cell>
          <cell r="F33">
            <v>0</v>
          </cell>
          <cell r="G33">
            <v>1880792.7827649696</v>
          </cell>
          <cell r="H33">
            <v>96206.679238986952</v>
          </cell>
          <cell r="I33">
            <v>0</v>
          </cell>
          <cell r="J33">
            <v>0</v>
          </cell>
          <cell r="K33">
            <v>0</v>
          </cell>
          <cell r="L33">
            <v>0</v>
          </cell>
          <cell r="M33">
            <v>0</v>
          </cell>
          <cell r="N33">
            <v>1976999.4620039565</v>
          </cell>
          <cell r="O33">
            <v>0</v>
          </cell>
          <cell r="P33">
            <v>0</v>
          </cell>
          <cell r="Q33">
            <v>0</v>
          </cell>
          <cell r="R33">
            <v>0</v>
          </cell>
          <cell r="S33">
            <v>0</v>
          </cell>
          <cell r="T33">
            <v>0</v>
          </cell>
          <cell r="U33">
            <v>0</v>
          </cell>
          <cell r="V33">
            <v>0</v>
          </cell>
          <cell r="W33">
            <v>-1976999.4620039565</v>
          </cell>
          <cell r="X33">
            <v>0</v>
          </cell>
          <cell r="Y33">
            <v>0</v>
          </cell>
          <cell r="Z33">
            <v>0</v>
          </cell>
          <cell r="AA33">
            <v>0</v>
          </cell>
          <cell r="AB33">
            <v>0</v>
          </cell>
          <cell r="AC33">
            <v>0</v>
          </cell>
          <cell r="AD33">
            <v>0</v>
          </cell>
          <cell r="AE33">
            <v>0</v>
          </cell>
          <cell r="AF33">
            <v>0</v>
          </cell>
          <cell r="AG33">
            <v>0</v>
          </cell>
          <cell r="AH33">
            <v>0</v>
          </cell>
          <cell r="AI33">
            <v>0</v>
          </cell>
          <cell r="AJ33">
            <v>0</v>
          </cell>
          <cell r="AK33">
            <v>1976999.4620039565</v>
          </cell>
          <cell r="AL33">
            <v>0</v>
          </cell>
          <cell r="AM33">
            <v>-1976999.4620039565</v>
          </cell>
          <cell r="AN33">
            <v>0</v>
          </cell>
          <cell r="AO33">
            <v>0</v>
          </cell>
          <cell r="AP33" t="e">
            <v>#REF!</v>
          </cell>
        </row>
        <row r="34">
          <cell r="A34" t="str">
            <v>151-40</v>
          </cell>
          <cell r="B34">
            <v>15.62</v>
          </cell>
          <cell r="C34">
            <v>1</v>
          </cell>
          <cell r="D34">
            <v>15.62</v>
          </cell>
          <cell r="E34">
            <v>2933.7848911651731</v>
          </cell>
          <cell r="F34">
            <v>45825.72</v>
          </cell>
          <cell r="G34">
            <v>0</v>
          </cell>
          <cell r="H34">
            <v>0</v>
          </cell>
          <cell r="I34" t="e">
            <v>#REF!</v>
          </cell>
          <cell r="J34" t="e">
            <v>#REF!</v>
          </cell>
          <cell r="K34" t="e">
            <v>#REF!</v>
          </cell>
          <cell r="L34" t="e">
            <v>#REF!</v>
          </cell>
          <cell r="M34" t="e">
            <v>#REF!</v>
          </cell>
          <cell r="N34" t="e">
            <v>#REF!</v>
          </cell>
          <cell r="O34">
            <v>0</v>
          </cell>
          <cell r="P34">
            <v>0</v>
          </cell>
          <cell r="Q34" t="e">
            <v>#REF!</v>
          </cell>
          <cell r="R34" t="e">
            <v>#REF!</v>
          </cell>
          <cell r="S34" t="e">
            <v>#REF!</v>
          </cell>
          <cell r="T34" t="e">
            <v>#REF!</v>
          </cell>
          <cell r="U34" t="e">
            <v>#REF!</v>
          </cell>
          <cell r="V34" t="e">
            <v>#REF!</v>
          </cell>
          <cell r="W34" t="e">
            <v>#REF!</v>
          </cell>
          <cell r="X34" t="e">
            <v>#REF!</v>
          </cell>
          <cell r="Y34" t="e">
            <v>#REF!</v>
          </cell>
          <cell r="Z34" t="e">
            <v>#REF!</v>
          </cell>
          <cell r="AA34" t="e">
            <v>#REF!</v>
          </cell>
          <cell r="AB34" t="e">
            <v>#REF!</v>
          </cell>
          <cell r="AC34" t="e">
            <v>#REF!</v>
          </cell>
          <cell r="AD34" t="e">
            <v>#REF!</v>
          </cell>
          <cell r="AE34" t="e">
            <v>#REF!</v>
          </cell>
          <cell r="AF34" t="e">
            <v>#REF!</v>
          </cell>
          <cell r="AG34" t="e">
            <v>#REF!</v>
          </cell>
          <cell r="AH34" t="e">
            <v>#REF!</v>
          </cell>
          <cell r="AI34" t="e">
            <v>#REF!</v>
          </cell>
          <cell r="AJ34" t="e">
            <v>#REF!</v>
          </cell>
          <cell r="AK34" t="e">
            <v>#REF!</v>
          </cell>
          <cell r="AL34" t="e">
            <v>#REF!</v>
          </cell>
          <cell r="AM34" t="e">
            <v>#REF!</v>
          </cell>
          <cell r="AN34" t="e">
            <v>#REF!</v>
          </cell>
          <cell r="AO34" t="e">
            <v>#REF!</v>
          </cell>
          <cell r="AP34" t="e">
            <v>#REF!</v>
          </cell>
        </row>
        <row r="35">
          <cell r="A35" t="str">
            <v>151-40</v>
          </cell>
          <cell r="B35">
            <v>30.5</v>
          </cell>
          <cell r="C35">
            <v>1</v>
          </cell>
          <cell r="D35">
            <v>30.5</v>
          </cell>
          <cell r="E35">
            <v>2914.6990163934424</v>
          </cell>
          <cell r="F35">
            <v>88898.319999999992</v>
          </cell>
          <cell r="G35">
            <v>36647.904054054052</v>
          </cell>
          <cell r="H35">
            <v>1061.8355855855857</v>
          </cell>
          <cell r="I35" t="e">
            <v>#REF!</v>
          </cell>
          <cell r="J35" t="e">
            <v>#REF!</v>
          </cell>
          <cell r="K35" t="e">
            <v>#REF!</v>
          </cell>
          <cell r="L35" t="e">
            <v>#REF!</v>
          </cell>
          <cell r="M35" t="e">
            <v>#REF!</v>
          </cell>
          <cell r="N35" t="e">
            <v>#REF!</v>
          </cell>
          <cell r="O35">
            <v>1117761.0736486486</v>
          </cell>
          <cell r="P35">
            <v>32385.985360360362</v>
          </cell>
          <cell r="Q35" t="e">
            <v>#REF!</v>
          </cell>
          <cell r="R35" t="e">
            <v>#REF!</v>
          </cell>
          <cell r="S35" t="e">
            <v>#REF!</v>
          </cell>
          <cell r="T35" t="e">
            <v>#REF!</v>
          </cell>
          <cell r="U35" t="e">
            <v>#REF!</v>
          </cell>
          <cell r="V35" t="e">
            <v>#REF!</v>
          </cell>
          <cell r="W35" t="e">
            <v>#REF!</v>
          </cell>
          <cell r="X35" t="e">
            <v>#REF!</v>
          </cell>
          <cell r="Y35" t="e">
            <v>#REF!</v>
          </cell>
          <cell r="Z35" t="e">
            <v>#REF!</v>
          </cell>
          <cell r="AA35" t="e">
            <v>#REF!</v>
          </cell>
          <cell r="AB35" t="e">
            <v>#REF!</v>
          </cell>
          <cell r="AC35" t="e">
            <v>#REF!</v>
          </cell>
          <cell r="AD35" t="e">
            <v>#REF!</v>
          </cell>
          <cell r="AE35" t="e">
            <v>#REF!</v>
          </cell>
          <cell r="AF35" t="e">
            <v>#REF!</v>
          </cell>
          <cell r="AG35" t="e">
            <v>#REF!</v>
          </cell>
          <cell r="AH35" t="e">
            <v>#REF!</v>
          </cell>
          <cell r="AI35" t="e">
            <v>#REF!</v>
          </cell>
          <cell r="AJ35" t="e">
            <v>#REF!</v>
          </cell>
          <cell r="AK35" t="e">
            <v>#REF!</v>
          </cell>
          <cell r="AL35" t="e">
            <v>#REF!</v>
          </cell>
          <cell r="AM35" t="e">
            <v>#REF!</v>
          </cell>
          <cell r="AN35" t="e">
            <v>#REF!</v>
          </cell>
          <cell r="AO35" t="e">
            <v>#REF!</v>
          </cell>
          <cell r="AP35" t="e">
            <v>#REF!</v>
          </cell>
        </row>
        <row r="36">
          <cell r="A36" t="str">
            <v>151-40</v>
          </cell>
          <cell r="B36">
            <v>5.92</v>
          </cell>
          <cell r="C36">
            <v>1</v>
          </cell>
          <cell r="D36">
            <v>5.92</v>
          </cell>
          <cell r="E36">
            <v>2881.7871621621621</v>
          </cell>
          <cell r="F36">
            <v>17060.18</v>
          </cell>
          <cell r="G36">
            <v>35395.570833333331</v>
          </cell>
          <cell r="H36">
            <v>1033.5096666666666</v>
          </cell>
          <cell r="I36" t="e">
            <v>#REF!</v>
          </cell>
          <cell r="J36" t="e">
            <v>#REF!</v>
          </cell>
          <cell r="K36" t="e">
            <v>#REF!</v>
          </cell>
          <cell r="L36" t="e">
            <v>#REF!</v>
          </cell>
          <cell r="M36" t="e">
            <v>#REF!</v>
          </cell>
          <cell r="N36" t="e">
            <v>#REF!</v>
          </cell>
          <cell r="O36">
            <v>209541.77933333331</v>
          </cell>
          <cell r="P36">
            <v>6118.3772266666665</v>
          </cell>
          <cell r="Q36" t="e">
            <v>#REF!</v>
          </cell>
          <cell r="R36" t="e">
            <v>#REF!</v>
          </cell>
          <cell r="S36" t="e">
            <v>#REF!</v>
          </cell>
          <cell r="T36" t="e">
            <v>#REF!</v>
          </cell>
          <cell r="U36" t="e">
            <v>#REF!</v>
          </cell>
          <cell r="V36" t="e">
            <v>#REF!</v>
          </cell>
          <cell r="W36" t="e">
            <v>#REF!</v>
          </cell>
          <cell r="X36" t="e">
            <v>#REF!</v>
          </cell>
          <cell r="Y36" t="e">
            <v>#REF!</v>
          </cell>
          <cell r="Z36" t="e">
            <v>#REF!</v>
          </cell>
          <cell r="AA36" t="e">
            <v>#REF!</v>
          </cell>
          <cell r="AB36" t="e">
            <v>#REF!</v>
          </cell>
          <cell r="AC36" t="e">
            <v>#REF!</v>
          </cell>
          <cell r="AD36" t="e">
            <v>#REF!</v>
          </cell>
          <cell r="AE36" t="e">
            <v>#REF!</v>
          </cell>
          <cell r="AF36" t="e">
            <v>#REF!</v>
          </cell>
          <cell r="AG36" t="e">
            <v>#REF!</v>
          </cell>
          <cell r="AH36" t="e">
            <v>#REF!</v>
          </cell>
          <cell r="AI36" t="e">
            <v>#REF!</v>
          </cell>
          <cell r="AJ36" t="e">
            <v>#REF!</v>
          </cell>
          <cell r="AK36" t="e">
            <v>#REF!</v>
          </cell>
          <cell r="AL36" t="e">
            <v>#REF!</v>
          </cell>
          <cell r="AM36" t="e">
            <v>#REF!</v>
          </cell>
          <cell r="AN36" t="e">
            <v>#REF!</v>
          </cell>
          <cell r="AO36" t="e">
            <v>#REF!</v>
          </cell>
          <cell r="AP36" t="e">
            <v>#REF!</v>
          </cell>
        </row>
        <row r="37">
          <cell r="A37" t="str">
            <v>151-42</v>
          </cell>
          <cell r="B37">
            <v>0</v>
          </cell>
          <cell r="C37">
            <v>1</v>
          </cell>
          <cell r="D37">
            <v>0</v>
          </cell>
          <cell r="E37">
            <v>0</v>
          </cell>
          <cell r="F37">
            <v>0</v>
          </cell>
          <cell r="G37">
            <v>81918.782446808516</v>
          </cell>
          <cell r="H37">
            <v>2403.9909175531911</v>
          </cell>
          <cell r="I37">
            <v>0</v>
          </cell>
          <cell r="J37">
            <v>0</v>
          </cell>
          <cell r="K37">
            <v>0</v>
          </cell>
          <cell r="L37">
            <v>0</v>
          </cell>
          <cell r="M37">
            <v>0</v>
          </cell>
          <cell r="N37">
            <v>84322.77336436171</v>
          </cell>
          <cell r="O37">
            <v>0</v>
          </cell>
          <cell r="P37">
            <v>0</v>
          </cell>
          <cell r="Q37">
            <v>0</v>
          </cell>
          <cell r="R37">
            <v>0</v>
          </cell>
          <cell r="S37">
            <v>0</v>
          </cell>
          <cell r="T37">
            <v>0</v>
          </cell>
          <cell r="U37">
            <v>0</v>
          </cell>
          <cell r="V37">
            <v>0</v>
          </cell>
          <cell r="W37">
            <v>-84322.77336436171</v>
          </cell>
          <cell r="X37">
            <v>0</v>
          </cell>
          <cell r="Y37">
            <v>0</v>
          </cell>
          <cell r="Z37">
            <v>0</v>
          </cell>
          <cell r="AA37">
            <v>0</v>
          </cell>
          <cell r="AB37">
            <v>0</v>
          </cell>
          <cell r="AC37">
            <v>0</v>
          </cell>
          <cell r="AD37">
            <v>0</v>
          </cell>
          <cell r="AE37">
            <v>0</v>
          </cell>
          <cell r="AF37">
            <v>0</v>
          </cell>
          <cell r="AG37">
            <v>0</v>
          </cell>
          <cell r="AH37">
            <v>0</v>
          </cell>
          <cell r="AI37">
            <v>0</v>
          </cell>
          <cell r="AJ37">
            <v>0</v>
          </cell>
          <cell r="AK37">
            <v>84322.77336436171</v>
          </cell>
          <cell r="AL37">
            <v>0</v>
          </cell>
          <cell r="AM37">
            <v>-84322.77336436171</v>
          </cell>
          <cell r="AN37">
            <v>0</v>
          </cell>
          <cell r="AO37">
            <v>0</v>
          </cell>
          <cell r="AP37" t="e">
            <v>#REF!</v>
          </cell>
        </row>
        <row r="38">
          <cell r="A38">
            <v>852</v>
          </cell>
          <cell r="B38">
            <v>0</v>
          </cell>
          <cell r="C38">
            <v>1</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t="e">
            <v>#REF!</v>
          </cell>
        </row>
        <row r="39">
          <cell r="A39" t="e">
            <v>#REF!</v>
          </cell>
          <cell r="B39" t="e">
            <v>#REF!</v>
          </cell>
          <cell r="C39">
            <v>1</v>
          </cell>
          <cell r="D39" t="e">
            <v>#REF!</v>
          </cell>
          <cell r="E39" t="e">
            <v>#REF!</v>
          </cell>
          <cell r="F39" t="e">
            <v>#REF!</v>
          </cell>
          <cell r="G39">
            <v>40597.218288288284</v>
          </cell>
          <cell r="H39">
            <v>1105.7271351351351</v>
          </cell>
          <cell r="I39" t="e">
            <v>#REF!</v>
          </cell>
          <cell r="J39" t="e">
            <v>#REF!</v>
          </cell>
          <cell r="K39" t="e">
            <v>#REF!</v>
          </cell>
          <cell r="L39" t="e">
            <v>#REF!</v>
          </cell>
          <cell r="M39" t="e">
            <v>#REF!</v>
          </cell>
          <cell r="N39" t="e">
            <v>#REF!</v>
          </cell>
          <cell r="O39" t="e">
            <v>#REF!</v>
          </cell>
          <cell r="P39" t="e">
            <v>#REF!</v>
          </cell>
          <cell r="Q39" t="e">
            <v>#REF!</v>
          </cell>
          <cell r="R39" t="e">
            <v>#REF!</v>
          </cell>
          <cell r="S39" t="e">
            <v>#REF!</v>
          </cell>
          <cell r="T39" t="e">
            <v>#REF!</v>
          </cell>
          <cell r="U39" t="e">
            <v>#REF!</v>
          </cell>
          <cell r="V39" t="e">
            <v>#REF!</v>
          </cell>
          <cell r="W39" t="e">
            <v>#REF!</v>
          </cell>
          <cell r="X39" t="e">
            <v>#REF!</v>
          </cell>
          <cell r="Y39" t="e">
            <v>#REF!</v>
          </cell>
          <cell r="Z39" t="e">
            <v>#REF!</v>
          </cell>
          <cell r="AA39" t="e">
            <v>#REF!</v>
          </cell>
          <cell r="AB39" t="e">
            <v>#REF!</v>
          </cell>
          <cell r="AC39" t="e">
            <v>#REF!</v>
          </cell>
          <cell r="AD39" t="e">
            <v>#REF!</v>
          </cell>
          <cell r="AE39" t="e">
            <v>#REF!</v>
          </cell>
          <cell r="AF39" t="e">
            <v>#REF!</v>
          </cell>
          <cell r="AG39" t="e">
            <v>#REF!</v>
          </cell>
          <cell r="AH39" t="e">
            <v>#REF!</v>
          </cell>
          <cell r="AI39" t="e">
            <v>#REF!</v>
          </cell>
          <cell r="AJ39" t="e">
            <v>#REF!</v>
          </cell>
          <cell r="AK39" t="e">
            <v>#REF!</v>
          </cell>
          <cell r="AL39" t="e">
            <v>#REF!</v>
          </cell>
          <cell r="AM39" t="e">
            <v>#REF!</v>
          </cell>
          <cell r="AN39" t="e">
            <v>#REF!</v>
          </cell>
          <cell r="AO39" t="e">
            <v>#REF!</v>
          </cell>
          <cell r="AP39" t="e">
            <v>#REF!</v>
          </cell>
        </row>
        <row r="40">
          <cell r="I40">
            <v>0</v>
          </cell>
          <cell r="J40">
            <v>0</v>
          </cell>
          <cell r="K40">
            <v>0</v>
          </cell>
          <cell r="L40">
            <v>0</v>
          </cell>
          <cell r="M40">
            <v>0</v>
          </cell>
          <cell r="N40">
            <v>0</v>
          </cell>
          <cell r="O40">
            <v>0</v>
          </cell>
          <cell r="P40">
            <v>0</v>
          </cell>
          <cell r="Q40">
            <v>0</v>
          </cell>
        </row>
        <row r="41">
          <cell r="A41" t="str">
            <v>549F</v>
          </cell>
          <cell r="B41">
            <v>178.48</v>
          </cell>
          <cell r="C41">
            <v>1</v>
          </cell>
          <cell r="D41">
            <v>178.48</v>
          </cell>
          <cell r="E41">
            <v>1345.214533841327</v>
          </cell>
          <cell r="F41">
            <v>240093.89</v>
          </cell>
          <cell r="G41">
            <v>15159.3628125</v>
          </cell>
          <cell r="H41">
            <v>419.07125000000002</v>
          </cell>
          <cell r="I41" t="e">
            <v>#REF!</v>
          </cell>
          <cell r="J41" t="e">
            <v>#REF!</v>
          </cell>
          <cell r="K41" t="e">
            <v>#REF!</v>
          </cell>
          <cell r="L41" t="e">
            <v>#REF!</v>
          </cell>
          <cell r="M41" t="e">
            <v>#REF!</v>
          </cell>
          <cell r="N41" t="e">
            <v>#REF!</v>
          </cell>
          <cell r="O41">
            <v>2705643.0747749996</v>
          </cell>
          <cell r="P41">
            <v>74795.8367</v>
          </cell>
          <cell r="Q41" t="e">
            <v>#REF!</v>
          </cell>
          <cell r="R41" t="e">
            <v>#REF!</v>
          </cell>
          <cell r="S41" t="e">
            <v>#REF!</v>
          </cell>
          <cell r="T41" t="e">
            <v>#REF!</v>
          </cell>
          <cell r="U41" t="e">
            <v>#REF!</v>
          </cell>
          <cell r="V41" t="e">
            <v>#REF!</v>
          </cell>
          <cell r="W41" t="e">
            <v>#REF!</v>
          </cell>
          <cell r="X41" t="e">
            <v>#REF!</v>
          </cell>
          <cell r="Y41" t="e">
            <v>#REF!</v>
          </cell>
          <cell r="Z41" t="e">
            <v>#REF!</v>
          </cell>
          <cell r="AA41" t="e">
            <v>#REF!</v>
          </cell>
          <cell r="AB41" t="e">
            <v>#REF!</v>
          </cell>
          <cell r="AC41" t="e">
            <v>#REF!</v>
          </cell>
          <cell r="AD41" t="e">
            <v>#REF!</v>
          </cell>
          <cell r="AE41" t="e">
            <v>#REF!</v>
          </cell>
          <cell r="AF41" t="e">
            <v>#REF!</v>
          </cell>
          <cell r="AG41" t="e">
            <v>#REF!</v>
          </cell>
          <cell r="AH41" t="e">
            <v>#REF!</v>
          </cell>
          <cell r="AI41" t="e">
            <v>#REF!</v>
          </cell>
          <cell r="AJ41" t="e">
            <v>#REF!</v>
          </cell>
          <cell r="AK41" t="e">
            <v>#REF!</v>
          </cell>
          <cell r="AL41" t="e">
            <v>#REF!</v>
          </cell>
          <cell r="AM41" t="e">
            <v>#REF!</v>
          </cell>
          <cell r="AN41" t="e">
            <v>#REF!</v>
          </cell>
          <cell r="AO41" t="e">
            <v>#REF!</v>
          </cell>
          <cell r="AP41" t="e">
            <v>#REF!</v>
          </cell>
        </row>
        <row r="42">
          <cell r="A42" t="str">
            <v>549LF</v>
          </cell>
          <cell r="B42">
            <v>30</v>
          </cell>
          <cell r="C42">
            <v>1</v>
          </cell>
          <cell r="D42">
            <v>30</v>
          </cell>
          <cell r="E42">
            <v>1418.6983333333333</v>
          </cell>
          <cell r="F42">
            <v>42560.95</v>
          </cell>
          <cell r="G42">
            <v>0</v>
          </cell>
          <cell r="H42">
            <v>0</v>
          </cell>
          <cell r="I42" t="e">
            <v>#REF!</v>
          </cell>
          <cell r="J42" t="e">
            <v>#REF!</v>
          </cell>
          <cell r="K42" t="e">
            <v>#REF!</v>
          </cell>
          <cell r="L42" t="e">
            <v>#REF!</v>
          </cell>
          <cell r="M42" t="e">
            <v>#REF!</v>
          </cell>
          <cell r="N42" t="e">
            <v>#REF!</v>
          </cell>
          <cell r="O42">
            <v>0</v>
          </cell>
          <cell r="P42">
            <v>0</v>
          </cell>
          <cell r="Q42" t="e">
            <v>#REF!</v>
          </cell>
          <cell r="R42" t="e">
            <v>#REF!</v>
          </cell>
          <cell r="S42" t="e">
            <v>#REF!</v>
          </cell>
          <cell r="T42" t="e">
            <v>#REF!</v>
          </cell>
          <cell r="U42" t="e">
            <v>#REF!</v>
          </cell>
          <cell r="V42" t="e">
            <v>#REF!</v>
          </cell>
          <cell r="W42" t="e">
            <v>#REF!</v>
          </cell>
          <cell r="X42" t="e">
            <v>#REF!</v>
          </cell>
          <cell r="Y42" t="e">
            <v>#REF!</v>
          </cell>
          <cell r="Z42" t="e">
            <v>#REF!</v>
          </cell>
          <cell r="AA42" t="e">
            <v>#REF!</v>
          </cell>
          <cell r="AB42" t="e">
            <v>#REF!</v>
          </cell>
          <cell r="AC42" t="e">
            <v>#REF!</v>
          </cell>
          <cell r="AD42" t="e">
            <v>#REF!</v>
          </cell>
          <cell r="AE42" t="e">
            <v>#REF!</v>
          </cell>
          <cell r="AF42" t="e">
            <v>#REF!</v>
          </cell>
          <cell r="AG42" t="e">
            <v>#REF!</v>
          </cell>
          <cell r="AH42" t="e">
            <v>#REF!</v>
          </cell>
          <cell r="AI42" t="e">
            <v>#REF!</v>
          </cell>
          <cell r="AJ42" t="e">
            <v>#REF!</v>
          </cell>
          <cell r="AK42" t="e">
            <v>#REF!</v>
          </cell>
          <cell r="AL42" t="e">
            <v>#REF!</v>
          </cell>
          <cell r="AM42" t="e">
            <v>#REF!</v>
          </cell>
          <cell r="AN42" t="e">
            <v>#REF!</v>
          </cell>
          <cell r="AO42" t="e">
            <v>#REF!</v>
          </cell>
          <cell r="AP42" t="e">
            <v>#REF!</v>
          </cell>
        </row>
        <row r="43">
          <cell r="A43">
            <v>543</v>
          </cell>
          <cell r="B43">
            <v>0</v>
          </cell>
          <cell r="C43">
            <v>1</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t="e">
            <v>#REF!</v>
          </cell>
        </row>
        <row r="44">
          <cell r="A44">
            <v>544</v>
          </cell>
          <cell r="B44">
            <v>20.04</v>
          </cell>
          <cell r="C44">
            <v>1</v>
          </cell>
          <cell r="D44">
            <v>20.04</v>
          </cell>
          <cell r="E44">
            <v>1463.8383233532934</v>
          </cell>
          <cell r="F44">
            <v>29335.32</v>
          </cell>
          <cell r="G44">
            <v>0</v>
          </cell>
          <cell r="H44">
            <v>0</v>
          </cell>
          <cell r="I44" t="e">
            <v>#REF!</v>
          </cell>
          <cell r="J44" t="e">
            <v>#REF!</v>
          </cell>
          <cell r="K44" t="e">
            <v>#REF!</v>
          </cell>
          <cell r="L44" t="e">
            <v>#REF!</v>
          </cell>
          <cell r="M44" t="e">
            <v>#REF!</v>
          </cell>
          <cell r="N44" t="e">
            <v>#REF!</v>
          </cell>
          <cell r="O44">
            <v>0</v>
          </cell>
          <cell r="P44">
            <v>0</v>
          </cell>
          <cell r="Q44" t="e">
            <v>#REF!</v>
          </cell>
          <cell r="R44" t="e">
            <v>#REF!</v>
          </cell>
          <cell r="S44" t="e">
            <v>#REF!</v>
          </cell>
          <cell r="T44" t="e">
            <v>#REF!</v>
          </cell>
          <cell r="U44" t="e">
            <v>#REF!</v>
          </cell>
          <cell r="V44" t="e">
            <v>#REF!</v>
          </cell>
          <cell r="W44" t="e">
            <v>#REF!</v>
          </cell>
          <cell r="X44" t="e">
            <v>#REF!</v>
          </cell>
          <cell r="Y44" t="e">
            <v>#REF!</v>
          </cell>
          <cell r="Z44" t="e">
            <v>#REF!</v>
          </cell>
          <cell r="AA44" t="e">
            <v>#REF!</v>
          </cell>
          <cell r="AB44" t="e">
            <v>#REF!</v>
          </cell>
          <cell r="AC44" t="e">
            <v>#REF!</v>
          </cell>
          <cell r="AD44" t="e">
            <v>#REF!</v>
          </cell>
          <cell r="AE44" t="e">
            <v>#REF!</v>
          </cell>
          <cell r="AF44" t="e">
            <v>#REF!</v>
          </cell>
          <cell r="AG44" t="e">
            <v>#REF!</v>
          </cell>
          <cell r="AH44" t="e">
            <v>#REF!</v>
          </cell>
          <cell r="AI44" t="e">
            <v>#REF!</v>
          </cell>
          <cell r="AJ44" t="e">
            <v>#REF!</v>
          </cell>
          <cell r="AK44" t="e">
            <v>#REF!</v>
          </cell>
          <cell r="AL44" t="e">
            <v>#REF!</v>
          </cell>
          <cell r="AM44" t="e">
            <v>#REF!</v>
          </cell>
          <cell r="AN44" t="e">
            <v>#REF!</v>
          </cell>
          <cell r="AO44" t="e">
            <v>#REF!</v>
          </cell>
          <cell r="AP44" t="e">
            <v>#REF!</v>
          </cell>
        </row>
        <row r="45">
          <cell r="A45" t="str">
            <v>547M</v>
          </cell>
          <cell r="B45">
            <v>16.96</v>
          </cell>
          <cell r="C45">
            <v>1</v>
          </cell>
          <cell r="D45">
            <v>16.96</v>
          </cell>
          <cell r="E45">
            <v>1444.4811320754718</v>
          </cell>
          <cell r="F45">
            <v>24498.400000000001</v>
          </cell>
          <cell r="G45">
            <v>0</v>
          </cell>
          <cell r="H45">
            <v>0</v>
          </cell>
          <cell r="I45" t="e">
            <v>#REF!</v>
          </cell>
          <cell r="J45" t="e">
            <v>#REF!</v>
          </cell>
          <cell r="K45" t="e">
            <v>#REF!</v>
          </cell>
          <cell r="L45" t="e">
            <v>#REF!</v>
          </cell>
          <cell r="M45" t="e">
            <v>#REF!</v>
          </cell>
          <cell r="N45" t="e">
            <v>#REF!</v>
          </cell>
          <cell r="O45">
            <v>0</v>
          </cell>
          <cell r="P45">
            <v>0</v>
          </cell>
          <cell r="Q45" t="e">
            <v>#REF!</v>
          </cell>
          <cell r="R45" t="e">
            <v>#REF!</v>
          </cell>
          <cell r="S45" t="e">
            <v>#REF!</v>
          </cell>
          <cell r="T45" t="e">
            <v>#REF!</v>
          </cell>
          <cell r="U45" t="e">
            <v>#REF!</v>
          </cell>
          <cell r="V45" t="e">
            <v>#REF!</v>
          </cell>
          <cell r="W45" t="e">
            <v>#REF!</v>
          </cell>
          <cell r="X45" t="e">
            <v>#REF!</v>
          </cell>
          <cell r="Y45" t="e">
            <v>#REF!</v>
          </cell>
          <cell r="Z45" t="e">
            <v>#REF!</v>
          </cell>
          <cell r="AA45" t="e">
            <v>#REF!</v>
          </cell>
          <cell r="AB45" t="e">
            <v>#REF!</v>
          </cell>
          <cell r="AC45" t="e">
            <v>#REF!</v>
          </cell>
          <cell r="AD45" t="e">
            <v>#REF!</v>
          </cell>
          <cell r="AE45" t="e">
            <v>#REF!</v>
          </cell>
          <cell r="AF45" t="e">
            <v>#REF!</v>
          </cell>
          <cell r="AG45" t="e">
            <v>#REF!</v>
          </cell>
          <cell r="AH45" t="e">
            <v>#REF!</v>
          </cell>
          <cell r="AI45" t="e">
            <v>#REF!</v>
          </cell>
          <cell r="AJ45" t="e">
            <v>#REF!</v>
          </cell>
          <cell r="AK45" t="e">
            <v>#REF!</v>
          </cell>
          <cell r="AL45" t="e">
            <v>#REF!</v>
          </cell>
          <cell r="AM45" t="e">
            <v>#REF!</v>
          </cell>
          <cell r="AN45" t="e">
            <v>#REF!</v>
          </cell>
          <cell r="AO45" t="e">
            <v>#REF!</v>
          </cell>
          <cell r="AP45" t="e">
            <v>#REF!</v>
          </cell>
        </row>
        <row r="46">
          <cell r="A46">
            <v>547</v>
          </cell>
          <cell r="B46">
            <v>0</v>
          </cell>
          <cell r="C46">
            <v>1</v>
          </cell>
          <cell r="D46">
            <v>0</v>
          </cell>
          <cell r="E46">
            <v>0</v>
          </cell>
          <cell r="F46">
            <v>0</v>
          </cell>
          <cell r="G46" t="e">
            <v>#REF!</v>
          </cell>
          <cell r="H46" t="e">
            <v>#REF!</v>
          </cell>
          <cell r="I46">
            <v>0</v>
          </cell>
          <cell r="J46">
            <v>0</v>
          </cell>
          <cell r="K46">
            <v>0</v>
          </cell>
          <cell r="L46">
            <v>0</v>
          </cell>
          <cell r="M46">
            <v>0</v>
          </cell>
          <cell r="N46" t="e">
            <v>#REF!</v>
          </cell>
          <cell r="O46" t="e">
            <v>#REF!</v>
          </cell>
          <cell r="P46" t="e">
            <v>#REF!</v>
          </cell>
          <cell r="Q46">
            <v>0</v>
          </cell>
          <cell r="R46">
            <v>0</v>
          </cell>
          <cell r="S46">
            <v>0</v>
          </cell>
          <cell r="T46">
            <v>0</v>
          </cell>
          <cell r="U46">
            <v>0</v>
          </cell>
          <cell r="V46" t="e">
            <v>#REF!</v>
          </cell>
          <cell r="W46" t="e">
            <v>#REF!</v>
          </cell>
          <cell r="X46" t="e">
            <v>#REF!</v>
          </cell>
          <cell r="Y46">
            <v>0</v>
          </cell>
          <cell r="Z46">
            <v>0</v>
          </cell>
          <cell r="AA46">
            <v>0</v>
          </cell>
          <cell r="AB46">
            <v>0</v>
          </cell>
          <cell r="AC46">
            <v>0</v>
          </cell>
          <cell r="AD46">
            <v>0</v>
          </cell>
          <cell r="AE46">
            <v>0</v>
          </cell>
          <cell r="AF46">
            <v>0</v>
          </cell>
          <cell r="AG46">
            <v>0</v>
          </cell>
          <cell r="AH46">
            <v>0</v>
          </cell>
          <cell r="AI46">
            <v>0</v>
          </cell>
          <cell r="AJ46">
            <v>0</v>
          </cell>
          <cell r="AK46" t="e">
            <v>#REF!</v>
          </cell>
          <cell r="AL46" t="e">
            <v>#REF!</v>
          </cell>
          <cell r="AM46" t="e">
            <v>#REF!</v>
          </cell>
          <cell r="AN46" t="e">
            <v>#REF!</v>
          </cell>
          <cell r="AO46">
            <v>0</v>
          </cell>
          <cell r="AP46" t="e">
            <v>#REF!</v>
          </cell>
        </row>
        <row r="47">
          <cell r="A47">
            <v>548</v>
          </cell>
          <cell r="B47">
            <v>15.96</v>
          </cell>
          <cell r="C47">
            <v>1</v>
          </cell>
          <cell r="D47">
            <v>15.96</v>
          </cell>
          <cell r="E47">
            <v>1758.2030075187968</v>
          </cell>
          <cell r="F47">
            <v>28060.92</v>
          </cell>
          <cell r="G47">
            <v>11539.146550522648</v>
          </cell>
          <cell r="H47">
            <v>414.82536585365852</v>
          </cell>
          <cell r="I47" t="e">
            <v>#REF!</v>
          </cell>
          <cell r="J47" t="e">
            <v>#REF!</v>
          </cell>
          <cell r="K47" t="e">
            <v>#REF!</v>
          </cell>
          <cell r="L47" t="e">
            <v>#REF!</v>
          </cell>
          <cell r="M47" t="e">
            <v>#REF!</v>
          </cell>
          <cell r="N47" t="e">
            <v>#REF!</v>
          </cell>
          <cell r="O47">
            <v>184164.77894634148</v>
          </cell>
          <cell r="P47">
            <v>6620.6128390243903</v>
          </cell>
          <cell r="Q47" t="e">
            <v>#REF!</v>
          </cell>
          <cell r="R47" t="e">
            <v>#REF!</v>
          </cell>
          <cell r="S47" t="e">
            <v>#REF!</v>
          </cell>
          <cell r="T47" t="e">
            <v>#REF!</v>
          </cell>
          <cell r="U47" t="e">
            <v>#REF!</v>
          </cell>
          <cell r="V47" t="e">
            <v>#REF!</v>
          </cell>
          <cell r="W47" t="e">
            <v>#REF!</v>
          </cell>
          <cell r="X47" t="e">
            <v>#REF!</v>
          </cell>
          <cell r="Y47" t="e">
            <v>#REF!</v>
          </cell>
          <cell r="Z47" t="e">
            <v>#REF!</v>
          </cell>
          <cell r="AA47" t="e">
            <v>#REF!</v>
          </cell>
          <cell r="AB47" t="e">
            <v>#REF!</v>
          </cell>
          <cell r="AC47" t="e">
            <v>#REF!</v>
          </cell>
          <cell r="AD47" t="e">
            <v>#REF!</v>
          </cell>
          <cell r="AE47" t="e">
            <v>#REF!</v>
          </cell>
          <cell r="AF47" t="e">
            <v>#REF!</v>
          </cell>
          <cell r="AG47" t="e">
            <v>#REF!</v>
          </cell>
          <cell r="AH47" t="e">
            <v>#REF!</v>
          </cell>
          <cell r="AI47" t="e">
            <v>#REF!</v>
          </cell>
          <cell r="AJ47" t="e">
            <v>#REF!</v>
          </cell>
          <cell r="AK47" t="e">
            <v>#REF!</v>
          </cell>
          <cell r="AL47" t="e">
            <v>#REF!</v>
          </cell>
          <cell r="AM47" t="e">
            <v>#REF!</v>
          </cell>
          <cell r="AN47" t="e">
            <v>#REF!</v>
          </cell>
          <cell r="AO47" t="e">
            <v>#REF!</v>
          </cell>
          <cell r="AP47" t="e">
            <v>#REF!</v>
          </cell>
        </row>
        <row r="48">
          <cell r="A48">
            <v>549</v>
          </cell>
          <cell r="B48">
            <v>0</v>
          </cell>
          <cell r="C48">
            <v>1</v>
          </cell>
          <cell r="D48">
            <v>0</v>
          </cell>
          <cell r="E48">
            <v>0</v>
          </cell>
          <cell r="F48">
            <v>0</v>
          </cell>
          <cell r="G48">
            <v>399158.03434634337</v>
          </cell>
          <cell r="H48">
            <v>18415.953372489577</v>
          </cell>
          <cell r="I48">
            <v>0</v>
          </cell>
          <cell r="J48">
            <v>0</v>
          </cell>
          <cell r="K48">
            <v>0</v>
          </cell>
          <cell r="L48">
            <v>0</v>
          </cell>
          <cell r="M48">
            <v>0</v>
          </cell>
          <cell r="N48">
            <v>417573.98771883297</v>
          </cell>
          <cell r="O48">
            <v>0</v>
          </cell>
          <cell r="P48">
            <v>0</v>
          </cell>
          <cell r="Q48">
            <v>0</v>
          </cell>
          <cell r="R48">
            <v>0</v>
          </cell>
          <cell r="S48">
            <v>0</v>
          </cell>
          <cell r="T48">
            <v>0</v>
          </cell>
          <cell r="U48">
            <v>0</v>
          </cell>
          <cell r="V48">
            <v>0</v>
          </cell>
          <cell r="W48">
            <v>-417573.98771883297</v>
          </cell>
          <cell r="X48">
            <v>0</v>
          </cell>
          <cell r="Y48">
            <v>0</v>
          </cell>
          <cell r="Z48">
            <v>0</v>
          </cell>
          <cell r="AA48">
            <v>0</v>
          </cell>
          <cell r="AB48">
            <v>0</v>
          </cell>
          <cell r="AC48">
            <v>0</v>
          </cell>
          <cell r="AD48">
            <v>0</v>
          </cell>
          <cell r="AE48">
            <v>0</v>
          </cell>
          <cell r="AF48">
            <v>0</v>
          </cell>
          <cell r="AG48">
            <v>0</v>
          </cell>
          <cell r="AH48">
            <v>0</v>
          </cell>
          <cell r="AI48">
            <v>0</v>
          </cell>
          <cell r="AJ48">
            <v>0</v>
          </cell>
          <cell r="AK48">
            <v>417573.98771883297</v>
          </cell>
          <cell r="AL48">
            <v>0</v>
          </cell>
          <cell r="AM48">
            <v>-417573.98771883297</v>
          </cell>
          <cell r="AN48">
            <v>0</v>
          </cell>
          <cell r="AO48">
            <v>0</v>
          </cell>
          <cell r="AP48" t="e">
            <v>#REF!</v>
          </cell>
        </row>
        <row r="49">
          <cell r="A49" t="e">
            <v>#REF!</v>
          </cell>
          <cell r="B49" t="e">
            <v>#REF!</v>
          </cell>
          <cell r="C49">
            <v>1</v>
          </cell>
          <cell r="D49" t="e">
            <v>#REF!</v>
          </cell>
          <cell r="E49" t="e">
            <v>#REF!</v>
          </cell>
          <cell r="F49" t="e">
            <v>#REF!</v>
          </cell>
          <cell r="G49">
            <v>32556.578357461025</v>
          </cell>
          <cell r="H49">
            <v>1521.3324387527844</v>
          </cell>
          <cell r="I49" t="e">
            <v>#REF!</v>
          </cell>
          <cell r="J49" t="e">
            <v>#REF!</v>
          </cell>
          <cell r="K49" t="e">
            <v>#REF!</v>
          </cell>
          <cell r="L49" t="e">
            <v>#REF!</v>
          </cell>
          <cell r="M49" t="e">
            <v>#REF!</v>
          </cell>
          <cell r="N49" t="e">
            <v>#REF!</v>
          </cell>
          <cell r="O49" t="e">
            <v>#REF!</v>
          </cell>
          <cell r="P49" t="e">
            <v>#REF!</v>
          </cell>
          <cell r="Q49" t="e">
            <v>#REF!</v>
          </cell>
          <cell r="R49" t="e">
            <v>#REF!</v>
          </cell>
          <cell r="S49" t="e">
            <v>#REF!</v>
          </cell>
          <cell r="T49" t="e">
            <v>#REF!</v>
          </cell>
          <cell r="U49" t="e">
            <v>#REF!</v>
          </cell>
          <cell r="V49" t="e">
            <v>#REF!</v>
          </cell>
          <cell r="W49" t="e">
            <v>#REF!</v>
          </cell>
          <cell r="X49" t="e">
            <v>#REF!</v>
          </cell>
          <cell r="Y49" t="e">
            <v>#REF!</v>
          </cell>
          <cell r="Z49" t="e">
            <v>#REF!</v>
          </cell>
          <cell r="AA49" t="e">
            <v>#REF!</v>
          </cell>
          <cell r="AB49" t="e">
            <v>#REF!</v>
          </cell>
          <cell r="AC49" t="e">
            <v>#REF!</v>
          </cell>
          <cell r="AD49" t="e">
            <v>#REF!</v>
          </cell>
          <cell r="AE49" t="e">
            <v>#REF!</v>
          </cell>
          <cell r="AF49" t="e">
            <v>#REF!</v>
          </cell>
          <cell r="AG49" t="e">
            <v>#REF!</v>
          </cell>
          <cell r="AH49" t="e">
            <v>#REF!</v>
          </cell>
          <cell r="AI49" t="e">
            <v>#REF!</v>
          </cell>
          <cell r="AJ49" t="e">
            <v>#REF!</v>
          </cell>
          <cell r="AK49" t="e">
            <v>#REF!</v>
          </cell>
          <cell r="AL49" t="e">
            <v>#REF!</v>
          </cell>
          <cell r="AM49" t="e">
            <v>#REF!</v>
          </cell>
          <cell r="AN49" t="e">
            <v>#REF!</v>
          </cell>
          <cell r="AO49" t="e">
            <v>#REF!</v>
          </cell>
          <cell r="AP49" t="e">
            <v>#REF!</v>
          </cell>
        </row>
        <row r="50">
          <cell r="A50" t="e">
            <v>#REF!</v>
          </cell>
          <cell r="B50" t="e">
            <v>#REF!</v>
          </cell>
          <cell r="C50">
            <v>1</v>
          </cell>
          <cell r="D50" t="e">
            <v>#REF!</v>
          </cell>
          <cell r="E50" t="e">
            <v>#REF!</v>
          </cell>
          <cell r="F50" t="e">
            <v>#REF!</v>
          </cell>
          <cell r="G50">
            <v>36518.9602295082</v>
          </cell>
          <cell r="H50">
            <v>2162.3633114754098</v>
          </cell>
          <cell r="I50" t="e">
            <v>#REF!</v>
          </cell>
          <cell r="J50" t="e">
            <v>#REF!</v>
          </cell>
          <cell r="K50" t="e">
            <v>#REF!</v>
          </cell>
          <cell r="L50" t="e">
            <v>#REF!</v>
          </cell>
          <cell r="M50" t="e">
            <v>#REF!</v>
          </cell>
          <cell r="N50" t="e">
            <v>#REF!</v>
          </cell>
          <cell r="O50" t="e">
            <v>#REF!</v>
          </cell>
          <cell r="P50" t="e">
            <v>#REF!</v>
          </cell>
          <cell r="Q50" t="e">
            <v>#REF!</v>
          </cell>
          <cell r="R50" t="e">
            <v>#REF!</v>
          </cell>
          <cell r="S50" t="e">
            <v>#REF!</v>
          </cell>
          <cell r="T50" t="e">
            <v>#REF!</v>
          </cell>
          <cell r="U50" t="e">
            <v>#REF!</v>
          </cell>
          <cell r="V50" t="e">
            <v>#REF!</v>
          </cell>
          <cell r="W50" t="e">
            <v>#REF!</v>
          </cell>
          <cell r="X50" t="e">
            <v>#REF!</v>
          </cell>
          <cell r="Y50" t="e">
            <v>#REF!</v>
          </cell>
          <cell r="Z50" t="e">
            <v>#REF!</v>
          </cell>
          <cell r="AA50" t="e">
            <v>#REF!</v>
          </cell>
          <cell r="AB50" t="e">
            <v>#REF!</v>
          </cell>
          <cell r="AC50" t="e">
            <v>#REF!</v>
          </cell>
          <cell r="AD50" t="e">
            <v>#REF!</v>
          </cell>
          <cell r="AE50" t="e">
            <v>#REF!</v>
          </cell>
          <cell r="AF50" t="e">
            <v>#REF!</v>
          </cell>
          <cell r="AG50" t="e">
            <v>#REF!</v>
          </cell>
          <cell r="AH50" t="e">
            <v>#REF!</v>
          </cell>
          <cell r="AI50" t="e">
            <v>#REF!</v>
          </cell>
          <cell r="AJ50" t="e">
            <v>#REF!</v>
          </cell>
          <cell r="AK50" t="e">
            <v>#REF!</v>
          </cell>
          <cell r="AL50" t="e">
            <v>#REF!</v>
          </cell>
          <cell r="AM50" t="e">
            <v>#REF!</v>
          </cell>
          <cell r="AN50" t="e">
            <v>#REF!</v>
          </cell>
          <cell r="AO50" t="e">
            <v>#REF!</v>
          </cell>
          <cell r="AP50" t="e">
            <v>#REF!</v>
          </cell>
        </row>
        <row r="51">
          <cell r="A51" t="e">
            <v>#REF!</v>
          </cell>
          <cell r="B51" t="e">
            <v>#REF!</v>
          </cell>
          <cell r="C51">
            <v>1</v>
          </cell>
          <cell r="D51" t="e">
            <v>#REF!</v>
          </cell>
          <cell r="E51" t="e">
            <v>#REF!</v>
          </cell>
          <cell r="F51" t="e">
            <v>#REF!</v>
          </cell>
          <cell r="G51">
            <v>0</v>
          </cell>
          <cell r="H51">
            <v>0</v>
          </cell>
          <cell r="I51" t="e">
            <v>#REF!</v>
          </cell>
          <cell r="J51" t="e">
            <v>#REF!</v>
          </cell>
          <cell r="K51" t="e">
            <v>#REF!</v>
          </cell>
          <cell r="L51" t="e">
            <v>#REF!</v>
          </cell>
          <cell r="M51" t="e">
            <v>#REF!</v>
          </cell>
          <cell r="N51" t="e">
            <v>#REF!</v>
          </cell>
          <cell r="O51" t="e">
            <v>#REF!</v>
          </cell>
          <cell r="P51" t="e">
            <v>#REF!</v>
          </cell>
          <cell r="Q51" t="e">
            <v>#REF!</v>
          </cell>
          <cell r="R51" t="e">
            <v>#REF!</v>
          </cell>
          <cell r="S51" t="e">
            <v>#REF!</v>
          </cell>
          <cell r="T51" t="e">
            <v>#REF!</v>
          </cell>
          <cell r="U51" t="e">
            <v>#REF!</v>
          </cell>
          <cell r="V51" t="e">
            <v>#REF!</v>
          </cell>
          <cell r="W51" t="e">
            <v>#REF!</v>
          </cell>
          <cell r="X51" t="e">
            <v>#REF!</v>
          </cell>
          <cell r="Y51" t="e">
            <v>#REF!</v>
          </cell>
          <cell r="Z51" t="e">
            <v>#REF!</v>
          </cell>
          <cell r="AA51" t="e">
            <v>#REF!</v>
          </cell>
          <cell r="AB51" t="e">
            <v>#REF!</v>
          </cell>
          <cell r="AC51" t="e">
            <v>#REF!</v>
          </cell>
          <cell r="AD51" t="e">
            <v>#REF!</v>
          </cell>
          <cell r="AE51" t="e">
            <v>#REF!</v>
          </cell>
          <cell r="AF51" t="e">
            <v>#REF!</v>
          </cell>
          <cell r="AG51" t="e">
            <v>#REF!</v>
          </cell>
          <cell r="AH51" t="e">
            <v>#REF!</v>
          </cell>
          <cell r="AI51" t="e">
            <v>#REF!</v>
          </cell>
          <cell r="AJ51" t="e">
            <v>#REF!</v>
          </cell>
          <cell r="AK51" t="e">
            <v>#REF!</v>
          </cell>
          <cell r="AL51" t="e">
            <v>#REF!</v>
          </cell>
          <cell r="AM51" t="e">
            <v>#REF!</v>
          </cell>
          <cell r="AN51" t="e">
            <v>#REF!</v>
          </cell>
          <cell r="AO51" t="e">
            <v>#REF!</v>
          </cell>
          <cell r="AP51" t="e">
            <v>#REF!</v>
          </cell>
        </row>
        <row r="52">
          <cell r="A52" t="e">
            <v>#REF!</v>
          </cell>
          <cell r="B52" t="e">
            <v>#REF!</v>
          </cell>
          <cell r="C52">
            <v>1</v>
          </cell>
          <cell r="D52" t="e">
            <v>#REF!</v>
          </cell>
          <cell r="E52" t="e">
            <v>#REF!</v>
          </cell>
          <cell r="F52" t="e">
            <v>#REF!</v>
          </cell>
          <cell r="G52">
            <v>12284.390000000001</v>
          </cell>
          <cell r="H52">
            <v>865.59999999999991</v>
          </cell>
          <cell r="I52" t="e">
            <v>#REF!</v>
          </cell>
          <cell r="J52" t="e">
            <v>#REF!</v>
          </cell>
          <cell r="K52" t="e">
            <v>#REF!</v>
          </cell>
          <cell r="L52" t="e">
            <v>#REF!</v>
          </cell>
          <cell r="M52" t="e">
            <v>#REF!</v>
          </cell>
          <cell r="N52" t="e">
            <v>#REF!</v>
          </cell>
          <cell r="O52" t="e">
            <v>#REF!</v>
          </cell>
          <cell r="P52" t="e">
            <v>#REF!</v>
          </cell>
          <cell r="Q52" t="e">
            <v>#REF!</v>
          </cell>
          <cell r="R52" t="e">
            <v>#REF!</v>
          </cell>
          <cell r="S52" t="e">
            <v>#REF!</v>
          </cell>
          <cell r="T52" t="e">
            <v>#REF!</v>
          </cell>
          <cell r="U52" t="e">
            <v>#REF!</v>
          </cell>
          <cell r="V52" t="e">
            <v>#REF!</v>
          </cell>
          <cell r="W52" t="e">
            <v>#REF!</v>
          </cell>
          <cell r="X52" t="e">
            <v>#REF!</v>
          </cell>
          <cell r="Y52" t="e">
            <v>#REF!</v>
          </cell>
          <cell r="Z52" t="e">
            <v>#REF!</v>
          </cell>
          <cell r="AA52" t="e">
            <v>#REF!</v>
          </cell>
          <cell r="AB52" t="e">
            <v>#REF!</v>
          </cell>
          <cell r="AC52" t="e">
            <v>#REF!</v>
          </cell>
          <cell r="AD52" t="e">
            <v>#REF!</v>
          </cell>
          <cell r="AE52" t="e">
            <v>#REF!</v>
          </cell>
          <cell r="AF52" t="e">
            <v>#REF!</v>
          </cell>
          <cell r="AG52" t="e">
            <v>#REF!</v>
          </cell>
          <cell r="AH52" t="e">
            <v>#REF!</v>
          </cell>
          <cell r="AI52" t="e">
            <v>#REF!</v>
          </cell>
          <cell r="AJ52" t="e">
            <v>#REF!</v>
          </cell>
          <cell r="AK52" t="e">
            <v>#REF!</v>
          </cell>
          <cell r="AL52" t="e">
            <v>#REF!</v>
          </cell>
          <cell r="AM52" t="e">
            <v>#REF!</v>
          </cell>
          <cell r="AN52" t="e">
            <v>#REF!</v>
          </cell>
          <cell r="AO52" t="e">
            <v>#REF!</v>
          </cell>
          <cell r="AP52" t="e">
            <v>#REF!</v>
          </cell>
        </row>
        <row r="53">
          <cell r="I53">
            <v>0</v>
          </cell>
          <cell r="J53">
            <v>0</v>
          </cell>
          <cell r="K53">
            <v>0</v>
          </cell>
          <cell r="L53">
            <v>0</v>
          </cell>
          <cell r="M53">
            <v>0</v>
          </cell>
          <cell r="N53">
            <v>0</v>
          </cell>
          <cell r="O53">
            <v>0</v>
          </cell>
          <cell r="P53">
            <v>0</v>
          </cell>
          <cell r="Q53">
            <v>0</v>
          </cell>
        </row>
        <row r="54">
          <cell r="A54" t="str">
            <v>合 计</v>
          </cell>
          <cell r="B54" t="e">
            <v>#REF!</v>
          </cell>
          <cell r="C54">
            <v>39.5</v>
          </cell>
          <cell r="D54" t="e">
            <v>#REF!</v>
          </cell>
          <cell r="E54" t="e">
            <v>#REF!</v>
          </cell>
          <cell r="F54" t="e">
            <v>#REF!</v>
          </cell>
          <cell r="G54" t="e">
            <v>#REF!</v>
          </cell>
          <cell r="H54" t="e">
            <v>#REF!</v>
          </cell>
          <cell r="I54" t="e">
            <v>#REF!</v>
          </cell>
          <cell r="J54" t="e">
            <v>#REF!</v>
          </cell>
          <cell r="K54" t="e">
            <v>#REF!</v>
          </cell>
          <cell r="L54" t="e">
            <v>#REF!</v>
          </cell>
          <cell r="M54" t="e">
            <v>#REF!</v>
          </cell>
          <cell r="N54" t="e">
            <v>#REF!</v>
          </cell>
          <cell r="O54" t="e">
            <v>#REF!</v>
          </cell>
          <cell r="P54" t="e">
            <v>#REF!</v>
          </cell>
          <cell r="Q54" t="e">
            <v>#REF!</v>
          </cell>
          <cell r="R54" t="e">
            <v>#REF!</v>
          </cell>
          <cell r="S54" t="e">
            <v>#REF!</v>
          </cell>
          <cell r="T54" t="e">
            <v>#REF!</v>
          </cell>
          <cell r="U54" t="e">
            <v>#REF!</v>
          </cell>
          <cell r="V54" t="e">
            <v>#REF!</v>
          </cell>
          <cell r="W54" t="e">
            <v>#REF!</v>
          </cell>
          <cell r="X54" t="e">
            <v>#REF!</v>
          </cell>
          <cell r="Y54" t="e">
            <v>#REF!</v>
          </cell>
          <cell r="Z54" t="e">
            <v>#REF!</v>
          </cell>
          <cell r="AA54" t="e">
            <v>#REF!</v>
          </cell>
          <cell r="AB54" t="e">
            <v>#REF!</v>
          </cell>
          <cell r="AC54" t="e">
            <v>#REF!</v>
          </cell>
          <cell r="AD54" t="e">
            <v>#REF!</v>
          </cell>
          <cell r="AE54" t="e">
            <v>#REF!</v>
          </cell>
          <cell r="AF54" t="e">
            <v>#REF!</v>
          </cell>
          <cell r="AG54" t="e">
            <v>#REF!</v>
          </cell>
          <cell r="AH54" t="e">
            <v>#REF!</v>
          </cell>
          <cell r="AI54" t="e">
            <v>#REF!</v>
          </cell>
          <cell r="AJ54" t="e">
            <v>#REF!</v>
          </cell>
          <cell r="AK54" t="e">
            <v>#REF!</v>
          </cell>
          <cell r="AL54" t="e">
            <v>#REF!</v>
          </cell>
          <cell r="AM54" t="e">
            <v>#REF!</v>
          </cell>
          <cell r="AN54" t="e">
            <v>#REF!</v>
          </cell>
          <cell r="AO54" t="e">
            <v>#REF!</v>
          </cell>
          <cell r="AP54" t="e">
            <v>#REF!</v>
          </cell>
        </row>
        <row r="56">
          <cell r="B56" t="str">
            <v>审核：</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t="str">
            <v>制表：周平</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ummary"/>
      <sheetName val="V1"/>
      <sheetName val="V1A"/>
      <sheetName val="V1B"/>
      <sheetName val="V2"/>
      <sheetName val="A"/>
      <sheetName val="B1"/>
      <sheetName val="B2"/>
      <sheetName val="B4"/>
      <sheetName val="C1"/>
      <sheetName val="C2"/>
      <sheetName val="C3"/>
      <sheetName val="D1"/>
      <sheetName val="D3"/>
      <sheetName val="D4"/>
      <sheetName val="D5"/>
      <sheetName val="S"/>
      <sheetName val="B5"/>
    </sheetNames>
    <sheetDataSet>
      <sheetData sheetId="0">
        <row r="2">
          <cell r="F2">
            <v>80</v>
          </cell>
        </row>
        <row r="3">
          <cell r="E3">
            <v>125</v>
          </cell>
          <cell r="F3">
            <v>160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iew Sheet"/>
      <sheetName val="Quoted"/>
      <sheetName val="Quoted SP"/>
      <sheetName val="Discounts"/>
      <sheetName val="Data"/>
      <sheetName val="Sort"/>
      <sheetName val="AirLayout"/>
      <sheetName val="Edit"/>
      <sheetName val="Changes"/>
      <sheetName val="Systems"/>
      <sheetName val="Totals"/>
      <sheetName val="DChange"/>
      <sheetName val="DPort"/>
      <sheetName val="DModule"/>
      <sheetName val="DLead"/>
      <sheetName val="DAdd"/>
      <sheetName val="DAddHLP"/>
      <sheetName val="FInput"/>
      <sheetName val="DDoc"/>
      <sheetName val="DFreight"/>
      <sheetName val="Terms"/>
      <sheetName val="Module1"/>
      <sheetName val="Module3"/>
      <sheetName val="Modul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A2" t="b">
            <v>0</v>
          </cell>
        </row>
        <row r="3">
          <cell r="U3" t="str">
            <v>BANGKOK - LCB</v>
          </cell>
        </row>
        <row r="4">
          <cell r="S4">
            <v>4116.2</v>
          </cell>
        </row>
        <row r="5">
          <cell r="X5">
            <v>3474</v>
          </cell>
        </row>
        <row r="7">
          <cell r="X7">
            <v>755520.00000000012</v>
          </cell>
        </row>
        <row r="10">
          <cell r="U10">
            <v>2560</v>
          </cell>
        </row>
        <row r="11">
          <cell r="U11">
            <v>15.8</v>
          </cell>
        </row>
        <row r="19">
          <cell r="U19">
            <v>16</v>
          </cell>
          <cell r="V19">
            <v>0</v>
          </cell>
        </row>
        <row r="23">
          <cell r="W23">
            <v>10400</v>
          </cell>
        </row>
        <row r="25">
          <cell r="W25">
            <v>28000</v>
          </cell>
        </row>
        <row r="27">
          <cell r="U27" t="str">
            <v>CIF</v>
          </cell>
        </row>
        <row r="28">
          <cell r="U28" t="str">
            <v>14+</v>
          </cell>
        </row>
        <row r="29">
          <cell r="U29" t="str">
            <v xml:space="preserve"> </v>
          </cell>
        </row>
        <row r="30">
          <cell r="U30" t="str">
            <v xml:space="preserve"> </v>
          </cell>
        </row>
        <row r="31">
          <cell r="U31" t="str">
            <v xml:space="preserve"> </v>
          </cell>
        </row>
        <row r="32">
          <cell r="U32" t="str">
            <v/>
          </cell>
        </row>
      </sheetData>
      <sheetData sheetId="11" refreshError="1"/>
      <sheetData sheetId="12" refreshError="1"/>
      <sheetData sheetId="13" refreshError="1"/>
      <sheetData sheetId="14" refreshError="1"/>
      <sheetData sheetId="15" refreshError="1"/>
      <sheetData sheetId="16" refreshError="1"/>
      <sheetData sheetId="17">
        <row r="9">
          <cell r="B9">
            <v>0</v>
          </cell>
        </row>
        <row r="10">
          <cell r="B10">
            <v>0</v>
          </cell>
        </row>
        <row r="11">
          <cell r="B11">
            <v>0</v>
          </cell>
        </row>
        <row r="12">
          <cell r="B12">
            <v>0</v>
          </cell>
        </row>
      </sheetData>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ใบสรุปราคา"/>
      <sheetName val="สรุปหมวดงาน"/>
      <sheetName val="boq"/>
    </sheetNames>
    <sheetDataSet>
      <sheetData sheetId="0"/>
      <sheetData sheetId="1"/>
      <sheetData sheetId="2"/>
      <sheetData sheetId="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SKF"/>
      <sheetName val="ZHF"/>
      <sheetName val="STF"/>
      <sheetName val="CHF"/>
      <sheetName val="PYF"/>
      <sheetName val="GTF"/>
      <sheetName val="DATA"/>
      <sheetName val="OLD"/>
      <sheetName val="COMP"/>
      <sheetName val="AC-DATA"/>
      <sheetName val="LM-COST"/>
      <sheetName val="Save Cost"/>
      <sheetName val="FC_DIFF"/>
      <sheetName val="extruder"/>
      <sheetName val="Sheet10"/>
      <sheetName val="Sheet19"/>
      <sheetName val="Sheet2"/>
      <sheetName val="Sheet16"/>
      <sheetName val="Sheet6"/>
      <sheetName val="Sheet5"/>
      <sheetName val="Sheet11"/>
      <sheetName val="Sheet12"/>
      <sheetName val="LEGEND"/>
      <sheetName val="List"/>
    </sheetNames>
    <sheetDataSet>
      <sheetData sheetId="0"/>
      <sheetData sheetId="1"/>
      <sheetData sheetId="2"/>
      <sheetData sheetId="3"/>
      <sheetData sheetId="4"/>
      <sheetData sheetId="5"/>
      <sheetData sheetId="6"/>
      <sheetData sheetId="7"/>
      <sheetData sheetId="8"/>
      <sheetData sheetId="9"/>
      <sheetData sheetId="10"/>
      <sheetData sheetId="11">
        <row r="2">
          <cell r="A2">
            <v>101</v>
          </cell>
          <cell r="B2">
            <v>2120.5209542730454</v>
          </cell>
          <cell r="D2">
            <v>101</v>
          </cell>
          <cell r="E2">
            <v>2158.8325183237653</v>
          </cell>
          <cell r="G2">
            <v>102</v>
          </cell>
          <cell r="H2">
            <v>2021.4976372608444</v>
          </cell>
          <cell r="J2">
            <v>101</v>
          </cell>
          <cell r="K2">
            <v>2133.042410444089</v>
          </cell>
          <cell r="M2">
            <v>101</v>
          </cell>
          <cell r="N2">
            <v>2161.3507154582016</v>
          </cell>
        </row>
        <row r="3">
          <cell r="A3">
            <v>102</v>
          </cell>
          <cell r="B3">
            <v>2005.9114123060356</v>
          </cell>
          <cell r="D3" t="str">
            <v>101W</v>
          </cell>
          <cell r="E3">
            <v>2107.5515202720385</v>
          </cell>
          <cell r="G3">
            <v>103</v>
          </cell>
          <cell r="H3">
            <v>1952.7045516562252</v>
          </cell>
          <cell r="J3">
            <v>102</v>
          </cell>
          <cell r="K3">
            <v>2014.0378253691767</v>
          </cell>
          <cell r="M3" t="str">
            <v>102A</v>
          </cell>
          <cell r="N3">
            <v>2003.4750529216276</v>
          </cell>
        </row>
        <row r="4">
          <cell r="A4">
            <v>103</v>
          </cell>
          <cell r="B4">
            <v>1984.507127797272</v>
          </cell>
          <cell r="D4">
            <v>102</v>
          </cell>
          <cell r="E4">
            <v>2033.9143788803963</v>
          </cell>
          <cell r="G4">
            <v>110</v>
          </cell>
          <cell r="H4">
            <v>2215.7403202957707</v>
          </cell>
          <cell r="J4">
            <v>103</v>
          </cell>
          <cell r="K4">
            <v>1959.6457737800952</v>
          </cell>
          <cell r="M4">
            <v>201</v>
          </cell>
          <cell r="N4">
            <v>2196.3278185064005</v>
          </cell>
        </row>
        <row r="5">
          <cell r="A5">
            <v>110</v>
          </cell>
          <cell r="B5">
            <v>2157.6506931979184</v>
          </cell>
          <cell r="D5" t="str">
            <v>102W</v>
          </cell>
          <cell r="E5">
            <v>1971.6297213359453</v>
          </cell>
          <cell r="G5">
            <v>115</v>
          </cell>
          <cell r="H5">
            <v>1986.0205324697181</v>
          </cell>
          <cell r="J5">
            <v>110</v>
          </cell>
          <cell r="K5">
            <v>2210.2415745746625</v>
          </cell>
          <cell r="M5">
            <v>203</v>
          </cell>
          <cell r="N5">
            <v>2211.5032355534186</v>
          </cell>
        </row>
        <row r="6">
          <cell r="A6">
            <v>1101</v>
          </cell>
          <cell r="B6">
            <v>2062.9466102029401</v>
          </cell>
          <cell r="D6">
            <v>103</v>
          </cell>
          <cell r="E6">
            <v>2031.3551601232373</v>
          </cell>
          <cell r="G6">
            <v>116</v>
          </cell>
          <cell r="H6">
            <v>1952.8715981392031</v>
          </cell>
          <cell r="J6">
            <v>115</v>
          </cell>
          <cell r="K6">
            <v>1985.0861911776494</v>
          </cell>
          <cell r="M6">
            <v>2101</v>
          </cell>
          <cell r="N6">
            <v>2159.9807052814781</v>
          </cell>
        </row>
        <row r="7">
          <cell r="A7">
            <v>1102</v>
          </cell>
          <cell r="B7">
            <v>1901.6783997533182</v>
          </cell>
          <cell r="D7" t="str">
            <v>103W</v>
          </cell>
          <cell r="E7">
            <v>1915.5915137158865</v>
          </cell>
          <cell r="G7">
            <v>117</v>
          </cell>
          <cell r="H7">
            <v>1841.7881991490958</v>
          </cell>
          <cell r="J7">
            <v>116</v>
          </cell>
          <cell r="K7">
            <v>1964.0235151436596</v>
          </cell>
          <cell r="M7">
            <v>2102</v>
          </cell>
          <cell r="N7">
            <v>1983.7787892568956</v>
          </cell>
        </row>
        <row r="8">
          <cell r="A8">
            <v>1103</v>
          </cell>
          <cell r="B8">
            <v>1791.4677965682561</v>
          </cell>
          <cell r="D8">
            <v>110</v>
          </cell>
          <cell r="E8">
            <v>2199.956249378527</v>
          </cell>
          <cell r="G8">
            <v>118</v>
          </cell>
          <cell r="H8">
            <v>1853.6316097814076</v>
          </cell>
          <cell r="J8">
            <v>127</v>
          </cell>
          <cell r="K8">
            <v>1963.0643722110253</v>
          </cell>
          <cell r="M8">
            <v>301</v>
          </cell>
          <cell r="N8">
            <v>2313.3945995560684</v>
          </cell>
        </row>
        <row r="9">
          <cell r="A9">
            <v>111</v>
          </cell>
          <cell r="B9">
            <v>2168.453645037212</v>
          </cell>
          <cell r="D9">
            <v>115</v>
          </cell>
          <cell r="E9">
            <v>2092.3019403633843</v>
          </cell>
          <cell r="G9">
            <v>201</v>
          </cell>
          <cell r="H9">
            <v>2187.7688273712697</v>
          </cell>
          <cell r="J9">
            <v>128</v>
          </cell>
          <cell r="K9">
            <v>1990.5623985304021</v>
          </cell>
          <cell r="M9">
            <v>302</v>
          </cell>
          <cell r="N9">
            <v>2033.5646821674843</v>
          </cell>
        </row>
        <row r="10">
          <cell r="A10">
            <v>113</v>
          </cell>
          <cell r="B10">
            <v>2139.4971291048691</v>
          </cell>
          <cell r="D10" t="str">
            <v>115W</v>
          </cell>
          <cell r="E10">
            <v>1989.0585750879497</v>
          </cell>
          <cell r="G10">
            <v>202</v>
          </cell>
          <cell r="H10">
            <v>2117.0995550254997</v>
          </cell>
          <cell r="J10" t="str">
            <v>134L</v>
          </cell>
          <cell r="K10">
            <v>1866.701281135041</v>
          </cell>
          <cell r="M10">
            <v>310</v>
          </cell>
          <cell r="N10">
            <v>2601.5476064565687</v>
          </cell>
        </row>
        <row r="11">
          <cell r="A11">
            <v>115</v>
          </cell>
          <cell r="B11">
            <v>2096.6788060089971</v>
          </cell>
          <cell r="D11" t="str">
            <v>126</v>
          </cell>
          <cell r="E11">
            <v>2161.04298407838</v>
          </cell>
          <cell r="G11" t="str">
            <v>202W</v>
          </cell>
          <cell r="H11">
            <v>2083.011719207102</v>
          </cell>
          <cell r="J11">
            <v>202</v>
          </cell>
          <cell r="K11">
            <v>2096.1736655399882</v>
          </cell>
          <cell r="M11">
            <v>311</v>
          </cell>
          <cell r="N11">
            <v>2565.8341746662468</v>
          </cell>
        </row>
        <row r="12">
          <cell r="A12" t="str">
            <v>132N</v>
          </cell>
          <cell r="B12">
            <v>1801.3436524327531</v>
          </cell>
          <cell r="D12">
            <v>187</v>
          </cell>
          <cell r="E12">
            <v>1784.9162763125069</v>
          </cell>
          <cell r="G12">
            <v>203</v>
          </cell>
          <cell r="H12">
            <v>2117.0072132272626</v>
          </cell>
          <cell r="J12" t="str">
            <v>203</v>
          </cell>
          <cell r="K12">
            <v>2081.966712610234</v>
          </cell>
          <cell r="M12">
            <v>312</v>
          </cell>
          <cell r="N12">
            <v>2059.5140270574161</v>
          </cell>
        </row>
        <row r="13">
          <cell r="A13" t="str">
            <v>134N</v>
          </cell>
          <cell r="B13">
            <v>1834.4390030943489</v>
          </cell>
          <cell r="D13">
            <v>188</v>
          </cell>
          <cell r="E13">
            <v>1474.3507044327396</v>
          </cell>
          <cell r="G13">
            <v>282</v>
          </cell>
          <cell r="H13">
            <v>2269.2800855502855</v>
          </cell>
          <cell r="J13" t="str">
            <v>300SP</v>
          </cell>
          <cell r="K13">
            <v>3736.8983290084161</v>
          </cell>
          <cell r="M13">
            <v>313</v>
          </cell>
          <cell r="N13">
            <v>1858.253264112094</v>
          </cell>
        </row>
        <row r="14">
          <cell r="A14" t="str">
            <v>135N</v>
          </cell>
          <cell r="B14">
            <v>1741.0005396319691</v>
          </cell>
          <cell r="D14">
            <v>208</v>
          </cell>
          <cell r="E14">
            <v>1803.1099260514886</v>
          </cell>
          <cell r="G14">
            <v>301</v>
          </cell>
          <cell r="H14">
            <v>2440.2882672681053</v>
          </cell>
          <cell r="J14">
            <v>301</v>
          </cell>
          <cell r="K14">
            <v>2437.33823363582</v>
          </cell>
          <cell r="M14">
            <v>314</v>
          </cell>
          <cell r="N14">
            <v>1787.9991570949685</v>
          </cell>
        </row>
        <row r="15">
          <cell r="A15">
            <v>201</v>
          </cell>
          <cell r="B15">
            <v>2158.4399709707382</v>
          </cell>
          <cell r="D15">
            <v>215</v>
          </cell>
          <cell r="E15">
            <v>3081.8552779435504</v>
          </cell>
          <cell r="G15">
            <v>302</v>
          </cell>
          <cell r="H15">
            <v>2030.9658899332869</v>
          </cell>
          <cell r="J15">
            <v>302</v>
          </cell>
          <cell r="K15">
            <v>2034.5537541648609</v>
          </cell>
          <cell r="M15">
            <v>318</v>
          </cell>
          <cell r="N15">
            <v>1488.9787227216075</v>
          </cell>
        </row>
        <row r="16">
          <cell r="A16">
            <v>202</v>
          </cell>
          <cell r="B16">
            <v>2114.7281115034325</v>
          </cell>
          <cell r="D16">
            <v>301</v>
          </cell>
          <cell r="E16">
            <v>2417.8356993690059</v>
          </cell>
          <cell r="G16">
            <v>311</v>
          </cell>
          <cell r="H16">
            <v>2613.3102582636702</v>
          </cell>
          <cell r="J16">
            <v>311</v>
          </cell>
          <cell r="K16">
            <v>2603.0163377614231</v>
          </cell>
          <cell r="M16">
            <v>325</v>
          </cell>
          <cell r="N16">
            <v>1686.8641639042462</v>
          </cell>
        </row>
        <row r="17">
          <cell r="A17" t="str">
            <v>202W</v>
          </cell>
          <cell r="B17">
            <v>2073.0474933813703</v>
          </cell>
          <cell r="D17">
            <v>302</v>
          </cell>
          <cell r="E17">
            <v>2066.0085819720161</v>
          </cell>
          <cell r="G17">
            <v>314</v>
          </cell>
          <cell r="H17">
            <v>1758.9204120252336</v>
          </cell>
          <cell r="J17" t="str">
            <v>311S</v>
          </cell>
          <cell r="K17">
            <v>2655.5990138039738</v>
          </cell>
          <cell r="M17">
            <v>326</v>
          </cell>
          <cell r="N17">
            <v>1931.8473501094018</v>
          </cell>
        </row>
        <row r="18">
          <cell r="A18">
            <v>203</v>
          </cell>
          <cell r="B18">
            <v>2163.0169083233145</v>
          </cell>
          <cell r="D18" t="str">
            <v>310</v>
          </cell>
          <cell r="E18">
            <v>2596.2622382512859</v>
          </cell>
          <cell r="G18" t="str">
            <v>381</v>
          </cell>
          <cell r="H18">
            <v>2276.9953300452698</v>
          </cell>
          <cell r="J18">
            <v>313</v>
          </cell>
          <cell r="K18">
            <v>1845.122181952607</v>
          </cell>
          <cell r="M18">
            <v>382</v>
          </cell>
          <cell r="N18">
            <v>1968.3730900118178</v>
          </cell>
        </row>
        <row r="19">
          <cell r="A19">
            <v>214</v>
          </cell>
          <cell r="B19">
            <v>3156.4167175621869</v>
          </cell>
          <cell r="D19">
            <v>311</v>
          </cell>
          <cell r="E19">
            <v>2600.7476909959082</v>
          </cell>
          <cell r="G19">
            <v>382</v>
          </cell>
          <cell r="H19">
            <v>1924.4356853961492</v>
          </cell>
          <cell r="J19">
            <v>314</v>
          </cell>
          <cell r="K19">
            <v>1754.8455331050836</v>
          </cell>
          <cell r="M19">
            <v>383</v>
          </cell>
          <cell r="N19">
            <v>1692.5093893399805</v>
          </cell>
        </row>
        <row r="20">
          <cell r="A20" t="str">
            <v>300SP</v>
          </cell>
          <cell r="B20">
            <v>3858.4702679266293</v>
          </cell>
          <cell r="D20">
            <v>312</v>
          </cell>
          <cell r="E20">
            <v>2085.2601779828738</v>
          </cell>
          <cell r="G20">
            <v>389</v>
          </cell>
          <cell r="H20">
            <v>1448.3543134381653</v>
          </cell>
          <cell r="J20">
            <v>318</v>
          </cell>
          <cell r="K20">
            <v>1470.4196452494716</v>
          </cell>
          <cell r="M20">
            <v>384</v>
          </cell>
          <cell r="N20">
            <v>1590.7273370891262</v>
          </cell>
        </row>
        <row r="21">
          <cell r="A21">
            <v>301</v>
          </cell>
          <cell r="B21">
            <v>2322.7114677318459</v>
          </cell>
          <cell r="D21">
            <v>313</v>
          </cell>
          <cell r="E21">
            <v>1806.5804049044912</v>
          </cell>
          <cell r="G21">
            <v>513</v>
          </cell>
          <cell r="H21">
            <v>1990.728590832359</v>
          </cell>
          <cell r="J21">
            <v>325</v>
          </cell>
          <cell r="K21">
            <v>1680.0123196131476</v>
          </cell>
          <cell r="M21">
            <v>388</v>
          </cell>
          <cell r="N21">
            <v>1843.7798449191953</v>
          </cell>
        </row>
        <row r="22">
          <cell r="A22" t="str">
            <v>301S</v>
          </cell>
          <cell r="B22">
            <v>2171.0650396849937</v>
          </cell>
          <cell r="D22">
            <v>314</v>
          </cell>
          <cell r="E22">
            <v>1700.4878123417523</v>
          </cell>
          <cell r="G22">
            <v>515</v>
          </cell>
          <cell r="H22">
            <v>1641.7423600235982</v>
          </cell>
          <cell r="J22">
            <v>326</v>
          </cell>
          <cell r="K22">
            <v>2045.0915166466605</v>
          </cell>
          <cell r="M22">
            <v>389</v>
          </cell>
          <cell r="N22">
            <v>1424.4332899335891</v>
          </cell>
        </row>
        <row r="23">
          <cell r="A23">
            <v>302</v>
          </cell>
          <cell r="B23">
            <v>1986.2343810312125</v>
          </cell>
          <cell r="D23">
            <v>325</v>
          </cell>
          <cell r="E23">
            <v>1644.8355313748093</v>
          </cell>
          <cell r="G23">
            <v>519</v>
          </cell>
          <cell r="H23">
            <v>1565.5295774991537</v>
          </cell>
          <cell r="J23">
            <v>3311</v>
          </cell>
          <cell r="K23">
            <v>2423.088894253664</v>
          </cell>
          <cell r="M23" t="str">
            <v>389B</v>
          </cell>
          <cell r="N23">
            <v>1422.2493095163297</v>
          </cell>
        </row>
        <row r="24">
          <cell r="A24" t="str">
            <v>302S</v>
          </cell>
          <cell r="B24">
            <v>1817.7541992461288</v>
          </cell>
          <cell r="D24">
            <v>326</v>
          </cell>
          <cell r="E24">
            <v>1954.2499607208983</v>
          </cell>
          <cell r="G24">
            <v>521</v>
          </cell>
          <cell r="H24">
            <v>1756.2908548970686</v>
          </cell>
          <cell r="J24">
            <v>381</v>
          </cell>
          <cell r="K24">
            <v>2308.818576244983</v>
          </cell>
          <cell r="M24">
            <v>519</v>
          </cell>
          <cell r="N24">
            <v>1619.5887005118027</v>
          </cell>
        </row>
        <row r="25">
          <cell r="A25">
            <v>303</v>
          </cell>
          <cell r="B25">
            <v>1699.0797091979512</v>
          </cell>
          <cell r="D25">
            <v>352</v>
          </cell>
          <cell r="E25">
            <v>1930.5641921937877</v>
          </cell>
          <cell r="G25">
            <v>528</v>
          </cell>
          <cell r="H25">
            <v>1692.7562746185326</v>
          </cell>
          <cell r="J25">
            <v>382</v>
          </cell>
          <cell r="K25">
            <v>1903.3227304727118</v>
          </cell>
          <cell r="M25">
            <v>521</v>
          </cell>
          <cell r="N25">
            <v>1775.6093794905419</v>
          </cell>
        </row>
        <row r="26">
          <cell r="A26">
            <v>310</v>
          </cell>
          <cell r="B26">
            <v>2618.6934563707673</v>
          </cell>
          <cell r="D26">
            <v>353</v>
          </cell>
          <cell r="E26">
            <v>1619.8897268787321</v>
          </cell>
          <cell r="G26">
            <v>6912</v>
          </cell>
          <cell r="H26">
            <v>1674.4383309249404</v>
          </cell>
          <cell r="J26">
            <v>389</v>
          </cell>
          <cell r="K26">
            <v>1442.8071642921225</v>
          </cell>
          <cell r="M26" t="str">
            <v>521S</v>
          </cell>
          <cell r="N26">
            <v>1798.5485771046883</v>
          </cell>
        </row>
        <row r="27">
          <cell r="A27">
            <v>311</v>
          </cell>
          <cell r="B27">
            <v>2602.8560057509335</v>
          </cell>
          <cell r="D27" t="str">
            <v>354</v>
          </cell>
          <cell r="E27">
            <v>1447.416669347861</v>
          </cell>
          <cell r="G27">
            <v>6913</v>
          </cell>
          <cell r="H27">
            <v>1461.5154499106904</v>
          </cell>
          <cell r="J27">
            <v>513</v>
          </cell>
          <cell r="K27">
            <v>1987.1866145959825</v>
          </cell>
          <cell r="M27">
            <v>6870</v>
          </cell>
          <cell r="N27">
            <v>4405.7553594565925</v>
          </cell>
        </row>
        <row r="28">
          <cell r="A28" t="str">
            <v>311S</v>
          </cell>
          <cell r="B28">
            <v>2486.1117654111522</v>
          </cell>
          <cell r="D28">
            <v>389</v>
          </cell>
          <cell r="E28">
            <v>1386.2184669312644</v>
          </cell>
          <cell r="G28">
            <v>7101</v>
          </cell>
          <cell r="H28">
            <v>2107.6227329251528</v>
          </cell>
          <cell r="J28">
            <v>515</v>
          </cell>
          <cell r="K28">
            <v>1658.9656776126949</v>
          </cell>
          <cell r="M28">
            <v>6873</v>
          </cell>
          <cell r="N28">
            <v>3945.9689778764009</v>
          </cell>
        </row>
        <row r="29">
          <cell r="A29">
            <v>312</v>
          </cell>
          <cell r="B29">
            <v>2011.7021851126588</v>
          </cell>
          <cell r="D29">
            <v>513</v>
          </cell>
          <cell r="E29">
            <v>1996.0218254489509</v>
          </cell>
          <cell r="G29">
            <v>7102</v>
          </cell>
          <cell r="H29">
            <v>1946.4845290771668</v>
          </cell>
          <cell r="J29">
            <v>519</v>
          </cell>
          <cell r="K29">
            <v>1580.8849673587222</v>
          </cell>
          <cell r="M29">
            <v>6903</v>
          </cell>
          <cell r="N29">
            <v>2045.6562740897934</v>
          </cell>
        </row>
        <row r="30">
          <cell r="A30">
            <v>313</v>
          </cell>
          <cell r="B30">
            <v>1781.5347393397712</v>
          </cell>
          <cell r="D30">
            <v>515</v>
          </cell>
          <cell r="E30">
            <v>1630.1183692864399</v>
          </cell>
          <cell r="G30">
            <v>7103</v>
          </cell>
          <cell r="H30">
            <v>1880.3974850743778</v>
          </cell>
          <cell r="J30">
            <v>520</v>
          </cell>
          <cell r="K30">
            <v>1830.7909930529472</v>
          </cell>
          <cell r="M30">
            <v>6904</v>
          </cell>
          <cell r="N30">
            <v>1929.2547209282702</v>
          </cell>
        </row>
        <row r="31">
          <cell r="A31" t="str">
            <v>313M</v>
          </cell>
          <cell r="B31">
            <v>1773.3153235059842</v>
          </cell>
          <cell r="D31">
            <v>520</v>
          </cell>
          <cell r="E31">
            <v>1810.2267684342601</v>
          </cell>
          <cell r="G31">
            <v>800</v>
          </cell>
          <cell r="H31">
            <v>3030.3506374074286</v>
          </cell>
          <cell r="J31">
            <v>521</v>
          </cell>
          <cell r="K31">
            <v>1775.5528792875391</v>
          </cell>
          <cell r="M31">
            <v>6912</v>
          </cell>
          <cell r="N31">
            <v>1802.8934279380196</v>
          </cell>
        </row>
        <row r="32">
          <cell r="A32">
            <v>314</v>
          </cell>
          <cell r="B32">
            <v>1706.0765062065464</v>
          </cell>
          <cell r="D32">
            <v>557</v>
          </cell>
          <cell r="E32">
            <v>1453.0756085127093</v>
          </cell>
          <cell r="G32" t="str">
            <v>800S</v>
          </cell>
          <cell r="H32">
            <v>3769.847537711094</v>
          </cell>
          <cell r="J32">
            <v>528</v>
          </cell>
          <cell r="K32">
            <v>1712.2904906511424</v>
          </cell>
          <cell r="M32">
            <v>6914</v>
          </cell>
          <cell r="N32">
            <v>1462.5077784467521</v>
          </cell>
        </row>
        <row r="33">
          <cell r="A33" t="str">
            <v>314M</v>
          </cell>
          <cell r="B33">
            <v>1667.1770143118235</v>
          </cell>
          <cell r="D33">
            <v>558</v>
          </cell>
          <cell r="E33">
            <v>1501.6623986053387</v>
          </cell>
          <cell r="G33">
            <v>808</v>
          </cell>
          <cell r="H33">
            <v>2555.5856829739073</v>
          </cell>
          <cell r="J33">
            <v>615</v>
          </cell>
          <cell r="K33">
            <v>1569.0020464516717</v>
          </cell>
          <cell r="M33">
            <v>800</v>
          </cell>
          <cell r="N33">
            <v>3095.0336028184311</v>
          </cell>
        </row>
        <row r="34">
          <cell r="A34">
            <v>325</v>
          </cell>
          <cell r="B34">
            <v>1601.5247439348434</v>
          </cell>
          <cell r="D34">
            <v>6902</v>
          </cell>
          <cell r="E34">
            <v>1990.5142497356599</v>
          </cell>
          <cell r="G34">
            <v>904</v>
          </cell>
          <cell r="H34">
            <v>1338.7939088030457</v>
          </cell>
          <cell r="J34">
            <v>6552</v>
          </cell>
          <cell r="K34">
            <v>4597.9928901948479</v>
          </cell>
          <cell r="M34">
            <v>8008</v>
          </cell>
          <cell r="N34">
            <v>3465.1428870816681</v>
          </cell>
        </row>
        <row r="35">
          <cell r="A35">
            <v>326</v>
          </cell>
          <cell r="B35">
            <v>1903.8913448555656</v>
          </cell>
          <cell r="D35">
            <v>6903</v>
          </cell>
          <cell r="E35">
            <v>1870.5927500753851</v>
          </cell>
          <cell r="G35">
            <v>905</v>
          </cell>
          <cell r="H35">
            <v>1444.8473003636414</v>
          </cell>
          <cell r="J35">
            <v>6553</v>
          </cell>
          <cell r="K35">
            <v>3629.7724117332705</v>
          </cell>
          <cell r="M35" t="str">
            <v>800S</v>
          </cell>
          <cell r="N35">
            <v>3810.3570414843243</v>
          </cell>
        </row>
        <row r="36">
          <cell r="A36">
            <v>332</v>
          </cell>
          <cell r="B36">
            <v>1879.4003779373586</v>
          </cell>
          <cell r="D36">
            <v>6904</v>
          </cell>
          <cell r="E36">
            <v>1757.12488257937</v>
          </cell>
          <cell r="G36">
            <v>986</v>
          </cell>
          <cell r="H36">
            <v>2387.5977423168733</v>
          </cell>
          <cell r="J36">
            <v>6554</v>
          </cell>
          <cell r="K36">
            <v>3417.3012953229231</v>
          </cell>
          <cell r="M36">
            <v>801</v>
          </cell>
          <cell r="N36">
            <v>2835.7974048132082</v>
          </cell>
        </row>
        <row r="37">
          <cell r="A37">
            <v>389</v>
          </cell>
          <cell r="B37">
            <v>1407.7630218383365</v>
          </cell>
          <cell r="D37">
            <v>6912</v>
          </cell>
          <cell r="E37">
            <v>1547.9758580865216</v>
          </cell>
          <cell r="G37">
            <v>987</v>
          </cell>
          <cell r="H37">
            <v>2335.4298176827515</v>
          </cell>
          <cell r="J37">
            <v>6566</v>
          </cell>
          <cell r="K37">
            <v>3610.5082045111471</v>
          </cell>
          <cell r="M37">
            <v>808</v>
          </cell>
          <cell r="N37">
            <v>2660.1214977273735</v>
          </cell>
        </row>
        <row r="38">
          <cell r="A38">
            <v>4313</v>
          </cell>
          <cell r="B38">
            <v>1899.4702081643757</v>
          </cell>
          <cell r="D38">
            <v>6913</v>
          </cell>
          <cell r="E38">
            <v>1434.4087608517696</v>
          </cell>
          <cell r="G38">
            <v>990</v>
          </cell>
          <cell r="H38">
            <v>2316.9422835644828</v>
          </cell>
          <cell r="J38">
            <v>6567</v>
          </cell>
          <cell r="K38">
            <v>3479.6857634860471</v>
          </cell>
          <cell r="M38">
            <v>9003</v>
          </cell>
          <cell r="N38">
            <v>3137.0957472436262</v>
          </cell>
        </row>
        <row r="39">
          <cell r="A39">
            <v>513</v>
          </cell>
          <cell r="B39">
            <v>1949.7234486102554</v>
          </cell>
          <cell r="D39">
            <v>6914</v>
          </cell>
          <cell r="E39">
            <v>1358.5146078529524</v>
          </cell>
          <cell r="G39">
            <v>991</v>
          </cell>
          <cell r="H39">
            <v>2051.6797684870421</v>
          </cell>
          <cell r="J39">
            <v>7101</v>
          </cell>
          <cell r="K39">
            <v>2114.0096547196413</v>
          </cell>
          <cell r="M39">
            <v>9013</v>
          </cell>
          <cell r="N39">
            <v>3229.3739840731469</v>
          </cell>
        </row>
        <row r="40">
          <cell r="A40">
            <v>515</v>
          </cell>
          <cell r="B40">
            <v>1614.9675929996515</v>
          </cell>
          <cell r="D40">
            <v>800</v>
          </cell>
          <cell r="E40">
            <v>2930.3820918169295</v>
          </cell>
          <cell r="G40">
            <v>992</v>
          </cell>
          <cell r="H40">
            <v>1883.6941884174271</v>
          </cell>
          <cell r="J40">
            <v>7102</v>
          </cell>
          <cell r="K40">
            <v>1967.9725730259775</v>
          </cell>
          <cell r="M40">
            <v>9101</v>
          </cell>
          <cell r="N40">
            <v>3541.3847026772232</v>
          </cell>
        </row>
        <row r="41">
          <cell r="A41">
            <v>519</v>
          </cell>
          <cell r="B41">
            <v>1552.1197429565229</v>
          </cell>
          <cell r="D41" t="str">
            <v>800S</v>
          </cell>
          <cell r="E41">
            <v>3672.9562107945098</v>
          </cell>
          <cell r="G41">
            <v>993</v>
          </cell>
          <cell r="H41">
            <v>1655.066942909428</v>
          </cell>
          <cell r="J41">
            <v>7103</v>
          </cell>
          <cell r="K41">
            <v>1900.6738708466582</v>
          </cell>
          <cell r="M41">
            <v>9103</v>
          </cell>
          <cell r="N41">
            <v>3262.358060667887</v>
          </cell>
        </row>
        <row r="42">
          <cell r="A42">
            <v>521</v>
          </cell>
          <cell r="B42">
            <v>1730.6790121891097</v>
          </cell>
          <cell r="D42">
            <v>801</v>
          </cell>
          <cell r="E42">
            <v>2716.4592637511814</v>
          </cell>
          <cell r="G42">
            <v>995</v>
          </cell>
          <cell r="H42">
            <v>2861.0456378387084</v>
          </cell>
          <cell r="J42">
            <v>800</v>
          </cell>
          <cell r="K42">
            <v>2992.9259435452259</v>
          </cell>
          <cell r="M42">
            <v>9104</v>
          </cell>
          <cell r="N42">
            <v>2905.1812353149412</v>
          </cell>
        </row>
        <row r="43">
          <cell r="A43" t="str">
            <v>5DK10</v>
          </cell>
          <cell r="B43">
            <v>1240.2805173183133</v>
          </cell>
          <cell r="D43" t="str">
            <v>808</v>
          </cell>
          <cell r="E43">
            <v>2520.0775827767047</v>
          </cell>
          <cell r="G43">
            <v>997</v>
          </cell>
          <cell r="H43">
            <v>2228.0333073037536</v>
          </cell>
          <cell r="J43">
            <v>808</v>
          </cell>
          <cell r="K43">
            <v>2547.1828596905671</v>
          </cell>
          <cell r="M43" t="str">
            <v>LH508</v>
          </cell>
          <cell r="N43">
            <v>1608.5441179091661</v>
          </cell>
        </row>
        <row r="44">
          <cell r="A44">
            <v>6612</v>
          </cell>
          <cell r="B44">
            <v>2024.4889326337432</v>
          </cell>
          <cell r="D44">
            <v>901</v>
          </cell>
          <cell r="E44">
            <v>1375.1707159805492</v>
          </cell>
          <cell r="G44">
            <v>999</v>
          </cell>
          <cell r="H44">
            <v>1912.5546509473995</v>
          </cell>
          <cell r="J44">
            <v>8800</v>
          </cell>
          <cell r="K44">
            <v>3218.3000968249803</v>
          </cell>
          <cell r="M44" t="str">
            <v>LH551</v>
          </cell>
          <cell r="N44">
            <v>2337.1525083559459</v>
          </cell>
        </row>
        <row r="45">
          <cell r="A45">
            <v>6614</v>
          </cell>
          <cell r="B45">
            <v>1675.2658178152201</v>
          </cell>
          <cell r="D45">
            <v>903</v>
          </cell>
          <cell r="E45">
            <v>1219.4797181513434</v>
          </cell>
          <cell r="J45">
            <v>904</v>
          </cell>
          <cell r="K45">
            <v>1396.3991138564288</v>
          </cell>
          <cell r="M45" t="str">
            <v>LH552L</v>
          </cell>
          <cell r="N45">
            <v>1913.0775788505139</v>
          </cell>
        </row>
        <row r="46">
          <cell r="A46" t="str">
            <v>6614L</v>
          </cell>
          <cell r="B46">
            <v>1678.4368374106941</v>
          </cell>
          <cell r="D46">
            <v>906</v>
          </cell>
          <cell r="E46">
            <v>1466.1211386525954</v>
          </cell>
          <cell r="J46">
            <v>905</v>
          </cell>
          <cell r="K46">
            <v>1466.3536362519912</v>
          </cell>
        </row>
        <row r="47">
          <cell r="A47">
            <v>6641</v>
          </cell>
          <cell r="B47">
            <v>4914.935519123268</v>
          </cell>
          <cell r="D47">
            <v>963</v>
          </cell>
          <cell r="E47">
            <v>1452.3931385436583</v>
          </cell>
          <cell r="J47">
            <v>966</v>
          </cell>
          <cell r="K47">
            <v>1492.8943420178482</v>
          </cell>
        </row>
        <row r="48">
          <cell r="A48">
            <v>6642</v>
          </cell>
          <cell r="B48">
            <v>4689.268997657402</v>
          </cell>
          <cell r="D48">
            <v>993</v>
          </cell>
          <cell r="E48">
            <v>1654.4355898891795</v>
          </cell>
          <cell r="J48">
            <v>982</v>
          </cell>
          <cell r="K48">
            <v>1780.7822394547736</v>
          </cell>
        </row>
        <row r="49">
          <cell r="A49">
            <v>6643</v>
          </cell>
          <cell r="B49">
            <v>4396.9873238150449</v>
          </cell>
          <cell r="D49" t="str">
            <v>HY055</v>
          </cell>
          <cell r="E49">
            <v>1677.0116061328606</v>
          </cell>
          <cell r="J49">
            <v>992</v>
          </cell>
          <cell r="K49">
            <v>1892.7921446066964</v>
          </cell>
        </row>
        <row r="50">
          <cell r="A50">
            <v>6662</v>
          </cell>
          <cell r="B50">
            <v>4711.60168294509</v>
          </cell>
          <cell r="J50">
            <v>993</v>
          </cell>
          <cell r="K50">
            <v>1684.8518447637236</v>
          </cell>
        </row>
        <row r="51">
          <cell r="A51">
            <v>6663</v>
          </cell>
          <cell r="B51">
            <v>4365.1750290959872</v>
          </cell>
        </row>
        <row r="52">
          <cell r="A52">
            <v>688</v>
          </cell>
          <cell r="B52">
            <v>4520.7709022982563</v>
          </cell>
        </row>
        <row r="53">
          <cell r="A53" t="str">
            <v>689B</v>
          </cell>
          <cell r="B53">
            <v>2363.0657880387594</v>
          </cell>
        </row>
        <row r="54">
          <cell r="A54">
            <v>800</v>
          </cell>
          <cell r="B54">
            <v>2877.4225139139971</v>
          </cell>
        </row>
        <row r="55">
          <cell r="A55">
            <v>8000</v>
          </cell>
          <cell r="B55">
            <v>3338.6012504053961</v>
          </cell>
        </row>
        <row r="56">
          <cell r="A56" t="str">
            <v>800S</v>
          </cell>
          <cell r="B56">
            <v>3555.1985036523374</v>
          </cell>
        </row>
        <row r="57">
          <cell r="A57">
            <v>801</v>
          </cell>
          <cell r="B57">
            <v>2599.4509291317418</v>
          </cell>
        </row>
        <row r="58">
          <cell r="A58">
            <v>808</v>
          </cell>
          <cell r="B58">
            <v>2446.1467073889326</v>
          </cell>
        </row>
        <row r="59">
          <cell r="A59">
            <v>8303</v>
          </cell>
          <cell r="B59">
            <v>1505.2033108877561</v>
          </cell>
        </row>
        <row r="60">
          <cell r="A60">
            <v>8800</v>
          </cell>
          <cell r="B60">
            <v>3039.4170257782212</v>
          </cell>
        </row>
        <row r="61">
          <cell r="A61">
            <v>914</v>
          </cell>
          <cell r="B61">
            <v>2918.4921041365797</v>
          </cell>
        </row>
        <row r="62">
          <cell r="A62">
            <v>915</v>
          </cell>
          <cell r="B62">
            <v>3073.7442263260746</v>
          </cell>
        </row>
        <row r="63">
          <cell r="A63">
            <v>931</v>
          </cell>
          <cell r="B63">
            <v>3370.902764660425</v>
          </cell>
        </row>
        <row r="64">
          <cell r="A64">
            <v>932</v>
          </cell>
          <cell r="B64">
            <v>3087.021370129597</v>
          </cell>
        </row>
        <row r="65">
          <cell r="A65">
            <v>993</v>
          </cell>
          <cell r="B65">
            <v>1728.147132928975</v>
          </cell>
        </row>
        <row r="66">
          <cell r="A66" t="str">
            <v>997EX</v>
          </cell>
          <cell r="B66">
            <v>2539.3243866625626</v>
          </cell>
        </row>
        <row r="67">
          <cell r="A67" t="str">
            <v>998EX</v>
          </cell>
          <cell r="B67">
            <v>2346.9582755204519</v>
          </cell>
        </row>
        <row r="68">
          <cell r="A68" t="str">
            <v>HZ800</v>
          </cell>
          <cell r="B68">
            <v>3102.7017582533126</v>
          </cell>
        </row>
      </sheetData>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 Dwg"/>
      <sheetName val="cov-estimate"/>
      <sheetName val="cov-tender"/>
      <sheetName val="cov-contract"/>
      <sheetName val="cov-final AC"/>
      <sheetName val="cov-contract 2"/>
      <sheetName val="content"/>
      <sheetName val="divider"/>
      <sheetName val="cov_estimate"/>
      <sheetName val="Package 3(Concourse)"/>
      <sheetName val="Package2 (MTB)"/>
      <sheetName val="Central Plant"/>
      <sheetName val="Comparison"/>
      <sheetName val="DETAIL "/>
      <sheetName val="Q3-13 "/>
      <sheetName val="boq"/>
      <sheetName val="สระน้ำหลัง BO"/>
      <sheetName val="สระน้ำ(ด้านทิศใต้อาคาร B)"/>
      <sheetName val="ราคาF6"/>
      <sheetName val="8 consume"/>
      <sheetName val="Breakdown"/>
      <sheetName val="1 Labour"/>
      <sheetName val="2 staff"/>
      <sheetName val="6 - Misc. EP"/>
      <sheetName val="MASTER"/>
      <sheetName val="C-LOAD(L-FACTORY.)"/>
      <sheetName val="List"/>
      <sheetName val="Update"/>
      <sheetName val="AC"/>
      <sheetName val="data-Hilton"/>
      <sheetName val="SOR"/>
      <sheetName val="Q2-55"/>
      <sheetName val="Q3-55"/>
      <sheetName val="Q4-55"/>
      <sheetName val="Q1-13"/>
      <sheetName val="Cost Data"/>
      <sheetName val="BOX Cryostat Details"/>
      <sheetName val="Driver Linac Layout"/>
      <sheetName val="Inputs"/>
      <sheetName val="Magnet Details"/>
      <sheetName val="SH-A"/>
      <sheetName val="SH-B"/>
      <sheetName val="SH-D"/>
      <sheetName val="SH-E"/>
      <sheetName val="SH-F"/>
      <sheetName val="SH-G"/>
      <sheetName val="SH-C"/>
      <sheetName val="Assumptions"/>
      <sheetName val="CC1"/>
      <sheetName val="CC2"/>
      <sheetName val="CC3"/>
      <sheetName val="CC4"/>
      <sheetName val="CC5"/>
      <sheetName val="CC6"/>
      <sheetName val="CC7"/>
      <sheetName val="CC8"/>
      <sheetName val="CC9"/>
      <sheetName val="1.1.1Gen"/>
      <sheetName val="1.1.2vehicle"/>
      <sheetName val="1.1.3Demobilize"/>
      <sheetName val="1.2Traffic"/>
      <sheetName val="1.3Envi"/>
      <sheetName val="1.4.1Test"/>
      <sheetName val="1.4.2Report"/>
      <sheetName val="2.1MainLine"/>
      <sheetName val="2.2Station"/>
      <sheetName val="4.1.1Pile"/>
      <sheetName val="4.1.2TBlock"/>
      <sheetName val="4.2Pier"/>
      <sheetName val="4.3Portal"/>
      <sheetName val="4.4Pad"/>
      <sheetName val="5.2.1Produce"/>
      <sheetName val="5.2.2Install"/>
      <sheetName val="5.3AR"/>
      <sheetName val="5.4E&amp;M"/>
      <sheetName val="6.1Yard"/>
      <sheetName val="6.2.1Pile"/>
      <sheetName val="6.2.2Pile Cap"/>
      <sheetName val="6.3.1Pier"/>
      <sheetName val="6.3.2XBeam"/>
      <sheetName val="6.3.3I-Girder"/>
      <sheetName val="6.4.1Roof"/>
      <sheetName val="6.4.2Stair"/>
      <sheetName val="6.4.3Slab"/>
      <sheetName val="Cov_Dwg"/>
      <sheetName val="cov-final_AC"/>
      <sheetName val="cov-contract_2"/>
      <sheetName val="สระน้ำหลัง_BO"/>
      <sheetName val="สระน้ำ(ด้านทิศใต้อาคาร_B)"/>
      <sheetName val="7-consume"/>
      <sheetName val="6-Equipment"/>
      <sheetName val="4-Local transport"/>
      <sheetName val="3 - Material"/>
      <sheetName val="Backup"/>
      <sheetName val="Sum"/>
      <sheetName val="Cctmst"/>
      <sheetName val="code0"/>
      <sheetName val="COA-17"/>
      <sheetName val="C-18"/>
      <sheetName val="Package_3(Concourse)"/>
      <sheetName val="Package2_(MTB)"/>
      <sheetName val="Central_Plant"/>
      <sheetName val="DETAIL_"/>
      <sheetName val="Q3-13_"/>
      <sheetName val="Auto Monthly Inputs "/>
      <sheetName val="code"/>
      <sheetName val="Ceil_"/>
      <sheetName val="Roof"/>
      <sheetName val="SanFix"/>
      <sheetName val="งานไฟฟ้า"/>
      <sheetName val="เครื่องปรับอากาศ"/>
      <sheetName val="ประปา+ดับเพิลง"/>
      <sheetName val="1"/>
      <sheetName val="VP 1"/>
      <sheetName val="2"/>
      <sheetName val="VP 2"/>
      <sheetName val="3"/>
      <sheetName val="VP 3"/>
      <sheetName val="4"/>
      <sheetName val="VP 4"/>
      <sheetName val="SUM-5.1"/>
      <sheetName val="5"/>
      <sheetName val="VP 5"/>
      <sheetName val="6"/>
      <sheetName val="7"/>
      <sheetName val="VP 7"/>
      <sheetName val="8"/>
      <sheetName val="VP 8"/>
      <sheetName val="9"/>
      <sheetName val="VP 9"/>
      <sheetName val="10"/>
      <sheetName val="VP 10"/>
      <sheetName val="11"/>
      <sheetName val="VP 11"/>
      <sheetName val="12"/>
      <sheetName val="VP 12"/>
      <sheetName val="13 ชั้น 7"/>
      <sheetName val="13 ชั้น 8"/>
      <sheetName val="14"/>
      <sheetName val="แก้ไข"/>
      <sheetName val="15"/>
      <sheetName val="15-R"/>
      <sheetName val="VP 15"/>
      <sheetName val="16"/>
      <sheetName val="VP 16"/>
      <sheetName val="17"/>
      <sheetName val="VP 17"/>
      <sheetName val="18"/>
      <sheetName val="19"/>
      <sheetName val="20"/>
      <sheetName val="SUM-21 ชั้น1,7,9,41"/>
      <sheetName val="21"/>
      <sheetName val="21.1"/>
      <sheetName val="21.2"/>
      <sheetName val="22"/>
      <sheetName val="23"/>
      <sheetName val="24"/>
      <sheetName val="Sum-25 ชั้น1,7,8,41,43,ลานจอดรถ"/>
      <sheetName val="25.1"/>
      <sheetName val="25.2"/>
      <sheetName val="25.3"/>
      <sheetName val="25.4"/>
      <sheetName val="Sum-26 ชั้น 1,7,41"/>
      <sheetName val="26.1"/>
      <sheetName val="26.2"/>
      <sheetName val="26.3"/>
      <sheetName val="27"/>
      <sheetName val="28"/>
      <sheetName val="29"/>
      <sheetName val="30"/>
      <sheetName val="31"/>
      <sheetName val="32"/>
      <sheetName val="33"/>
      <sheetName val="34"/>
      <sheetName val="35"/>
      <sheetName val="sum-35"/>
      <sheetName val="36"/>
      <sheetName val="Sheet2"/>
      <sheetName val="Sheet3"/>
      <sheetName val="MARGE"/>
      <sheetName val="Cov_Dwg1"/>
      <sheetName val="cov-final_AC1"/>
      <sheetName val="cov-contract_21"/>
      <sheetName val="สระน้ำหลัง_BO1"/>
      <sheetName val="สระน้ำ(ด้านทิศใต้อาคาร_B)1"/>
      <sheetName val="8_consume"/>
      <sheetName val="1_Labour"/>
      <sheetName val="2_staff"/>
      <sheetName val="6_-_Misc__EP"/>
      <sheetName val="C-LOAD(L-FACTORY_)"/>
      <sheetName val="Cost_Data"/>
      <sheetName val="BOX_Cryostat_Details"/>
      <sheetName val="Driver_Linac_Layout"/>
      <sheetName val="Magnet_Details"/>
      <sheetName val="1_1_1Gen"/>
      <sheetName val="1_1_2vehicle"/>
      <sheetName val="1_1_3Demobilize"/>
      <sheetName val="1_2Traffic"/>
      <sheetName val="1_3Envi"/>
      <sheetName val="1_4_1Test"/>
      <sheetName val="1_4_2Report"/>
      <sheetName val="2_1MainLine"/>
      <sheetName val="2_2Station"/>
      <sheetName val="4_1_1Pile"/>
      <sheetName val="4_1_2TBlock"/>
      <sheetName val="4_2Pier"/>
      <sheetName val="4_3Portal"/>
      <sheetName val="4_4Pad"/>
      <sheetName val="5_2_1Produce"/>
      <sheetName val="5_2_2Install"/>
      <sheetName val="5_3AR"/>
      <sheetName val="5_4E&amp;M"/>
      <sheetName val="6_1Yard"/>
      <sheetName val="6_2_1Pile"/>
      <sheetName val="6_2_2Pile_Cap"/>
      <sheetName val="6_3_1Pier"/>
      <sheetName val="6_3_2XBeam"/>
      <sheetName val="6_3_3I-Girder"/>
      <sheetName val="6_4_1Roof"/>
      <sheetName val="6_4_2Stair"/>
      <sheetName val="6_4_3Slab"/>
      <sheetName val="4-Local_transport"/>
      <sheetName val="3_-_Material"/>
      <sheetName val="Cov_Dwg2"/>
      <sheetName val="cov-final_AC2"/>
      <sheetName val="cov-contract_22"/>
      <sheetName val="DETAIL_1"/>
      <sheetName val="Q3-13_1"/>
      <sheetName val="Package_3(Concourse)1"/>
      <sheetName val="Package2_(MTB)1"/>
      <sheetName val="Central_Plant1"/>
      <sheetName val="สระน้ำหลัง_BO2"/>
      <sheetName val="สระน้ำ(ด้านทิศใต้อาคาร_B)2"/>
      <sheetName val="8_consume1"/>
      <sheetName val="1_Labour1"/>
      <sheetName val="2_staff1"/>
      <sheetName val="6_-_Misc__EP1"/>
      <sheetName val="C-LOAD(L-FACTORY_)1"/>
      <sheetName val="Cost_Data1"/>
      <sheetName val="BOX_Cryostat_Details1"/>
      <sheetName val="Driver_Linac_Layout1"/>
      <sheetName val="Magnet_Details1"/>
      <sheetName val="1_1_1Gen1"/>
      <sheetName val="1_1_2vehicle1"/>
      <sheetName val="1_1_3Demobilize1"/>
      <sheetName val="1_2Traffic1"/>
      <sheetName val="1_3Envi1"/>
      <sheetName val="1_4_1Test1"/>
      <sheetName val="1_4_2Report1"/>
      <sheetName val="2_1MainLine1"/>
      <sheetName val="2_2Station1"/>
      <sheetName val="4_1_1Pile1"/>
      <sheetName val="4_1_2TBlock1"/>
      <sheetName val="4_2Pier1"/>
      <sheetName val="4_3Portal1"/>
      <sheetName val="4_4Pad1"/>
      <sheetName val="5_2_1Produce1"/>
      <sheetName val="5_2_2Install1"/>
      <sheetName val="5_3AR1"/>
      <sheetName val="5_4E&amp;M1"/>
      <sheetName val="6_1Yard1"/>
      <sheetName val="6_2_1Pile1"/>
      <sheetName val="6_2_2Pile_Cap1"/>
      <sheetName val="6_3_1Pier1"/>
      <sheetName val="6_3_2XBeam1"/>
      <sheetName val="6_3_3I-Girder1"/>
      <sheetName val="6_4_1Roof1"/>
      <sheetName val="6_4_2Stair1"/>
      <sheetName val="6_4_3Slab1"/>
      <sheetName val="4-Local_transport1"/>
      <sheetName val="3_-_Material1"/>
      <sheetName val="5a.)LTV_1002-4001"/>
      <sheetName val="Prod-1"/>
      <sheetName val="Bill5-SUD"/>
      <sheetName val="Annex-Bill5"/>
      <sheetName val="Factor-G"/>
      <sheetName val="ราคารวม"/>
      <sheetName val="หมวดงานเตรียมการ"/>
      <sheetName val="หมวดงานวิศวกรรมโครงสร้าง"/>
      <sheetName val="หมวดงานสถาปัตยกรรม"/>
      <sheetName val="หมวดงานภายนอก "/>
      <sheetName val="Provisional Sum"/>
      <sheetName val="Cost impact"/>
      <sheetName val="Unit Rate"/>
      <sheetName val="QUESTIONNAIRE"/>
      <sheetName val="Purchase Order"/>
      <sheetName val="Customize Your Purchase Order"/>
      <sheetName val="อัตราส่วนผสมคอนกรีต"/>
      <sheetName val="6-asso"/>
      <sheetName val="Cov_Dwg3"/>
      <sheetName val="cov-final_AC3"/>
      <sheetName val="cov-contract_23"/>
      <sheetName val="DETAIL_2"/>
      <sheetName val="C-LOAD(L-FACTORY_)2"/>
      <sheetName val="Package_3(Concourse)2"/>
      <sheetName val="Package2_(MTB)2"/>
      <sheetName val="Central_Plant2"/>
      <sheetName val="Q3-13_2"/>
      <sheetName val="สระน้ำหลัง_BO3"/>
      <sheetName val="สระน้ำ(ด้านทิศใต้อาคาร_B)3"/>
      <sheetName val="8_consume2"/>
      <sheetName val="1_Labour2"/>
      <sheetName val="2_staff2"/>
      <sheetName val="6_-_Misc__EP2"/>
      <sheetName val="Cost_Data2"/>
      <sheetName val="1_1_1Gen2"/>
      <sheetName val="1_1_2vehicle2"/>
      <sheetName val="1_1_3Demobilize2"/>
      <sheetName val="1_2Traffic2"/>
      <sheetName val="1_3Envi2"/>
      <sheetName val="1_4_1Test2"/>
      <sheetName val="1_4_2Report2"/>
      <sheetName val="2_1MainLine2"/>
      <sheetName val="2_2Station2"/>
      <sheetName val="4_1_1Pile2"/>
      <sheetName val="4_1_2TBlock2"/>
      <sheetName val="4_2Pier2"/>
      <sheetName val="4_3Portal2"/>
      <sheetName val="4_4Pad2"/>
      <sheetName val="5_2_1Produce2"/>
      <sheetName val="5_2_2Install2"/>
      <sheetName val="5_3AR2"/>
      <sheetName val="5_4E&amp;M2"/>
      <sheetName val="6_1Yard2"/>
      <sheetName val="6_2_1Pile2"/>
      <sheetName val="6_2_2Pile_Cap2"/>
      <sheetName val="6_3_1Pier2"/>
      <sheetName val="6_3_2XBeam2"/>
      <sheetName val="6_3_3I-Girder2"/>
      <sheetName val="6_4_1Roof2"/>
      <sheetName val="6_4_2Stair2"/>
      <sheetName val="6_4_3Slab2"/>
      <sheetName val="4-Local_transport2"/>
      <sheetName val="3_-_Material2"/>
      <sheetName val="BOX_Cryostat_Details2"/>
      <sheetName val="Driver_Linac_Layout2"/>
      <sheetName val="Magnet_Details2"/>
      <sheetName val="Auto_Monthly_Inputs_"/>
      <sheetName val="5a_)LTV_1002-4001"/>
      <sheetName val="VP_1"/>
      <sheetName val="VP_2"/>
      <sheetName val="VP_3"/>
      <sheetName val="VP_4"/>
      <sheetName val="SUM-5_1"/>
      <sheetName val="VP_5"/>
      <sheetName val="VP_7"/>
      <sheetName val="VP_8"/>
      <sheetName val="VP_9"/>
      <sheetName val="VP_10"/>
      <sheetName val="VP_11"/>
      <sheetName val="VP_12"/>
      <sheetName val="13_ชั้น_7"/>
      <sheetName val="13_ชั้น_8"/>
      <sheetName val="VP_15"/>
      <sheetName val="VP_16"/>
      <sheetName val="VP_17"/>
      <sheetName val="SUM-21_ชั้น1,7,9,41"/>
      <sheetName val="21_1"/>
      <sheetName val="21_2"/>
      <sheetName val="Sum-25_ชั้น1,7,8,41,43,ลานจอดรถ"/>
      <sheetName val="25_1"/>
      <sheetName val="25_2"/>
      <sheetName val="25_3"/>
      <sheetName val="25_4"/>
      <sheetName val="Sum-26_ชั้น_1,7,41"/>
      <sheetName val="26_1"/>
      <sheetName val="26_2"/>
      <sheetName val="26_3"/>
      <sheetName val="Cov_Dwg4"/>
      <sheetName val="cov-final_AC4"/>
      <sheetName val="cov-contract_24"/>
      <sheetName val="DETAIL_3"/>
      <sheetName val="C-LOAD(L-FACTORY_)3"/>
      <sheetName val="Package_3(Concourse)3"/>
      <sheetName val="Package2_(MTB)3"/>
      <sheetName val="Central_Plant3"/>
      <sheetName val="Q3-13_3"/>
      <sheetName val="สระน้ำหลัง_BO4"/>
      <sheetName val="สระน้ำ(ด้านทิศใต้อาคาร_B)4"/>
      <sheetName val="8_consume3"/>
      <sheetName val="1_Labour3"/>
      <sheetName val="2_staff3"/>
      <sheetName val="6_-_Misc__EP3"/>
      <sheetName val="Cost_Data3"/>
      <sheetName val="1_1_1Gen3"/>
      <sheetName val="1_1_2vehicle3"/>
      <sheetName val="1_1_3Demobilize3"/>
      <sheetName val="1_2Traffic3"/>
      <sheetName val="1_3Envi3"/>
      <sheetName val="1_4_1Test3"/>
      <sheetName val="1_4_2Report3"/>
      <sheetName val="2_1MainLine3"/>
      <sheetName val="2_2Station3"/>
      <sheetName val="4_1_1Pile3"/>
      <sheetName val="4_1_2TBlock3"/>
      <sheetName val="4_2Pier3"/>
      <sheetName val="4_3Portal3"/>
      <sheetName val="4_4Pad3"/>
      <sheetName val="5_2_1Produce3"/>
      <sheetName val="5_2_2Install3"/>
      <sheetName val="5_3AR3"/>
      <sheetName val="5_4E&amp;M3"/>
      <sheetName val="6_1Yard3"/>
      <sheetName val="6_2_1Pile3"/>
      <sheetName val="6_2_2Pile_Cap3"/>
      <sheetName val="6_3_1Pier3"/>
      <sheetName val="6_3_2XBeam3"/>
      <sheetName val="6_3_3I-Girder3"/>
      <sheetName val="6_4_1Roof3"/>
      <sheetName val="6_4_2Stair3"/>
      <sheetName val="6_4_3Slab3"/>
      <sheetName val="4-Local_transport3"/>
      <sheetName val="3_-_Material3"/>
      <sheetName val="BOX_Cryostat_Details3"/>
      <sheetName val="Driver_Linac_Layout3"/>
      <sheetName val="Magnet_Details3"/>
      <sheetName val="Auto_Monthly_Inputs_1"/>
      <sheetName val="5a_)LTV_1002-40011"/>
      <sheetName val="VP_13"/>
      <sheetName val="VP_21"/>
      <sheetName val="VP_31"/>
      <sheetName val="VP_41"/>
      <sheetName val="SUM-5_11"/>
      <sheetName val="VP_51"/>
      <sheetName val="VP_71"/>
      <sheetName val="VP_81"/>
      <sheetName val="VP_91"/>
      <sheetName val="VP_101"/>
      <sheetName val="VP_111"/>
      <sheetName val="VP_121"/>
      <sheetName val="13_ชั้น_71"/>
      <sheetName val="13_ชั้น_81"/>
      <sheetName val="VP_151"/>
      <sheetName val="VP_161"/>
      <sheetName val="VP_171"/>
      <sheetName val="SUM-21_ชั้น1,7,9,411"/>
      <sheetName val="21_11"/>
      <sheetName val="21_21"/>
      <sheetName val="Sum-25_ชั้น1,7,8,41,43,ลานจอดร1"/>
      <sheetName val="25_11"/>
      <sheetName val="25_21"/>
      <sheetName val="25_31"/>
      <sheetName val="25_41"/>
      <sheetName val="Sum-26_ชั้น_1,7,411"/>
      <sheetName val="26_11"/>
      <sheetName val="26_21"/>
      <sheetName val="26_31"/>
      <sheetName val="Cost_Categories"/>
      <sheetName val="CommonItems"/>
      <sheetName val="Ceil."/>
      <sheetName val="งานภายนอก"/>
      <sheetName val="Paint."/>
      <sheetName val="Struc."/>
      <sheetName val="Wall"/>
      <sheetName val="หมวด 6(2)"/>
      <sheetName val="หมวด 2"/>
      <sheetName val="ราคาวัสดุ"/>
      <sheetName val="ดัชนีราคา"/>
      <sheetName val="สรุป"/>
      <sheetName val="Order List"/>
      <sheetName val="Criteria"/>
      <sheetName val="cover"/>
      <sheetName val="ค่าวัสดุ"/>
      <sheetName val="Final Summary - Base"/>
      <sheetName val="รถพ่วงขนส่ง"/>
      <sheetName val="SHT1-CONSOL"/>
      <sheetName val="WORK"/>
      <sheetName val="DuctWork Summary"/>
      <sheetName val="SOPMA DD"/>
      <sheetName val="SCH2"/>
      <sheetName val="SCH1"/>
      <sheetName val="SCH3"/>
      <sheetName val="Definition"/>
      <sheetName val="ต้นทุน"/>
      <sheetName val="structure"/>
      <sheetName val="Factor F Data"/>
      <sheetName val="LpC"/>
      <sheetName val="SUM-AIR-Submit"/>
      <sheetName val="1_interior l1_l3"/>
      <sheetName val="Cov_Dwg5"/>
      <sheetName val="cov-final_AC5"/>
      <sheetName val="cov-contract_25"/>
      <sheetName val="DETAIL_4"/>
      <sheetName val="Q3-13_4"/>
      <sheetName val="Package_3(Concourse)4"/>
      <sheetName val="Package2_(MTB)4"/>
      <sheetName val="Central_Plant4"/>
      <sheetName val="สระน้ำหลัง_BO5"/>
      <sheetName val="สระน้ำ(ด้านทิศใต้อาคาร_B)5"/>
      <sheetName val="8_consume4"/>
      <sheetName val="1_Labour4"/>
      <sheetName val="2_staff4"/>
      <sheetName val="6_-_Misc__EP4"/>
      <sheetName val="C-LOAD(L-FACTORY_)4"/>
      <sheetName val="Cost_Data4"/>
      <sheetName val="BOX_Cryostat_Details4"/>
      <sheetName val="Driver_Linac_Layout4"/>
      <sheetName val="Magnet_Details4"/>
      <sheetName val="1_1_1Gen4"/>
      <sheetName val="1_1_2vehicle4"/>
      <sheetName val="1_1_3Demobilize4"/>
      <sheetName val="1_2Traffic4"/>
      <sheetName val="1_3Envi4"/>
      <sheetName val="1_4_1Test4"/>
      <sheetName val="1_4_2Report4"/>
      <sheetName val="2_1MainLine4"/>
      <sheetName val="2_2Station4"/>
      <sheetName val="4_1_1Pile4"/>
      <sheetName val="4_1_2TBlock4"/>
      <sheetName val="4_2Pier4"/>
      <sheetName val="4_3Portal4"/>
      <sheetName val="4_4Pad4"/>
      <sheetName val="5_2_1Produce4"/>
      <sheetName val="5_2_2Install4"/>
      <sheetName val="5_3AR4"/>
      <sheetName val="5_4E&amp;M4"/>
      <sheetName val="6_1Yard4"/>
      <sheetName val="6_2_1Pile4"/>
      <sheetName val="6_2_2Pile_Cap4"/>
      <sheetName val="6_3_1Pier4"/>
      <sheetName val="6_3_2XBeam4"/>
      <sheetName val="6_3_3I-Girder4"/>
      <sheetName val="6_4_1Roof4"/>
      <sheetName val="6_4_2Stair4"/>
      <sheetName val="6_4_3Slab4"/>
      <sheetName val="4-Local_transport4"/>
      <sheetName val="3_-_Material4"/>
      <sheetName val="Auto_Monthly_Inputs_2"/>
      <sheetName val="VP_14"/>
      <sheetName val="VP_22"/>
      <sheetName val="VP_32"/>
      <sheetName val="VP_42"/>
      <sheetName val="SUM-5_12"/>
      <sheetName val="VP_52"/>
      <sheetName val="VP_72"/>
      <sheetName val="VP_82"/>
      <sheetName val="VP_92"/>
      <sheetName val="VP_102"/>
      <sheetName val="VP_112"/>
      <sheetName val="VP_122"/>
      <sheetName val="13_ชั้น_72"/>
      <sheetName val="13_ชั้น_82"/>
      <sheetName val="VP_152"/>
      <sheetName val="VP_162"/>
      <sheetName val="VP_172"/>
      <sheetName val="SUM-21_ชั้น1,7,9,412"/>
      <sheetName val="21_12"/>
      <sheetName val="21_22"/>
      <sheetName val="Sum-25_ชั้น1,7,8,41,43,ลานจอดร2"/>
      <sheetName val="25_12"/>
      <sheetName val="25_22"/>
      <sheetName val="25_32"/>
      <sheetName val="25_42"/>
      <sheetName val="Sum-26_ชั้น_1,7,412"/>
      <sheetName val="26_12"/>
      <sheetName val="26_22"/>
      <sheetName val="26_32"/>
      <sheetName val="5a_)LTV_1002-40012"/>
      <sheetName val="Purchase_Order1"/>
      <sheetName val="Customize_Your_Purchase_Order1"/>
      <sheetName val="Purchase_Order"/>
      <sheetName val="Customize_Your_Purchase_Order"/>
      <sheetName val="企业表一"/>
      <sheetName val="#REF!"/>
      <sheetName val="M-5A"/>
      <sheetName val="M-5C"/>
      <sheetName val="Extra"/>
      <sheetName val="Q2-13"/>
      <sheetName val="Cov_Dwg6"/>
      <sheetName val="cov-final_AC6"/>
      <sheetName val="cov-contract_26"/>
      <sheetName val="DETAIL_5"/>
      <sheetName val="Q3-13_5"/>
      <sheetName val="Package_3(Concourse)5"/>
      <sheetName val="Package2_(MTB)5"/>
      <sheetName val="Central_Plant5"/>
      <sheetName val="สระน้ำหลัง_BO6"/>
      <sheetName val="สระน้ำ(ด้านทิศใต้อาคาร_B)6"/>
      <sheetName val="8_consume5"/>
      <sheetName val="1_Labour5"/>
      <sheetName val="2_staff5"/>
      <sheetName val="6_-_Misc__EP5"/>
      <sheetName val="C-LOAD(L-FACTORY_)5"/>
      <sheetName val="Cost_Data5"/>
      <sheetName val="BOX_Cryostat_Details5"/>
      <sheetName val="Driver_Linac_Layout5"/>
      <sheetName val="Magnet_Details5"/>
      <sheetName val="1_1_1Gen5"/>
      <sheetName val="1_1_2vehicle5"/>
      <sheetName val="1_1_3Demobilize5"/>
      <sheetName val="1_2Traffic5"/>
      <sheetName val="1_3Envi5"/>
      <sheetName val="1_4_1Test5"/>
      <sheetName val="1_4_2Report5"/>
      <sheetName val="2_1MainLine5"/>
      <sheetName val="2_2Station5"/>
      <sheetName val="4_1_1Pile5"/>
      <sheetName val="4_1_2TBlock5"/>
      <sheetName val="4_2Pier5"/>
      <sheetName val="4_3Portal5"/>
      <sheetName val="4_4Pad5"/>
      <sheetName val="5_2_1Produce5"/>
      <sheetName val="5_2_2Install5"/>
      <sheetName val="5_3AR5"/>
      <sheetName val="5_4E&amp;M5"/>
      <sheetName val="6_1Yard5"/>
      <sheetName val="6_2_1Pile5"/>
      <sheetName val="6_2_2Pile_Cap5"/>
      <sheetName val="6_3_1Pier5"/>
      <sheetName val="6_3_2XBeam5"/>
      <sheetName val="6_3_3I-Girder5"/>
      <sheetName val="6_4_1Roof5"/>
      <sheetName val="6_4_2Stair5"/>
      <sheetName val="6_4_3Slab5"/>
      <sheetName val="4-Local_transport5"/>
      <sheetName val="3_-_Material5"/>
      <sheetName val="Auto_Monthly_Inputs_3"/>
      <sheetName val="VP_18"/>
      <sheetName val="VP_23"/>
      <sheetName val="VP_33"/>
      <sheetName val="VP_43"/>
      <sheetName val="SUM-5_13"/>
      <sheetName val="VP_53"/>
      <sheetName val="VP_73"/>
      <sheetName val="VP_83"/>
      <sheetName val="VP_93"/>
      <sheetName val="VP_103"/>
      <sheetName val="VP_113"/>
      <sheetName val="VP_123"/>
      <sheetName val="13_ชั้น_73"/>
      <sheetName val="13_ชั้น_83"/>
      <sheetName val="VP_153"/>
      <sheetName val="VP_163"/>
      <sheetName val="VP_173"/>
      <sheetName val="SUM-21_ชั้น1,7,9,413"/>
      <sheetName val="21_13"/>
      <sheetName val="21_23"/>
      <sheetName val="Sum-25_ชั้น1,7,8,41,43,ลานจอดร3"/>
      <sheetName val="25_13"/>
      <sheetName val="25_23"/>
      <sheetName val="25_33"/>
      <sheetName val="25_43"/>
      <sheetName val="Sum-26_ชั้น_1,7,413"/>
      <sheetName val="26_13"/>
      <sheetName val="26_23"/>
      <sheetName val="26_33"/>
      <sheetName val="5a_)LTV_1002-40013"/>
      <sheetName val="หมวดงานภายนอก_"/>
      <sheetName val="Provisional_Sum"/>
      <sheetName val="Cost_impact"/>
      <sheetName val="Unit_Rate"/>
      <sheetName val="Purchase_Order2"/>
      <sheetName val="Customize_Your_Purchase_Order2"/>
      <sheetName val="Ceil_1"/>
      <sheetName val="Paint_"/>
      <sheetName val="Struc_"/>
      <sheetName val="หมวด_6(2)"/>
      <sheetName val="หมวด_2"/>
      <sheetName val="Order_List"/>
      <sheetName val="Final_Summary_-_Base"/>
      <sheetName val="DuctWork_Summary"/>
      <sheetName val="SOPMA_DD"/>
      <sheetName val="S3 Architectural"/>
      <sheetName val="stair"/>
      <sheetName val="1.0"/>
      <sheetName val="Main Summary"/>
      <sheetName val="磨煤加压"/>
      <sheetName val="BUR4-Rd"/>
      <sheetName val="BUR3-DrnRC"/>
      <sheetName val="schedule4"/>
      <sheetName val="CERT"/>
      <sheetName val="COST"/>
      <sheetName val="ob_complete"/>
      <sheetName val="main page"/>
      <sheetName val="2Piling"/>
      <sheetName val="CONTRACTOR AEW"/>
      <sheetName val="Bill"/>
      <sheetName val="summary sn fp"/>
      <sheetName val="Discounted Cash Flow"/>
      <sheetName val="Data"/>
      <sheetName val="Construction cost assumption"/>
      <sheetName val="JLL Assumption"/>
      <sheetName val="Sheet1"/>
      <sheetName val="Retail Program&amp;Rev Assumption"/>
      <sheetName val="Database"/>
      <sheetName val="Discount "/>
      <sheetName val="1_interior_l1_l3"/>
      <sheetName val="Factor_F_Data"/>
      <sheetName val="Settings"/>
      <sheetName val="summary1-3"/>
      <sheetName val="สรุปราคา (EMC)"/>
      <sheetName val="Equipment"/>
      <sheetName val="footing"/>
      <sheetName val="inWords"/>
      <sheetName val="HOSPI-01"/>
      <sheetName val="Cov_Dwg7"/>
      <sheetName val="cov-final_AC7"/>
      <sheetName val="cov-contract_27"/>
      <sheetName val="Package_3(Concourse)6"/>
      <sheetName val="Package2_(MTB)6"/>
      <sheetName val="Central_Plant6"/>
      <sheetName val="DETAIL_6"/>
      <sheetName val="Q3-13_6"/>
      <sheetName val="สระน้ำหลัง_BO7"/>
      <sheetName val="สระน้ำ(ด้านทิศใต้อาคาร_B)7"/>
      <sheetName val="8_consume6"/>
      <sheetName val="1_Labour6"/>
      <sheetName val="2_staff6"/>
      <sheetName val="6_-_Misc__EP6"/>
      <sheetName val="C-LOAD(L-FACTORY_)6"/>
      <sheetName val="Cost_Data6"/>
      <sheetName val="1_1_1Gen6"/>
      <sheetName val="1_1_2vehicle6"/>
      <sheetName val="1_1_3Demobilize6"/>
      <sheetName val="1_2Traffic6"/>
      <sheetName val="1_3Envi6"/>
      <sheetName val="1_4_1Test6"/>
      <sheetName val="1_4_2Report6"/>
      <sheetName val="2_1MainLine6"/>
      <sheetName val="2_2Station6"/>
      <sheetName val="4_1_1Pile6"/>
      <sheetName val="4_1_2TBlock6"/>
      <sheetName val="4_2Pier6"/>
      <sheetName val="4_3Portal6"/>
      <sheetName val="4_4Pad6"/>
      <sheetName val="5_2_1Produce6"/>
      <sheetName val="5_2_2Install6"/>
      <sheetName val="5_3AR6"/>
      <sheetName val="5_4E&amp;M6"/>
      <sheetName val="6_1Yard6"/>
      <sheetName val="6_2_1Pile6"/>
      <sheetName val="6_2_2Pile_Cap6"/>
      <sheetName val="6_3_1Pier6"/>
      <sheetName val="6_3_2XBeam6"/>
      <sheetName val="6_3_3I-Girder6"/>
      <sheetName val="6_4_1Roof6"/>
      <sheetName val="6_4_2Stair6"/>
      <sheetName val="6_4_3Slab6"/>
      <sheetName val="4-Local_transport6"/>
      <sheetName val="3_-_Material6"/>
      <sheetName val="BOX_Cryostat_Details6"/>
      <sheetName val="Driver_Linac_Layout6"/>
      <sheetName val="Magnet_Details6"/>
      <sheetName val="Auto_Monthly_Inputs_4"/>
      <sheetName val="VP_19"/>
      <sheetName val="VP_24"/>
      <sheetName val="VP_34"/>
      <sheetName val="VP_44"/>
      <sheetName val="SUM-5_14"/>
      <sheetName val="VP_54"/>
      <sheetName val="VP_74"/>
      <sheetName val="VP_84"/>
      <sheetName val="VP_94"/>
      <sheetName val="VP_104"/>
      <sheetName val="VP_114"/>
      <sheetName val="VP_124"/>
      <sheetName val="13_ชั้น_74"/>
      <sheetName val="13_ชั้น_84"/>
      <sheetName val="VP_154"/>
      <sheetName val="VP_164"/>
      <sheetName val="VP_174"/>
      <sheetName val="SUM-21_ชั้น1,7,9,414"/>
      <sheetName val="21_14"/>
      <sheetName val="21_24"/>
      <sheetName val="Sum-25_ชั้น1,7,8,41,43,ลานจอดร4"/>
      <sheetName val="25_14"/>
      <sheetName val="25_24"/>
      <sheetName val="25_34"/>
      <sheetName val="25_44"/>
      <sheetName val="Sum-26_ชั้น_1,7,414"/>
      <sheetName val="26_14"/>
      <sheetName val="26_24"/>
      <sheetName val="26_34"/>
      <sheetName val="5a_)LTV_1002-40014"/>
      <sheetName val="Purchase_Order3"/>
      <sheetName val="Customize_Your_Purchase_Order3"/>
      <sheetName val="หมวดงานภายนอก_1"/>
      <sheetName val="Provisional_Sum1"/>
      <sheetName val="Cost_impact1"/>
      <sheetName val="Unit_Rate1"/>
      <sheetName val="Ceil_2"/>
      <sheetName val="Paint_1"/>
      <sheetName val="Struc_1"/>
      <sheetName val="หมวด_6(2)1"/>
      <sheetName val="หมวด_21"/>
      <sheetName val="Order_List1"/>
      <sheetName val="DuctWork_Summary1"/>
      <sheetName val="SOPMA_DD1"/>
      <sheetName val="Final_Summary_-_Base1"/>
      <sheetName val="fr"/>
      <sheetName val="A"/>
      <sheetName val="3.1 Piling"/>
      <sheetName val="Cost Plan"/>
      <sheetName val="Attendance配合费"/>
      <sheetName val="detail"/>
      <sheetName val="sch 2"/>
      <sheetName val="Unit rate Architecture"/>
      <sheetName val="DataSoi18"/>
      <sheetName val="dataSoi11"/>
      <sheetName val="dataSoi16"/>
      <sheetName val="dataSoi24"/>
      <sheetName val="dataSoi24P"/>
      <sheetName val="dataSoi8"/>
      <sheetName val="Revised-ProformaSoi18"/>
      <sheetName val="Revised-ProformaSoi24P"/>
      <sheetName val="SumP&amp;L current Sites"/>
      <sheetName val="Revised-ProformaSoi11"/>
      <sheetName val="Revised_ProformaSoi16"/>
      <sheetName val="Revised-ProformaSoi24"/>
      <sheetName val="Revised_ProformaSoi8"/>
      <sheetName val="san reduced 1"/>
      <sheetName val="exec summary"/>
      <sheetName val="sensitivities"/>
      <sheetName val="SCIB_Data"/>
      <sheetName val="SCIB_Proforma"/>
      <sheetName val="S3_Architectural"/>
      <sheetName val="Main_Summary"/>
      <sheetName val="1_0"/>
      <sheetName val="main_page"/>
      <sheetName val="CONTRACTOR_AEW"/>
      <sheetName val="Discounted_Cash_Flow"/>
      <sheetName val="สรุปราคา_(EMC)"/>
      <sheetName val="Unit_rate_Architecture"/>
      <sheetName val="SumP&amp;L_current_Sites"/>
      <sheetName val="san_reduced_1"/>
      <sheetName val="exec_summary"/>
    </sheetNames>
    <sheetDataSet>
      <sheetData sheetId="0">
        <row r="4">
          <cell r="E4" t="str">
            <v>COST COMMENTARY REPORT</v>
          </cell>
        </row>
      </sheetData>
      <sheetData sheetId="1">
        <row r="4">
          <cell r="E4" t="str">
            <v>COST COMMENTARY REPORT</v>
          </cell>
        </row>
        <row r="9">
          <cell r="E9" t="str">
            <v>on</v>
          </cell>
        </row>
        <row r="14">
          <cell r="E14" t="str">
            <v>GAYSORN PLAZA RENOVATION</v>
          </cell>
        </row>
        <row r="17">
          <cell r="E17" t="str">
            <v/>
          </cell>
        </row>
        <row r="20">
          <cell r="E20" t="str">
            <v>for</v>
          </cell>
        </row>
        <row r="25">
          <cell r="E25" t="str">
            <v>HONG KONG LAND</v>
          </cell>
        </row>
        <row r="31">
          <cell r="E31" t="str">
            <v>9 March 2001</v>
          </cell>
        </row>
        <row r="35">
          <cell r="E35" t="str">
            <v/>
          </cell>
        </row>
        <row r="36">
          <cell r="E36" t="str">
            <v>RIDER HUNT LEVETT &amp; BAILEY (THAILAND) LTD.</v>
          </cell>
        </row>
        <row r="37">
          <cell r="E37" t="str">
            <v>PITAK COURT, HOUSE NO. 29</v>
          </cell>
        </row>
        <row r="38">
          <cell r="E38" t="str">
            <v>43 SOI SATHORN 1, SOUTH SATHORN ROAD</v>
          </cell>
        </row>
        <row r="39">
          <cell r="E39" t="str">
            <v>TUNGMAHAMEAK, SATHORN, BANGKOK 10120 THAILAND</v>
          </cell>
        </row>
        <row r="41">
          <cell r="E41" t="str">
            <v>Tel: 286-0196-7          Fax: 286-0198</v>
          </cell>
        </row>
        <row r="44">
          <cell r="F44" t="str">
            <v>Ref. QS/W/181</v>
          </cell>
        </row>
        <row r="45">
          <cell r="E45" t="str">
            <v/>
          </cell>
          <cell r="F45" t="str">
            <v>E/0102</v>
          </cell>
        </row>
      </sheetData>
      <sheetData sheetId="2"/>
      <sheetData sheetId="3"/>
      <sheetData sheetId="4"/>
      <sheetData sheetId="5"/>
      <sheetData sheetId="6">
        <row r="1">
          <cell r="B1">
            <v>0</v>
          </cell>
        </row>
      </sheetData>
      <sheetData sheetId="7"/>
      <sheetData sheetId="8">
        <row r="4">
          <cell r="E4" t="str">
            <v>COST COMMENTARY REPORT</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1">
          <cell r="B1">
            <v>0</v>
          </cell>
        </row>
      </sheetData>
      <sheetData sheetId="110">
        <row r="1">
          <cell r="B1">
            <v>0</v>
          </cell>
        </row>
      </sheetData>
      <sheetData sheetId="111">
        <row r="1">
          <cell r="B1">
            <v>0</v>
          </cell>
        </row>
      </sheetData>
      <sheetData sheetId="112">
        <row r="1">
          <cell r="B1">
            <v>0</v>
          </cell>
        </row>
      </sheetData>
      <sheetData sheetId="113">
        <row r="1">
          <cell r="B1">
            <v>0</v>
          </cell>
        </row>
      </sheetData>
      <sheetData sheetId="114">
        <row r="1">
          <cell r="B1">
            <v>0</v>
          </cell>
        </row>
      </sheetData>
      <sheetData sheetId="115">
        <row r="1">
          <cell r="B1">
            <v>0</v>
          </cell>
        </row>
      </sheetData>
      <sheetData sheetId="116">
        <row r="1">
          <cell r="B1">
            <v>0</v>
          </cell>
        </row>
      </sheetData>
      <sheetData sheetId="117">
        <row r="1">
          <cell r="B1">
            <v>0</v>
          </cell>
        </row>
      </sheetData>
      <sheetData sheetId="118">
        <row r="1">
          <cell r="B1">
            <v>0</v>
          </cell>
        </row>
      </sheetData>
      <sheetData sheetId="119">
        <row r="1">
          <cell r="B1">
            <v>0</v>
          </cell>
        </row>
      </sheetData>
      <sheetData sheetId="120">
        <row r="1">
          <cell r="B1">
            <v>0</v>
          </cell>
        </row>
      </sheetData>
      <sheetData sheetId="121">
        <row r="1">
          <cell r="B1">
            <v>0</v>
          </cell>
        </row>
      </sheetData>
      <sheetData sheetId="122">
        <row r="1">
          <cell r="B1">
            <v>0</v>
          </cell>
        </row>
      </sheetData>
      <sheetData sheetId="123">
        <row r="1">
          <cell r="B1">
            <v>0</v>
          </cell>
        </row>
      </sheetData>
      <sheetData sheetId="124">
        <row r="1">
          <cell r="B1">
            <v>0</v>
          </cell>
        </row>
      </sheetData>
      <sheetData sheetId="125">
        <row r="1">
          <cell r="B1">
            <v>0</v>
          </cell>
        </row>
      </sheetData>
      <sheetData sheetId="126">
        <row r="1">
          <cell r="B1">
            <v>0</v>
          </cell>
        </row>
      </sheetData>
      <sheetData sheetId="127">
        <row r="1">
          <cell r="B1">
            <v>0</v>
          </cell>
        </row>
      </sheetData>
      <sheetData sheetId="128">
        <row r="4">
          <cell r="E4" t="str">
            <v>COST COMMENTARY REPORT</v>
          </cell>
        </row>
      </sheetData>
      <sheetData sheetId="129">
        <row r="4">
          <cell r="E4" t="str">
            <v>COST COMMENTARY REPORT</v>
          </cell>
        </row>
      </sheetData>
      <sheetData sheetId="130">
        <row r="4">
          <cell r="E4" t="str">
            <v>COST COMMENTARY REPORT</v>
          </cell>
        </row>
      </sheetData>
      <sheetData sheetId="131"/>
      <sheetData sheetId="132"/>
      <sheetData sheetId="133"/>
      <sheetData sheetId="134"/>
      <sheetData sheetId="135"/>
      <sheetData sheetId="136"/>
      <sheetData sheetId="137"/>
      <sheetData sheetId="138"/>
      <sheetData sheetId="139"/>
      <sheetData sheetId="140"/>
      <sheetData sheetId="141"/>
      <sheetData sheetId="142">
        <row r="4">
          <cell r="E4" t="str">
            <v>COST COMMENTARY REPORT</v>
          </cell>
        </row>
      </sheetData>
      <sheetData sheetId="143"/>
      <sheetData sheetId="144"/>
      <sheetData sheetId="145"/>
      <sheetData sheetId="146"/>
      <sheetData sheetId="147"/>
      <sheetData sheetId="148">
        <row r="4">
          <cell r="E4" t="str">
            <v>COST COMMENTARY REPORT</v>
          </cell>
        </row>
      </sheetData>
      <sheetData sheetId="149">
        <row r="4">
          <cell r="E4" t="str">
            <v>COST COMMENTARY REPORT</v>
          </cell>
        </row>
      </sheetData>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ow r="4">
          <cell r="E4" t="str">
            <v>COST COMMENTARY REPORT</v>
          </cell>
        </row>
      </sheetData>
      <sheetData sheetId="179">
        <row r="4">
          <cell r="E4" t="str">
            <v>COST COMMENTARY REPORT</v>
          </cell>
        </row>
      </sheetData>
      <sheetData sheetId="180">
        <row r="1">
          <cell r="B1">
            <v>0</v>
          </cell>
        </row>
      </sheetData>
      <sheetData sheetId="181">
        <row r="1">
          <cell r="B1">
            <v>0</v>
          </cell>
        </row>
      </sheetData>
      <sheetData sheetId="182">
        <row r="1">
          <cell r="B1">
            <v>0</v>
          </cell>
        </row>
      </sheetData>
      <sheetData sheetId="183">
        <row r="1">
          <cell r="B1">
            <v>0</v>
          </cell>
        </row>
      </sheetData>
      <sheetData sheetId="184">
        <row r="1">
          <cell r="B1">
            <v>0</v>
          </cell>
        </row>
      </sheetData>
      <sheetData sheetId="185">
        <row r="1">
          <cell r="B1">
            <v>0</v>
          </cell>
        </row>
      </sheetData>
      <sheetData sheetId="186">
        <row r="1">
          <cell r="B1">
            <v>0</v>
          </cell>
        </row>
      </sheetData>
      <sheetData sheetId="187">
        <row r="1">
          <cell r="B1">
            <v>0</v>
          </cell>
        </row>
      </sheetData>
      <sheetData sheetId="188">
        <row r="1">
          <cell r="B1">
            <v>0</v>
          </cell>
        </row>
      </sheetData>
      <sheetData sheetId="189">
        <row r="1">
          <cell r="B1">
            <v>0</v>
          </cell>
        </row>
      </sheetData>
      <sheetData sheetId="190">
        <row r="1">
          <cell r="B1">
            <v>0</v>
          </cell>
        </row>
      </sheetData>
      <sheetData sheetId="191">
        <row r="1">
          <cell r="B1">
            <v>0</v>
          </cell>
        </row>
      </sheetData>
      <sheetData sheetId="192">
        <row r="1">
          <cell r="B1">
            <v>0</v>
          </cell>
        </row>
      </sheetData>
      <sheetData sheetId="193">
        <row r="1">
          <cell r="B1">
            <v>0</v>
          </cell>
        </row>
      </sheetData>
      <sheetData sheetId="194">
        <row r="1">
          <cell r="B1">
            <v>0</v>
          </cell>
        </row>
      </sheetData>
      <sheetData sheetId="195">
        <row r="1">
          <cell r="B1">
            <v>0</v>
          </cell>
        </row>
      </sheetData>
      <sheetData sheetId="196">
        <row r="4">
          <cell r="E4" t="str">
            <v>COST COMMENTARY REPORT</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4">
          <cell r="E4" t="str">
            <v>COST COMMENTARY REPORT</v>
          </cell>
        </row>
      </sheetData>
      <sheetData sheetId="277">
        <row r="1">
          <cell r="B1">
            <v>0</v>
          </cell>
        </row>
      </sheetData>
      <sheetData sheetId="278">
        <row r="1">
          <cell r="B1">
            <v>0</v>
          </cell>
        </row>
      </sheetData>
      <sheetData sheetId="279">
        <row r="1">
          <cell r="B1">
            <v>0</v>
          </cell>
        </row>
      </sheetData>
      <sheetData sheetId="280">
        <row r="1">
          <cell r="B1">
            <v>0</v>
          </cell>
        </row>
      </sheetData>
      <sheetData sheetId="281">
        <row r="1">
          <cell r="B1">
            <v>0</v>
          </cell>
        </row>
      </sheetData>
      <sheetData sheetId="282">
        <row r="1">
          <cell r="B1">
            <v>0</v>
          </cell>
        </row>
      </sheetData>
      <sheetData sheetId="283">
        <row r="1">
          <cell r="B1">
            <v>0</v>
          </cell>
        </row>
      </sheetData>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ow r="1">
          <cell r="B1">
            <v>0</v>
          </cell>
        </row>
      </sheetData>
      <sheetData sheetId="294">
        <row r="1">
          <cell r="B1">
            <v>0</v>
          </cell>
        </row>
      </sheetData>
      <sheetData sheetId="295">
        <row r="1">
          <cell r="B1">
            <v>0</v>
          </cell>
        </row>
      </sheetData>
      <sheetData sheetId="296">
        <row r="1">
          <cell r="B1">
            <v>0</v>
          </cell>
        </row>
      </sheetData>
      <sheetData sheetId="297">
        <row r="1">
          <cell r="B1">
            <v>0</v>
          </cell>
        </row>
      </sheetData>
      <sheetData sheetId="298">
        <row r="1">
          <cell r="B1">
            <v>0</v>
          </cell>
        </row>
      </sheetData>
      <sheetData sheetId="299">
        <row r="1">
          <cell r="B1">
            <v>0</v>
          </cell>
        </row>
      </sheetData>
      <sheetData sheetId="300">
        <row r="1">
          <cell r="B1">
            <v>0</v>
          </cell>
        </row>
      </sheetData>
      <sheetData sheetId="301">
        <row r="1">
          <cell r="B1">
            <v>0</v>
          </cell>
        </row>
      </sheetData>
      <sheetData sheetId="302">
        <row r="1">
          <cell r="B1">
            <v>0</v>
          </cell>
        </row>
      </sheetData>
      <sheetData sheetId="303">
        <row r="1">
          <cell r="B1">
            <v>0</v>
          </cell>
        </row>
      </sheetData>
      <sheetData sheetId="304">
        <row r="1">
          <cell r="B1">
            <v>0</v>
          </cell>
        </row>
      </sheetData>
      <sheetData sheetId="305">
        <row r="1">
          <cell r="B1">
            <v>0</v>
          </cell>
        </row>
      </sheetData>
      <sheetData sheetId="306">
        <row r="1">
          <cell r="B1">
            <v>0</v>
          </cell>
        </row>
      </sheetData>
      <sheetData sheetId="307">
        <row r="1">
          <cell r="B1">
            <v>0</v>
          </cell>
        </row>
      </sheetData>
      <sheetData sheetId="308">
        <row r="1">
          <cell r="B1">
            <v>0</v>
          </cell>
        </row>
      </sheetData>
      <sheetData sheetId="309">
        <row r="1">
          <cell r="B1">
            <v>0</v>
          </cell>
        </row>
      </sheetData>
      <sheetData sheetId="310">
        <row r="1">
          <cell r="B1">
            <v>0</v>
          </cell>
        </row>
      </sheetData>
      <sheetData sheetId="311">
        <row r="1">
          <cell r="B1">
            <v>0</v>
          </cell>
        </row>
      </sheetData>
      <sheetData sheetId="312">
        <row r="1">
          <cell r="B1">
            <v>0</v>
          </cell>
        </row>
      </sheetData>
      <sheetData sheetId="313">
        <row r="1">
          <cell r="B1">
            <v>0</v>
          </cell>
        </row>
      </sheetData>
      <sheetData sheetId="314">
        <row r="1">
          <cell r="B1">
            <v>0</v>
          </cell>
        </row>
      </sheetData>
      <sheetData sheetId="315">
        <row r="1">
          <cell r="B1">
            <v>0</v>
          </cell>
        </row>
      </sheetData>
      <sheetData sheetId="316">
        <row r="1">
          <cell r="B1">
            <v>0</v>
          </cell>
        </row>
      </sheetData>
      <sheetData sheetId="317">
        <row r="1">
          <cell r="B1">
            <v>0</v>
          </cell>
        </row>
      </sheetData>
      <sheetData sheetId="318">
        <row r="1">
          <cell r="B1">
            <v>0</v>
          </cell>
        </row>
      </sheetData>
      <sheetData sheetId="319">
        <row r="1">
          <cell r="B1">
            <v>0</v>
          </cell>
        </row>
      </sheetData>
      <sheetData sheetId="320">
        <row r="1">
          <cell r="B1">
            <v>0</v>
          </cell>
        </row>
      </sheetData>
      <sheetData sheetId="321">
        <row r="1">
          <cell r="B1">
            <v>0</v>
          </cell>
        </row>
      </sheetData>
      <sheetData sheetId="322">
        <row r="1">
          <cell r="B1">
            <v>0</v>
          </cell>
        </row>
      </sheetData>
      <sheetData sheetId="323">
        <row r="1">
          <cell r="B1">
            <v>0</v>
          </cell>
        </row>
      </sheetData>
      <sheetData sheetId="324">
        <row r="1">
          <cell r="B1">
            <v>0</v>
          </cell>
        </row>
      </sheetData>
      <sheetData sheetId="325">
        <row r="1">
          <cell r="B1">
            <v>0</v>
          </cell>
        </row>
      </sheetData>
      <sheetData sheetId="326">
        <row r="1">
          <cell r="B1">
            <v>0</v>
          </cell>
        </row>
      </sheetData>
      <sheetData sheetId="327">
        <row r="1">
          <cell r="B1">
            <v>0</v>
          </cell>
        </row>
      </sheetData>
      <sheetData sheetId="328">
        <row r="1">
          <cell r="B1">
            <v>0</v>
          </cell>
        </row>
      </sheetData>
      <sheetData sheetId="329">
        <row r="1">
          <cell r="B1">
            <v>0</v>
          </cell>
        </row>
      </sheetData>
      <sheetData sheetId="330">
        <row r="1">
          <cell r="B1">
            <v>0</v>
          </cell>
        </row>
      </sheetData>
      <sheetData sheetId="331">
        <row r="1">
          <cell r="B1">
            <v>0</v>
          </cell>
        </row>
      </sheetData>
      <sheetData sheetId="332">
        <row r="1">
          <cell r="B1">
            <v>0</v>
          </cell>
        </row>
      </sheetData>
      <sheetData sheetId="333">
        <row r="1">
          <cell r="B1">
            <v>0</v>
          </cell>
        </row>
      </sheetData>
      <sheetData sheetId="334">
        <row r="1">
          <cell r="B1">
            <v>0</v>
          </cell>
        </row>
      </sheetData>
      <sheetData sheetId="335">
        <row r="1">
          <cell r="B1">
            <v>0</v>
          </cell>
        </row>
      </sheetData>
      <sheetData sheetId="336">
        <row r="1">
          <cell r="B1">
            <v>0</v>
          </cell>
        </row>
      </sheetData>
      <sheetData sheetId="337">
        <row r="1">
          <cell r="B1">
            <v>0</v>
          </cell>
        </row>
      </sheetData>
      <sheetData sheetId="338">
        <row r="1">
          <cell r="B1">
            <v>0</v>
          </cell>
        </row>
      </sheetData>
      <sheetData sheetId="339">
        <row r="1">
          <cell r="B1">
            <v>0</v>
          </cell>
        </row>
      </sheetData>
      <sheetData sheetId="340">
        <row r="1">
          <cell r="B1">
            <v>0</v>
          </cell>
        </row>
      </sheetData>
      <sheetData sheetId="341">
        <row r="1">
          <cell r="B1">
            <v>0</v>
          </cell>
        </row>
      </sheetData>
      <sheetData sheetId="342">
        <row r="1">
          <cell r="B1">
            <v>0</v>
          </cell>
        </row>
      </sheetData>
      <sheetData sheetId="343">
        <row r="1">
          <cell r="B1">
            <v>0</v>
          </cell>
        </row>
      </sheetData>
      <sheetData sheetId="344">
        <row r="1">
          <cell r="B1">
            <v>0</v>
          </cell>
        </row>
      </sheetData>
      <sheetData sheetId="345">
        <row r="1">
          <cell r="B1">
            <v>0</v>
          </cell>
        </row>
      </sheetData>
      <sheetData sheetId="346">
        <row r="1">
          <cell r="B1">
            <v>0</v>
          </cell>
        </row>
      </sheetData>
      <sheetData sheetId="347">
        <row r="1">
          <cell r="B1">
            <v>0</v>
          </cell>
        </row>
      </sheetData>
      <sheetData sheetId="348">
        <row r="1">
          <cell r="B1">
            <v>0</v>
          </cell>
        </row>
      </sheetData>
      <sheetData sheetId="349">
        <row r="1">
          <cell r="B1">
            <v>0</v>
          </cell>
        </row>
      </sheetData>
      <sheetData sheetId="350">
        <row r="1">
          <cell r="B1">
            <v>0</v>
          </cell>
        </row>
      </sheetData>
      <sheetData sheetId="351">
        <row r="1">
          <cell r="B1">
            <v>0</v>
          </cell>
        </row>
      </sheetData>
      <sheetData sheetId="352">
        <row r="1">
          <cell r="B1">
            <v>0</v>
          </cell>
        </row>
      </sheetData>
      <sheetData sheetId="353">
        <row r="1">
          <cell r="B1">
            <v>0</v>
          </cell>
        </row>
      </sheetData>
      <sheetData sheetId="354">
        <row r="1">
          <cell r="B1">
            <v>0</v>
          </cell>
        </row>
      </sheetData>
      <sheetData sheetId="355">
        <row r="1">
          <cell r="B1">
            <v>0</v>
          </cell>
        </row>
      </sheetData>
      <sheetData sheetId="356">
        <row r="1">
          <cell r="B1">
            <v>0</v>
          </cell>
        </row>
      </sheetData>
      <sheetData sheetId="357">
        <row r="1">
          <cell r="B1">
            <v>0</v>
          </cell>
        </row>
      </sheetData>
      <sheetData sheetId="358">
        <row r="1">
          <cell r="B1">
            <v>0</v>
          </cell>
        </row>
      </sheetData>
      <sheetData sheetId="359">
        <row r="1">
          <cell r="B1">
            <v>0</v>
          </cell>
        </row>
      </sheetData>
      <sheetData sheetId="360">
        <row r="1">
          <cell r="B1">
            <v>0</v>
          </cell>
        </row>
      </sheetData>
      <sheetData sheetId="361">
        <row r="1">
          <cell r="B1">
            <v>0</v>
          </cell>
        </row>
      </sheetData>
      <sheetData sheetId="362">
        <row r="1">
          <cell r="B1">
            <v>0</v>
          </cell>
        </row>
      </sheetData>
      <sheetData sheetId="363">
        <row r="1">
          <cell r="B1">
            <v>0</v>
          </cell>
        </row>
      </sheetData>
      <sheetData sheetId="364">
        <row r="1">
          <cell r="B1">
            <v>0</v>
          </cell>
        </row>
      </sheetData>
      <sheetData sheetId="365">
        <row r="1">
          <cell r="B1">
            <v>0</v>
          </cell>
        </row>
      </sheetData>
      <sheetData sheetId="366">
        <row r="1">
          <cell r="B1">
            <v>0</v>
          </cell>
        </row>
      </sheetData>
      <sheetData sheetId="367">
        <row r="1">
          <cell r="B1">
            <v>0</v>
          </cell>
        </row>
      </sheetData>
      <sheetData sheetId="368">
        <row r="1">
          <cell r="B1">
            <v>0</v>
          </cell>
        </row>
      </sheetData>
      <sheetData sheetId="369">
        <row r="1">
          <cell r="B1">
            <v>0</v>
          </cell>
        </row>
      </sheetData>
      <sheetData sheetId="370">
        <row r="1">
          <cell r="B1">
            <v>0</v>
          </cell>
        </row>
      </sheetData>
      <sheetData sheetId="371">
        <row r="1">
          <cell r="B1">
            <v>0</v>
          </cell>
        </row>
      </sheetData>
      <sheetData sheetId="372">
        <row r="1">
          <cell r="B1">
            <v>0</v>
          </cell>
        </row>
      </sheetData>
      <sheetData sheetId="373">
        <row r="1">
          <cell r="B1">
            <v>0</v>
          </cell>
        </row>
      </sheetData>
      <sheetData sheetId="374">
        <row r="1">
          <cell r="B1">
            <v>0</v>
          </cell>
        </row>
      </sheetData>
      <sheetData sheetId="375">
        <row r="1">
          <cell r="B1">
            <v>0</v>
          </cell>
        </row>
      </sheetData>
      <sheetData sheetId="376">
        <row r="1">
          <cell r="B1">
            <v>0</v>
          </cell>
        </row>
      </sheetData>
      <sheetData sheetId="377">
        <row r="1">
          <cell r="B1">
            <v>0</v>
          </cell>
        </row>
      </sheetData>
      <sheetData sheetId="378">
        <row r="1">
          <cell r="B1">
            <v>0</v>
          </cell>
        </row>
      </sheetData>
      <sheetData sheetId="379">
        <row r="1">
          <cell r="B1">
            <v>0</v>
          </cell>
        </row>
      </sheetData>
      <sheetData sheetId="380">
        <row r="1">
          <cell r="B1">
            <v>0</v>
          </cell>
        </row>
      </sheetData>
      <sheetData sheetId="381">
        <row r="1">
          <cell r="B1">
            <v>0</v>
          </cell>
        </row>
      </sheetData>
      <sheetData sheetId="382">
        <row r="1">
          <cell r="B1">
            <v>0</v>
          </cell>
        </row>
      </sheetData>
      <sheetData sheetId="383">
        <row r="1">
          <cell r="B1">
            <v>0</v>
          </cell>
        </row>
      </sheetData>
      <sheetData sheetId="384">
        <row r="1">
          <cell r="B1">
            <v>0</v>
          </cell>
        </row>
      </sheetData>
      <sheetData sheetId="385">
        <row r="1">
          <cell r="B1">
            <v>0</v>
          </cell>
        </row>
      </sheetData>
      <sheetData sheetId="386">
        <row r="1">
          <cell r="B1">
            <v>0</v>
          </cell>
        </row>
      </sheetData>
      <sheetData sheetId="387">
        <row r="1">
          <cell r="B1">
            <v>0</v>
          </cell>
        </row>
      </sheetData>
      <sheetData sheetId="388">
        <row r="1">
          <cell r="B1">
            <v>0</v>
          </cell>
        </row>
      </sheetData>
      <sheetData sheetId="389">
        <row r="1">
          <cell r="B1">
            <v>0</v>
          </cell>
        </row>
      </sheetData>
      <sheetData sheetId="390">
        <row r="1">
          <cell r="B1">
            <v>0</v>
          </cell>
        </row>
      </sheetData>
      <sheetData sheetId="391">
        <row r="1">
          <cell r="B1">
            <v>0</v>
          </cell>
        </row>
      </sheetData>
      <sheetData sheetId="392">
        <row r="1">
          <cell r="B1">
            <v>0</v>
          </cell>
        </row>
      </sheetData>
      <sheetData sheetId="393">
        <row r="1">
          <cell r="B1">
            <v>0</v>
          </cell>
        </row>
      </sheetData>
      <sheetData sheetId="394">
        <row r="1">
          <cell r="B1">
            <v>0</v>
          </cell>
        </row>
      </sheetData>
      <sheetData sheetId="395">
        <row r="1">
          <cell r="B1">
            <v>0</v>
          </cell>
        </row>
      </sheetData>
      <sheetData sheetId="396">
        <row r="1">
          <cell r="B1">
            <v>0</v>
          </cell>
        </row>
      </sheetData>
      <sheetData sheetId="397">
        <row r="1">
          <cell r="B1">
            <v>0</v>
          </cell>
        </row>
      </sheetData>
      <sheetData sheetId="398">
        <row r="1">
          <cell r="B1">
            <v>0</v>
          </cell>
        </row>
      </sheetData>
      <sheetData sheetId="399">
        <row r="1">
          <cell r="B1">
            <v>0</v>
          </cell>
        </row>
      </sheetData>
      <sheetData sheetId="400">
        <row r="1">
          <cell r="B1">
            <v>0</v>
          </cell>
        </row>
      </sheetData>
      <sheetData sheetId="401">
        <row r="1">
          <cell r="B1">
            <v>0</v>
          </cell>
        </row>
      </sheetData>
      <sheetData sheetId="402">
        <row r="1">
          <cell r="B1">
            <v>0</v>
          </cell>
        </row>
      </sheetData>
      <sheetData sheetId="403">
        <row r="1">
          <cell r="B1">
            <v>0</v>
          </cell>
        </row>
      </sheetData>
      <sheetData sheetId="404">
        <row r="1">
          <cell r="B1">
            <v>0</v>
          </cell>
        </row>
      </sheetData>
      <sheetData sheetId="405">
        <row r="1">
          <cell r="B1">
            <v>0</v>
          </cell>
        </row>
      </sheetData>
      <sheetData sheetId="406">
        <row r="1">
          <cell r="B1">
            <v>0</v>
          </cell>
        </row>
      </sheetData>
      <sheetData sheetId="407">
        <row r="1">
          <cell r="B1">
            <v>0</v>
          </cell>
        </row>
      </sheetData>
      <sheetData sheetId="408">
        <row r="1">
          <cell r="B1">
            <v>0</v>
          </cell>
        </row>
      </sheetData>
      <sheetData sheetId="409">
        <row r="1">
          <cell r="B1">
            <v>0</v>
          </cell>
        </row>
      </sheetData>
      <sheetData sheetId="410">
        <row r="1">
          <cell r="B1">
            <v>0</v>
          </cell>
        </row>
      </sheetData>
      <sheetData sheetId="411">
        <row r="1">
          <cell r="B1">
            <v>0</v>
          </cell>
        </row>
      </sheetData>
      <sheetData sheetId="412">
        <row r="1">
          <cell r="B1">
            <v>0</v>
          </cell>
        </row>
      </sheetData>
      <sheetData sheetId="413">
        <row r="1">
          <cell r="B1">
            <v>0</v>
          </cell>
        </row>
      </sheetData>
      <sheetData sheetId="414">
        <row r="1">
          <cell r="B1">
            <v>0</v>
          </cell>
        </row>
      </sheetData>
      <sheetData sheetId="415">
        <row r="1">
          <cell r="B1">
            <v>0</v>
          </cell>
        </row>
      </sheetData>
      <sheetData sheetId="416">
        <row r="1">
          <cell r="B1">
            <v>0</v>
          </cell>
        </row>
      </sheetData>
      <sheetData sheetId="417">
        <row r="1">
          <cell r="B1">
            <v>0</v>
          </cell>
        </row>
      </sheetData>
      <sheetData sheetId="418">
        <row r="1">
          <cell r="B1">
            <v>0</v>
          </cell>
        </row>
      </sheetData>
      <sheetData sheetId="419">
        <row r="1">
          <cell r="B1">
            <v>0</v>
          </cell>
        </row>
      </sheetData>
      <sheetData sheetId="420">
        <row r="1">
          <cell r="B1">
            <v>0</v>
          </cell>
        </row>
      </sheetData>
      <sheetData sheetId="421">
        <row r="1">
          <cell r="B1">
            <v>0</v>
          </cell>
        </row>
      </sheetData>
      <sheetData sheetId="422">
        <row r="1">
          <cell r="B1">
            <v>0</v>
          </cell>
        </row>
      </sheetData>
      <sheetData sheetId="423">
        <row r="1">
          <cell r="B1">
            <v>0</v>
          </cell>
        </row>
      </sheetData>
      <sheetData sheetId="424">
        <row r="1">
          <cell r="B1">
            <v>0</v>
          </cell>
        </row>
      </sheetData>
      <sheetData sheetId="425">
        <row r="1">
          <cell r="B1">
            <v>0</v>
          </cell>
        </row>
      </sheetData>
      <sheetData sheetId="426">
        <row r="1">
          <cell r="B1">
            <v>0</v>
          </cell>
        </row>
      </sheetData>
      <sheetData sheetId="427">
        <row r="1">
          <cell r="B1">
            <v>0</v>
          </cell>
        </row>
      </sheetData>
      <sheetData sheetId="428">
        <row r="1">
          <cell r="B1">
            <v>0</v>
          </cell>
        </row>
      </sheetData>
      <sheetData sheetId="429">
        <row r="1">
          <cell r="B1">
            <v>0</v>
          </cell>
        </row>
      </sheetData>
      <sheetData sheetId="430">
        <row r="1">
          <cell r="B1">
            <v>0</v>
          </cell>
        </row>
      </sheetData>
      <sheetData sheetId="431">
        <row r="1">
          <cell r="B1">
            <v>0</v>
          </cell>
        </row>
      </sheetData>
      <sheetData sheetId="432">
        <row r="1">
          <cell r="B1">
            <v>0</v>
          </cell>
        </row>
      </sheetData>
      <sheetData sheetId="433">
        <row r="1">
          <cell r="B1">
            <v>0</v>
          </cell>
        </row>
      </sheetData>
      <sheetData sheetId="434">
        <row r="1">
          <cell r="B1">
            <v>0</v>
          </cell>
        </row>
      </sheetData>
      <sheetData sheetId="435">
        <row r="1">
          <cell r="B1">
            <v>0</v>
          </cell>
        </row>
      </sheetData>
      <sheetData sheetId="436">
        <row r="1">
          <cell r="B1">
            <v>0</v>
          </cell>
        </row>
      </sheetData>
      <sheetData sheetId="437">
        <row r="1">
          <cell r="B1">
            <v>0</v>
          </cell>
        </row>
      </sheetData>
      <sheetData sheetId="438">
        <row r="1">
          <cell r="B1">
            <v>0</v>
          </cell>
        </row>
      </sheetData>
      <sheetData sheetId="439">
        <row r="1">
          <cell r="B1">
            <v>0</v>
          </cell>
        </row>
      </sheetData>
      <sheetData sheetId="440">
        <row r="1">
          <cell r="B1">
            <v>0</v>
          </cell>
        </row>
      </sheetData>
      <sheetData sheetId="441">
        <row r="1">
          <cell r="B1">
            <v>0</v>
          </cell>
        </row>
      </sheetData>
      <sheetData sheetId="442">
        <row r="1">
          <cell r="B1">
            <v>0</v>
          </cell>
        </row>
      </sheetData>
      <sheetData sheetId="443">
        <row r="1">
          <cell r="B1">
            <v>0</v>
          </cell>
        </row>
      </sheetData>
      <sheetData sheetId="444">
        <row r="1">
          <cell r="B1">
            <v>0</v>
          </cell>
        </row>
      </sheetData>
      <sheetData sheetId="445">
        <row r="1">
          <cell r="B1">
            <v>0</v>
          </cell>
        </row>
      </sheetData>
      <sheetData sheetId="446">
        <row r="1">
          <cell r="B1">
            <v>0</v>
          </cell>
        </row>
      </sheetData>
      <sheetData sheetId="447" refreshError="1"/>
      <sheetData sheetId="448" refreshError="1"/>
      <sheetData sheetId="449" refreshError="1"/>
      <sheetData sheetId="450" refreshError="1"/>
      <sheetData sheetId="451" refreshError="1"/>
      <sheetData sheetId="452">
        <row r="1">
          <cell r="B1">
            <v>0</v>
          </cell>
        </row>
      </sheetData>
      <sheetData sheetId="453">
        <row r="1">
          <cell r="B1">
            <v>0</v>
          </cell>
        </row>
      </sheetData>
      <sheetData sheetId="454">
        <row r="1">
          <cell r="B1">
            <v>0</v>
          </cell>
        </row>
      </sheetData>
      <sheetData sheetId="455">
        <row r="1">
          <cell r="B1">
            <v>0</v>
          </cell>
        </row>
      </sheetData>
      <sheetData sheetId="456">
        <row r="1">
          <cell r="B1">
            <v>0</v>
          </cell>
        </row>
      </sheetData>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ow r="1">
          <cell r="B1">
            <v>0</v>
          </cell>
        </row>
      </sheetData>
      <sheetData sheetId="476">
        <row r="1">
          <cell r="B1">
            <v>0</v>
          </cell>
        </row>
      </sheetData>
      <sheetData sheetId="477">
        <row r="1">
          <cell r="B1">
            <v>0</v>
          </cell>
        </row>
      </sheetData>
      <sheetData sheetId="478">
        <row r="4">
          <cell r="E4" t="str">
            <v>COST COMMENTARY REPORT</v>
          </cell>
        </row>
      </sheetData>
      <sheetData sheetId="479">
        <row r="1">
          <cell r="B1">
            <v>0</v>
          </cell>
        </row>
      </sheetData>
      <sheetData sheetId="480">
        <row r="1">
          <cell r="B1">
            <v>0</v>
          </cell>
        </row>
      </sheetData>
      <sheetData sheetId="481">
        <row r="1">
          <cell r="B1">
            <v>0</v>
          </cell>
        </row>
      </sheetData>
      <sheetData sheetId="482">
        <row r="1">
          <cell r="B1">
            <v>0</v>
          </cell>
        </row>
      </sheetData>
      <sheetData sheetId="483">
        <row r="1">
          <cell r="B1">
            <v>0</v>
          </cell>
        </row>
      </sheetData>
      <sheetData sheetId="484">
        <row r="1">
          <cell r="B1">
            <v>0</v>
          </cell>
        </row>
      </sheetData>
      <sheetData sheetId="485">
        <row r="1">
          <cell r="B1">
            <v>0</v>
          </cell>
        </row>
      </sheetData>
      <sheetData sheetId="486">
        <row r="1">
          <cell r="B1">
            <v>0</v>
          </cell>
        </row>
      </sheetData>
      <sheetData sheetId="487">
        <row r="1">
          <cell r="B1">
            <v>0</v>
          </cell>
        </row>
      </sheetData>
      <sheetData sheetId="488">
        <row r="1">
          <cell r="B1">
            <v>0</v>
          </cell>
        </row>
      </sheetData>
      <sheetData sheetId="489">
        <row r="1">
          <cell r="B1">
            <v>0</v>
          </cell>
        </row>
      </sheetData>
      <sheetData sheetId="490">
        <row r="1">
          <cell r="B1">
            <v>0</v>
          </cell>
        </row>
      </sheetData>
      <sheetData sheetId="491">
        <row r="1">
          <cell r="B1">
            <v>0</v>
          </cell>
        </row>
      </sheetData>
      <sheetData sheetId="492">
        <row r="1">
          <cell r="B1">
            <v>0</v>
          </cell>
        </row>
      </sheetData>
      <sheetData sheetId="493">
        <row r="1">
          <cell r="B1">
            <v>0</v>
          </cell>
        </row>
      </sheetData>
      <sheetData sheetId="494">
        <row r="1">
          <cell r="B1">
            <v>0</v>
          </cell>
        </row>
      </sheetData>
      <sheetData sheetId="495">
        <row r="1">
          <cell r="B1">
            <v>0</v>
          </cell>
        </row>
      </sheetData>
      <sheetData sheetId="496">
        <row r="1">
          <cell r="B1">
            <v>0</v>
          </cell>
        </row>
      </sheetData>
      <sheetData sheetId="497">
        <row r="1">
          <cell r="B1">
            <v>0</v>
          </cell>
        </row>
      </sheetData>
      <sheetData sheetId="498">
        <row r="1">
          <cell r="B1">
            <v>0</v>
          </cell>
        </row>
      </sheetData>
      <sheetData sheetId="499">
        <row r="1">
          <cell r="B1">
            <v>0</v>
          </cell>
        </row>
      </sheetData>
      <sheetData sheetId="500">
        <row r="1">
          <cell r="B1">
            <v>0</v>
          </cell>
        </row>
      </sheetData>
      <sheetData sheetId="501">
        <row r="1">
          <cell r="B1">
            <v>0</v>
          </cell>
        </row>
      </sheetData>
      <sheetData sheetId="502">
        <row r="1">
          <cell r="B1">
            <v>0</v>
          </cell>
        </row>
      </sheetData>
      <sheetData sheetId="503">
        <row r="1">
          <cell r="B1">
            <v>0</v>
          </cell>
        </row>
      </sheetData>
      <sheetData sheetId="504">
        <row r="1">
          <cell r="B1">
            <v>0</v>
          </cell>
        </row>
      </sheetData>
      <sheetData sheetId="505">
        <row r="1">
          <cell r="B1">
            <v>0</v>
          </cell>
        </row>
      </sheetData>
      <sheetData sheetId="506">
        <row r="1">
          <cell r="B1">
            <v>0</v>
          </cell>
        </row>
      </sheetData>
      <sheetData sheetId="507">
        <row r="1">
          <cell r="B1">
            <v>0</v>
          </cell>
        </row>
      </sheetData>
      <sheetData sheetId="508">
        <row r="1">
          <cell r="B1">
            <v>0</v>
          </cell>
        </row>
      </sheetData>
      <sheetData sheetId="509">
        <row r="1">
          <cell r="B1">
            <v>0</v>
          </cell>
        </row>
      </sheetData>
      <sheetData sheetId="510">
        <row r="1">
          <cell r="B1">
            <v>0</v>
          </cell>
        </row>
      </sheetData>
      <sheetData sheetId="511">
        <row r="1">
          <cell r="B1">
            <v>0</v>
          </cell>
        </row>
      </sheetData>
      <sheetData sheetId="512">
        <row r="1">
          <cell r="B1">
            <v>0</v>
          </cell>
        </row>
      </sheetData>
      <sheetData sheetId="513">
        <row r="1">
          <cell r="B1">
            <v>0</v>
          </cell>
        </row>
      </sheetData>
      <sheetData sheetId="514">
        <row r="1">
          <cell r="B1">
            <v>0</v>
          </cell>
        </row>
      </sheetData>
      <sheetData sheetId="515">
        <row r="1">
          <cell r="B1">
            <v>0</v>
          </cell>
        </row>
      </sheetData>
      <sheetData sheetId="516">
        <row r="1">
          <cell r="B1">
            <v>0</v>
          </cell>
        </row>
      </sheetData>
      <sheetData sheetId="517">
        <row r="1">
          <cell r="B1">
            <v>0</v>
          </cell>
        </row>
      </sheetData>
      <sheetData sheetId="518">
        <row r="1">
          <cell r="B1">
            <v>0</v>
          </cell>
        </row>
      </sheetData>
      <sheetData sheetId="519">
        <row r="1">
          <cell r="B1">
            <v>0</v>
          </cell>
        </row>
      </sheetData>
      <sheetData sheetId="520">
        <row r="1">
          <cell r="B1">
            <v>0</v>
          </cell>
        </row>
      </sheetData>
      <sheetData sheetId="521">
        <row r="1">
          <cell r="B1">
            <v>0</v>
          </cell>
        </row>
      </sheetData>
      <sheetData sheetId="522">
        <row r="1">
          <cell r="B1">
            <v>0</v>
          </cell>
        </row>
      </sheetData>
      <sheetData sheetId="523">
        <row r="1">
          <cell r="B1">
            <v>0</v>
          </cell>
        </row>
      </sheetData>
      <sheetData sheetId="524">
        <row r="1">
          <cell r="B1">
            <v>0</v>
          </cell>
        </row>
      </sheetData>
      <sheetData sheetId="525">
        <row r="1">
          <cell r="B1">
            <v>0</v>
          </cell>
        </row>
      </sheetData>
      <sheetData sheetId="526">
        <row r="1">
          <cell r="B1">
            <v>0</v>
          </cell>
        </row>
      </sheetData>
      <sheetData sheetId="527">
        <row r="1">
          <cell r="B1">
            <v>0</v>
          </cell>
        </row>
      </sheetData>
      <sheetData sheetId="528">
        <row r="1">
          <cell r="B1">
            <v>0</v>
          </cell>
        </row>
      </sheetData>
      <sheetData sheetId="529">
        <row r="1">
          <cell r="B1">
            <v>0</v>
          </cell>
        </row>
      </sheetData>
      <sheetData sheetId="530">
        <row r="1">
          <cell r="B1">
            <v>0</v>
          </cell>
        </row>
      </sheetData>
      <sheetData sheetId="531">
        <row r="1">
          <cell r="B1">
            <v>0</v>
          </cell>
        </row>
      </sheetData>
      <sheetData sheetId="532">
        <row r="1">
          <cell r="B1">
            <v>0</v>
          </cell>
        </row>
      </sheetData>
      <sheetData sheetId="533">
        <row r="1">
          <cell r="B1">
            <v>0</v>
          </cell>
        </row>
      </sheetData>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sheetData sheetId="571">
        <row r="4">
          <cell r="E4" t="str">
            <v>COST COMMENTARY REPORT</v>
          </cell>
        </row>
      </sheetData>
      <sheetData sheetId="572"/>
      <sheetData sheetId="573"/>
      <sheetData sheetId="574"/>
      <sheetData sheetId="575"/>
      <sheetData sheetId="576"/>
      <sheetData sheetId="577"/>
      <sheetData sheetId="578"/>
      <sheetData sheetId="579"/>
      <sheetData sheetId="580"/>
      <sheetData sheetId="581"/>
      <sheetData sheetId="582"/>
      <sheetData sheetId="583"/>
      <sheetData sheetId="584">
        <row r="4">
          <cell r="E4" t="str">
            <v>COST COMMENTARY REPORT</v>
          </cell>
        </row>
      </sheetData>
      <sheetData sheetId="585">
        <row r="4">
          <cell r="E4" t="str">
            <v>COST COMMENTARY REPORT</v>
          </cell>
        </row>
      </sheetData>
      <sheetData sheetId="586">
        <row r="4">
          <cell r="E4" t="str">
            <v>COST COMMENTARY REPORT</v>
          </cell>
        </row>
      </sheetData>
      <sheetData sheetId="587"/>
      <sheetData sheetId="588"/>
      <sheetData sheetId="589"/>
      <sheetData sheetId="590"/>
      <sheetData sheetId="591"/>
      <sheetData sheetId="592"/>
      <sheetData sheetId="593"/>
      <sheetData sheetId="594">
        <row r="4">
          <cell r="E4" t="str">
            <v>COST COMMENTARY REPORT</v>
          </cell>
        </row>
      </sheetData>
      <sheetData sheetId="595">
        <row r="4">
          <cell r="E4" t="str">
            <v>COST COMMENTARY REPORT</v>
          </cell>
        </row>
      </sheetData>
      <sheetData sheetId="596">
        <row r="4">
          <cell r="E4" t="str">
            <v>COST COMMENTARY REPORT</v>
          </cell>
        </row>
      </sheetData>
      <sheetData sheetId="597">
        <row r="4">
          <cell r="E4" t="str">
            <v>COST COMMENTARY REPORT</v>
          </cell>
        </row>
      </sheetData>
      <sheetData sheetId="598">
        <row r="4">
          <cell r="E4" t="str">
            <v>COST COMMENTARY REPORT</v>
          </cell>
        </row>
      </sheetData>
      <sheetData sheetId="599">
        <row r="4">
          <cell r="E4" t="str">
            <v>COST COMMENTARY REPORT</v>
          </cell>
        </row>
      </sheetData>
      <sheetData sheetId="600">
        <row r="4">
          <cell r="E4" t="str">
            <v>COST COMMENTARY REPORT</v>
          </cell>
        </row>
      </sheetData>
      <sheetData sheetId="601">
        <row r="4">
          <cell r="E4" t="str">
            <v>COST COMMENTARY REPORT</v>
          </cell>
        </row>
      </sheetData>
      <sheetData sheetId="602">
        <row r="4">
          <cell r="E4" t="str">
            <v>COST COMMENTARY REPORT</v>
          </cell>
        </row>
      </sheetData>
      <sheetData sheetId="603">
        <row r="4">
          <cell r="E4" t="str">
            <v>COST COMMENTARY REPORT</v>
          </cell>
        </row>
      </sheetData>
      <sheetData sheetId="604">
        <row r="4">
          <cell r="E4" t="str">
            <v>COST COMMENTARY REPORT</v>
          </cell>
        </row>
      </sheetData>
      <sheetData sheetId="605">
        <row r="4">
          <cell r="E4" t="str">
            <v>COST COMMENTARY REPORT</v>
          </cell>
        </row>
      </sheetData>
      <sheetData sheetId="606">
        <row r="4">
          <cell r="E4" t="str">
            <v>COST COMMENTARY REPORT</v>
          </cell>
        </row>
      </sheetData>
      <sheetData sheetId="607">
        <row r="4">
          <cell r="E4" t="str">
            <v>COST COMMENTARY REPORT</v>
          </cell>
        </row>
      </sheetData>
      <sheetData sheetId="608">
        <row r="4">
          <cell r="E4" t="str">
            <v>COST COMMENTARY REPORT</v>
          </cell>
        </row>
      </sheetData>
      <sheetData sheetId="609">
        <row r="4">
          <cell r="E4" t="str">
            <v>COST COMMENTARY REPORT</v>
          </cell>
        </row>
      </sheetData>
      <sheetData sheetId="610">
        <row r="4">
          <cell r="E4" t="str">
            <v>COST COMMENTARY REPORT</v>
          </cell>
        </row>
      </sheetData>
      <sheetData sheetId="611">
        <row r="4">
          <cell r="E4" t="str">
            <v>COST COMMENTARY REPORT</v>
          </cell>
        </row>
      </sheetData>
      <sheetData sheetId="612">
        <row r="4">
          <cell r="E4" t="str">
            <v>COST COMMENTARY REPORT</v>
          </cell>
        </row>
      </sheetData>
      <sheetData sheetId="613">
        <row r="4">
          <cell r="E4" t="str">
            <v>COST COMMENTARY REPORT</v>
          </cell>
        </row>
      </sheetData>
      <sheetData sheetId="614">
        <row r="4">
          <cell r="E4" t="str">
            <v>COST COMMENTARY REPORT</v>
          </cell>
        </row>
      </sheetData>
      <sheetData sheetId="615">
        <row r="4">
          <cell r="E4" t="str">
            <v>COST COMMENTARY REPORT</v>
          </cell>
        </row>
      </sheetData>
      <sheetData sheetId="616">
        <row r="4">
          <cell r="E4" t="str">
            <v>COST COMMENTARY REPORT</v>
          </cell>
        </row>
      </sheetData>
      <sheetData sheetId="617">
        <row r="4">
          <cell r="E4" t="str">
            <v>COST COMMENTARY REPORT</v>
          </cell>
        </row>
      </sheetData>
      <sheetData sheetId="618">
        <row r="4">
          <cell r="E4" t="str">
            <v>COST COMMENTARY REPORT</v>
          </cell>
        </row>
      </sheetData>
      <sheetData sheetId="619">
        <row r="4">
          <cell r="E4" t="str">
            <v>COST COMMENTARY REPORT</v>
          </cell>
        </row>
      </sheetData>
      <sheetData sheetId="620">
        <row r="4">
          <cell r="E4" t="str">
            <v>COST COMMENTARY REPORT</v>
          </cell>
        </row>
      </sheetData>
      <sheetData sheetId="621">
        <row r="4">
          <cell r="E4" t="str">
            <v>COST COMMENTARY REPORT</v>
          </cell>
        </row>
      </sheetData>
      <sheetData sheetId="622">
        <row r="4">
          <cell r="E4" t="str">
            <v>COST COMMENTARY REPORT</v>
          </cell>
        </row>
      </sheetData>
      <sheetData sheetId="623">
        <row r="4">
          <cell r="E4" t="str">
            <v>COST COMMENTARY REPORT</v>
          </cell>
        </row>
      </sheetData>
      <sheetData sheetId="624">
        <row r="4">
          <cell r="E4" t="str">
            <v>COST COMMENTARY REPORT</v>
          </cell>
        </row>
      </sheetData>
      <sheetData sheetId="625">
        <row r="4">
          <cell r="E4" t="str">
            <v>COST COMMENTARY REPORT</v>
          </cell>
        </row>
      </sheetData>
      <sheetData sheetId="626">
        <row r="4">
          <cell r="E4" t="str">
            <v>COST COMMENTARY REPORT</v>
          </cell>
        </row>
      </sheetData>
      <sheetData sheetId="627">
        <row r="4">
          <cell r="E4" t="str">
            <v>COST COMMENTARY REPORT</v>
          </cell>
        </row>
      </sheetData>
      <sheetData sheetId="628">
        <row r="4">
          <cell r="E4" t="str">
            <v>COST COMMENTARY REPORT</v>
          </cell>
        </row>
      </sheetData>
      <sheetData sheetId="629">
        <row r="4">
          <cell r="E4" t="str">
            <v>COST COMMENTARY REPORT</v>
          </cell>
        </row>
      </sheetData>
      <sheetData sheetId="630">
        <row r="4">
          <cell r="E4" t="str">
            <v>COST COMMENTARY REPORT</v>
          </cell>
        </row>
      </sheetData>
      <sheetData sheetId="631">
        <row r="4">
          <cell r="E4" t="str">
            <v>COST COMMENTARY REPORT</v>
          </cell>
        </row>
      </sheetData>
      <sheetData sheetId="632">
        <row r="4">
          <cell r="E4" t="str">
            <v>COST COMMENTARY REPORT</v>
          </cell>
        </row>
      </sheetData>
      <sheetData sheetId="633">
        <row r="4">
          <cell r="E4" t="str">
            <v>COST COMMENTARY REPORT</v>
          </cell>
        </row>
      </sheetData>
      <sheetData sheetId="634">
        <row r="4">
          <cell r="E4" t="str">
            <v>COST COMMENTARY REPORT</v>
          </cell>
        </row>
      </sheetData>
      <sheetData sheetId="635"/>
      <sheetData sheetId="636"/>
      <sheetData sheetId="637"/>
      <sheetData sheetId="638">
        <row r="4">
          <cell r="E4" t="str">
            <v>COST COMMENTARY REPORT</v>
          </cell>
        </row>
      </sheetData>
      <sheetData sheetId="639">
        <row r="4">
          <cell r="E4" t="str">
            <v>COST COMMENTARY REPORT</v>
          </cell>
        </row>
      </sheetData>
      <sheetData sheetId="640">
        <row r="4">
          <cell r="E4" t="str">
            <v>COST COMMENTARY REPORT</v>
          </cell>
        </row>
      </sheetData>
      <sheetData sheetId="641">
        <row r="4">
          <cell r="E4" t="str">
            <v>COST COMMENTARY REPORT</v>
          </cell>
        </row>
      </sheetData>
      <sheetData sheetId="642">
        <row r="4">
          <cell r="E4" t="str">
            <v>COST COMMENTARY REPORT</v>
          </cell>
        </row>
      </sheetData>
      <sheetData sheetId="643">
        <row r="4">
          <cell r="E4" t="str">
            <v>COST COMMENTARY REPORT</v>
          </cell>
        </row>
      </sheetData>
      <sheetData sheetId="644">
        <row r="4">
          <cell r="E4" t="str">
            <v>COST COMMENTARY REPORT</v>
          </cell>
        </row>
      </sheetData>
      <sheetData sheetId="645">
        <row r="4">
          <cell r="E4" t="str">
            <v>COST COMMENTARY REPORT</v>
          </cell>
        </row>
      </sheetData>
      <sheetData sheetId="646">
        <row r="4">
          <cell r="E4" t="str">
            <v>COST COMMENTARY REPORT</v>
          </cell>
        </row>
      </sheetData>
      <sheetData sheetId="647">
        <row r="4">
          <cell r="E4" t="str">
            <v>COST COMMENTARY REPORT</v>
          </cell>
        </row>
      </sheetData>
      <sheetData sheetId="648">
        <row r="4">
          <cell r="E4" t="str">
            <v>COST COMMENTARY REPORT</v>
          </cell>
        </row>
      </sheetData>
      <sheetData sheetId="649">
        <row r="4">
          <cell r="E4" t="str">
            <v>COST COMMENTARY REPORT</v>
          </cell>
        </row>
      </sheetData>
      <sheetData sheetId="650">
        <row r="4">
          <cell r="E4" t="str">
            <v>COST COMMENTARY REPORT</v>
          </cell>
        </row>
      </sheetData>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ow r="1">
          <cell r="B1">
            <v>0</v>
          </cell>
        </row>
      </sheetData>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sheetData sheetId="690" refreshError="1"/>
      <sheetData sheetId="691" refreshError="1"/>
      <sheetData sheetId="692" refreshError="1"/>
      <sheetData sheetId="693" refreshError="1"/>
      <sheetData sheetId="694" refreshError="1"/>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sheetData sheetId="817"/>
      <sheetData sheetId="818"/>
      <sheetData sheetId="819"/>
      <sheetData sheetId="820"/>
      <sheetData sheetId="821"/>
      <sheetData sheetId="822"/>
      <sheetData sheetId="823"/>
      <sheetData sheetId="824"/>
      <sheetData sheetId="82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กลาง"/>
      <sheetName val="A กลาง เกสร"/>
      <sheetName val="A แฝด"/>
      <sheetName val="A ริม"/>
      <sheetName val="B กลาง"/>
      <sheetName val="B ริม"/>
      <sheetName val="B แฝด"/>
      <sheetName val="C กลาง"/>
      <sheetName val="C ริม"/>
      <sheetName val="C แฝด"/>
      <sheetName val="ค่าวัสดุ"/>
      <sheetName val="สรุป"/>
      <sheetName val="เอกสารแน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C1" t="str">
            <v>รหัสวัสดุ/แรง</v>
          </cell>
          <cell r="D1" t="str">
            <v>รายการ</v>
          </cell>
          <cell r="E1" t="str">
            <v>ราคาต่อหน่วย2-2547 ยังไม่ vat</v>
          </cell>
          <cell r="F1" t="str">
            <v>ราคาต่อหน่วย 2-2547 VAT</v>
          </cell>
        </row>
        <row r="2">
          <cell r="C2" t="str">
            <v>CARV</v>
          </cell>
          <cell r="D2" t="str">
            <v>งานลายฉลุหน้าบ้าน</v>
          </cell>
        </row>
        <row r="3">
          <cell r="C3" t="str">
            <v>CONC</v>
          </cell>
          <cell r="D3" t="str">
            <v>ค่าแรงเทคอนกรีต</v>
          </cell>
        </row>
        <row r="4">
          <cell r="C4" t="str">
            <v>CUT/FILL</v>
          </cell>
          <cell r="D4" t="str">
            <v>ค่าแรงขุดดิน ถมดิน</v>
          </cell>
        </row>
        <row r="5">
          <cell r="C5" t="str">
            <v>F/W</v>
          </cell>
          <cell r="D5" t="str">
            <v>ค่าแรงเข้าแบบ(แบบเหล็ก)</v>
          </cell>
        </row>
        <row r="6">
          <cell r="C6" t="str">
            <v>GRTP</v>
          </cell>
          <cell r="D6" t="str">
            <v>ค่าแรงติดตั้งถังดักไขมัน</v>
          </cell>
        </row>
        <row r="7">
          <cell r="C7" t="str">
            <v>N1145006054</v>
          </cell>
          <cell r="D7" t="str">
            <v>วัสดุงานปาร์เก้ ทาวน์เฮ้าส์+บ้านแฝดแบบ A (หลัง)</v>
          </cell>
          <cell r="F7">
            <v>6400</v>
          </cell>
        </row>
        <row r="8">
          <cell r="C8" t="str">
            <v>N1145006055</v>
          </cell>
          <cell r="D8" t="str">
            <v>วัสดุงานปาร์เก้ ทาวน์เฮ้าส์+บ้านแฝดแบบ B (หลัง)</v>
          </cell>
          <cell r="F8">
            <v>6788</v>
          </cell>
        </row>
        <row r="9">
          <cell r="C9" t="str">
            <v>N1145006056</v>
          </cell>
          <cell r="D9" t="str">
            <v>วัสดุงานปาร์เก้ ทาวน์เฮ้าส์+บ้านแฝดแบบ C (หลัง)</v>
          </cell>
          <cell r="F9">
            <v>5884</v>
          </cell>
        </row>
        <row r="10">
          <cell r="C10" t="str">
            <v>N1145006057</v>
          </cell>
          <cell r="D10" t="str">
            <v>วัสดุงานไม้บันได ทาวน์เฮ้าส์+บ้านแฝดแบบ A (หลัง)</v>
          </cell>
          <cell r="F10">
            <v>7426</v>
          </cell>
        </row>
        <row r="11">
          <cell r="C11" t="str">
            <v>N1145006058</v>
          </cell>
          <cell r="D11" t="str">
            <v>วัสดุงานไม้บันได ทาวน์เฮ้าส์+บ้านแฝดแบบ B (หลัง)</v>
          </cell>
          <cell r="F11">
            <v>8975</v>
          </cell>
        </row>
        <row r="12">
          <cell r="C12" t="str">
            <v>N1145006059</v>
          </cell>
          <cell r="D12" t="str">
            <v>วัสดุงานไม้บันได ทาวน์เฮ้าส์+บ้านแฝดแบบ C (หลัง)</v>
          </cell>
          <cell r="F12">
            <v>7639.29</v>
          </cell>
        </row>
        <row r="13">
          <cell r="C13" t="str">
            <v>N114606010</v>
          </cell>
          <cell r="D13" t="str">
            <v>สีสเปรย์สีแดง</v>
          </cell>
          <cell r="E13">
            <v>35</v>
          </cell>
          <cell r="F13">
            <v>37.450000000000003</v>
          </cell>
        </row>
        <row r="14">
          <cell r="C14" t="str">
            <v>N114606011</v>
          </cell>
          <cell r="D14" t="str">
            <v>ใบไฟเบอร์ 16"</v>
          </cell>
          <cell r="F14">
            <v>0</v>
          </cell>
        </row>
        <row r="15">
          <cell r="C15" t="str">
            <v>N114606015</v>
          </cell>
          <cell r="D15" t="str">
            <v>สีสเปรย์สีส้ม</v>
          </cell>
          <cell r="E15">
            <v>35</v>
          </cell>
          <cell r="F15">
            <v>37.450000000000003</v>
          </cell>
        </row>
        <row r="16">
          <cell r="C16" t="str">
            <v>PCINST</v>
          </cell>
          <cell r="D16" t="str">
            <v>ค่าแรงเข้าแบบ(เสียบแผ่น PRECAST)</v>
          </cell>
          <cell r="F16">
            <v>0</v>
          </cell>
        </row>
        <row r="17">
          <cell r="C17" t="str">
            <v>R/F</v>
          </cell>
          <cell r="D17" t="str">
            <v>ค่าแรงวางเหล็กผูกเหล็ก</v>
          </cell>
          <cell r="F17">
            <v>0</v>
          </cell>
        </row>
        <row r="18">
          <cell r="C18" t="str">
            <v>S01RMIX001</v>
          </cell>
          <cell r="D18" t="str">
            <v>คอนกรีตผสมเสร็จ 180 CUBE</v>
          </cell>
          <cell r="E18">
            <v>1250</v>
          </cell>
          <cell r="F18">
            <v>1228.5</v>
          </cell>
        </row>
        <row r="19">
          <cell r="C19" t="str">
            <v>S01RMIX002</v>
          </cell>
          <cell r="D19" t="str">
            <v>คอนกรีตผสมเสร็จ 210 CUBE</v>
          </cell>
          <cell r="E19">
            <v>1254.5</v>
          </cell>
          <cell r="F19">
            <v>1280.5</v>
          </cell>
        </row>
        <row r="20">
          <cell r="C20" t="str">
            <v>S01RMIX003</v>
          </cell>
          <cell r="D20" t="str">
            <v>คอนกรีตผสมเสร็จ 240 CUBE</v>
          </cell>
          <cell r="E20">
            <v>1280.5</v>
          </cell>
          <cell r="F20">
            <v>1370.135</v>
          </cell>
        </row>
        <row r="21">
          <cell r="C21" t="str">
            <v>S01RMIX005</v>
          </cell>
          <cell r="D21" t="str">
            <v>คอนกรีต มอร์ตาร์</v>
          </cell>
          <cell r="E21">
            <v>1306.5</v>
          </cell>
          <cell r="F21">
            <v>1306.5</v>
          </cell>
        </row>
        <row r="22">
          <cell r="C22" t="str">
            <v>S01RMIX006</v>
          </cell>
          <cell r="D22" t="str">
            <v>คอนกรีต 275+D17</v>
          </cell>
          <cell r="E22">
            <v>1200</v>
          </cell>
          <cell r="F22">
            <v>1196.26</v>
          </cell>
        </row>
        <row r="23">
          <cell r="C23" t="str">
            <v>S01RMIX009</v>
          </cell>
          <cell r="D23" t="str">
            <v>คอนกรีตผสมเสร็จ 320 CUBE</v>
          </cell>
          <cell r="E23">
            <v>1358.5</v>
          </cell>
          <cell r="F23">
            <v>1358.5</v>
          </cell>
        </row>
        <row r="24">
          <cell r="C24" t="str">
            <v>S01RMIX014</v>
          </cell>
          <cell r="D24" t="str">
            <v>คอนกรีตผสมเสร็จ 350 CUBE 10-15 ซม.</v>
          </cell>
          <cell r="E24">
            <v>1475.5</v>
          </cell>
          <cell r="F24">
            <v>1475.5</v>
          </cell>
        </row>
        <row r="25">
          <cell r="C25" t="str">
            <v>S01RMIX015</v>
          </cell>
          <cell r="D25" t="str">
            <v>คอนกรีตผสมเสร็จ 350 CUBE</v>
          </cell>
          <cell r="E25">
            <v>1391</v>
          </cell>
          <cell r="F25">
            <v>1578.5</v>
          </cell>
        </row>
        <row r="26">
          <cell r="C26" t="str">
            <v>S01RMIX019</v>
          </cell>
          <cell r="D26" t="str">
            <v>คอนกรีตผสมเสร็จ 380 CUBE 15-20 ซม.</v>
          </cell>
          <cell r="E26">
            <v>1590</v>
          </cell>
          <cell r="F26">
            <v>1571</v>
          </cell>
        </row>
        <row r="27">
          <cell r="C27" t="str">
            <v>S01RMIX020</v>
          </cell>
          <cell r="D27" t="str">
            <v>คอนกรีตผสมเสร็จ 350 CUBE 15-20 ซม.</v>
          </cell>
          <cell r="E27">
            <v>1612</v>
          </cell>
          <cell r="F27">
            <v>1612</v>
          </cell>
        </row>
        <row r="28">
          <cell r="C28" t="str">
            <v>S02BLOC002</v>
          </cell>
          <cell r="D28" t="str">
            <v>Q-CON ขนาด 0.2x0.6 m. หนา 10 cm.</v>
          </cell>
          <cell r="E28">
            <v>31</v>
          </cell>
          <cell r="F28">
            <v>26.4</v>
          </cell>
        </row>
        <row r="29">
          <cell r="C29" t="str">
            <v>S02BLOC004</v>
          </cell>
          <cell r="D29" t="str">
            <v>ศิลาเหลี่ยม 10*10 ส้ม</v>
          </cell>
          <cell r="E29">
            <v>22.4</v>
          </cell>
          <cell r="F29">
            <v>22.4</v>
          </cell>
        </row>
        <row r="30">
          <cell r="C30" t="str">
            <v>S02BLOC008</v>
          </cell>
          <cell r="D30" t="str">
            <v>ศิลาเหลี่ยม 30*30 เทา</v>
          </cell>
          <cell r="E30">
            <v>18</v>
          </cell>
          <cell r="F30">
            <v>22</v>
          </cell>
        </row>
        <row r="31">
          <cell r="C31" t="str">
            <v>S02BLOC018</v>
          </cell>
          <cell r="D31" t="str">
            <v>Q.CON BLOCK ขนาด 0.20*0.60 ม.หนา 7.5 ซม.</v>
          </cell>
          <cell r="E31">
            <v>20.67</v>
          </cell>
          <cell r="F31">
            <v>19.8</v>
          </cell>
        </row>
        <row r="32">
          <cell r="C32" t="str">
            <v>S02BLOC019</v>
          </cell>
          <cell r="D32" t="str">
            <v>ศิลาเหลี่ยม 10*20 แดง</v>
          </cell>
          <cell r="E32">
            <v>4.5</v>
          </cell>
          <cell r="F32">
            <v>4.5</v>
          </cell>
        </row>
        <row r="33">
          <cell r="C33" t="str">
            <v>S02BLOC050</v>
          </cell>
          <cell r="D33" t="str">
            <v>อิฐมอญ</v>
          </cell>
          <cell r="E33">
            <v>0.95</v>
          </cell>
          <cell r="F33">
            <v>0.95</v>
          </cell>
        </row>
        <row r="34">
          <cell r="C34" t="str">
            <v>S02BLOC071</v>
          </cell>
          <cell r="D34" t="str">
            <v>CON Block ขนาด 0.19x0.39 m. หนา 7 cm.</v>
          </cell>
          <cell r="E34">
            <v>5.5</v>
          </cell>
          <cell r="F34">
            <v>3.95</v>
          </cell>
        </row>
        <row r="35">
          <cell r="C35" t="str">
            <v>S02BLOC072</v>
          </cell>
          <cell r="D35" t="str">
            <v>CON Block ขนาด 0.19 x 0.39 m. 6 cm(ขาม้านั่ง)</v>
          </cell>
          <cell r="E35">
            <v>5.5</v>
          </cell>
          <cell r="F35">
            <v>5.45</v>
          </cell>
        </row>
        <row r="36">
          <cell r="C36" t="str">
            <v>S02BLOC085</v>
          </cell>
          <cell r="D36" t="str">
            <v>ศิลาเหลี่ยม 20*20 แดง</v>
          </cell>
          <cell r="E36">
            <v>11.5</v>
          </cell>
          <cell r="F36">
            <v>11.5</v>
          </cell>
        </row>
        <row r="37">
          <cell r="C37" t="str">
            <v>S02BLOC086</v>
          </cell>
          <cell r="D37" t="str">
            <v>ศิลาเหลี่ยม 20*20 เทา</v>
          </cell>
          <cell r="E37">
            <v>10</v>
          </cell>
          <cell r="F37">
            <v>10</v>
          </cell>
        </row>
        <row r="38">
          <cell r="C38" t="str">
            <v>S02CURB008</v>
          </cell>
          <cell r="D38" t="str">
            <v>บล็อกปูพื้น CPAC หน้าธรรมชาติสีเหลือง ขนาด 0.3x0.3x0.03 m.</v>
          </cell>
          <cell r="E38">
            <v>25</v>
          </cell>
          <cell r="F38">
            <v>25</v>
          </cell>
        </row>
        <row r="39">
          <cell r="C39" t="str">
            <v>S02CURB009</v>
          </cell>
          <cell r="D39" t="str">
            <v>บล็อกปูพื้น CPAC หน้าธรรมชาติสีเหลือง ขนาด 0.4x0.4x0.03 m.</v>
          </cell>
          <cell r="E39">
            <v>47</v>
          </cell>
          <cell r="F39">
            <v>47</v>
          </cell>
        </row>
        <row r="40">
          <cell r="C40" t="str">
            <v>S02CURB010</v>
          </cell>
          <cell r="D40" t="str">
            <v>บล็อกปูพื้น CPAC หน้าธรรมชาติสีขาวนวล ขนาด 0.4x0.4x0.03 m.</v>
          </cell>
          <cell r="E40">
            <v>47</v>
          </cell>
          <cell r="F40">
            <v>47</v>
          </cell>
        </row>
        <row r="41">
          <cell r="C41" t="str">
            <v>S02CURB011</v>
          </cell>
          <cell r="D41" t="str">
            <v>แผ่นหินทรายสีเหลือง ขนาด 0.30x0.30 หนา 5 ซม.</v>
          </cell>
          <cell r="E41">
            <v>35</v>
          </cell>
          <cell r="F41">
            <v>40</v>
          </cell>
        </row>
        <row r="42">
          <cell r="C42" t="str">
            <v>S02CURB012</v>
          </cell>
          <cell r="D42" t="str">
            <v>แผ่นหินทรายสีแดงขนาด 0.30x0.30 m..หนา 5 cm.</v>
          </cell>
          <cell r="E42">
            <v>35</v>
          </cell>
          <cell r="F42">
            <v>35</v>
          </cell>
        </row>
        <row r="43">
          <cell r="C43" t="str">
            <v>S02CURB013</v>
          </cell>
          <cell r="D43" t="str">
            <v>แผ่นหินทรายสีเหลืองขนาด 0.30x0.60 m..หนา 5 cm.</v>
          </cell>
          <cell r="E43">
            <v>70</v>
          </cell>
          <cell r="F43">
            <v>90</v>
          </cell>
        </row>
        <row r="44">
          <cell r="C44" t="str">
            <v>S02CURB014</v>
          </cell>
          <cell r="D44" t="str">
            <v>แผ่นหินทรายสีเหลืองขนาด 0.40x0.80 m..หนา 5 cm.</v>
          </cell>
          <cell r="E44">
            <v>140</v>
          </cell>
          <cell r="F44">
            <v>160</v>
          </cell>
        </row>
        <row r="45">
          <cell r="C45" t="str">
            <v>S02CURB016</v>
          </cell>
          <cell r="D45" t="str">
            <v>แผ่น CPACขนาด 40x40 cm..ลายหมากรุกสีน้ำตาล</v>
          </cell>
          <cell r="E45">
            <v>44</v>
          </cell>
          <cell r="F45">
            <v>44</v>
          </cell>
        </row>
        <row r="46">
          <cell r="C46" t="str">
            <v>S03ASCP004</v>
          </cell>
          <cell r="D46" t="str">
            <v>ท่อซีเมนต์ใยหิน 8" ยาว 3 ม.</v>
          </cell>
          <cell r="E46">
            <v>135</v>
          </cell>
          <cell r="F46">
            <v>180</v>
          </cell>
        </row>
        <row r="47">
          <cell r="C47" t="str">
            <v>S03CPIL</v>
          </cell>
          <cell r="D47" t="str">
            <v>เสาเข็ม I 0.18*0.18*7.5 m. รวมค่าตอก</v>
          </cell>
          <cell r="E47">
            <v>0</v>
          </cell>
          <cell r="F47">
            <v>0</v>
          </cell>
        </row>
        <row r="48">
          <cell r="C48" t="str">
            <v>S03CPIL</v>
          </cell>
          <cell r="D48" t="str">
            <v>เสาเข็ม I 0.26*0.26*16 m. รวมค่าตอก</v>
          </cell>
          <cell r="E48">
            <v>0</v>
          </cell>
          <cell r="F48">
            <v>0</v>
          </cell>
        </row>
        <row r="49">
          <cell r="C49" t="str">
            <v>S03CPIL001</v>
          </cell>
          <cell r="D49" t="str">
            <v>เสาเข็ม I 0.18*0.18*15 m. รวมค่าตอก</v>
          </cell>
          <cell r="E49">
            <v>1920</v>
          </cell>
          <cell r="F49">
            <v>1800</v>
          </cell>
        </row>
        <row r="50">
          <cell r="C50" t="str">
            <v>S03CPIL002</v>
          </cell>
          <cell r="D50" t="str">
            <v>เสาเข็ม คสล. รูปหกเหลี่ยมกลวง 0.15 * 3.00 ม.</v>
          </cell>
          <cell r="E50">
            <v>140</v>
          </cell>
          <cell r="F50">
            <v>144</v>
          </cell>
        </row>
        <row r="51">
          <cell r="C51" t="str">
            <v>S03CPIL003</v>
          </cell>
          <cell r="D51" t="str">
            <v>เสาเข็มคสล.รูปหกเหลี่ยมกลวง0.15*4.00 ม.</v>
          </cell>
          <cell r="E51">
            <v>188</v>
          </cell>
          <cell r="F51">
            <v>200</v>
          </cell>
        </row>
        <row r="52">
          <cell r="C52" t="str">
            <v>S03CPIL004</v>
          </cell>
          <cell r="D52" t="str">
            <v>เสาเข็มคสล.รูปหกเหลี่ยมกลวง0.15*6.00 ม.</v>
          </cell>
          <cell r="E52">
            <v>290</v>
          </cell>
          <cell r="F52">
            <v>240</v>
          </cell>
        </row>
        <row r="53">
          <cell r="C53" t="str">
            <v>S03CPIL008</v>
          </cell>
          <cell r="D53" t="str">
            <v>เสาเข็มตัวบ้าน I 0.18X 0.18 ยาว 16 เมตร</v>
          </cell>
          <cell r="E53">
            <v>2200</v>
          </cell>
          <cell r="F53">
            <v>1670</v>
          </cell>
        </row>
        <row r="54">
          <cell r="C54" t="str">
            <v>S03CPIL009</v>
          </cell>
          <cell r="D54" t="str">
            <v>เสาเข็ม I 0.18*0.18*8 m. รวมค่าตอก</v>
          </cell>
          <cell r="E54">
            <v>869</v>
          </cell>
          <cell r="F54">
            <v>980</v>
          </cell>
        </row>
        <row r="55">
          <cell r="C55" t="str">
            <v>S03CPIL010</v>
          </cell>
          <cell r="D55" t="str">
            <v>เสาเข็ม I 0.22*0.22*16 m. รวมค่าตอก</v>
          </cell>
          <cell r="E55">
            <v>2600</v>
          </cell>
          <cell r="F55">
            <v>2480</v>
          </cell>
        </row>
        <row r="56">
          <cell r="C56" t="str">
            <v>S03CPIL011</v>
          </cell>
          <cell r="D56" t="str">
            <v>เสาเข็ม I 0.18*0.18*6 m. รวมค่าตอก</v>
          </cell>
          <cell r="E56">
            <v>0</v>
          </cell>
          <cell r="F56">
            <v>600</v>
          </cell>
        </row>
        <row r="57">
          <cell r="C57" t="str">
            <v>S03CPLA003</v>
          </cell>
          <cell r="D57" t="str">
            <v xml:space="preserve">แผ่นพื้นสำเร็จรูปขนาด 0.35 x 2.60 x 0.05 </v>
          </cell>
          <cell r="E57">
            <v>150.80000000000001</v>
          </cell>
          <cell r="F57">
            <v>165.23</v>
          </cell>
        </row>
        <row r="58">
          <cell r="C58" t="str">
            <v>S03CPLA005</v>
          </cell>
          <cell r="D58" t="str">
            <v xml:space="preserve">แผ่นพื้นสำเร็จรูปขนาด 0.35 x 4.10 x 0.05 </v>
          </cell>
          <cell r="E58">
            <v>237.79999999999998</v>
          </cell>
          <cell r="F58">
            <v>287</v>
          </cell>
        </row>
        <row r="59">
          <cell r="C59" t="str">
            <v>S03CPLA007</v>
          </cell>
          <cell r="D59" t="str">
            <v>แผ่นพื้นสำเร็จรูปขนาด 0.35 x 2.75 x 0.05</v>
          </cell>
          <cell r="E59">
            <v>159.5</v>
          </cell>
          <cell r="F59">
            <v>173.25</v>
          </cell>
        </row>
        <row r="60">
          <cell r="C60" t="str">
            <v>S03CPLA009</v>
          </cell>
          <cell r="D60" t="str">
            <v xml:space="preserve">แผ่นพื้นสำเร็จรูปขนาด 0.35 x 3.00 x 0.05 </v>
          </cell>
          <cell r="E60">
            <v>174</v>
          </cell>
          <cell r="F60">
            <v>189</v>
          </cell>
        </row>
        <row r="61">
          <cell r="C61" t="str">
            <v>S03CPLA011</v>
          </cell>
          <cell r="D61" t="str">
            <v>แผ่นพื้นสำเร็จรูปขนาด 0.35 x 2.80x 0.05</v>
          </cell>
          <cell r="E61">
            <v>162.39999999999998</v>
          </cell>
          <cell r="F61">
            <v>176.4</v>
          </cell>
        </row>
        <row r="62">
          <cell r="C62" t="str">
            <v>S03CPLA013</v>
          </cell>
          <cell r="D62" t="str">
            <v xml:space="preserve">แผ่นพื้นสำเร็จรูปขนาด 0.35 x 1.65 x 0.05 </v>
          </cell>
          <cell r="E62">
            <v>95.699999999999989</v>
          </cell>
          <cell r="F62">
            <v>103.95</v>
          </cell>
        </row>
        <row r="63">
          <cell r="C63" t="str">
            <v>S03CPLA014</v>
          </cell>
          <cell r="D63" t="str">
            <v xml:space="preserve">แผ่นพื้นสำเร็จรูปขนาด 0.35 x 2.90 x 0.05 </v>
          </cell>
          <cell r="E63">
            <v>168.2</v>
          </cell>
          <cell r="F63">
            <v>178.73</v>
          </cell>
        </row>
        <row r="64">
          <cell r="C64" t="str">
            <v>S03CPLA015</v>
          </cell>
          <cell r="D64" t="str">
            <v>แผ่นพื้นสำเร็จรูปขนาด 0.35 x 1.20 x 0.05</v>
          </cell>
          <cell r="E64">
            <v>69.599999999999994</v>
          </cell>
          <cell r="F64">
            <v>73.44</v>
          </cell>
        </row>
        <row r="65">
          <cell r="C65" t="str">
            <v>S03CPLA016</v>
          </cell>
          <cell r="D65" t="str">
            <v xml:space="preserve">แผ่นพื้นสำเร็จรูปขนาด 0.35 x 3.10 x 0.05 </v>
          </cell>
          <cell r="E65">
            <v>179.8</v>
          </cell>
          <cell r="F65">
            <v>220.58</v>
          </cell>
        </row>
        <row r="66">
          <cell r="C66" t="str">
            <v>S03CPLA018</v>
          </cell>
          <cell r="D66" t="str">
            <v xml:space="preserve">แผ่นพื้นสำเร็จรูปขนาด 0.35 x 2.65 x 0.05 </v>
          </cell>
          <cell r="E66">
            <v>153.69999999999999</v>
          </cell>
          <cell r="F66">
            <v>178.63</v>
          </cell>
        </row>
        <row r="67">
          <cell r="C67" t="str">
            <v>S03CPLA019</v>
          </cell>
          <cell r="D67" t="str">
            <v xml:space="preserve">แผ่นพื้นสำเร็จรูปขนาด 0.35 x 4.20 x 0.05 </v>
          </cell>
          <cell r="E67">
            <v>243.60000000000002</v>
          </cell>
          <cell r="F67">
            <v>294</v>
          </cell>
        </row>
        <row r="68">
          <cell r="C68" t="str">
            <v>S03CPLA043</v>
          </cell>
          <cell r="D68" t="str">
            <v>แผ่นพื้นสำเร็จรูปขนาด 0.35 x 3.95 x 0.05</v>
          </cell>
          <cell r="E68">
            <v>229.10000000000002</v>
          </cell>
          <cell r="F68">
            <v>278.93</v>
          </cell>
        </row>
        <row r="69">
          <cell r="C69" t="str">
            <v>S03CPLA050</v>
          </cell>
          <cell r="D69" t="str">
            <v>แผ่นพื้นสำเร็จรูป 0.35 x 0.05 x 1.10 m.</v>
          </cell>
          <cell r="E69">
            <v>63.800000000000004</v>
          </cell>
          <cell r="F69">
            <v>65.45</v>
          </cell>
        </row>
        <row r="70">
          <cell r="C70" t="str">
            <v>S03CPLA053</v>
          </cell>
          <cell r="D70" t="str">
            <v xml:space="preserve">แผ่นพื้นสำเร็จรูปขนาด 0.35 x 1.85 x 0.05 </v>
          </cell>
          <cell r="E70">
            <v>107.30000000000001</v>
          </cell>
          <cell r="F70">
            <v>116.55</v>
          </cell>
        </row>
        <row r="71">
          <cell r="C71" t="str">
            <v>S03CPLA054</v>
          </cell>
          <cell r="D71" t="str">
            <v xml:space="preserve">แผ่นพื้นสำเร็จรูปขนาด 0.35 x 2.40 x 0.05 </v>
          </cell>
          <cell r="E71">
            <v>139.19999999999999</v>
          </cell>
          <cell r="F71">
            <v>161.79</v>
          </cell>
        </row>
        <row r="72">
          <cell r="C72" t="str">
            <v>S03CPLA055</v>
          </cell>
          <cell r="D72" t="str">
            <v xml:space="preserve">แผ่นพื้นสำเร็จรูปขนาด 0.35 x 3.35 x 0.05 </v>
          </cell>
          <cell r="E72">
            <v>194.3</v>
          </cell>
          <cell r="F72">
            <v>222.78</v>
          </cell>
        </row>
        <row r="73">
          <cell r="C73" t="str">
            <v>S03CPLA101</v>
          </cell>
          <cell r="D73" t="str">
            <v>แผ่นพื้นสำเร็จรูป 0.35 x 0.05 x 0.9 m.</v>
          </cell>
          <cell r="E73">
            <v>52.2</v>
          </cell>
          <cell r="F73">
            <v>55.92</v>
          </cell>
        </row>
        <row r="74">
          <cell r="C74" t="str">
            <v>S03CPLA140</v>
          </cell>
          <cell r="D74" t="str">
            <v>แผ่นพื้นสำเร็จรูป 0.35 x 0.05 x 0.85 m.</v>
          </cell>
          <cell r="E74">
            <v>49.3</v>
          </cell>
          <cell r="F74">
            <v>50.58</v>
          </cell>
        </row>
        <row r="75">
          <cell r="C75" t="str">
            <v>S03CPLA143</v>
          </cell>
          <cell r="D75" t="str">
            <v>แผ่นพื้นสำเร็จรูป 0.35 x 0.05 x 1.5 m.</v>
          </cell>
          <cell r="E75">
            <v>87</v>
          </cell>
          <cell r="F75">
            <v>84</v>
          </cell>
        </row>
        <row r="76">
          <cell r="C76" t="str">
            <v>S03CPLA144</v>
          </cell>
          <cell r="D76" t="str">
            <v xml:space="preserve">แผ่นพื้นสำเร็จรูปขนาด 0.35 x 2.00 x 0.05 </v>
          </cell>
          <cell r="E76">
            <v>116</v>
          </cell>
          <cell r="F76">
            <v>126</v>
          </cell>
        </row>
        <row r="77">
          <cell r="C77" t="str">
            <v>S03CPLA146</v>
          </cell>
          <cell r="D77" t="str">
            <v>แผ่นพื้นสำเร็จรูปขนาด 0.35 x 1.07 x 0.05 ม.</v>
          </cell>
          <cell r="E77">
            <v>62.06</v>
          </cell>
          <cell r="F77">
            <v>63.67</v>
          </cell>
        </row>
        <row r="78">
          <cell r="C78" t="str">
            <v>S03CPLA198</v>
          </cell>
          <cell r="D78" t="str">
            <v>แผ่นพื้นสำเร็จรูปขนาด 0.35*1.00*0.05 m</v>
          </cell>
          <cell r="E78">
            <v>58</v>
          </cell>
          <cell r="F78">
            <v>52.5</v>
          </cell>
        </row>
        <row r="79">
          <cell r="C79" t="str">
            <v>S03CPLA228</v>
          </cell>
          <cell r="D79" t="str">
            <v>แผ่นพื้นสำเร็จรูปขนาด0.35 x 2.0 x 0.05ม.</v>
          </cell>
          <cell r="E79">
            <v>116</v>
          </cell>
          <cell r="F79">
            <v>112</v>
          </cell>
        </row>
        <row r="80">
          <cell r="C80" t="str">
            <v>S03CPLA229</v>
          </cell>
          <cell r="D80" t="str">
            <v>แผ่นพื้นสำเร็จรูปขนาด0.35 x 2.2 x 0.05ม.</v>
          </cell>
          <cell r="E80">
            <v>127.60000000000001</v>
          </cell>
          <cell r="F80">
            <v>123.2</v>
          </cell>
        </row>
        <row r="81">
          <cell r="C81" t="str">
            <v>S03CPLA230</v>
          </cell>
          <cell r="D81" t="str">
            <v>แผ่นพื้นสำเร็จรูปขนาด0.35 x 2.5 x 0.05ม.</v>
          </cell>
          <cell r="E81">
            <v>145</v>
          </cell>
          <cell r="F81">
            <v>140</v>
          </cell>
        </row>
        <row r="82">
          <cell r="C82" t="str">
            <v>S03CPLA234</v>
          </cell>
          <cell r="D82" t="str">
            <v>แผ่นพื้นสำเร็จรูปขนาด0.35x 1.10 x 0.05ม.</v>
          </cell>
          <cell r="E82">
            <v>63.800000000000004</v>
          </cell>
          <cell r="F82">
            <v>61.6</v>
          </cell>
        </row>
        <row r="83">
          <cell r="C83" t="str">
            <v>S03CPLA235</v>
          </cell>
          <cell r="D83" t="str">
            <v>แผ่นพื้นสำเร็จรูปขนาด0.35x 1.15 x 0.05ม.</v>
          </cell>
          <cell r="E83">
            <v>66.699999999999989</v>
          </cell>
          <cell r="F83">
            <v>64.400000000000006</v>
          </cell>
        </row>
        <row r="84">
          <cell r="C84" t="str">
            <v>S03CPLA236</v>
          </cell>
          <cell r="D84" t="str">
            <v>แผ่นพื้นสำเร็จรูปขนาด0.35x 1.35 x 0.05ม.</v>
          </cell>
          <cell r="E84">
            <v>78.300000000000011</v>
          </cell>
          <cell r="F84">
            <v>75.599999999999994</v>
          </cell>
        </row>
        <row r="85">
          <cell r="C85" t="str">
            <v>S03CPLA237</v>
          </cell>
          <cell r="D85" t="str">
            <v>แผ่นพื้นสำเร็จรูปขนาด0.35x 1.45 x 0.05ม.</v>
          </cell>
          <cell r="E85">
            <v>84.1</v>
          </cell>
          <cell r="F85">
            <v>81.2</v>
          </cell>
        </row>
        <row r="86">
          <cell r="C86" t="str">
            <v>S03CPLA238</v>
          </cell>
          <cell r="D86" t="str">
            <v>แผ่นพื้นสำเร็จรูปขนาด0.35x 1.65 x 0.05ม.</v>
          </cell>
          <cell r="E86">
            <v>95.699999999999989</v>
          </cell>
          <cell r="F86">
            <v>92.4</v>
          </cell>
        </row>
        <row r="87">
          <cell r="C87" t="str">
            <v>S03CPLA239</v>
          </cell>
          <cell r="D87" t="str">
            <v>แผ่นพื้นสำเร็จรูปขนาด0.35x 1.90x 0.05ม.</v>
          </cell>
          <cell r="E87">
            <v>110.19999999999999</v>
          </cell>
          <cell r="F87">
            <v>106.4</v>
          </cell>
        </row>
        <row r="88">
          <cell r="C88" t="str">
            <v>S03CPLA714</v>
          </cell>
          <cell r="D88" t="str">
            <v>แผ่นพื้นสำเร็จรูปขนาด 0.35 x 1.20 x 0.05 (คานรั้ว)</v>
          </cell>
          <cell r="E88">
            <v>69.599999999999994</v>
          </cell>
          <cell r="F88">
            <v>73.44</v>
          </cell>
        </row>
        <row r="89">
          <cell r="C89" t="str">
            <v>S03WPIL006</v>
          </cell>
          <cell r="D89" t="str">
            <v>เสาเข็มไม้สน 4'' x 3.00 ม.</v>
          </cell>
          <cell r="E89">
            <v>55</v>
          </cell>
          <cell r="F89">
            <v>50</v>
          </cell>
        </row>
        <row r="90">
          <cell r="C90" t="str">
            <v>S04RFDB</v>
          </cell>
          <cell r="D90" t="str">
            <v>เหล็กข้ออ้อยSD-30 ขนาด 28 มม.*10ม.</v>
          </cell>
          <cell r="E90">
            <v>1062.5999999999999</v>
          </cell>
          <cell r="F90">
            <v>1136.982</v>
          </cell>
        </row>
        <row r="91">
          <cell r="C91" t="str">
            <v>S04RFDB</v>
          </cell>
          <cell r="D91" t="str">
            <v>เหล็กข้ออ้อยSD-40 ขนาด 10 มม.*10ม.</v>
          </cell>
          <cell r="E91">
            <v>135.74</v>
          </cell>
          <cell r="F91">
            <v>145.24180000000001</v>
          </cell>
        </row>
        <row r="92">
          <cell r="C92" t="str">
            <v>S04RFDB</v>
          </cell>
          <cell r="D92" t="str">
            <v>เหล็กข้ออ้อยSD-40 ขนาด 16 มม.*10ม.</v>
          </cell>
          <cell r="E92">
            <v>347.6</v>
          </cell>
          <cell r="F92">
            <v>371.93200000000007</v>
          </cell>
        </row>
        <row r="93">
          <cell r="C93" t="str">
            <v>S04RFDB</v>
          </cell>
          <cell r="D93" t="str">
            <v>เหล็กข้ออ้อยSD-30 ขนาด 25 มม.*10ม.</v>
          </cell>
          <cell r="E93">
            <v>847</v>
          </cell>
          <cell r="F93">
            <v>906.29000000000008</v>
          </cell>
        </row>
        <row r="94">
          <cell r="C94" t="str">
            <v>S04RFDB001</v>
          </cell>
          <cell r="D94" t="str">
            <v>เหล็กข้ออ้อยSD-30 ขนาด 12 มม.*10ม.</v>
          </cell>
          <cell r="E94">
            <v>197.56</v>
          </cell>
          <cell r="F94">
            <v>177</v>
          </cell>
        </row>
        <row r="95">
          <cell r="C95" t="str">
            <v>S04RFDB002</v>
          </cell>
          <cell r="D95" t="str">
            <v>เหล็กข้ออ้อยSD-30 ขนาด 20 มม.*10ม.</v>
          </cell>
          <cell r="E95">
            <v>543.4</v>
          </cell>
          <cell r="F95">
            <v>513</v>
          </cell>
        </row>
        <row r="96">
          <cell r="C96" t="str">
            <v>S04RFDB003</v>
          </cell>
          <cell r="D96" t="str">
            <v>เหล็กข้ออ้อยSD-30 ขนาด 16 มม.*10ม.</v>
          </cell>
          <cell r="E96">
            <v>347.6</v>
          </cell>
          <cell r="F96">
            <v>312</v>
          </cell>
        </row>
        <row r="97">
          <cell r="C97" t="str">
            <v>S04RFDB005</v>
          </cell>
          <cell r="D97" t="str">
            <v>เหล็กข้ออ้อยSD-30 ขนาด 32 มม.*10ม.</v>
          </cell>
          <cell r="E97">
            <v>1388.2</v>
          </cell>
          <cell r="F97">
            <v>1350</v>
          </cell>
        </row>
        <row r="98">
          <cell r="C98" t="str">
            <v>S04RFDB006</v>
          </cell>
          <cell r="D98" t="str">
            <v>เหล็กข้ออ้อยSD-40 ขนาด 25 มม.*10ม.</v>
          </cell>
          <cell r="E98">
            <v>847</v>
          </cell>
          <cell r="F98">
            <v>794</v>
          </cell>
        </row>
        <row r="99">
          <cell r="C99" t="str">
            <v>S04RFDB007</v>
          </cell>
          <cell r="D99" t="str">
            <v>เหล็กข้ออ้อยSD-40 ขนาด 12 มม.*10ม.</v>
          </cell>
          <cell r="E99">
            <v>197.56</v>
          </cell>
          <cell r="F99">
            <v>187</v>
          </cell>
        </row>
        <row r="100">
          <cell r="C100" t="str">
            <v>S04RFDB008</v>
          </cell>
          <cell r="D100" t="str">
            <v>เหล็กข้ออ้อยSD-40 ขนาด 20 มม.*10ม.</v>
          </cell>
          <cell r="E100">
            <v>543.4</v>
          </cell>
          <cell r="F100">
            <v>581.43799999999999</v>
          </cell>
        </row>
        <row r="101">
          <cell r="C101" t="str">
            <v>S04RFDB009</v>
          </cell>
          <cell r="D101" t="str">
            <v>เหล็กข้ออ้อยSD-30 ขนาด 12 มม.*0.5ม.</v>
          </cell>
          <cell r="E101">
            <v>9.8780000000000001</v>
          </cell>
          <cell r="F101">
            <v>8.1999999999999993</v>
          </cell>
        </row>
        <row r="102">
          <cell r="C102" t="str">
            <v>S04RFRB</v>
          </cell>
          <cell r="D102" t="str">
            <v>เหล็กข้ออ้อยSD-30 ขนาด 10 มม.*10ม.</v>
          </cell>
          <cell r="E102">
            <v>135.74</v>
          </cell>
          <cell r="F102">
            <v>145.24180000000001</v>
          </cell>
        </row>
        <row r="103">
          <cell r="C103" t="str">
            <v>S04RFRB001</v>
          </cell>
          <cell r="D103" t="str">
            <v>เหล็กเส้นกลมSR-24 ขนาด 6 มม.*10ม.</v>
          </cell>
          <cell r="E103">
            <v>48.84</v>
          </cell>
          <cell r="F103">
            <v>47</v>
          </cell>
        </row>
        <row r="104">
          <cell r="C104" t="str">
            <v>S04RFRB002</v>
          </cell>
          <cell r="D104" t="str">
            <v>เหล็กเส้นกลมSR-24 ขนาด 9มม.*10 ม.</v>
          </cell>
          <cell r="E104">
            <v>109.78</v>
          </cell>
          <cell r="F104">
            <v>104</v>
          </cell>
        </row>
        <row r="105">
          <cell r="C105" t="str">
            <v>S04RFRB003</v>
          </cell>
          <cell r="D105" t="str">
            <v>เหล็กเส้นกลมSR-24 ขนาด 15มม.*10 ม.</v>
          </cell>
          <cell r="E105">
            <v>305.8</v>
          </cell>
          <cell r="F105">
            <v>327.20600000000002</v>
          </cell>
        </row>
        <row r="106">
          <cell r="C106" t="str">
            <v>S04RFRB004</v>
          </cell>
          <cell r="D106" t="str">
            <v>เหล็กเส้นกลมSR-24 ขนาด 19มม.*10 ม.</v>
          </cell>
          <cell r="E106">
            <v>490.6</v>
          </cell>
          <cell r="F106">
            <v>467</v>
          </cell>
        </row>
        <row r="107">
          <cell r="C107" t="str">
            <v>S04RFRB005</v>
          </cell>
          <cell r="D107" t="str">
            <v>เหล็กเส้นกลมSR-24 ขนาด 19มม.*0.5 ม.</v>
          </cell>
          <cell r="E107">
            <v>2.23</v>
          </cell>
          <cell r="F107">
            <v>21</v>
          </cell>
        </row>
        <row r="108">
          <cell r="C108" t="str">
            <v>S04RFRB007</v>
          </cell>
          <cell r="D108" t="str">
            <v>เหล็กเส้นกลมSR-24 ขนาด 12มม.*10 ม.</v>
          </cell>
          <cell r="E108">
            <v>197.56</v>
          </cell>
          <cell r="F108">
            <v>165</v>
          </cell>
        </row>
        <row r="109">
          <cell r="C109" t="str">
            <v>S04SSTL</v>
          </cell>
          <cell r="D109" t="str">
            <v>[] 4/8" ตัน ยาว 6 m. (1.266 kg/m)</v>
          </cell>
          <cell r="E109">
            <v>190</v>
          </cell>
          <cell r="F109">
            <v>203.3</v>
          </cell>
        </row>
        <row r="110">
          <cell r="C110" t="str">
            <v>S04SSTL</v>
          </cell>
          <cell r="D110" t="str">
            <v>[] 50x50x3.2 mm. ยาว 6 m. (4.47 kg/m)</v>
          </cell>
          <cell r="E110">
            <v>155</v>
          </cell>
          <cell r="F110">
            <v>165.85000000000002</v>
          </cell>
        </row>
        <row r="111">
          <cell r="C111" t="str">
            <v>S04SSTL</v>
          </cell>
          <cell r="D111" t="str">
            <v>เหล็กพืช DIA 1" x 2 mm. x 6 mm.</v>
          </cell>
          <cell r="F111">
            <v>0</v>
          </cell>
        </row>
        <row r="112">
          <cell r="C112" t="str">
            <v>S04SSTL</v>
          </cell>
          <cell r="D112" t="str">
            <v>เหล็กสี่เหลี่ยมตัน 12 มม.</v>
          </cell>
          <cell r="F112">
            <v>0</v>
          </cell>
        </row>
        <row r="113">
          <cell r="C113" t="str">
            <v>S04SSTL</v>
          </cell>
          <cell r="D113" t="str">
            <v>[] 4/8" ตัน ยาว 6 m. (1.266 kg/m)</v>
          </cell>
          <cell r="F113">
            <v>0</v>
          </cell>
        </row>
        <row r="114">
          <cell r="C114" t="str">
            <v>S04SSTL003</v>
          </cell>
          <cell r="D114" t="str">
            <v>เหล็กแบน 100 x 6mm. X 6 m.</v>
          </cell>
          <cell r="E114">
            <v>678.24</v>
          </cell>
          <cell r="F114">
            <v>820</v>
          </cell>
        </row>
        <row r="115">
          <cell r="C115" t="str">
            <v>S04SSTL008</v>
          </cell>
          <cell r="D115" t="str">
            <v>เหล็กฉาก L 75 x 75 x 6 mm x 6 m</v>
          </cell>
          <cell r="E115">
            <v>986.4</v>
          </cell>
          <cell r="F115">
            <v>890</v>
          </cell>
        </row>
        <row r="116">
          <cell r="C116" t="str">
            <v>S04SSTL009</v>
          </cell>
          <cell r="D116" t="str">
            <v>เหล็กฉาก 100 x 100 x 7 mm. X 6.00 m.</v>
          </cell>
          <cell r="E116">
            <v>1540.8</v>
          </cell>
          <cell r="F116">
            <v>1455</v>
          </cell>
        </row>
        <row r="117">
          <cell r="C117" t="str">
            <v>S04SSTL012</v>
          </cell>
          <cell r="D117" t="str">
            <v>เหล็กฉาก 75 x 75 x 8 mm. X 6.00 m.</v>
          </cell>
          <cell r="E117">
            <v>1248</v>
          </cell>
          <cell r="F117">
            <v>1382</v>
          </cell>
        </row>
        <row r="118">
          <cell r="C118" t="str">
            <v>S04SSTL029</v>
          </cell>
          <cell r="D118" t="str">
            <v>เหล็กฉาก 65*65*6 มม. *6.0ม.</v>
          </cell>
          <cell r="E118">
            <v>851.04</v>
          </cell>
          <cell r="F118">
            <v>685</v>
          </cell>
        </row>
        <row r="119">
          <cell r="C119" t="str">
            <v>S04SSTL030</v>
          </cell>
          <cell r="D119" t="str">
            <v>เหล็กฉาก 90*90*6 มม. *6.0ม.</v>
          </cell>
          <cell r="E119">
            <v>1192.32</v>
          </cell>
          <cell r="F119">
            <v>1230</v>
          </cell>
        </row>
        <row r="120">
          <cell r="C120" t="str">
            <v>S04SSTL035</v>
          </cell>
          <cell r="D120" t="str">
            <v>เหล็กฉาก 60*60*6 มม. *6.0ม.</v>
          </cell>
          <cell r="E120">
            <v>785.58</v>
          </cell>
          <cell r="F120">
            <v>840.57060000000013</v>
          </cell>
        </row>
        <row r="121">
          <cell r="C121" t="str">
            <v>S04SSTL039</v>
          </cell>
          <cell r="D121" t="str">
            <v>เหล็กกล่อง 25* 25 * 2.3 mm. * 6 m.</v>
          </cell>
          <cell r="E121">
            <v>259.99200000000002</v>
          </cell>
          <cell r="F121">
            <v>205</v>
          </cell>
        </row>
        <row r="122">
          <cell r="C122" t="str">
            <v>S04SSTL043</v>
          </cell>
          <cell r="D122" t="str">
            <v>เหล็ก [ 100x50x2.3 mm x6 m</v>
          </cell>
          <cell r="E122">
            <v>584.64</v>
          </cell>
          <cell r="F122">
            <v>460</v>
          </cell>
        </row>
        <row r="123">
          <cell r="C123" t="str">
            <v>S04SSTL055</v>
          </cell>
          <cell r="D123" t="str">
            <v>[] 2"x2"x2.3 mm. x 6 m.</v>
          </cell>
          <cell r="E123">
            <v>528.29999999999995</v>
          </cell>
          <cell r="F123">
            <v>360</v>
          </cell>
        </row>
        <row r="124">
          <cell r="C124" t="str">
            <v>S04STPL010</v>
          </cell>
          <cell r="D124" t="str">
            <v>PL ATE No.4(ฉาก0.2+0.2m.)x0.05m.x6mm.</v>
          </cell>
          <cell r="E124">
            <v>52.5</v>
          </cell>
          <cell r="F124">
            <v>35</v>
          </cell>
        </row>
        <row r="125">
          <cell r="C125" t="str">
            <v>S04STPL014</v>
          </cell>
          <cell r="D125" t="str">
            <v>PLATE เบอร์1 (ตัวตรง 0.25+0.25 ม.) x0.05x0.06</v>
          </cell>
          <cell r="E125">
            <v>52.5</v>
          </cell>
          <cell r="F125">
            <v>56.175000000000004</v>
          </cell>
        </row>
        <row r="126">
          <cell r="C126" t="str">
            <v>S04STPL015</v>
          </cell>
          <cell r="D126" t="str">
            <v>PLATE เบอร์2 (ฉาก 0.15+0.20 ม.) x0.10x0.60</v>
          </cell>
          <cell r="E126">
            <v>63</v>
          </cell>
          <cell r="F126">
            <v>67.410000000000011</v>
          </cell>
        </row>
        <row r="127">
          <cell r="C127" t="str">
            <v>S04STPL016</v>
          </cell>
          <cell r="D127" t="str">
            <v>PLATE เบอร์3 (ฉาก 0.20+0.20 ม.) x0.10x0.06</v>
          </cell>
          <cell r="E127">
            <v>63</v>
          </cell>
          <cell r="F127">
            <v>67.410000000000011</v>
          </cell>
        </row>
        <row r="128">
          <cell r="C128" t="str">
            <v>S04STPL017</v>
          </cell>
          <cell r="D128" t="str">
            <v>PLATE เบอร์4 (สามทาง 0.25+0.25+0.25 ม.) x0.05x0.06</v>
          </cell>
          <cell r="E128">
            <v>82</v>
          </cell>
          <cell r="F128">
            <v>87.740000000000009</v>
          </cell>
        </row>
        <row r="129">
          <cell r="C129" t="str">
            <v>S04STPL018</v>
          </cell>
          <cell r="D129" t="str">
            <v>PLATE เบอร์5 (ฉาก 0.25+0.25 ม.) x0.05x0.06</v>
          </cell>
          <cell r="E129">
            <v>60</v>
          </cell>
          <cell r="F129">
            <v>64.2</v>
          </cell>
        </row>
        <row r="130">
          <cell r="C130" t="str">
            <v>S04STPL019</v>
          </cell>
          <cell r="D130" t="str">
            <v>PLATE เบอร์6 (เฉียง 0.25+0.25 ม.)x0.05x0.06</v>
          </cell>
          <cell r="E130">
            <v>60</v>
          </cell>
          <cell r="F130">
            <v>64.2</v>
          </cell>
        </row>
        <row r="131">
          <cell r="C131" t="str">
            <v>S04STPL021</v>
          </cell>
          <cell r="D131" t="str">
            <v>PLATE เบอร์ 2 (ฉาก 0.10x0.10 m.) x0.10x0.006</v>
          </cell>
          <cell r="E131">
            <v>42</v>
          </cell>
          <cell r="F131">
            <v>39</v>
          </cell>
        </row>
        <row r="132">
          <cell r="C132" t="str">
            <v>S04STPL026</v>
          </cell>
          <cell r="D132" t="str">
            <v>PLATE  L75x75x6 mm.x 0.10 m.</v>
          </cell>
          <cell r="E132">
            <v>32.5</v>
          </cell>
          <cell r="F132">
            <v>22</v>
          </cell>
        </row>
        <row r="133">
          <cell r="C133" t="str">
            <v>S04STPL028</v>
          </cell>
          <cell r="D133" t="str">
            <v>PLATE  L100x100x6 mm.x 0.10 m.</v>
          </cell>
          <cell r="E133">
            <v>40</v>
          </cell>
          <cell r="F133">
            <v>21</v>
          </cell>
        </row>
        <row r="134">
          <cell r="C134" t="str">
            <v>S04STPL029</v>
          </cell>
          <cell r="D134" t="str">
            <v>CP1 L75x75 ยาว 0.09 m.</v>
          </cell>
          <cell r="E134">
            <v>33</v>
          </cell>
          <cell r="F134">
            <v>20</v>
          </cell>
        </row>
        <row r="135">
          <cell r="C135" t="str">
            <v>S04STPL030</v>
          </cell>
          <cell r="D135" t="str">
            <v>CP2 L90x90 ยาว 0.19 m.</v>
          </cell>
          <cell r="E135">
            <v>60</v>
          </cell>
          <cell r="F135">
            <v>69</v>
          </cell>
        </row>
        <row r="136">
          <cell r="C136" t="str">
            <v>S04STPL031</v>
          </cell>
          <cell r="D136" t="str">
            <v>W1 0.1*0.1 m.</v>
          </cell>
          <cell r="E136">
            <v>20</v>
          </cell>
          <cell r="F136">
            <v>19</v>
          </cell>
        </row>
        <row r="137">
          <cell r="C137" t="str">
            <v>S04STPL032</v>
          </cell>
          <cell r="D137" t="str">
            <v>CP5 PLATE 0.15x0.15 m. x 9 mm. ผนัง</v>
          </cell>
          <cell r="E137">
            <v>35</v>
          </cell>
          <cell r="F137">
            <v>41.5</v>
          </cell>
        </row>
        <row r="138">
          <cell r="C138" t="str">
            <v>S04STPL033</v>
          </cell>
          <cell r="D138" t="str">
            <v>CP4 PLATE 0.15x0.10 m. x 9 mm.</v>
          </cell>
          <cell r="E138">
            <v>23</v>
          </cell>
          <cell r="F138">
            <v>28</v>
          </cell>
        </row>
        <row r="139">
          <cell r="C139" t="str">
            <v>S04STPL034</v>
          </cell>
          <cell r="D139" t="str">
            <v>CP7 PLATE 0.15x0.15 m. x 9 mm. พื้น</v>
          </cell>
          <cell r="E139">
            <v>41.5</v>
          </cell>
          <cell r="F139">
            <v>41.5</v>
          </cell>
        </row>
        <row r="140">
          <cell r="C140" t="str">
            <v>S04STPL041</v>
          </cell>
          <cell r="D140" t="str">
            <v>PLATE เบอร์1 (ฉาก 0.10x0.10x0.006 ม.)</v>
          </cell>
          <cell r="E140">
            <v>39</v>
          </cell>
          <cell r="F140">
            <v>39</v>
          </cell>
        </row>
        <row r="141">
          <cell r="C141" t="str">
            <v>S04STPL042</v>
          </cell>
          <cell r="D141" t="str">
            <v>PLATE เบอร์2 (ฉากเอียง 135 องศา 0.10x0.10x0.006 ม.)</v>
          </cell>
          <cell r="E141">
            <v>39</v>
          </cell>
          <cell r="F141">
            <v>39</v>
          </cell>
        </row>
        <row r="142">
          <cell r="C142" t="str">
            <v>S04STPL043</v>
          </cell>
          <cell r="D142" t="str">
            <v>PLATE เบอร์3 (ฉาก 0.10x0.15x0.006 ม.)</v>
          </cell>
          <cell r="E142">
            <v>28</v>
          </cell>
          <cell r="F142">
            <v>28</v>
          </cell>
        </row>
        <row r="143">
          <cell r="C143" t="str">
            <v>S04WMSH001</v>
          </cell>
          <cell r="D143" t="str">
            <v>เหล็กตะแกรง DIA 4 mm. #0.2x0.2 - 2.80x3.00 m.</v>
          </cell>
          <cell r="E143">
            <v>218.39999999999998</v>
          </cell>
          <cell r="F143">
            <v>215.74</v>
          </cell>
        </row>
        <row r="144">
          <cell r="C144" t="str">
            <v>S04WMSH002</v>
          </cell>
          <cell r="D144" t="str">
            <v>เหล็กตะแกรง DIA 4 mm. #0.2x0.2 - 3.00x25.00 m.</v>
          </cell>
          <cell r="E144">
            <v>1950</v>
          </cell>
          <cell r="F144">
            <v>1792.5</v>
          </cell>
        </row>
        <row r="145">
          <cell r="C145" t="str">
            <v>S04WMSH003</v>
          </cell>
          <cell r="D145" t="str">
            <v>เหล็กตะแกรง DIA 4 mm. #0.2x0.2 - 3.00x10.00 m.</v>
          </cell>
          <cell r="E145">
            <v>780</v>
          </cell>
          <cell r="F145">
            <v>717</v>
          </cell>
        </row>
        <row r="146">
          <cell r="C146" t="str">
            <v>S04WMSH005</v>
          </cell>
          <cell r="D146" t="str">
            <v>เหล็กตะแกรง DIA 4 mm. #0.2x0.2 - 2.00x15.00 m.</v>
          </cell>
          <cell r="E146">
            <v>780</v>
          </cell>
          <cell r="F146">
            <v>717</v>
          </cell>
        </row>
        <row r="147">
          <cell r="C147" t="str">
            <v>S04WMSH006</v>
          </cell>
          <cell r="D147" t="str">
            <v>เหล็กตะแกรง DIA 6 mm. #0.2x0.2 - 1.55x3.00 m.</v>
          </cell>
          <cell r="E147">
            <v>279</v>
          </cell>
          <cell r="F147">
            <v>252.96</v>
          </cell>
        </row>
        <row r="148">
          <cell r="C148" t="str">
            <v>S04WMSH007</v>
          </cell>
          <cell r="D148" t="str">
            <v>เหล็กตะแกรง DIA 6 mm. #0.2x0.2 - 3.00x14.00 m.</v>
          </cell>
          <cell r="E148">
            <v>2520</v>
          </cell>
          <cell r="F148">
            <v>2436.35</v>
          </cell>
        </row>
        <row r="149">
          <cell r="C149" t="str">
            <v>S04WMSH008</v>
          </cell>
          <cell r="D149" t="str">
            <v>เหล็กตะแกรง DIA 6 mm. #0.2x0.2 - 3.10x20.00 m.</v>
          </cell>
          <cell r="E149">
            <v>3720</v>
          </cell>
          <cell r="F149">
            <v>3511.93</v>
          </cell>
        </row>
        <row r="150">
          <cell r="C150" t="str">
            <v>S04WMSH009</v>
          </cell>
          <cell r="D150" t="str">
            <v>เหล็กตะแกรง DIA 6 mm. #0.2x0.2 - 3.00x10.00 m.</v>
          </cell>
          <cell r="E150">
            <v>1800</v>
          </cell>
          <cell r="F150">
            <v>1632</v>
          </cell>
        </row>
        <row r="151">
          <cell r="C151" t="str">
            <v>S04WMSH017</v>
          </cell>
          <cell r="D151" t="str">
            <v>เหล็กตะแกรง DIA 4 mm. #0.2x0.2 - 3.00x32.00 m.</v>
          </cell>
          <cell r="E151">
            <v>2496</v>
          </cell>
          <cell r="F151">
            <v>2421.85</v>
          </cell>
        </row>
        <row r="152">
          <cell r="C152" t="str">
            <v>S04WMSH031</v>
          </cell>
          <cell r="D152" t="str">
            <v>เหล็กตะแกรง DIA 4 mm. #0.2x0.2 - 3.40x10.00 m.</v>
          </cell>
          <cell r="E152">
            <v>883.99999999999989</v>
          </cell>
          <cell r="F152">
            <v>870.4</v>
          </cell>
        </row>
        <row r="153">
          <cell r="C153" t="str">
            <v>S04WMSH032</v>
          </cell>
          <cell r="D153" t="str">
            <v>เหล็กตะแกรง DIA 4 mm. #0.2x0.2 - 3.20x10.00 m.</v>
          </cell>
          <cell r="E153">
            <v>832</v>
          </cell>
          <cell r="F153">
            <v>646.4</v>
          </cell>
        </row>
        <row r="154">
          <cell r="C154" t="str">
            <v>S04WMSH033</v>
          </cell>
          <cell r="D154" t="str">
            <v>เหล็กตะแกรง DIA 4 mm. #0.2x0.2 - 1.60x10.00 m.</v>
          </cell>
          <cell r="E154">
            <v>416</v>
          </cell>
          <cell r="F154">
            <v>313.57</v>
          </cell>
        </row>
        <row r="155">
          <cell r="C155" t="str">
            <v>S04WMSH034</v>
          </cell>
          <cell r="D155" t="str">
            <v>เหล็กตะแกรง DIA 4 mm. #0.2x0.2 - 1.80x10.00 m.</v>
          </cell>
          <cell r="E155">
            <v>468.00000000000006</v>
          </cell>
          <cell r="F155">
            <v>385.2</v>
          </cell>
        </row>
        <row r="156">
          <cell r="C156" t="str">
            <v>S04WMSH036</v>
          </cell>
          <cell r="D156" t="str">
            <v>เหล็กตะแกรง DIA 6 mm. #0.15x0.15 - 2.50x10.00 m.</v>
          </cell>
          <cell r="E156">
            <v>2057</v>
          </cell>
          <cell r="F156">
            <v>877.65</v>
          </cell>
        </row>
        <row r="157">
          <cell r="C157" t="str">
            <v>S04WMSH043</v>
          </cell>
          <cell r="D157" t="str">
            <v>เหล็กตะแกรง DIA 4 mm. #0.2x0.2 - 2.90x9.80 m.</v>
          </cell>
          <cell r="E157">
            <v>738.92</v>
          </cell>
          <cell r="F157">
            <v>670.38</v>
          </cell>
        </row>
        <row r="158">
          <cell r="C158" t="str">
            <v>S04WMSH045</v>
          </cell>
          <cell r="D158" t="str">
            <v>เหล็กตะแกรง DIA 4 mm. #0.2x0.2 - 2.50x9.80 m.</v>
          </cell>
          <cell r="E158">
            <v>637</v>
          </cell>
          <cell r="F158">
            <v>568.34</v>
          </cell>
        </row>
        <row r="159">
          <cell r="C159" t="str">
            <v>S04WMSH046</v>
          </cell>
          <cell r="D159" t="str">
            <v>เหล็กตะแกรง DIA 4 mm. #0.2x0.2 - 3.90x9.80 m.</v>
          </cell>
          <cell r="E159">
            <v>993.72</v>
          </cell>
          <cell r="F159">
            <v>917.28</v>
          </cell>
        </row>
        <row r="160">
          <cell r="C160" t="str">
            <v>S04WMSH048</v>
          </cell>
          <cell r="D160" t="str">
            <v>เหล็กตะแกรง DIA 4 mm. #0.2x0.2 - 2.40x9.80 m.</v>
          </cell>
          <cell r="E160">
            <v>611.52</v>
          </cell>
          <cell r="F160">
            <v>535.48</v>
          </cell>
        </row>
        <row r="161">
          <cell r="C161" t="str">
            <v>S04WMSH058</v>
          </cell>
          <cell r="D161" t="str">
            <v>เหล็กตะแกรง DIA 6 mm. #0.2x0.2 - 3.20x6.00 m.</v>
          </cell>
          <cell r="E161">
            <v>1152</v>
          </cell>
          <cell r="F161">
            <v>913.92</v>
          </cell>
        </row>
        <row r="162">
          <cell r="C162" t="str">
            <v>S04WMSH061</v>
          </cell>
          <cell r="D162" t="str">
            <v>เหล็กตะแกรง DIA 4 mm. #0.2x0.2 - 1.70x6.00 m.</v>
          </cell>
          <cell r="E162">
            <v>265.2</v>
          </cell>
          <cell r="F162">
            <v>243.78</v>
          </cell>
        </row>
        <row r="163">
          <cell r="C163" t="str">
            <v>S04WMSH063</v>
          </cell>
          <cell r="D163" t="str">
            <v>เหล็กตะแกรง DIA 4 mm. #0.2x0.2 - 1.70x3.00 m.</v>
          </cell>
          <cell r="E163">
            <v>132.6</v>
          </cell>
          <cell r="F163">
            <v>135.15</v>
          </cell>
        </row>
        <row r="164">
          <cell r="C164" t="str">
            <v>S04WOOD001</v>
          </cell>
          <cell r="D164" t="str">
            <v>ไม้เบญจพรรณ 1 1/2"x3''x3.00 m,</v>
          </cell>
          <cell r="E164">
            <v>65</v>
          </cell>
          <cell r="F164">
            <v>66</v>
          </cell>
        </row>
        <row r="165">
          <cell r="C165" t="str">
            <v>S04WOOD005</v>
          </cell>
          <cell r="D165" t="str">
            <v>ไม้ยาง 1 1/2" x 3" x 2.5 m.</v>
          </cell>
          <cell r="E165">
            <v>70</v>
          </cell>
          <cell r="F165">
            <v>89.78</v>
          </cell>
        </row>
        <row r="166">
          <cell r="C166" t="str">
            <v>S04WOOD014</v>
          </cell>
          <cell r="D166" t="str">
            <v>ไม้ยาง 1 1/2'' x 3'' x 3.00 ม.</v>
          </cell>
          <cell r="E166">
            <v>87</v>
          </cell>
          <cell r="F166">
            <v>110.81</v>
          </cell>
        </row>
        <row r="167">
          <cell r="C167" t="str">
            <v>S04WOOD017</v>
          </cell>
          <cell r="D167" t="str">
            <v>ไม้อัด 4' x 8' x 10 มม.</v>
          </cell>
          <cell r="E167">
            <v>300</v>
          </cell>
          <cell r="F167">
            <v>320</v>
          </cell>
        </row>
        <row r="168">
          <cell r="C168" t="str">
            <v>S04WOOD056</v>
          </cell>
          <cell r="D168" t="str">
            <v>ไม้ยาง 1" x 1" x 3.0 m.</v>
          </cell>
          <cell r="E168">
            <v>29</v>
          </cell>
          <cell r="F168">
            <v>24.63</v>
          </cell>
        </row>
        <row r="169">
          <cell r="C169" t="str">
            <v>S04WOOD095</v>
          </cell>
          <cell r="D169" t="str">
            <v>ไม้มะค่า 4" X 14" เกรด AAA</v>
          </cell>
          <cell r="E169">
            <v>1300</v>
          </cell>
          <cell r="F169">
            <v>1280</v>
          </cell>
        </row>
        <row r="170">
          <cell r="C170" t="str">
            <v>S04WOOD096</v>
          </cell>
          <cell r="D170" t="str">
            <v>บัวเชิงผนัง(บัวพื้น) ไม้มะค่า ขนาด 12x90 มม. (4'')</v>
          </cell>
          <cell r="E170">
            <v>100</v>
          </cell>
          <cell r="F170">
            <v>90</v>
          </cell>
        </row>
        <row r="171">
          <cell r="C171" t="str">
            <v>S04WOOD097</v>
          </cell>
          <cell r="D171" t="str">
            <v>บัวมอบฝ้า ไม้มะค่า ขนาด 1''x3'' (2'')</v>
          </cell>
          <cell r="E171">
            <v>110</v>
          </cell>
          <cell r="F171">
            <v>100</v>
          </cell>
        </row>
        <row r="172">
          <cell r="C172" t="str">
            <v>S04WOOD122</v>
          </cell>
          <cell r="D172" t="str">
            <v>บัวเชิงผนัง(บัวพื้น) ไม้มะค่า ขนาด 12x45 มม. (2'')</v>
          </cell>
          <cell r="E172">
            <v>55</v>
          </cell>
          <cell r="F172">
            <v>45</v>
          </cell>
        </row>
        <row r="173">
          <cell r="C173" t="str">
            <v>S04WOOD124</v>
          </cell>
          <cell r="D173" t="str">
            <v>บัวเชิงผนัง(บัวพื้น) ไม้เต็ง ขนาด 12x90 มม. (4'')</v>
          </cell>
          <cell r="E173">
            <v>35</v>
          </cell>
          <cell r="F173">
            <v>33</v>
          </cell>
        </row>
        <row r="174">
          <cell r="C174" t="str">
            <v>S04WOOD125</v>
          </cell>
          <cell r="D174" t="str">
            <v>บัวมอบฝ้า ไม้เต็ง ขนาด 1''x3'' (2'')</v>
          </cell>
          <cell r="E174">
            <v>35</v>
          </cell>
          <cell r="F174">
            <v>27</v>
          </cell>
        </row>
        <row r="175">
          <cell r="C175" t="str">
            <v>S04WOOD127</v>
          </cell>
          <cell r="D175" t="str">
            <v>ไม้มะค่าขนาด  1" x 4"  ยาว  1.00  ม.</v>
          </cell>
          <cell r="E175">
            <v>140</v>
          </cell>
          <cell r="F175">
            <v>135</v>
          </cell>
        </row>
        <row r="176">
          <cell r="C176" t="str">
            <v>S05ASCP001</v>
          </cell>
          <cell r="D176" t="str">
            <v>ท่อซีเมนต์ใยหิน 6" x 3 m.</v>
          </cell>
          <cell r="E176">
            <v>90</v>
          </cell>
          <cell r="F176">
            <v>69.14</v>
          </cell>
        </row>
        <row r="177">
          <cell r="C177" t="str">
            <v>S05GLUE005</v>
          </cell>
          <cell r="D177" t="str">
            <v>ซิลิโคน</v>
          </cell>
          <cell r="E177">
            <v>107</v>
          </cell>
          <cell r="F177">
            <v>107</v>
          </cell>
        </row>
        <row r="178">
          <cell r="C178" t="str">
            <v>S05MHOL001</v>
          </cell>
          <cell r="D178" t="str">
            <v>บ่อพักสำเร็จรูปพร้อมฝา</v>
          </cell>
          <cell r="E178">
            <v>75</v>
          </cell>
          <cell r="F178">
            <v>62.08</v>
          </cell>
        </row>
        <row r="179">
          <cell r="C179" t="str">
            <v>S06CHWM001</v>
          </cell>
          <cell r="D179" t="str">
            <v>ลวดตาข่ายDIA0.8mm.1.25x1.25cm.-0.9x30m.</v>
          </cell>
          <cell r="E179">
            <v>600</v>
          </cell>
          <cell r="F179">
            <v>580</v>
          </cell>
        </row>
        <row r="180">
          <cell r="C180" t="str">
            <v>S07CMT012</v>
          </cell>
          <cell r="D180" t="str">
            <v>แผ่นสะท้อนความร้อน 1.25x60 ม.</v>
          </cell>
          <cell r="E180">
            <v>3588</v>
          </cell>
          <cell r="F180">
            <v>3839.1600000000003</v>
          </cell>
        </row>
        <row r="181">
          <cell r="C181" t="str">
            <v>S07CMTL001</v>
          </cell>
          <cell r="D181" t="str">
            <v>ครอบสันโค้ง</v>
          </cell>
          <cell r="E181">
            <v>31.5</v>
          </cell>
          <cell r="F181">
            <v>18.09</v>
          </cell>
        </row>
        <row r="182">
          <cell r="C182" t="str">
            <v>S07CMTL002</v>
          </cell>
          <cell r="D182" t="str">
            <v>ครอบปิดจั่ว</v>
          </cell>
          <cell r="E182">
            <v>40.25</v>
          </cell>
          <cell r="F182">
            <v>28</v>
          </cell>
        </row>
        <row r="183">
          <cell r="C183" t="str">
            <v>S07CMTL003</v>
          </cell>
          <cell r="D183" t="str">
            <v>ครอบข้างปิดชาย</v>
          </cell>
          <cell r="E183">
            <v>39.5</v>
          </cell>
          <cell r="F183">
            <v>28</v>
          </cell>
        </row>
        <row r="184">
          <cell r="C184" t="str">
            <v>S07CMTL004</v>
          </cell>
          <cell r="D184" t="str">
            <v>ครอบข้าง 90</v>
          </cell>
          <cell r="E184">
            <v>31.5</v>
          </cell>
          <cell r="F184">
            <v>18</v>
          </cell>
        </row>
        <row r="185">
          <cell r="C185" t="str">
            <v>S07CMTL005</v>
          </cell>
          <cell r="D185" t="str">
            <v>ครอบโค้งหางมน</v>
          </cell>
          <cell r="E185">
            <v>48.5</v>
          </cell>
          <cell r="F185">
            <v>28</v>
          </cell>
        </row>
        <row r="186">
          <cell r="C186" t="str">
            <v>S07CMTL006</v>
          </cell>
          <cell r="D186" t="str">
            <v>ครอบโค้งสามทาง</v>
          </cell>
          <cell r="E186">
            <v>55.5</v>
          </cell>
          <cell r="F186">
            <v>28</v>
          </cell>
        </row>
        <row r="187">
          <cell r="C187" t="str">
            <v>S07CMTL009</v>
          </cell>
          <cell r="D187" t="str">
            <v>กระเบื้อง CPAC โมเนียสีอิฐอำไพ</v>
          </cell>
          <cell r="E187">
            <v>16</v>
          </cell>
          <cell r="F187">
            <v>10.43</v>
          </cell>
        </row>
        <row r="188">
          <cell r="C188" t="str">
            <v>S07CMTL010</v>
          </cell>
          <cell r="D188" t="str">
            <v>กระเบื้อง CPAC โมเนียสีประกายทอง</v>
          </cell>
          <cell r="E188">
            <v>11.75</v>
          </cell>
          <cell r="F188">
            <v>11.75</v>
          </cell>
        </row>
        <row r="189">
          <cell r="C189" t="str">
            <v>S07CMTL011</v>
          </cell>
          <cell r="D189" t="str">
            <v>กระเบื้อง CPAC โมเนียสีดินเผา</v>
          </cell>
          <cell r="E189">
            <v>16</v>
          </cell>
          <cell r="F189">
            <v>15.95</v>
          </cell>
        </row>
        <row r="190">
          <cell r="C190" t="str">
            <v>S07CMTL012</v>
          </cell>
          <cell r="D190" t="str">
            <v>แผ่นสะท้อนความร้อน 1.25 x 60 ม.</v>
          </cell>
          <cell r="E190">
            <v>3588</v>
          </cell>
          <cell r="F190">
            <v>3588</v>
          </cell>
        </row>
        <row r="191">
          <cell r="C191" t="str">
            <v>S07CMTL013</v>
          </cell>
          <cell r="D191" t="str">
            <v>แผ่นสะท้อนความร้อน 1.25x20 ม.</v>
          </cell>
          <cell r="E191">
            <v>1450</v>
          </cell>
          <cell r="F191">
            <v>1450</v>
          </cell>
        </row>
        <row r="192">
          <cell r="C192" t="str">
            <v>S07CMTL014</v>
          </cell>
          <cell r="D192" t="str">
            <v>ครอบโค้งสี่ทาง</v>
          </cell>
          <cell r="E192">
            <v>56</v>
          </cell>
          <cell r="F192">
            <v>50.25</v>
          </cell>
        </row>
        <row r="193">
          <cell r="C193" t="str">
            <v>S07CMTL015</v>
          </cell>
          <cell r="D193" t="str">
            <v>แผ่นปิดรอยต่อ</v>
          </cell>
          <cell r="E193">
            <v>320</v>
          </cell>
          <cell r="F193">
            <v>320</v>
          </cell>
        </row>
        <row r="194">
          <cell r="C194" t="str">
            <v>S07CMTL017</v>
          </cell>
          <cell r="D194" t="str">
            <v>แผ่นปิดเชิงชาย ( ลอนกาบกล้วย )</v>
          </cell>
          <cell r="E194">
            <v>175</v>
          </cell>
          <cell r="F194">
            <v>17.5</v>
          </cell>
        </row>
        <row r="195">
          <cell r="C195" t="str">
            <v>S07CMTL019</v>
          </cell>
          <cell r="D195" t="str">
            <v>ครอบผนังโค้ง</v>
          </cell>
          <cell r="E195">
            <v>42.5</v>
          </cell>
          <cell r="F195">
            <v>44</v>
          </cell>
        </row>
        <row r="196">
          <cell r="C196" t="str">
            <v>S07CMTL020</v>
          </cell>
          <cell r="D196" t="str">
            <v>ครอบข้างผนัง</v>
          </cell>
          <cell r="E196">
            <v>32.5</v>
          </cell>
          <cell r="F196">
            <v>27.25</v>
          </cell>
        </row>
        <row r="197">
          <cell r="C197" t="str">
            <v>S07CMTL021</v>
          </cell>
          <cell r="D197" t="str">
            <v>อุปกรณ์ติดตั้งครอบผนังโค้ง</v>
          </cell>
          <cell r="E197">
            <v>2490</v>
          </cell>
          <cell r="F197">
            <v>2490</v>
          </cell>
        </row>
        <row r="198">
          <cell r="C198" t="str">
            <v>S07CMTL022</v>
          </cell>
          <cell r="D198" t="str">
            <v>กระเบื้องลอนสีเขียวพรายทะเล</v>
          </cell>
          <cell r="E198">
            <v>9</v>
          </cell>
          <cell r="F198">
            <v>9</v>
          </cell>
        </row>
        <row r="199">
          <cell r="C199" t="str">
            <v>S07CMTL027</v>
          </cell>
          <cell r="D199" t="str">
            <v>กระเบื้องซีแพคโมเนียประกายอำพัน</v>
          </cell>
          <cell r="E199">
            <v>14</v>
          </cell>
          <cell r="F199">
            <v>11.75</v>
          </cell>
        </row>
        <row r="200">
          <cell r="C200" t="str">
            <v>S07CMTL030</v>
          </cell>
          <cell r="D200" t="str">
            <v>แผ่นปิดรางน้ำหัวตะเข้</v>
          </cell>
          <cell r="E200">
            <v>300</v>
          </cell>
          <cell r="F200">
            <v>320</v>
          </cell>
        </row>
        <row r="201">
          <cell r="C201" t="str">
            <v>S07CMTL035</v>
          </cell>
          <cell r="D201" t="str">
            <v>สีทาปูนทรายสีประกายทอง</v>
          </cell>
          <cell r="E201">
            <v>380</v>
          </cell>
          <cell r="F201">
            <v>270</v>
          </cell>
        </row>
        <row r="202">
          <cell r="C202" t="str">
            <v>S07CMTL037</v>
          </cell>
          <cell r="D202" t="str">
            <v>สีทาปูนทรายสีประกายอำพัน</v>
          </cell>
          <cell r="E202">
            <v>380</v>
          </cell>
          <cell r="F202">
            <v>320</v>
          </cell>
        </row>
        <row r="203">
          <cell r="C203" t="str">
            <v>S07CMTL038</v>
          </cell>
          <cell r="D203" t="str">
            <v>โครงหลังคา SMARTRUSS</v>
          </cell>
          <cell r="F203">
            <v>63650</v>
          </cell>
        </row>
        <row r="204">
          <cell r="C204" t="str">
            <v>S08STNR001</v>
          </cell>
          <cell r="D204" t="str">
            <v>จมูกบันได ระยะ 1.20 ม.</v>
          </cell>
          <cell r="E204">
            <v>40</v>
          </cell>
          <cell r="F204">
            <v>55</v>
          </cell>
        </row>
        <row r="205">
          <cell r="C205" t="str">
            <v>S08STNR003</v>
          </cell>
          <cell r="D205" t="str">
            <v>คิ้ว PVC KOENIG CT-60  ( 2m./เส้น )</v>
          </cell>
          <cell r="E205">
            <v>67</v>
          </cell>
          <cell r="F205">
            <v>67</v>
          </cell>
        </row>
        <row r="206">
          <cell r="C206" t="str">
            <v>S08TILE004</v>
          </cell>
          <cell r="D206" t="str">
            <v>กระเบื้อง CASA 8" x 8" ลำพูน</v>
          </cell>
          <cell r="E206">
            <v>4.3</v>
          </cell>
          <cell r="F206">
            <v>4.3</v>
          </cell>
        </row>
        <row r="207">
          <cell r="C207" t="str">
            <v>S08TILE012</v>
          </cell>
          <cell r="D207" t="str">
            <v>กระเบื้อง COTTO 8" x 8" มอนทานา เทอราคาตต้า</v>
          </cell>
          <cell r="E207">
            <v>5.8</v>
          </cell>
          <cell r="F207">
            <v>6.21</v>
          </cell>
        </row>
        <row r="208">
          <cell r="C208" t="str">
            <v>S08TILE016</v>
          </cell>
          <cell r="D208" t="str">
            <v>กระเบื้อง 8" x 8" ลีลา</v>
          </cell>
          <cell r="E208">
            <v>5.3</v>
          </cell>
          <cell r="F208">
            <v>5.83</v>
          </cell>
        </row>
        <row r="209">
          <cell r="C209" t="str">
            <v>S08TILE030</v>
          </cell>
          <cell r="D209" t="str">
            <v>กระเบื้อง COTTO 13"x13" แอนติก้าชมพูเข้ม</v>
          </cell>
          <cell r="E209">
            <v>26</v>
          </cell>
          <cell r="F209">
            <v>20</v>
          </cell>
        </row>
        <row r="210">
          <cell r="C210" t="str">
            <v>S08TILE031</v>
          </cell>
          <cell r="D210" t="str">
            <v>กระเบื้อง COTTO 8"x8" เคนซิงตันโรสซาลมอน</v>
          </cell>
          <cell r="E210">
            <v>29</v>
          </cell>
          <cell r="F210">
            <v>5.9</v>
          </cell>
        </row>
        <row r="211">
          <cell r="C211" t="str">
            <v>S08TILE033</v>
          </cell>
          <cell r="D211" t="str">
            <v>กระเบื้อง COTTO 18"x18" อธีมีสเนื้อ</v>
          </cell>
          <cell r="E211">
            <v>55.6</v>
          </cell>
          <cell r="F211">
            <v>45.6</v>
          </cell>
        </row>
        <row r="212">
          <cell r="C212" t="str">
            <v>S08TILE036</v>
          </cell>
          <cell r="D212" t="str">
            <v>กระเบื้อง COTTO  8"x10" IMPALA WHITE</v>
          </cell>
          <cell r="E212">
            <v>13.5</v>
          </cell>
          <cell r="F212">
            <v>8</v>
          </cell>
        </row>
        <row r="213">
          <cell r="C213" t="str">
            <v>S08TILE037</v>
          </cell>
          <cell r="D213" t="str">
            <v>กระเบื้อง COTTO  2.5"x8" IMPALA HERBAL</v>
          </cell>
          <cell r="E213">
            <v>38.5</v>
          </cell>
          <cell r="F213">
            <v>38.5</v>
          </cell>
        </row>
        <row r="214">
          <cell r="C214" t="str">
            <v>S08TILE038</v>
          </cell>
          <cell r="D214" t="str">
            <v>กระเบื้อง COTTO  12"x12" CANCUN BEIGE</v>
          </cell>
          <cell r="E214">
            <v>17</v>
          </cell>
          <cell r="F214">
            <v>13.3</v>
          </cell>
        </row>
        <row r="215">
          <cell r="C215" t="str">
            <v>S08TILE039</v>
          </cell>
          <cell r="D215" t="str">
            <v>กระเบื้อง COTTO  8"x8" GLOSS WHITE</v>
          </cell>
          <cell r="E215">
            <v>13.5</v>
          </cell>
          <cell r="F215">
            <v>6.5</v>
          </cell>
        </row>
        <row r="216">
          <cell r="C216" t="str">
            <v>S08TILE041</v>
          </cell>
          <cell r="D216" t="str">
            <v>กระเบื้อง COTTO13"x13" แอนติก้าเนื้อเข้ม</v>
          </cell>
          <cell r="E216">
            <v>23</v>
          </cell>
          <cell r="F216">
            <v>20</v>
          </cell>
        </row>
        <row r="217">
          <cell r="C217" t="str">
            <v>S08TILE048</v>
          </cell>
          <cell r="D217" t="str">
            <v>กระเบื้อง COTTO 18"x18" นทีกาญจน์เนื้อ</v>
          </cell>
          <cell r="E217">
            <v>42</v>
          </cell>
          <cell r="F217">
            <v>44.94</v>
          </cell>
        </row>
        <row r="218">
          <cell r="C218" t="str">
            <v>S08TILE052</v>
          </cell>
          <cell r="D218" t="str">
            <v>กระเบื้องเซรามิก 8" x 8" ไอสวรรค์-มรกต โสสุโก้</v>
          </cell>
          <cell r="E218">
            <v>5.15</v>
          </cell>
          <cell r="F218">
            <v>5.51</v>
          </cell>
        </row>
        <row r="219">
          <cell r="C219" t="str">
            <v>S08TILE053</v>
          </cell>
          <cell r="D219" t="str">
            <v>กระเบื้องเซรามิก 2" x 2" PT-F007 มรกตแก้วปั้นแต่ง</v>
          </cell>
          <cell r="E219">
            <v>2.75</v>
          </cell>
          <cell r="F219">
            <v>2.75</v>
          </cell>
        </row>
        <row r="220">
          <cell r="C220" t="str">
            <v>S08TILE054</v>
          </cell>
          <cell r="D220" t="str">
            <v>กระเบื้องเซรามิก 2" x 2" PT-F009 หยกแก้วปั้นแต่ง</v>
          </cell>
          <cell r="E220">
            <v>2.75</v>
          </cell>
          <cell r="F220">
            <v>2.75</v>
          </cell>
        </row>
        <row r="221">
          <cell r="C221" t="str">
            <v>S08TILE057</v>
          </cell>
          <cell r="D221" t="str">
            <v>กระเบื้อง COTTO 12" x 12" นาทูร่า ไอวอรี</v>
          </cell>
          <cell r="E221">
            <v>15.75</v>
          </cell>
          <cell r="F221">
            <v>16.850000000000001</v>
          </cell>
        </row>
        <row r="222">
          <cell r="C222" t="str">
            <v>S08TILE830</v>
          </cell>
          <cell r="D222" t="str">
            <v>กระเบื้องจูเลีย ขาว 8" X 8" CAMPANA</v>
          </cell>
          <cell r="E222">
            <v>5.5</v>
          </cell>
          <cell r="F222">
            <v>5.5</v>
          </cell>
        </row>
        <row r="223">
          <cell r="C223" t="str">
            <v>S08TILE838</v>
          </cell>
          <cell r="D223" t="str">
            <v>กระเบื้อง PICASSO IVORY 12" X 12" COTTO</v>
          </cell>
          <cell r="E223">
            <v>25</v>
          </cell>
          <cell r="F223">
            <v>25</v>
          </cell>
        </row>
        <row r="224">
          <cell r="C224" t="str">
            <v>S08TILE839</v>
          </cell>
          <cell r="D224" t="str">
            <v>กระเบื้อง PICASSO IVORY 10" X 16" COTTO</v>
          </cell>
          <cell r="E224">
            <v>27</v>
          </cell>
          <cell r="F224">
            <v>27</v>
          </cell>
        </row>
        <row r="225">
          <cell r="C225" t="str">
            <v>S08TILE840</v>
          </cell>
          <cell r="D225" t="str">
            <v>กระเบื้อง PICASSO WHITE 10" X 16" COTTO</v>
          </cell>
          <cell r="E225">
            <v>27</v>
          </cell>
          <cell r="F225">
            <v>27</v>
          </cell>
        </row>
        <row r="226">
          <cell r="C226" t="str">
            <v>S08TILE841</v>
          </cell>
          <cell r="D226" t="str">
            <v>กระเบื้อง PICASSO  MURANO WHITE-YELLOW(L2) 3.25" X 10" COTTO</v>
          </cell>
          <cell r="E226">
            <v>100</v>
          </cell>
          <cell r="F226">
            <v>100</v>
          </cell>
        </row>
        <row r="227">
          <cell r="C227" t="str">
            <v>S08TILE842</v>
          </cell>
          <cell r="D227" t="str">
            <v>กระเบื้อง เคนซิงตันสีเขียวอ่อน 13" X 13" COTTO</v>
          </cell>
          <cell r="E227">
            <v>23</v>
          </cell>
          <cell r="F227">
            <v>23</v>
          </cell>
        </row>
        <row r="228">
          <cell r="C228" t="str">
            <v>S08TILE843</v>
          </cell>
          <cell r="D228" t="str">
            <v>กระเบื้อง AMANDA WHITE  8" X 10" COTTO</v>
          </cell>
          <cell r="E228">
            <v>12.5</v>
          </cell>
          <cell r="F228">
            <v>8</v>
          </cell>
        </row>
        <row r="229">
          <cell r="C229" t="str">
            <v>S08TILE844</v>
          </cell>
          <cell r="D229" t="str">
            <v>กระเบื้อง AMANDA  VERMONT GREEN (listello) 2.5" X 8" COTTO</v>
          </cell>
          <cell r="E229">
            <v>42</v>
          </cell>
          <cell r="F229">
            <v>38</v>
          </cell>
        </row>
        <row r="230">
          <cell r="C230" t="str">
            <v>S08TILE845</v>
          </cell>
          <cell r="D230" t="str">
            <v>กระเบื้อง ไดนาสตี้ MARBLE BEIGE 50X50 cm</v>
          </cell>
          <cell r="E230">
            <v>93.46</v>
          </cell>
          <cell r="F230">
            <v>93.46</v>
          </cell>
        </row>
        <row r="231">
          <cell r="C231" t="str">
            <v>S08TILE846</v>
          </cell>
          <cell r="D231" t="str">
            <v>กระเบื้อง STONE BEIGE 13" X 13" COTTO</v>
          </cell>
          <cell r="E231">
            <v>21</v>
          </cell>
          <cell r="F231">
            <v>21</v>
          </cell>
        </row>
        <row r="232">
          <cell r="C232" t="str">
            <v>S08TILE847</v>
          </cell>
          <cell r="D232" t="str">
            <v>กระเบื้อง อินเดียนเสลทเนื้อ 13" X 13" COTTO</v>
          </cell>
          <cell r="E232">
            <v>23</v>
          </cell>
          <cell r="F232">
            <v>23</v>
          </cell>
        </row>
        <row r="233">
          <cell r="C233" t="str">
            <v>S08TILE848</v>
          </cell>
          <cell r="D233" t="str">
            <v>กระเบื้อง เอ็กเซลขาว 12" X 12"</v>
          </cell>
          <cell r="E233">
            <v>12.5</v>
          </cell>
          <cell r="F233">
            <v>12.5</v>
          </cell>
        </row>
        <row r="234">
          <cell r="C234" t="str">
            <v>S08TILE849</v>
          </cell>
          <cell r="D234" t="str">
            <v>กระเบื้องFOSSIL TERRACOTTA  13" X 13" COTTO</v>
          </cell>
          <cell r="E234">
            <v>23</v>
          </cell>
          <cell r="F234">
            <v>23</v>
          </cell>
        </row>
        <row r="235">
          <cell r="C235" t="str">
            <v>S08TILE850</v>
          </cell>
          <cell r="D235" t="str">
            <v>กระเบื้อง 13063 ดอราโด สโตน OD5835 50x50 cm.</v>
          </cell>
          <cell r="E235">
            <v>105</v>
          </cell>
          <cell r="F235">
            <v>105</v>
          </cell>
        </row>
        <row r="236">
          <cell r="C236" t="str">
            <v>S08TILE851</v>
          </cell>
          <cell r="D236" t="str">
            <v>กระเบื้อง FOSSIL BONE  13" X 13" COTTO</v>
          </cell>
          <cell r="E236">
            <v>23</v>
          </cell>
          <cell r="F236">
            <v>23</v>
          </cell>
        </row>
        <row r="237">
          <cell r="C237" t="str">
            <v>S08TILE857</v>
          </cell>
          <cell r="D237" t="str">
            <v>กระเบื้อง VICENZA BEIGE 12"X12" COTTO</v>
          </cell>
          <cell r="E237">
            <v>14</v>
          </cell>
          <cell r="F237">
            <v>14</v>
          </cell>
        </row>
        <row r="238">
          <cell r="C238" t="str">
            <v>S08TILE859</v>
          </cell>
          <cell r="D238" t="str">
            <v>กระเบื้อง OMICA กรุยเชิงใหญ่แวร์ซายน์ครีโม่ 10 x 33 cm.</v>
          </cell>
          <cell r="E238">
            <v>180</v>
          </cell>
          <cell r="F238">
            <v>180</v>
          </cell>
        </row>
        <row r="239">
          <cell r="C239" t="str">
            <v>S08TILE860</v>
          </cell>
          <cell r="D239" t="str">
            <v>กระเบื้อง CERES IVORY R/T 12" X 24" COTTO</v>
          </cell>
          <cell r="E239">
            <v>130</v>
          </cell>
          <cell r="F239">
            <v>130</v>
          </cell>
        </row>
        <row r="240">
          <cell r="C240" t="str">
            <v>S08TILE861</v>
          </cell>
          <cell r="D240" t="str">
            <v xml:space="preserve">กระเบื้อง IRIS FLORA BEIGE(L2) R/T 4" X12" COTTO </v>
          </cell>
          <cell r="E240">
            <v>210</v>
          </cell>
          <cell r="F240">
            <v>210</v>
          </cell>
        </row>
        <row r="241">
          <cell r="C241" t="str">
            <v>S08TILE862</v>
          </cell>
          <cell r="D241" t="str">
            <v xml:space="preserve">กระเบื้อง IRIS FLORA BROWN(L1) R/T 1" X12" COTTO </v>
          </cell>
          <cell r="E241">
            <v>160</v>
          </cell>
          <cell r="F241">
            <v>160</v>
          </cell>
        </row>
        <row r="242">
          <cell r="C242" t="str">
            <v>S08TILE863</v>
          </cell>
          <cell r="D242" t="str">
            <v>กระเบื้อง ไดนาสตี้ เวอร์จิเนีย 5000 50x50 cm.</v>
          </cell>
          <cell r="E242">
            <v>93.4</v>
          </cell>
          <cell r="F242">
            <v>93.46</v>
          </cell>
        </row>
        <row r="243">
          <cell r="C243" t="str">
            <v>S08TILE864</v>
          </cell>
          <cell r="D243" t="str">
            <v>กระเบื้อง VICENZA BEIGE R/T 12"X24" COTTO</v>
          </cell>
          <cell r="E243">
            <v>130</v>
          </cell>
          <cell r="F243">
            <v>130</v>
          </cell>
        </row>
        <row r="244">
          <cell r="C244" t="str">
            <v>S08TILE865</v>
          </cell>
          <cell r="D244" t="str">
            <v>กระเบื้อง VICENZA  CLASSIC BEIGE(L) R/T 3.25"X12" COTTO</v>
          </cell>
          <cell r="E244">
            <v>196</v>
          </cell>
          <cell r="F244">
            <v>196</v>
          </cell>
        </row>
        <row r="245">
          <cell r="C245" t="str">
            <v>S08TILE867</v>
          </cell>
          <cell r="D245" t="str">
            <v>กระเบื้อง COLESEUM TERRACOTTA 13"X13" COTTO</v>
          </cell>
          <cell r="E245">
            <v>23</v>
          </cell>
          <cell r="F245">
            <v>23</v>
          </cell>
        </row>
        <row r="246">
          <cell r="C246" t="str">
            <v>S08TILE868</v>
          </cell>
          <cell r="D246" t="str">
            <v>กระเบื้อง VENETIAN BEIGE 13"X13" COTTO</v>
          </cell>
          <cell r="E246">
            <v>26.5</v>
          </cell>
          <cell r="F246">
            <v>26.5</v>
          </cell>
        </row>
        <row r="247">
          <cell r="C247" t="str">
            <v>S08TILE869</v>
          </cell>
          <cell r="D247" t="str">
            <v>กระเบื้อง VENETIAN CLASSIC BEIGE(B) 6.5"X13" COTTO</v>
          </cell>
          <cell r="E247">
            <v>40</v>
          </cell>
          <cell r="F247">
            <v>40</v>
          </cell>
        </row>
        <row r="248">
          <cell r="C248" t="str">
            <v>S08TILE870</v>
          </cell>
          <cell r="D248" t="str">
            <v>กระเบื้อง VENETIAN CLASSIC BEIGE(C) 6.5"X6.5" COTTO</v>
          </cell>
          <cell r="E248">
            <v>26.5</v>
          </cell>
          <cell r="F248">
            <v>26.5</v>
          </cell>
        </row>
        <row r="249">
          <cell r="C249" t="str">
            <v>S08TILE872</v>
          </cell>
          <cell r="D249" t="str">
            <v>กระเบื้อง OMICA แวร์ซายน์ครีโม่ เข้ม 25 x 33 cm.</v>
          </cell>
          <cell r="E249">
            <v>29</v>
          </cell>
          <cell r="F249">
            <v>29</v>
          </cell>
        </row>
        <row r="250">
          <cell r="C250" t="str">
            <v>S08TILE873</v>
          </cell>
          <cell r="D250" t="str">
            <v>กระเบื้อง OMICA แวร์ซายน์ครีโม่ อ่อน 25 x 33 cm.</v>
          </cell>
          <cell r="E250">
            <v>29</v>
          </cell>
          <cell r="F250">
            <v>29</v>
          </cell>
        </row>
        <row r="251">
          <cell r="C251" t="str">
            <v>S08TILE875</v>
          </cell>
          <cell r="D251" t="str">
            <v>กระเบื้อง CAMPANA 8"x8" โบน</v>
          </cell>
          <cell r="E251">
            <v>5.5</v>
          </cell>
          <cell r="F251">
            <v>5.51</v>
          </cell>
        </row>
        <row r="252">
          <cell r="C252" t="str">
            <v>S08TILE877</v>
          </cell>
          <cell r="D252" t="str">
            <v>กระเบื้อง REMBRADT COTTO 13" X 13" COTTO</v>
          </cell>
          <cell r="E252">
            <v>26.5</v>
          </cell>
          <cell r="F252">
            <v>26.5</v>
          </cell>
        </row>
        <row r="253">
          <cell r="C253" t="str">
            <v>S08TILE878</v>
          </cell>
          <cell r="D253" t="str">
            <v>กระเบื้อง FABRIC ALMOND 10" X 16" COTTO</v>
          </cell>
          <cell r="E253">
            <v>28</v>
          </cell>
          <cell r="F253">
            <v>28</v>
          </cell>
        </row>
        <row r="254">
          <cell r="C254" t="str">
            <v>S08TILE879</v>
          </cell>
          <cell r="D254" t="str">
            <v>กระเบื้อง FABRIC WHITE 10" X 16" COTTO</v>
          </cell>
          <cell r="E254">
            <v>28</v>
          </cell>
          <cell r="F254">
            <v>28</v>
          </cell>
        </row>
        <row r="255">
          <cell r="C255" t="str">
            <v>S08TILE880</v>
          </cell>
          <cell r="D255" t="str">
            <v>กระเบื้อง FABRIC MODERN BROWN(L2) 3.25" X 10" COTTO</v>
          </cell>
          <cell r="E255">
            <v>100</v>
          </cell>
          <cell r="F255">
            <v>100</v>
          </cell>
        </row>
        <row r="256">
          <cell r="C256" t="str">
            <v>S08TILE881</v>
          </cell>
          <cell r="D256" t="str">
            <v>กระเบื้อง OMICA OM 5510  33 x 50 cm.</v>
          </cell>
          <cell r="E256">
            <v>59.16</v>
          </cell>
          <cell r="F256">
            <v>59.16</v>
          </cell>
        </row>
        <row r="257">
          <cell r="C257" t="str">
            <v>S08TILE881</v>
          </cell>
          <cell r="D257" t="str">
            <v>กระเบื้อง OMICA OM 5510  33 x 50 cm.</v>
          </cell>
          <cell r="E257">
            <v>59.16</v>
          </cell>
          <cell r="F257">
            <v>59.16</v>
          </cell>
        </row>
        <row r="258">
          <cell r="C258" t="str">
            <v>S08TILE882</v>
          </cell>
          <cell r="D258" t="str">
            <v>กระเบื้อง BS 6011 60X60 cm.เซ็นทรัล พรีเมียร์ (คิดเป็น 76.32 ตร.ม.) (ราคาต่อตารางเมตร)</v>
          </cell>
          <cell r="E258">
            <v>1330</v>
          </cell>
          <cell r="F258">
            <v>153</v>
          </cell>
        </row>
        <row r="259">
          <cell r="C259" t="str">
            <v>S08TILE883</v>
          </cell>
          <cell r="D259" t="str">
            <v>QUARELLA T-05 ROSA DELGARDA กว้าง 20 cm. ซื้อกระเบื้องขนาด 0.30x0.60 ม. (1 pcs.=1 แผ่น) คิดเป็น 14.58 ตร.ม.(ราคาต่อตารางเมตร)</v>
          </cell>
          <cell r="E259">
            <v>1610</v>
          </cell>
          <cell r="F259">
            <v>197</v>
          </cell>
        </row>
        <row r="260">
          <cell r="C260" t="str">
            <v>S08TILE884</v>
          </cell>
          <cell r="D260" t="str">
            <v>QUARELLA T-11 ROSSO ASIAAGO  กว้าง 15 cm. COTTO ซื้อกระเบื้องขนาด 0.30x0.60 ม. (2 pcs.=1 แผ่น) คิดเป็น 1.44 ตร.ม.</v>
          </cell>
          <cell r="E260">
            <v>1750</v>
          </cell>
          <cell r="F260">
            <v>289.8</v>
          </cell>
        </row>
        <row r="261">
          <cell r="C261" t="str">
            <v>S08TILE885</v>
          </cell>
          <cell r="D261" t="str">
            <v>QUARELLA  T-16 RASOTICA  กว้าง 20 cm. ซื้อกระเบื้องขนาด 0.30x0.60 ม. (1 pcs.=1 แผ่น) คิดเป็น 22.32 ตร.ม.(ราคาต่อตารางเมตร)</v>
          </cell>
          <cell r="E261">
            <v>1750</v>
          </cell>
          <cell r="F261">
            <v>315</v>
          </cell>
        </row>
        <row r="262">
          <cell r="C262" t="str">
            <v>S08TILE886</v>
          </cell>
          <cell r="D262" t="str">
            <v>กระเบื้อง RCI SLATE IVORY 30X30 cm.</v>
          </cell>
          <cell r="E262">
            <v>32</v>
          </cell>
          <cell r="F262">
            <v>32</v>
          </cell>
        </row>
        <row r="263">
          <cell r="C263" t="str">
            <v>S08TILE888</v>
          </cell>
          <cell r="D263" t="str">
            <v>กระเบื้อง RU-118 แกรนิโต้ดำ กว้าง 15 cm. RCI (16''x16'')</v>
          </cell>
          <cell r="E263">
            <v>105</v>
          </cell>
          <cell r="F263">
            <v>103</v>
          </cell>
        </row>
        <row r="264">
          <cell r="C264" t="str">
            <v>S08TILE889</v>
          </cell>
          <cell r="D264" t="str">
            <v>กระเบื้องไพโรไทล์ ขนาด 4"x8" รุ่น SP190/12B-14</v>
          </cell>
          <cell r="E264">
            <v>4.8899999999999997</v>
          </cell>
          <cell r="F264">
            <v>4.8899999999999997</v>
          </cell>
        </row>
        <row r="265">
          <cell r="C265" t="str">
            <v>S08TILE900</v>
          </cell>
          <cell r="D265" t="str">
            <v>กระเบื้อง COTTO 4"x4" ปิกัสโซ ไอวอรี</v>
          </cell>
          <cell r="E265">
            <v>3.5</v>
          </cell>
          <cell r="F265">
            <v>3.75</v>
          </cell>
        </row>
        <row r="266">
          <cell r="C266" t="str">
            <v>S08TILE901</v>
          </cell>
          <cell r="D266" t="str">
            <v>กระเบื้อง COTTO 4"x4" ปิกัสโซเขียว</v>
          </cell>
          <cell r="E266">
            <v>3.5</v>
          </cell>
          <cell r="F266">
            <v>3.75</v>
          </cell>
        </row>
        <row r="267">
          <cell r="C267" t="str">
            <v>S09OLRA001</v>
          </cell>
          <cell r="D267" t="str">
            <v>น้ำยาทาแบบ</v>
          </cell>
          <cell r="E267">
            <v>16</v>
          </cell>
          <cell r="F267">
            <v>16.59</v>
          </cell>
        </row>
        <row r="268">
          <cell r="C268" t="str">
            <v>S09PANT001</v>
          </cell>
          <cell r="D268" t="str">
            <v>สีรองพื้นปูนใหม่ TOA (5GL./ถัง)</v>
          </cell>
          <cell r="E268">
            <v>1526.35</v>
          </cell>
          <cell r="F268">
            <v>1526.35</v>
          </cell>
        </row>
        <row r="269">
          <cell r="C269" t="str">
            <v>S09PANT002</v>
          </cell>
          <cell r="D269" t="str">
            <v xml:space="preserve">สีภายใน A1000 Four seasons </v>
          </cell>
          <cell r="F269">
            <v>947.82</v>
          </cell>
        </row>
        <row r="270">
          <cell r="C270" t="str">
            <v>S09PANT003</v>
          </cell>
          <cell r="D270" t="str">
            <v>สีภายนอก A5003 Four seasons</v>
          </cell>
          <cell r="F270">
            <v>1263.75</v>
          </cell>
        </row>
        <row r="271">
          <cell r="C271" t="str">
            <v>S09PANT004</v>
          </cell>
          <cell r="D271" t="str">
            <v>สีภายใน A5004 Four seasons</v>
          </cell>
          <cell r="F271">
            <v>947.82</v>
          </cell>
        </row>
        <row r="272">
          <cell r="C272" t="str">
            <v>S09PANT005</v>
          </cell>
          <cell r="D272" t="str">
            <v>สีภายนอก A5004 Four seasons</v>
          </cell>
          <cell r="F272">
            <v>1263.75</v>
          </cell>
        </row>
        <row r="273">
          <cell r="C273" t="str">
            <v>S09PANT006</v>
          </cell>
          <cell r="D273" t="str">
            <v>สีภายนอก A6002 Four seasons</v>
          </cell>
          <cell r="F273">
            <v>264.24</v>
          </cell>
        </row>
        <row r="274">
          <cell r="C274" t="str">
            <v>S09PANT007</v>
          </cell>
          <cell r="D274" t="str">
            <v>สีภายนอก A6007 Four seasons</v>
          </cell>
          <cell r="F274">
            <v>1263.75</v>
          </cell>
        </row>
        <row r="275">
          <cell r="C275" t="str">
            <v>S09PANT008</v>
          </cell>
          <cell r="D275" t="str">
            <v>สีภายนอก A8403 Four seasons</v>
          </cell>
          <cell r="E275">
            <v>947.82</v>
          </cell>
          <cell r="F275">
            <v>1453.32</v>
          </cell>
        </row>
        <row r="276">
          <cell r="C276" t="str">
            <v>S09PANT009</v>
          </cell>
          <cell r="D276" t="str">
            <v>สีภายใน A5005 Four seasons</v>
          </cell>
          <cell r="E276">
            <v>1263.75</v>
          </cell>
          <cell r="F276">
            <v>947.82</v>
          </cell>
        </row>
        <row r="277">
          <cell r="C277" t="str">
            <v>S09PANT010</v>
          </cell>
          <cell r="D277" t="str">
            <v>สีภายนอก A5005 four seasons (5GL./ถัง)</v>
          </cell>
          <cell r="E277">
            <v>1263.75</v>
          </cell>
          <cell r="F277">
            <v>1263.75</v>
          </cell>
        </row>
        <row r="278">
          <cell r="C278" t="str">
            <v>S09PANT011</v>
          </cell>
        </row>
        <row r="279">
          <cell r="C279" t="str">
            <v>S09PANT012</v>
          </cell>
          <cell r="D279" t="str">
            <v>สีภายนอก A2004 four seasons (5GL./ถัง)</v>
          </cell>
          <cell r="E279">
            <v>1263.75</v>
          </cell>
          <cell r="F279">
            <v>1263.75</v>
          </cell>
        </row>
        <row r="280">
          <cell r="C280" t="str">
            <v>S09PANT013</v>
          </cell>
          <cell r="D280" t="str">
            <v>สีรองพื้นไม้ TOA (5GL./ถัง)</v>
          </cell>
          <cell r="E280">
            <v>1085.68</v>
          </cell>
          <cell r="F280">
            <v>221.16</v>
          </cell>
        </row>
        <row r="281">
          <cell r="C281" t="str">
            <v>S09PANT014</v>
          </cell>
        </row>
        <row r="282">
          <cell r="C282" t="str">
            <v>S09PANT015</v>
          </cell>
          <cell r="D282" t="str">
            <v>สีน้ำมัน F5001 four seasons (1GL./ถัง)</v>
          </cell>
          <cell r="E282">
            <v>1881.25</v>
          </cell>
          <cell r="F282">
            <v>376.25</v>
          </cell>
        </row>
        <row r="283">
          <cell r="C283" t="str">
            <v>S09PANT021</v>
          </cell>
          <cell r="D283" t="str">
            <v>สีรองพื้นไม้ " Bayer " B 2000</v>
          </cell>
          <cell r="F283">
            <v>735</v>
          </cell>
        </row>
        <row r="284">
          <cell r="C284" t="str">
            <v>S09PANT022</v>
          </cell>
          <cell r="D284" t="str">
            <v>ยูรีเทน " Bayer " B52</v>
          </cell>
          <cell r="F284">
            <v>840</v>
          </cell>
        </row>
        <row r="285">
          <cell r="C285" t="str">
            <v>S09PANT023</v>
          </cell>
          <cell r="D285" t="str">
            <v>ทินเนอร์ " Bayer " M 44</v>
          </cell>
          <cell r="F285">
            <v>357</v>
          </cell>
        </row>
        <row r="286">
          <cell r="C286" t="str">
            <v>S09PANT033</v>
          </cell>
          <cell r="D286" t="str">
            <v>สีภายนอก A8402 four seasons (5GL./ถัง)</v>
          </cell>
          <cell r="E286">
            <v>1498.32</v>
          </cell>
          <cell r="F286">
            <v>1453.32</v>
          </cell>
        </row>
        <row r="287">
          <cell r="C287" t="str">
            <v>S09PANT034</v>
          </cell>
          <cell r="D287" t="str">
            <v>สีภายนอก A8521 four seasons (5GL./ถัง)</v>
          </cell>
          <cell r="E287">
            <v>1498.32</v>
          </cell>
          <cell r="F287">
            <v>1453.32</v>
          </cell>
        </row>
        <row r="288">
          <cell r="C288" t="str">
            <v>S09PANT035</v>
          </cell>
          <cell r="D288" t="str">
            <v>สีภายนอก A2002 four seasons (5GL./ถัง)</v>
          </cell>
          <cell r="E288">
            <v>1263.75</v>
          </cell>
          <cell r="F288">
            <v>1263.75</v>
          </cell>
        </row>
        <row r="289">
          <cell r="C289" t="str">
            <v>S09PANT036</v>
          </cell>
          <cell r="D289" t="str">
            <v>สีภายนอก A8544 four seasons (5GL./ถัง)</v>
          </cell>
          <cell r="E289">
            <v>1498.27</v>
          </cell>
          <cell r="F289">
            <v>1453.32</v>
          </cell>
        </row>
        <row r="290">
          <cell r="C290" t="str">
            <v>S09PANT037</v>
          </cell>
          <cell r="D290" t="str">
            <v>สีภายนอก A8457 four seasons (5GL./ถัง)</v>
          </cell>
          <cell r="E290">
            <v>1498.27</v>
          </cell>
          <cell r="F290">
            <v>1453.32</v>
          </cell>
        </row>
        <row r="291">
          <cell r="C291" t="str">
            <v>S09PANT038</v>
          </cell>
          <cell r="D291" t="str">
            <v>สีภายนอก A8522 four seasons (5GL./ถัง)</v>
          </cell>
          <cell r="E291">
            <v>1498.27</v>
          </cell>
          <cell r="F291">
            <v>1453.32</v>
          </cell>
        </row>
        <row r="292">
          <cell r="C292" t="str">
            <v>S09PANT039</v>
          </cell>
          <cell r="D292" t="str">
            <v>สีภายนอก A8524 four seasons (5GL./ถัง)</v>
          </cell>
          <cell r="E292">
            <v>1498.27</v>
          </cell>
          <cell r="F292">
            <v>1453.32</v>
          </cell>
        </row>
        <row r="293">
          <cell r="C293" t="str">
            <v>S09PANT040</v>
          </cell>
          <cell r="D293" t="str">
            <v>สีภายนอก A8457 four seasons (5GL./ถัง)</v>
          </cell>
          <cell r="E293">
            <v>1498.27</v>
          </cell>
          <cell r="F293">
            <v>1263.75</v>
          </cell>
        </row>
        <row r="294">
          <cell r="C294" t="str">
            <v>S09PANT041</v>
          </cell>
          <cell r="D294" t="str">
            <v>สีภายนอก A8356 four seasons (5GL./ถัง)</v>
          </cell>
          <cell r="E294">
            <v>1498.27</v>
          </cell>
          <cell r="F294">
            <v>1453.32</v>
          </cell>
        </row>
        <row r="295">
          <cell r="C295" t="str">
            <v>S09PANT042</v>
          </cell>
          <cell r="D295" t="str">
            <v>สีภายนอก A1005 four seasons (5GL./ถัง)</v>
          </cell>
          <cell r="E295">
            <v>1498.27</v>
          </cell>
          <cell r="F295">
            <v>1263.75</v>
          </cell>
        </row>
        <row r="296">
          <cell r="C296" t="str">
            <v>S09PANT044</v>
          </cell>
          <cell r="D296" t="str">
            <v>สีภายนอก A8460 four seasons (5GL./ถัง)</v>
          </cell>
          <cell r="E296">
            <v>1498.27</v>
          </cell>
          <cell r="F296">
            <v>1453.32</v>
          </cell>
        </row>
        <row r="297">
          <cell r="C297" t="str">
            <v>S09PANT045</v>
          </cell>
          <cell r="D297" t="str">
            <v>สีภายนอก A8459 four seasons (5GL./ถัง)</v>
          </cell>
          <cell r="E297">
            <v>1498.27</v>
          </cell>
          <cell r="F297">
            <v>1453.32</v>
          </cell>
        </row>
        <row r="298">
          <cell r="C298" t="str">
            <v>S09WALL001</v>
          </cell>
          <cell r="D298" t="str">
            <v>ชุดวอลล์เปเปอร์ TYPE C</v>
          </cell>
          <cell r="E298">
            <v>850</v>
          </cell>
          <cell r="F298">
            <v>29000</v>
          </cell>
        </row>
        <row r="299">
          <cell r="C299" t="str">
            <v>S09WALL003</v>
          </cell>
          <cell r="D299" t="str">
            <v>ชุดวอลล์เปเปอร์ TYPE H</v>
          </cell>
          <cell r="E299">
            <v>850</v>
          </cell>
          <cell r="F299">
            <v>39500</v>
          </cell>
        </row>
        <row r="300">
          <cell r="C300" t="str">
            <v>S09WALL005</v>
          </cell>
          <cell r="D300" t="str">
            <v>ชุดวอลล์เปเปอร์ TYPE K</v>
          </cell>
          <cell r="E300">
            <v>850</v>
          </cell>
          <cell r="F300">
            <v>49500</v>
          </cell>
        </row>
        <row r="301">
          <cell r="C301" t="str">
            <v>S10BOLT</v>
          </cell>
          <cell r="D301" t="str">
            <v>Boot ประคอง 1.25"</v>
          </cell>
          <cell r="F301">
            <v>0</v>
          </cell>
        </row>
        <row r="302">
          <cell r="C302" t="str">
            <v>S10BOLT</v>
          </cell>
          <cell r="D302" t="str">
            <v>Boot ประคอง 1.25"</v>
          </cell>
          <cell r="F302">
            <v>0</v>
          </cell>
        </row>
        <row r="303">
          <cell r="C303" t="str">
            <v>S10BOLT001</v>
          </cell>
          <cell r="D303" t="str">
            <v>สกรูยึดแปเหล็กระแนงชุบสังกะสี ( 500 ตัว/ถุง )</v>
          </cell>
          <cell r="E303">
            <v>250</v>
          </cell>
          <cell r="F303">
            <v>225</v>
          </cell>
        </row>
        <row r="304">
          <cell r="C304" t="str">
            <v>S10BOLT002</v>
          </cell>
          <cell r="D304" t="str">
            <v>ตะปูเกลียวยึดกระเบื้อง 2.25"</v>
          </cell>
          <cell r="E304">
            <v>250</v>
          </cell>
          <cell r="F304">
            <v>20</v>
          </cell>
        </row>
        <row r="305">
          <cell r="C305" t="str">
            <v>S10BOLT003</v>
          </cell>
          <cell r="D305" t="str">
            <v>พุกน๊อต (16012) 1/2" x 95 mm.</v>
          </cell>
          <cell r="E305">
            <v>7.5</v>
          </cell>
          <cell r="F305">
            <v>7.5</v>
          </cell>
        </row>
        <row r="306">
          <cell r="C306" t="str">
            <v>S10BOLT004</v>
          </cell>
          <cell r="D306" t="str">
            <v>สกรูน็อต 4 หุนx5" เกลียวตลอดพร้อมแหวนรองตัวเมีย</v>
          </cell>
          <cell r="E306">
            <v>6.4</v>
          </cell>
          <cell r="F306">
            <v>6.4</v>
          </cell>
        </row>
        <row r="307">
          <cell r="C307" t="str">
            <v>S10BOLT012</v>
          </cell>
          <cell r="D307" t="str">
            <v>ลวดผูกเหล็ก (6 kg/ขด)</v>
          </cell>
          <cell r="E307">
            <v>138</v>
          </cell>
          <cell r="F307">
            <v>138</v>
          </cell>
        </row>
        <row r="308">
          <cell r="C308" t="str">
            <v>S10BOLT015</v>
          </cell>
          <cell r="D308" t="str">
            <v>ตะปูเกลียวยึดกระเบื้อง 2.25"</v>
          </cell>
          <cell r="E308">
            <v>215</v>
          </cell>
          <cell r="F308">
            <v>215</v>
          </cell>
        </row>
        <row r="309">
          <cell r="C309" t="str">
            <v>S10BOLT020</v>
          </cell>
          <cell r="D309" t="str">
            <v>สกรูน็อต 4หุนx3.5" เกลียวตลอดพร้อมแหวนรองตัวเมีย</v>
          </cell>
          <cell r="E309">
            <v>7</v>
          </cell>
          <cell r="F309">
            <v>7</v>
          </cell>
        </row>
        <row r="310">
          <cell r="C310" t="str">
            <v>S10BOLT022</v>
          </cell>
          <cell r="D310" t="str">
            <v>J-bolt 12 mm ยาว35 cm เกลียว; 5 cm</v>
          </cell>
          <cell r="E310">
            <v>45</v>
          </cell>
          <cell r="F310">
            <v>42.5</v>
          </cell>
        </row>
        <row r="311">
          <cell r="C311" t="str">
            <v>S10BOLT023</v>
          </cell>
          <cell r="D311" t="str">
            <v>ลวดเชื่อม ขนาด 2.6 mm. (2 kg./ห่อ)</v>
          </cell>
          <cell r="E311">
            <v>75</v>
          </cell>
          <cell r="F311">
            <v>70</v>
          </cell>
        </row>
        <row r="312">
          <cell r="C312" t="str">
            <v>S10BOLT024</v>
          </cell>
          <cell r="D312" t="str">
            <v>ตะปู 1" (18 กก./ลัง)</v>
          </cell>
          <cell r="E312">
            <v>615</v>
          </cell>
          <cell r="F312">
            <v>620</v>
          </cell>
        </row>
        <row r="313">
          <cell r="C313" t="str">
            <v>S10BOLT025</v>
          </cell>
          <cell r="D313" t="str">
            <v>ตะปู 3" (18 กก./ลัง)</v>
          </cell>
          <cell r="E313">
            <v>530</v>
          </cell>
          <cell r="F313">
            <v>500</v>
          </cell>
        </row>
        <row r="314">
          <cell r="C314" t="str">
            <v>S10BOLT029</v>
          </cell>
          <cell r="D314" t="str">
            <v>พุกน๊อต 5 หุน x 95 มม.</v>
          </cell>
          <cell r="E314">
            <v>7.5</v>
          </cell>
          <cell r="F314">
            <v>7.5</v>
          </cell>
        </row>
        <row r="315">
          <cell r="C315" t="str">
            <v>S10BOLT031</v>
          </cell>
          <cell r="D315" t="str">
            <v>ขอยึดเชิงชาย</v>
          </cell>
          <cell r="E315">
            <v>250</v>
          </cell>
          <cell r="F315">
            <v>250</v>
          </cell>
        </row>
        <row r="316">
          <cell r="C316" t="str">
            <v>S10BOLT033</v>
          </cell>
          <cell r="D316" t="str">
            <v>BOA COIL 4 หุน</v>
          </cell>
          <cell r="E316" t="str">
            <v>ไม่ใช้แล้ว</v>
          </cell>
          <cell r="F316">
            <v>8.0299999999999994</v>
          </cell>
        </row>
        <row r="317">
          <cell r="C317" t="str">
            <v>S10BOLT034</v>
          </cell>
          <cell r="D317" t="str">
            <v>BOA ANCHOR 4 หุน</v>
          </cell>
          <cell r="E317" t="str">
            <v>ไม่ใช้แล้ว</v>
          </cell>
          <cell r="F317">
            <v>62.06</v>
          </cell>
        </row>
        <row r="318">
          <cell r="C318" t="str">
            <v>S10BOLT045</v>
          </cell>
          <cell r="D318" t="str">
            <v>Dynaset Drop In Anchor 1/2" (ไม่สามารถ Recycle ได้)</v>
          </cell>
          <cell r="E318">
            <v>4.25</v>
          </cell>
          <cell r="F318">
            <v>4.25</v>
          </cell>
        </row>
        <row r="319">
          <cell r="C319" t="str">
            <v>S10BOLT046</v>
          </cell>
          <cell r="D319" t="str">
            <v>Bolt 1/2"x3/2" Zinc (Recycle ได้)</v>
          </cell>
          <cell r="E319">
            <v>1.75</v>
          </cell>
          <cell r="F319">
            <v>0</v>
          </cell>
        </row>
        <row r="320">
          <cell r="C320" t="str">
            <v>S10BOLT047</v>
          </cell>
          <cell r="D320" t="str">
            <v>Washer 1/2 Zinc (Recycle ได้)</v>
          </cell>
          <cell r="E320">
            <v>0.75</v>
          </cell>
          <cell r="F320">
            <v>0</v>
          </cell>
        </row>
        <row r="321">
          <cell r="C321" t="str">
            <v>S10BUAC015</v>
          </cell>
          <cell r="D321" t="str">
            <v>บัวหัวเสา ขนาด 0.40 x0.40 ม. สูง 0.27 ม. หัวมน</v>
          </cell>
          <cell r="E321">
            <v>240</v>
          </cell>
          <cell r="F321">
            <v>240</v>
          </cell>
        </row>
        <row r="322">
          <cell r="C322" t="str">
            <v>S10BUAC016</v>
          </cell>
          <cell r="D322" t="str">
            <v>บัวหัวเสา ขนาด 0.50 x0.50 ม. สูง 0.29 ม. หัวมน</v>
          </cell>
          <cell r="E322">
            <v>290</v>
          </cell>
          <cell r="F322">
            <v>290</v>
          </cell>
        </row>
        <row r="323">
          <cell r="C323" t="str">
            <v>S10ENFH002</v>
          </cell>
          <cell r="D323" t="str">
            <v>ปีกนกเหล็กรูปพรรณ 1.6 x 3.00 m.( 29 cm )</v>
          </cell>
          <cell r="E323">
            <v>400</v>
          </cell>
          <cell r="F323">
            <v>551.04999999999995</v>
          </cell>
        </row>
        <row r="324">
          <cell r="C324" t="str">
            <v>S10ENFH003</v>
          </cell>
          <cell r="D324" t="str">
            <v>ปีกนกเหล็กรูปพรรณ 1.6 mm.x 2.44 m.( 29 cm )</v>
          </cell>
          <cell r="E324">
            <v>330</v>
          </cell>
          <cell r="F324">
            <v>449.4</v>
          </cell>
        </row>
        <row r="325">
          <cell r="C325" t="str">
            <v>S10ENFH004</v>
          </cell>
          <cell r="D325" t="str">
            <v>ปีกนกเหล็กรูปพรรณ 1.6 x 2.50 m.( 20 cm )</v>
          </cell>
          <cell r="E325">
            <v>270</v>
          </cell>
          <cell r="F325">
            <v>288.90000000000003</v>
          </cell>
        </row>
        <row r="326">
          <cell r="C326" t="str">
            <v>S10ENFH008</v>
          </cell>
          <cell r="D326" t="str">
            <v>ปีกนกเหล็กรูปพรรณ 1.6 mm.x 2.44 m.( 20 cm )</v>
          </cell>
          <cell r="E326">
            <v>250</v>
          </cell>
          <cell r="F326">
            <v>347.75</v>
          </cell>
        </row>
        <row r="327">
          <cell r="C327" t="str">
            <v>S10ENFH009</v>
          </cell>
          <cell r="D327" t="str">
            <v>ปีกนกเหล็กรูปพรรณ 1.6 x 1.85 m.( 29 cm )</v>
          </cell>
          <cell r="E327">
            <v>270</v>
          </cell>
          <cell r="F327">
            <v>358.45</v>
          </cell>
        </row>
        <row r="328">
          <cell r="C328" t="str">
            <v>S10GBAT001</v>
          </cell>
          <cell r="D328" t="str">
            <v>แปเหล็กระแนงชุบสังกะสีหนา 0.50 mm. X 6.00 m</v>
          </cell>
          <cell r="E328">
            <v>81</v>
          </cell>
          <cell r="F328">
            <v>89</v>
          </cell>
        </row>
        <row r="329">
          <cell r="C329" t="str">
            <v>S10HING001</v>
          </cell>
          <cell r="D329" t="str">
            <v>กลอน 4"</v>
          </cell>
          <cell r="E329">
            <v>4.75</v>
          </cell>
          <cell r="F329">
            <v>6.5</v>
          </cell>
        </row>
        <row r="330">
          <cell r="C330" t="str">
            <v>S10HING002</v>
          </cell>
          <cell r="D330" t="str">
            <v>กลอน 6"</v>
          </cell>
          <cell r="E330">
            <v>6</v>
          </cell>
          <cell r="F330">
            <v>7.5</v>
          </cell>
        </row>
        <row r="331">
          <cell r="C331" t="str">
            <v>S10HING003</v>
          </cell>
          <cell r="D331" t="str">
            <v>บานพับ 4" x 3 รองยาง</v>
          </cell>
          <cell r="E331">
            <v>16</v>
          </cell>
          <cell r="F331">
            <v>26</v>
          </cell>
        </row>
        <row r="332">
          <cell r="C332" t="str">
            <v>S10HING004</v>
          </cell>
          <cell r="D332" t="str">
            <v>บานพับ No.707 12" วิสโก้</v>
          </cell>
          <cell r="E332">
            <v>12</v>
          </cell>
          <cell r="F332">
            <v>15</v>
          </cell>
        </row>
        <row r="333">
          <cell r="C333" t="str">
            <v>S10HING005</v>
          </cell>
          <cell r="D333" t="str">
            <v>มือจับ 4"</v>
          </cell>
          <cell r="E333">
            <v>8</v>
          </cell>
          <cell r="F333">
            <v>10</v>
          </cell>
        </row>
        <row r="334">
          <cell r="C334" t="str">
            <v>S10HING006</v>
          </cell>
          <cell r="D334" t="str">
            <v xml:space="preserve">มือจับ 6" </v>
          </cell>
          <cell r="E334">
            <v>9</v>
          </cell>
          <cell r="F334">
            <v>11</v>
          </cell>
        </row>
        <row r="335">
          <cell r="C335" t="str">
            <v>S10HING007</v>
          </cell>
          <cell r="D335" t="str">
            <v>ขอเกี่ยวบานหน้าต่าง 6" สีรมดำรุ่น 170 A/C</v>
          </cell>
          <cell r="E335">
            <v>12</v>
          </cell>
          <cell r="F335">
            <v>16</v>
          </cell>
        </row>
        <row r="336">
          <cell r="C336" t="str">
            <v>S10HING015</v>
          </cell>
          <cell r="D336" t="str">
            <v>บานพับ COLT 3'' x 4'' #25 SS.</v>
          </cell>
          <cell r="E336">
            <v>16</v>
          </cell>
          <cell r="F336">
            <v>40</v>
          </cell>
        </row>
        <row r="337">
          <cell r="C337" t="str">
            <v>S10HING017</v>
          </cell>
          <cell r="D337" t="str">
            <v>กันชน SS. COLT #16</v>
          </cell>
          <cell r="E337">
            <v>44</v>
          </cell>
          <cell r="F337">
            <v>47</v>
          </cell>
        </row>
        <row r="338">
          <cell r="C338" t="str">
            <v>S10HING018</v>
          </cell>
          <cell r="D338" t="str">
            <v>กลอน SS. COLT #400 6''</v>
          </cell>
          <cell r="E338">
            <v>29</v>
          </cell>
          <cell r="F338">
            <v>31</v>
          </cell>
        </row>
        <row r="339">
          <cell r="C339" t="str">
            <v>S10HING019</v>
          </cell>
          <cell r="D339" t="str">
            <v>กลอน SS. COLT #400 4''</v>
          </cell>
          <cell r="E339">
            <v>25</v>
          </cell>
          <cell r="F339">
            <v>27</v>
          </cell>
        </row>
        <row r="340">
          <cell r="C340" t="str">
            <v>S10HING022</v>
          </cell>
          <cell r="D340" t="str">
            <v>มือจับ 6" cott#111</v>
          </cell>
          <cell r="E340">
            <v>27</v>
          </cell>
          <cell r="F340">
            <v>29</v>
          </cell>
        </row>
        <row r="341">
          <cell r="C341" t="str">
            <v>S10HING026</v>
          </cell>
          <cell r="D341" t="str">
            <v>กันชนสี่เหลี่ยมเล็ก No.490 สีขาว</v>
          </cell>
          <cell r="E341">
            <v>4.5</v>
          </cell>
          <cell r="F341">
            <v>4.5</v>
          </cell>
        </row>
        <row r="342">
          <cell r="C342" t="str">
            <v>S10HING037</v>
          </cell>
          <cell r="D342" t="str">
            <v>มือจับ 125 มม. Kimberley</v>
          </cell>
          <cell r="F342">
            <v>20</v>
          </cell>
        </row>
        <row r="343">
          <cell r="C343" t="str">
            <v>S10LETT001</v>
          </cell>
          <cell r="D343" t="str">
            <v>ตู้จดหมาย รวมค่าติดตั้ง (SPEC ตามเอกสารแนบ)</v>
          </cell>
          <cell r="F343">
            <v>1400</v>
          </cell>
        </row>
        <row r="344">
          <cell r="C344" t="str">
            <v>S10LOCK001</v>
          </cell>
          <cell r="D344" t="str">
            <v>ลูกบิดสแตนเลส</v>
          </cell>
          <cell r="E344">
            <v>95</v>
          </cell>
          <cell r="F344">
            <v>98.44</v>
          </cell>
        </row>
        <row r="345">
          <cell r="C345" t="str">
            <v>S10LOCK002</v>
          </cell>
          <cell r="D345" t="str">
            <v>ลูกบิดมะเฟือง</v>
          </cell>
          <cell r="E345">
            <v>90</v>
          </cell>
          <cell r="F345">
            <v>90</v>
          </cell>
        </row>
        <row r="346">
          <cell r="C346" t="str">
            <v>S10LOCK004</v>
          </cell>
          <cell r="D346" t="str">
            <v>ลูกบิดประตู ตราช้าง</v>
          </cell>
          <cell r="E346">
            <v>200</v>
          </cell>
          <cell r="F346">
            <v>200</v>
          </cell>
        </row>
        <row r="347">
          <cell r="C347" t="str">
            <v>S10LTEL002</v>
          </cell>
          <cell r="D347" t="str">
            <v>Lintel 2.4m. (2.4 x0.2 หนา 10 cm.)</v>
          </cell>
          <cell r="E347">
            <v>260</v>
          </cell>
          <cell r="F347">
            <v>259.2</v>
          </cell>
        </row>
        <row r="348">
          <cell r="C348" t="str">
            <v>S10LTEL003</v>
          </cell>
          <cell r="D348" t="str">
            <v>Lintel 1.2 m. (1.2 x0.2 หนา 10 cm.)</v>
          </cell>
          <cell r="E348">
            <v>130</v>
          </cell>
          <cell r="F348">
            <v>129.6</v>
          </cell>
        </row>
        <row r="349">
          <cell r="C349" t="str">
            <v>S10PINN001</v>
          </cell>
          <cell r="D349" t="str">
            <v>ลูกปูนพลาสติก DIA 10 CM</v>
          </cell>
          <cell r="E349">
            <v>1.9</v>
          </cell>
          <cell r="F349">
            <v>1.2</v>
          </cell>
        </row>
        <row r="350">
          <cell r="C350" t="str">
            <v>S10PINN002</v>
          </cell>
          <cell r="D350" t="str">
            <v>ลูกปูน MESH CHAIR 12 cm</v>
          </cell>
          <cell r="E350">
            <v>4.4000000000000004</v>
          </cell>
          <cell r="F350">
            <v>4.4000000000000004</v>
          </cell>
        </row>
        <row r="351">
          <cell r="C351" t="str">
            <v>S10PINN003</v>
          </cell>
          <cell r="D351" t="str">
            <v>ลูกปูน BAR CHAIR</v>
          </cell>
          <cell r="E351">
            <v>1.75</v>
          </cell>
          <cell r="F351">
            <v>1.8725000000000001</v>
          </cell>
        </row>
        <row r="352">
          <cell r="C352" t="str">
            <v>S10PINN004</v>
          </cell>
          <cell r="D352" t="str">
            <v>EDGE LIFT 0.07 x 0.1 m. หนา 9 mm.</v>
          </cell>
          <cell r="E352">
            <v>29</v>
          </cell>
          <cell r="F352">
            <v>20</v>
          </cell>
        </row>
        <row r="353">
          <cell r="C353" t="str">
            <v>S10PINN006</v>
          </cell>
          <cell r="D353" t="str">
            <v>EDGE LIFT 0.07*0.1 m. หนา 15 มม.</v>
          </cell>
          <cell r="E353">
            <v>38</v>
          </cell>
          <cell r="F353">
            <v>34</v>
          </cell>
        </row>
        <row r="354">
          <cell r="C354" t="str">
            <v>S10PINN010</v>
          </cell>
          <cell r="D354" t="str">
            <v>ลูกปูน MESH CHAIR 10 cm.</v>
          </cell>
          <cell r="E354">
            <v>1.9</v>
          </cell>
          <cell r="F354">
            <v>4.0999999999999996</v>
          </cell>
        </row>
        <row r="355">
          <cell r="C355" t="str">
            <v>S10PINN011</v>
          </cell>
          <cell r="D355" t="str">
            <v>EDGE LIFT 2.5 T ขนาด 0.6x0.10 ม. หนา 9 มม.</v>
          </cell>
          <cell r="E355">
            <v>29</v>
          </cell>
          <cell r="F355">
            <v>21.65</v>
          </cell>
        </row>
        <row r="356">
          <cell r="C356" t="str">
            <v>S10PINN012</v>
          </cell>
          <cell r="D356" t="str">
            <v>Panel Shim Plate ขนาด 100*150*3 มม.</v>
          </cell>
          <cell r="E356">
            <v>3.3</v>
          </cell>
          <cell r="F356">
            <v>3.3</v>
          </cell>
        </row>
        <row r="357">
          <cell r="C357" t="str">
            <v>S10PINN013</v>
          </cell>
          <cell r="D357" t="str">
            <v>Panel Shim Plate ขนาด 100*150*5 มม.</v>
          </cell>
          <cell r="E357">
            <v>6</v>
          </cell>
          <cell r="F357">
            <v>6</v>
          </cell>
        </row>
        <row r="358">
          <cell r="C358" t="str">
            <v>S10PINN015</v>
          </cell>
          <cell r="D358" t="str">
            <v>EDGE LIFT 60 x 100 mm. หนา 9 mm.</v>
          </cell>
          <cell r="E358">
            <v>29</v>
          </cell>
          <cell r="F358">
            <v>20</v>
          </cell>
        </row>
        <row r="359">
          <cell r="C359" t="str">
            <v>S10SHER004</v>
          </cell>
          <cell r="D359" t="str">
            <v>ไม้ฝาตราช้าง 15 cm. X 3.05 m. x 8 mm.</v>
          </cell>
          <cell r="E359">
            <v>42</v>
          </cell>
          <cell r="F359">
            <v>42</v>
          </cell>
        </row>
        <row r="360">
          <cell r="C360" t="str">
            <v>S10SHER007</v>
          </cell>
          <cell r="D360" t="str">
            <v>ไม้ฝาตราช้าง 15 cm. X 4.05 m. x 8 mm.</v>
          </cell>
          <cell r="E360">
            <v>56</v>
          </cell>
          <cell r="F360">
            <v>56</v>
          </cell>
        </row>
        <row r="361">
          <cell r="C361" t="str">
            <v>S10SHER008</v>
          </cell>
          <cell r="D361" t="str">
            <v>ไม้เชิงชาย คอนวูด กว้าง 6" x หนา 17 มม. x 3.05 ม.</v>
          </cell>
          <cell r="E361">
            <v>175</v>
          </cell>
          <cell r="F361">
            <v>154.36000000000001</v>
          </cell>
        </row>
        <row r="362">
          <cell r="C362" t="str">
            <v>S10SHER009</v>
          </cell>
          <cell r="D362" t="str">
            <v>ไม้เชิงชาย คอนวูด กว้าง 8" x หนา 17 มม. x 3.05 ม.</v>
          </cell>
          <cell r="E362">
            <v>230</v>
          </cell>
          <cell r="F362">
            <v>206.9</v>
          </cell>
        </row>
        <row r="363">
          <cell r="C363" t="str">
            <v>S10SHER018</v>
          </cell>
          <cell r="D363" t="str">
            <v>ไม้เชอร่า 15 cm. X 3.00 m. x 8 mm.</v>
          </cell>
          <cell r="E363">
            <v>42</v>
          </cell>
          <cell r="F363">
            <v>42.97</v>
          </cell>
        </row>
        <row r="364">
          <cell r="C364" t="str">
            <v>S10SHER019</v>
          </cell>
          <cell r="D364" t="str">
            <v>ไม้เชอร่า 15 cm. X 4.00 m. x 8 mm.</v>
          </cell>
          <cell r="E364">
            <v>56</v>
          </cell>
          <cell r="F364">
            <v>54.57</v>
          </cell>
        </row>
        <row r="365">
          <cell r="C365" t="str">
            <v>S10WDEC001</v>
          </cell>
          <cell r="D365" t="str">
            <v>ค้ำยันไม้</v>
          </cell>
          <cell r="E365">
            <v>450</v>
          </cell>
          <cell r="F365">
            <v>98.5</v>
          </cell>
        </row>
        <row r="366">
          <cell r="C366" t="str">
            <v>S10WDEC003</v>
          </cell>
          <cell r="D366" t="str">
            <v>ลายฉลุหน้าบัน ( ซ้าย - ขวา )</v>
          </cell>
          <cell r="E366">
            <v>2450</v>
          </cell>
          <cell r="F366">
            <v>1600</v>
          </cell>
        </row>
        <row r="367">
          <cell r="C367" t="str">
            <v>S10WDEC004</v>
          </cell>
          <cell r="D367" t="str">
            <v>ลายฉลุหน้าบันแบบที่ 1</v>
          </cell>
          <cell r="E367">
            <v>950</v>
          </cell>
          <cell r="F367">
            <v>750</v>
          </cell>
        </row>
        <row r="368">
          <cell r="C368" t="str">
            <v>S10WDEC005</v>
          </cell>
          <cell r="D368" t="str">
            <v>ลายฉลุหน้าบันแบบที่ 2</v>
          </cell>
          <cell r="E368">
            <v>750</v>
          </cell>
          <cell r="F368">
            <v>580</v>
          </cell>
        </row>
        <row r="369">
          <cell r="C369" t="str">
            <v>S10WDEC006</v>
          </cell>
          <cell r="D369" t="str">
            <v>ลายฉลุหน้าบันแบบที่ 3</v>
          </cell>
          <cell r="E369">
            <v>580</v>
          </cell>
          <cell r="F369">
            <v>950</v>
          </cell>
        </row>
        <row r="370">
          <cell r="C370" t="str">
            <v>S10WDEC007</v>
          </cell>
          <cell r="D370" t="str">
            <v>เสากระโดงไม้</v>
          </cell>
          <cell r="E370">
            <v>85</v>
          </cell>
          <cell r="F370">
            <v>200</v>
          </cell>
        </row>
        <row r="371">
          <cell r="C371" t="str">
            <v>S10WDEC014</v>
          </cell>
          <cell r="D371" t="str">
            <v>งานค้ำยันไม้</v>
          </cell>
          <cell r="E371">
            <v>450</v>
          </cell>
          <cell r="F371">
            <v>350</v>
          </cell>
        </row>
        <row r="372">
          <cell r="C372" t="str">
            <v>S10WDEC015</v>
          </cell>
          <cell r="D372" t="str">
            <v>ลายฉลุหน้าบันแบบที่ 1</v>
          </cell>
          <cell r="E372">
            <v>950</v>
          </cell>
          <cell r="F372">
            <v>818</v>
          </cell>
        </row>
        <row r="373">
          <cell r="C373" t="str">
            <v>S10WDEC016</v>
          </cell>
          <cell r="D373" t="str">
            <v>ลายฉลุหน้าบันแบบที่ 2</v>
          </cell>
          <cell r="E373">
            <v>750</v>
          </cell>
          <cell r="F373">
            <v>820</v>
          </cell>
        </row>
        <row r="374">
          <cell r="C374" t="str">
            <v>S10WDFR009</v>
          </cell>
          <cell r="D374" t="str">
            <v xml:space="preserve">วงกบ D1  (1.80 x 2.00)  TYPE A </v>
          </cell>
          <cell r="E374">
            <v>480</v>
          </cell>
          <cell r="F374">
            <v>520</v>
          </cell>
        </row>
        <row r="375">
          <cell r="C375" t="str">
            <v>S10WDFR010</v>
          </cell>
          <cell r="D375" t="str">
            <v>วงกบ D2 (0.90 x 2.00)  TYPE A</v>
          </cell>
          <cell r="E375">
            <v>395</v>
          </cell>
          <cell r="F375">
            <v>413.06</v>
          </cell>
        </row>
        <row r="376">
          <cell r="C376" t="str">
            <v>S10WDFR011</v>
          </cell>
          <cell r="D376" t="str">
            <v>วงกบ D3 (0.90 x 2.00)  TYPE A</v>
          </cell>
          <cell r="E376">
            <v>395</v>
          </cell>
          <cell r="F376">
            <v>412.62</v>
          </cell>
        </row>
        <row r="377">
          <cell r="C377" t="str">
            <v>S10WDFR012</v>
          </cell>
          <cell r="D377" t="str">
            <v>วงกบ D4 (0.80 x 2.00)  TYPE A</v>
          </cell>
          <cell r="E377">
            <v>395</v>
          </cell>
          <cell r="F377">
            <v>405.66</v>
          </cell>
        </row>
        <row r="378">
          <cell r="C378" t="str">
            <v>S10WDFR014</v>
          </cell>
          <cell r="D378" t="str">
            <v>วงกบ D6 (0.70 x 1.80)  TYPE A</v>
          </cell>
          <cell r="E378">
            <v>360</v>
          </cell>
          <cell r="F378">
            <v>380</v>
          </cell>
        </row>
        <row r="379">
          <cell r="C379" t="str">
            <v>S10WDFR016</v>
          </cell>
          <cell r="D379" t="str">
            <v>วงกบ D4 PVC (0.70 x 2.00)  TYPE B ราคารวมกับบาน</v>
          </cell>
          <cell r="E379">
            <v>0</v>
          </cell>
          <cell r="F379">
            <v>214</v>
          </cell>
        </row>
        <row r="380">
          <cell r="C380" t="str">
            <v>S10WDFR018</v>
          </cell>
          <cell r="D380" t="str">
            <v xml:space="preserve">วงกบ D2 (0.80 x 2.00)  TYPE B  </v>
          </cell>
          <cell r="E380">
            <v>380</v>
          </cell>
          <cell r="F380">
            <v>385</v>
          </cell>
        </row>
        <row r="381">
          <cell r="C381" t="str">
            <v>S10WDFR019</v>
          </cell>
          <cell r="D381" t="str">
            <v>วงกบ  D3 (0.90 x 2.00)  TYPE B</v>
          </cell>
          <cell r="E381">
            <v>380</v>
          </cell>
          <cell r="F381">
            <v>385</v>
          </cell>
        </row>
        <row r="382">
          <cell r="C382" t="str">
            <v>S10WDFR020</v>
          </cell>
          <cell r="D382" t="str">
            <v>วงกบ  D1 (1.60 x 2.00)  TYPE B</v>
          </cell>
          <cell r="E382">
            <v>800</v>
          </cell>
          <cell r="F382">
            <v>820</v>
          </cell>
        </row>
        <row r="383">
          <cell r="C383" t="str">
            <v>S10WDFR028</v>
          </cell>
          <cell r="D383" t="str">
            <v>SH-B วงกบ D1  ขนาด 2.90*2.00 ม.</v>
          </cell>
          <cell r="E383">
            <v>1400</v>
          </cell>
          <cell r="F383">
            <v>1400</v>
          </cell>
        </row>
        <row r="384">
          <cell r="C384" t="str">
            <v>S10WDFR029</v>
          </cell>
          <cell r="D384" t="str">
            <v>SH-B วงกบ D2  ขนาด 0.80*2.00 ม.</v>
          </cell>
          <cell r="E384">
            <v>470</v>
          </cell>
          <cell r="F384">
            <v>450</v>
          </cell>
        </row>
        <row r="385">
          <cell r="C385" t="str">
            <v>S10WDFR030</v>
          </cell>
          <cell r="D385" t="str">
            <v>SH-B วงกบ D3  ขนาด 1.00*2.55 ม.</v>
          </cell>
          <cell r="E385">
            <v>1900</v>
          </cell>
          <cell r="F385">
            <v>1750</v>
          </cell>
        </row>
        <row r="386">
          <cell r="C386" t="str">
            <v>S10WDFR031</v>
          </cell>
          <cell r="D386" t="str">
            <v>SH-B วงกบ D4  ขนาด 1.00*1.15 ม.</v>
          </cell>
          <cell r="E386">
            <v>450</v>
          </cell>
          <cell r="F386">
            <v>350</v>
          </cell>
        </row>
        <row r="387">
          <cell r="C387" t="str">
            <v>S10WDFR032</v>
          </cell>
          <cell r="D387" t="str">
            <v>SH-B วงกบ D5  ขนาด 0.80*2.00 ม.</v>
          </cell>
          <cell r="E387">
            <v>500</v>
          </cell>
          <cell r="F387">
            <v>520</v>
          </cell>
        </row>
        <row r="388">
          <cell r="C388" t="str">
            <v>S10WDFR033</v>
          </cell>
          <cell r="D388" t="str">
            <v>SH-B วงกบ D6  ขนาด 0.80*2.00 ม.</v>
          </cell>
          <cell r="E388">
            <v>500</v>
          </cell>
          <cell r="F388">
            <v>480</v>
          </cell>
        </row>
        <row r="389">
          <cell r="C389" t="str">
            <v>S10WDFR035</v>
          </cell>
          <cell r="D389" t="str">
            <v>SH-B วงกบ D8  ขนาด 0.75*2.30 ม.</v>
          </cell>
          <cell r="E389">
            <v>650</v>
          </cell>
          <cell r="F389">
            <v>550</v>
          </cell>
        </row>
        <row r="390">
          <cell r="C390" t="str">
            <v>S10WDFR045</v>
          </cell>
          <cell r="D390" t="str">
            <v>SH-B วงกบ D9  ขนาด 0.90*2.00 ม.</v>
          </cell>
          <cell r="E390">
            <v>530</v>
          </cell>
          <cell r="F390">
            <v>545</v>
          </cell>
        </row>
        <row r="391">
          <cell r="C391" t="str">
            <v>S10WDFR077</v>
          </cell>
          <cell r="D391" t="str">
            <v>วงกบ D5  (0.50 x 0.65)  TYPE B</v>
          </cell>
          <cell r="E391">
            <v>120</v>
          </cell>
          <cell r="F391">
            <v>235</v>
          </cell>
        </row>
        <row r="392">
          <cell r="C392" t="str">
            <v>S10WDFR088</v>
          </cell>
          <cell r="D392" t="str">
            <v xml:space="preserve">วงกบ D1 (2.3 x 2.10)  TYPE C </v>
          </cell>
          <cell r="E392">
            <v>1450</v>
          </cell>
          <cell r="F392">
            <v>1150</v>
          </cell>
        </row>
        <row r="393">
          <cell r="C393" t="str">
            <v>S10WDFR089</v>
          </cell>
          <cell r="D393" t="str">
            <v>วงกบ D2 (0.80 x 2.00)  TYPE C</v>
          </cell>
          <cell r="E393">
            <v>400</v>
          </cell>
          <cell r="F393">
            <v>406.23</v>
          </cell>
        </row>
        <row r="394">
          <cell r="C394" t="str">
            <v>S10WDFR091</v>
          </cell>
          <cell r="D394" t="str">
            <v>วงกบ  D4 (0.8 x 2.00)  TYPE C</v>
          </cell>
          <cell r="E394">
            <v>470</v>
          </cell>
          <cell r="F394">
            <v>408.44</v>
          </cell>
        </row>
        <row r="395">
          <cell r="C395" t="str">
            <v>S10WDFR092</v>
          </cell>
          <cell r="D395" t="str">
            <v>วงกบ D5 (0.60 x 1.15)  TYPE C</v>
          </cell>
          <cell r="E395">
            <v>360</v>
          </cell>
          <cell r="F395">
            <v>307.7</v>
          </cell>
        </row>
        <row r="396">
          <cell r="C396" t="str">
            <v>S10WDFR094</v>
          </cell>
          <cell r="D396" t="str">
            <v xml:space="preserve">วงกบ D12K (0.80 x 2.00)  TYPE A </v>
          </cell>
          <cell r="E396">
            <v>395</v>
          </cell>
          <cell r="F396">
            <v>407.37</v>
          </cell>
        </row>
        <row r="397">
          <cell r="C397" t="str">
            <v>S10WDFR095</v>
          </cell>
          <cell r="D397" t="str">
            <v>วงกบ D12K  (0.80 x 2.00)  TYPE B</v>
          </cell>
          <cell r="E397">
            <v>370</v>
          </cell>
          <cell r="F397">
            <v>370</v>
          </cell>
        </row>
        <row r="398">
          <cell r="C398" t="str">
            <v>S10WDFR096</v>
          </cell>
          <cell r="D398" t="str">
            <v>วงกบ D12K (0.80 x 2.00)  TYPE C</v>
          </cell>
          <cell r="E398">
            <v>400</v>
          </cell>
          <cell r="F398">
            <v>400</v>
          </cell>
        </row>
        <row r="399">
          <cell r="C399" t="str">
            <v>S10WDFR101</v>
          </cell>
          <cell r="D399" t="str">
            <v>วงกบ D3K (0.70 x 2.00) PVC (ราคาอยู่ที่งานบานประตู)</v>
          </cell>
          <cell r="E399">
            <v>504.65</v>
          </cell>
          <cell r="F399">
            <v>540</v>
          </cell>
        </row>
        <row r="400">
          <cell r="C400" t="str">
            <v>S10WDFR102</v>
          </cell>
          <cell r="D400" t="str">
            <v>D4 (ขนาด 0.80 x 2.00 ม.) ไม้เต็ง 2" x 4"</v>
          </cell>
          <cell r="E400">
            <v>500</v>
          </cell>
          <cell r="F400">
            <v>495</v>
          </cell>
        </row>
        <row r="401">
          <cell r="C401" t="str">
            <v>S10WDFR103</v>
          </cell>
          <cell r="D401" t="str">
            <v>D6 (ขนาด 0.80 x 2.00 ม.) ไม้เต็ง 2" x 4"</v>
          </cell>
          <cell r="E401">
            <v>500</v>
          </cell>
          <cell r="F401">
            <v>495</v>
          </cell>
        </row>
        <row r="402">
          <cell r="C402" t="str">
            <v>S10WDFR105</v>
          </cell>
          <cell r="D402" t="str">
            <v>D8 (ขนาด 0.80 x 2.00 ม. บานเปิดคู่) ไม้เต็ง 2" x 4"</v>
          </cell>
          <cell r="E402">
            <v>500</v>
          </cell>
          <cell r="F402">
            <v>495</v>
          </cell>
        </row>
        <row r="403">
          <cell r="C403" t="str">
            <v>S10WDFR106</v>
          </cell>
          <cell r="D403" t="str">
            <v>D9 (ขนาด 1.40 x 1.45 ม. บานเปิดคู่) ไม้เต็ง 2" x 4"</v>
          </cell>
          <cell r="E403">
            <v>750</v>
          </cell>
          <cell r="F403">
            <v>600</v>
          </cell>
        </row>
        <row r="404">
          <cell r="C404" t="str">
            <v>S10WDFR113</v>
          </cell>
          <cell r="D404" t="str">
            <v>D3 (ขนาด 0.80 x 2.00 ม.) ไม้เต็ง 2" x 4"</v>
          </cell>
          <cell r="E404">
            <v>495</v>
          </cell>
          <cell r="F404">
            <v>495</v>
          </cell>
        </row>
        <row r="405">
          <cell r="C405" t="str">
            <v>S10WDFR114</v>
          </cell>
          <cell r="D405" t="str">
            <v>D4 (ขนาด 0.80 x 2.00 ม.) ไม้เต็ง 2" x 4"</v>
          </cell>
          <cell r="E405">
            <v>495</v>
          </cell>
          <cell r="F405">
            <v>495</v>
          </cell>
        </row>
        <row r="406">
          <cell r="C406" t="str">
            <v>S10WDFR115</v>
          </cell>
          <cell r="D406" t="str">
            <v>D4A (ขนาด 0.80 x 2.00 ม.) ไม้เต็ง 2" x 4"</v>
          </cell>
          <cell r="E406">
            <v>495</v>
          </cell>
          <cell r="F406">
            <v>495</v>
          </cell>
        </row>
        <row r="407">
          <cell r="C407" t="str">
            <v>S10WDFR117</v>
          </cell>
          <cell r="D407" t="str">
            <v>D6 (ขนาด 0.80 x 2.00 ม.) ไม้เต็ง 2" x 4''</v>
          </cell>
          <cell r="E407">
            <v>495</v>
          </cell>
          <cell r="F407">
            <v>495</v>
          </cell>
        </row>
        <row r="408">
          <cell r="C408" t="str">
            <v>S10WDFR118</v>
          </cell>
          <cell r="D408" t="str">
            <v>D7 (ขนาด 0.70 x 2.00 ม.) ไม้เต็ง 2" x 4"</v>
          </cell>
          <cell r="E408">
            <v>485</v>
          </cell>
          <cell r="F408">
            <v>485</v>
          </cell>
        </row>
        <row r="409">
          <cell r="C409" t="str">
            <v>S10WDFR119</v>
          </cell>
          <cell r="D409" t="str">
            <v>D5 (ขนาด 1.30 x 2.00 ม. บานเปิดคู่) ไม้เต็ง 2" x 4"</v>
          </cell>
          <cell r="E409">
            <v>580</v>
          </cell>
          <cell r="F409">
            <v>550</v>
          </cell>
        </row>
        <row r="410">
          <cell r="C410" t="str">
            <v>S10WDFR120</v>
          </cell>
          <cell r="D410" t="str">
            <v>D6 (ขนาด 0.80 x 2.00 ม.) ไม้เต็ง 2" x 4"</v>
          </cell>
          <cell r="E410">
            <v>495</v>
          </cell>
          <cell r="F410">
            <v>495</v>
          </cell>
        </row>
        <row r="411">
          <cell r="C411" t="str">
            <v>S10WDFR121</v>
          </cell>
          <cell r="D411" t="str">
            <v>D7 (ขนาด 0.80 x 2.60 ม. มีช่องแสงติดตายบน) ไม้เต็ง 2" x 4"</v>
          </cell>
          <cell r="E411">
            <v>750</v>
          </cell>
          <cell r="F411">
            <v>650</v>
          </cell>
        </row>
        <row r="412">
          <cell r="C412" t="str">
            <v>S10WDFR123</v>
          </cell>
          <cell r="D412" t="str">
            <v>D10 (ขนาด 0.70 x 2.00 ม.) ไม้เต็ง 2" x 4"</v>
          </cell>
          <cell r="E412">
            <v>485</v>
          </cell>
          <cell r="F412">
            <v>485</v>
          </cell>
        </row>
        <row r="413">
          <cell r="C413" t="str">
            <v>S10WDFR124</v>
          </cell>
          <cell r="D413" t="str">
            <v>D11 (ขนาด 1.00 x 2.00 ม.) ไม้เต็ง 2" x 4"</v>
          </cell>
          <cell r="E413">
            <v>530</v>
          </cell>
          <cell r="F413">
            <v>520</v>
          </cell>
        </row>
        <row r="414">
          <cell r="C414" t="str">
            <v>S10WDFR125</v>
          </cell>
          <cell r="D414" t="str">
            <v>D12 (ขนาด 0.80 x 2.60 ม. มีช่องแสงติดตายบน) ไม้เต็ง 2" x 4"</v>
          </cell>
          <cell r="E414">
            <v>1300</v>
          </cell>
          <cell r="F414">
            <v>650</v>
          </cell>
        </row>
        <row r="415">
          <cell r="C415" t="str">
            <v>S10WDFR126</v>
          </cell>
          <cell r="D415" t="str">
            <v>D4 (ขนาด 1.40 x 2.00 ม. บานเปิดคู่) ไม้เต็ง 2" x 4"</v>
          </cell>
          <cell r="E415">
            <v>1400</v>
          </cell>
          <cell r="F415">
            <v>600</v>
          </cell>
        </row>
        <row r="416">
          <cell r="C416" t="str">
            <v>S10WDFR127</v>
          </cell>
          <cell r="D416" t="str">
            <v>D5 (ขนาด 0.80 x 2.00 ม.)  ไม้เต็ง 2" x 4"</v>
          </cell>
          <cell r="E416">
            <v>495</v>
          </cell>
          <cell r="F416">
            <v>500</v>
          </cell>
        </row>
        <row r="417">
          <cell r="C417" t="str">
            <v>S10WDFR128</v>
          </cell>
          <cell r="D417" t="str">
            <v>D6 (ขนาด 0.80 x 2.00 ม.) ไม้เต็ง 2" x 4"</v>
          </cell>
          <cell r="E417">
            <v>495</v>
          </cell>
          <cell r="F417">
            <v>500</v>
          </cell>
        </row>
        <row r="418">
          <cell r="C418" t="str">
            <v>S10WDFR129</v>
          </cell>
          <cell r="D418" t="str">
            <v>D7 (ขนาด 0.80 x 2.00 ม.) ไม้เต็งง 2" x 4"</v>
          </cell>
          <cell r="E418">
            <v>495</v>
          </cell>
          <cell r="F418">
            <v>500</v>
          </cell>
        </row>
        <row r="419">
          <cell r="C419" t="str">
            <v>S10WDFR131</v>
          </cell>
          <cell r="D419" t="str">
            <v>D10 (ขนาด 0.70 x 2.00 ม.) ไม้เต็ง 2" x 4"</v>
          </cell>
          <cell r="E419">
            <v>485</v>
          </cell>
          <cell r="F419">
            <v>480</v>
          </cell>
        </row>
        <row r="420">
          <cell r="C420" t="str">
            <v>S10WDFR132</v>
          </cell>
          <cell r="D420" t="str">
            <v>D11 (ขนาด 1.00 x 2.00 ม.) ไม้เต็ง 2" x 4"</v>
          </cell>
          <cell r="E420">
            <v>495</v>
          </cell>
          <cell r="F420">
            <v>520</v>
          </cell>
        </row>
        <row r="421">
          <cell r="C421" t="str">
            <v>S10WDFR135</v>
          </cell>
          <cell r="D421" t="str">
            <v>D7 (ขนาด 0.80 x 2.05 ม.) ไม้เต็ง 2" x 5"</v>
          </cell>
          <cell r="E421">
            <v>750</v>
          </cell>
          <cell r="F421">
            <v>680</v>
          </cell>
        </row>
        <row r="422">
          <cell r="C422" t="str">
            <v>S10WDFR138</v>
          </cell>
          <cell r="D422" t="str">
            <v>D5 (ขนาด 0.80 x 2.05 ม.) ไม้เต็ง 2" x 5"</v>
          </cell>
          <cell r="E422">
            <v>750</v>
          </cell>
          <cell r="F422">
            <v>665</v>
          </cell>
        </row>
        <row r="423">
          <cell r="C423" t="str">
            <v>S10WDFR139</v>
          </cell>
          <cell r="D423" t="str">
            <v>D8 (ขนาด 0.80 x 2.05 ม.) ไม้เต็ง 2" x 5"</v>
          </cell>
          <cell r="E423">
            <v>750</v>
          </cell>
          <cell r="F423">
            <v>665</v>
          </cell>
        </row>
        <row r="424">
          <cell r="C424" t="str">
            <v>S10WDFR141</v>
          </cell>
          <cell r="D424" t="str">
            <v>D8 (ขนาด 0.80 x 2.05 ม.) ไม้เต็ง 2" x 5"</v>
          </cell>
          <cell r="E424">
            <v>750</v>
          </cell>
          <cell r="F424">
            <v>700</v>
          </cell>
        </row>
        <row r="425">
          <cell r="C425" t="str">
            <v>S10WDFR142</v>
          </cell>
          <cell r="D425" t="str">
            <v>D4 (ขนาด 0.90 x 2.40 ม.) ไม้เต็ง 2'' x 5''</v>
          </cell>
          <cell r="E425">
            <v>1700</v>
          </cell>
          <cell r="F425">
            <v>1450</v>
          </cell>
        </row>
        <row r="426">
          <cell r="C426" t="str">
            <v>S10WDFR143</v>
          </cell>
          <cell r="D426" t="str">
            <v>D9 (ขนาด 0.90 x 2.40 ม.) ไม้เต็ง 2'' x 5''</v>
          </cell>
          <cell r="E426">
            <v>1700</v>
          </cell>
          <cell r="F426">
            <v>1500</v>
          </cell>
        </row>
        <row r="427">
          <cell r="C427" t="str">
            <v>S10WDFR145</v>
          </cell>
          <cell r="D427" t="str">
            <v>SH-B วงกบD7 ขนาด0.7x2.0m.(2"x5")ไม้เต็ง</v>
          </cell>
          <cell r="E427">
            <v>700</v>
          </cell>
          <cell r="F427">
            <v>680</v>
          </cell>
        </row>
        <row r="428">
          <cell r="C428" t="str">
            <v>S10WDFR165</v>
          </cell>
          <cell r="D428" t="str">
            <v xml:space="preserve">วงกบ D1 (1.7 x 2.05)  TYPE C </v>
          </cell>
          <cell r="E428">
            <v>500</v>
          </cell>
          <cell r="F428">
            <v>520</v>
          </cell>
        </row>
        <row r="429">
          <cell r="C429" t="str">
            <v>S10WDPL005</v>
          </cell>
          <cell r="D429" t="str">
            <v>บาน D1 (0.90 x 2.00) ไม้เต็ง 10 ช่องแสง TYPE A</v>
          </cell>
          <cell r="E429">
            <v>555</v>
          </cell>
          <cell r="F429">
            <v>750</v>
          </cell>
        </row>
        <row r="430">
          <cell r="C430" t="str">
            <v>S10WDPL006</v>
          </cell>
          <cell r="D430" t="str">
            <v>บาน D2 (0.90 x 2.00) ไม้อัดภายใน  TYPE A</v>
          </cell>
          <cell r="E430">
            <v>500</v>
          </cell>
          <cell r="F430">
            <v>490</v>
          </cell>
        </row>
        <row r="431">
          <cell r="C431" t="str">
            <v>S10WDPL007</v>
          </cell>
          <cell r="D431" t="str">
            <v>บาน D3 (0.90 x 2.00) ไม้อัดภายใน  TYPE A</v>
          </cell>
          <cell r="E431">
            <v>555</v>
          </cell>
          <cell r="F431">
            <v>570</v>
          </cell>
        </row>
        <row r="432">
          <cell r="C432" t="str">
            <v>S10WDPL008</v>
          </cell>
          <cell r="D432" t="str">
            <v>บาน D4 (0.80 x 2.00) ไม้อัดภายใน  TYPE A</v>
          </cell>
          <cell r="E432">
            <v>535</v>
          </cell>
          <cell r="F432">
            <v>550</v>
          </cell>
        </row>
        <row r="433">
          <cell r="C433" t="str">
            <v>S10WDPL010</v>
          </cell>
          <cell r="D433" t="str">
            <v>บาน D6 (0.70 x 1.80) ไม้อัดภายนอก  TYPE A</v>
          </cell>
          <cell r="E433">
            <v>505</v>
          </cell>
          <cell r="F433">
            <v>595</v>
          </cell>
        </row>
        <row r="434">
          <cell r="C434" t="str">
            <v>S10WDPL011</v>
          </cell>
          <cell r="D434" t="str">
            <v>บาน D8 (0.80 x 2.00) ไม้อัดภายนอก  TYPE A</v>
          </cell>
          <cell r="E434">
            <v>535</v>
          </cell>
          <cell r="F434">
            <v>572.45000000000005</v>
          </cell>
        </row>
        <row r="435">
          <cell r="C435" t="str">
            <v>S10WDPL014</v>
          </cell>
          <cell r="D435" t="str">
            <v>บาน D2 (0.80 x 2.00) ไม้อัดภายใน  TYPE B</v>
          </cell>
          <cell r="E435">
            <v>535</v>
          </cell>
          <cell r="F435">
            <v>565</v>
          </cell>
        </row>
        <row r="436">
          <cell r="C436" t="str">
            <v>S10WDPL015</v>
          </cell>
          <cell r="D436" t="str">
            <v>บาน D3 (0.90 x 2.00) ไม้อัดภายใน  TYPE B</v>
          </cell>
          <cell r="E436">
            <v>555</v>
          </cell>
          <cell r="F436">
            <v>520</v>
          </cell>
        </row>
        <row r="437">
          <cell r="C437" t="str">
            <v>S10WDPL016</v>
          </cell>
          <cell r="D437" t="str">
            <v>บาน D1 (0.90 x 2.00)  TYPE B</v>
          </cell>
          <cell r="E437">
            <v>555</v>
          </cell>
          <cell r="F437">
            <v>800</v>
          </cell>
        </row>
        <row r="438">
          <cell r="C438" t="str">
            <v>S10WDPL034</v>
          </cell>
          <cell r="D438" t="str">
            <v>SH-B บาน D3/2 ขนาด 0.50*0.50 ม.บานโค้ง</v>
          </cell>
          <cell r="E438">
            <v>300</v>
          </cell>
          <cell r="F438">
            <v>250</v>
          </cell>
        </row>
        <row r="439">
          <cell r="C439" t="str">
            <v>S10WDPL035</v>
          </cell>
          <cell r="D439" t="str">
            <v>SH-B บาน D4 ขนาด 0.50*1.15 ม.บานไม้อัด</v>
          </cell>
          <cell r="E439">
            <v>390</v>
          </cell>
          <cell r="F439">
            <v>250</v>
          </cell>
        </row>
        <row r="440">
          <cell r="C440" t="str">
            <v>S10WDPL039</v>
          </cell>
          <cell r="D440" t="str">
            <v>SH-B บาน D8ขนาด 0.375*2.30 ม.บานเกล็ดไม้</v>
          </cell>
          <cell r="E440">
            <v>900</v>
          </cell>
          <cell r="F440">
            <v>500</v>
          </cell>
        </row>
        <row r="441">
          <cell r="C441" t="str">
            <v>S10WDPL044</v>
          </cell>
          <cell r="D441" t="str">
            <v>D4 ขนาด 0.80 x 2.00 m. บานไม้อัดลูกฟัก 2 ช่อง</v>
          </cell>
          <cell r="E441">
            <v>650</v>
          </cell>
          <cell r="F441">
            <v>1381.31</v>
          </cell>
        </row>
        <row r="442">
          <cell r="C442" t="str">
            <v>S10WDPL078</v>
          </cell>
          <cell r="D442" t="str">
            <v>บานประตูไม้เกล็ดระบาย (0.50 x 0.65 )  TYPE B</v>
          </cell>
          <cell r="E442">
            <v>520</v>
          </cell>
          <cell r="F442">
            <v>260</v>
          </cell>
        </row>
        <row r="443">
          <cell r="C443" t="str">
            <v>S10WDPL086</v>
          </cell>
          <cell r="D443" t="str">
            <v>บาน D1 (0.80 x 2.10)  TYPE C</v>
          </cell>
          <cell r="E443">
            <v>650</v>
          </cell>
          <cell r="F443">
            <v>750</v>
          </cell>
        </row>
        <row r="444">
          <cell r="C444" t="str">
            <v>S10WDPL087</v>
          </cell>
          <cell r="D444" t="str">
            <v>บาน D2 (0.80 x 2.00)  TYPE C</v>
          </cell>
          <cell r="E444">
            <v>1100</v>
          </cell>
          <cell r="F444">
            <v>1296.7</v>
          </cell>
        </row>
        <row r="445">
          <cell r="C445" t="str">
            <v>S10WDPL089</v>
          </cell>
          <cell r="D445" t="str">
            <v>บาน D4 (0.80 x 2.00) บานไม้อัดยาง  TYPE C</v>
          </cell>
          <cell r="E445">
            <v>655</v>
          </cell>
          <cell r="F445">
            <v>825</v>
          </cell>
        </row>
        <row r="446">
          <cell r="C446" t="str">
            <v>S10WDPL090</v>
          </cell>
          <cell r="D446" t="str">
            <v>บาน D5 (0.30 x 1.15) ตีเกล็ดระบาย  TYPE C</v>
          </cell>
          <cell r="E446">
            <v>360</v>
          </cell>
          <cell r="F446">
            <v>490</v>
          </cell>
        </row>
        <row r="447">
          <cell r="C447" t="str">
            <v>S10WDPL092</v>
          </cell>
          <cell r="D447" t="str">
            <v xml:space="preserve">บาน D12K (0.8X2) ไม้อัดภายนอก(ครัว) </v>
          </cell>
          <cell r="E447">
            <v>535</v>
          </cell>
          <cell r="F447">
            <v>654.79999999999995</v>
          </cell>
        </row>
        <row r="448">
          <cell r="C448" t="str">
            <v>S10WDPL096</v>
          </cell>
          <cell r="D448" t="str">
            <v>บาน D3K (0.70 x 2.00) PVC เกล็ดตลอด</v>
          </cell>
          <cell r="E448">
            <v>700</v>
          </cell>
          <cell r="F448">
            <v>654.21</v>
          </cell>
        </row>
        <row r="449">
          <cell r="C449" t="str">
            <v>S10WDPL097</v>
          </cell>
          <cell r="D449" t="str">
            <v xml:space="preserve">บาน D2A (0.90 x 2.00) ไม้อัดภายนอก TYPE A </v>
          </cell>
          <cell r="E449">
            <v>1600</v>
          </cell>
          <cell r="F449">
            <v>640</v>
          </cell>
        </row>
        <row r="450">
          <cell r="C450" t="str">
            <v>S10WDPL101</v>
          </cell>
          <cell r="D450" t="str">
            <v>D6 ขนาด 0.80 x 2.00 m. บานไม้เต็ง ลูกฟักไม้เต็ง</v>
          </cell>
          <cell r="E450">
            <v>1200</v>
          </cell>
          <cell r="F450">
            <v>2040</v>
          </cell>
        </row>
        <row r="451">
          <cell r="C451" t="str">
            <v>S10WDPL102</v>
          </cell>
          <cell r="D451" t="str">
            <v>D8 ขนาด 0.40 x 2.00 m. บานไม้เต็งลูกฟัก ตีเกล็ดตลอด (บานคู่)</v>
          </cell>
          <cell r="E451">
            <v>1600</v>
          </cell>
          <cell r="F451">
            <v>700</v>
          </cell>
        </row>
        <row r="452">
          <cell r="C452" t="str">
            <v>S10WDPL103</v>
          </cell>
          <cell r="D452" t="str">
            <v>D9/1 ขนาด 0.35 x 1.45 m. บานไม้เต็งลูกฟัก ตีเกล็ดตลอด (บานคู่-ด้านข้าง)</v>
          </cell>
          <cell r="E452">
            <v>1200</v>
          </cell>
          <cell r="F452">
            <v>450</v>
          </cell>
        </row>
        <row r="453">
          <cell r="C453" t="str">
            <v>S10WDPL104</v>
          </cell>
          <cell r="D453" t="str">
            <v>D9/2 ขนาด 0.35 x 1.45 m. บานไม้อัดภายนอกกันชื้น (บานคู่)</v>
          </cell>
          <cell r="E453">
            <v>700</v>
          </cell>
          <cell r="F453">
            <v>550</v>
          </cell>
        </row>
        <row r="454">
          <cell r="C454" t="str">
            <v>S10WDPL108</v>
          </cell>
          <cell r="D454" t="str">
            <v>D4 ขนาด 0.70 x 2.00 m. บานไม้อัดลูกฟัก 2 ช่อง(บานคู่)</v>
          </cell>
          <cell r="E454">
            <v>1100</v>
          </cell>
          <cell r="F454">
            <v>1381.31</v>
          </cell>
        </row>
        <row r="455">
          <cell r="C455" t="str">
            <v>S10WDPL109</v>
          </cell>
          <cell r="D455" t="str">
            <v>D6 ขนาด 0.80 x 2.00 m. บานไม้เต็งลูกฟัก</v>
          </cell>
          <cell r="E455">
            <v>1800</v>
          </cell>
          <cell r="F455">
            <v>1500</v>
          </cell>
        </row>
        <row r="456">
          <cell r="C456" t="str">
            <v>S10WDPL111</v>
          </cell>
          <cell r="D456" t="str">
            <v>D10 ขนาด 0.70 x 2.00 m. บานไม้อัดกันชื้นภายนอก ตีเกล็ดด้านล่าง</v>
          </cell>
          <cell r="E456">
            <v>1200</v>
          </cell>
          <cell r="F456">
            <v>860</v>
          </cell>
        </row>
        <row r="457">
          <cell r="C457" t="str">
            <v>S10WDPL112</v>
          </cell>
          <cell r="D457" t="str">
            <v>D11 ขนาด 0.50 x 2.00 m. บานไม้เต็งลูกฟัก ตีเกล็ดตลอด(บานคู่)</v>
          </cell>
          <cell r="E457">
            <v>1100</v>
          </cell>
          <cell r="F457">
            <v>900</v>
          </cell>
        </row>
        <row r="458">
          <cell r="C458" t="str">
            <v>S10WDPL113</v>
          </cell>
          <cell r="D458" t="str">
            <v>D4 ขนาด 0.80 x 2.00 m. บานไม้เต็งลูกฟัก</v>
          </cell>
          <cell r="E458">
            <v>1800</v>
          </cell>
          <cell r="F458">
            <v>1500</v>
          </cell>
        </row>
        <row r="459">
          <cell r="C459" t="str">
            <v>S10WDPL114</v>
          </cell>
          <cell r="D459" t="str">
            <v>D6 ขนาด 0.80 x 2.00 m. บานไม้เต็งลูกฟัก</v>
          </cell>
          <cell r="E459">
            <v>1700</v>
          </cell>
          <cell r="F459">
            <v>1500</v>
          </cell>
        </row>
        <row r="460">
          <cell r="C460" t="str">
            <v>S10WDPL115</v>
          </cell>
          <cell r="D460" t="str">
            <v>D7 ขนาด 0.70 x 2.00 m. บานไม้อัดภายนอกกันชื้น ตีเกล็ดด้านล่าง</v>
          </cell>
          <cell r="E460">
            <v>950</v>
          </cell>
          <cell r="F460">
            <v>860</v>
          </cell>
        </row>
        <row r="461">
          <cell r="C461" t="str">
            <v>S10WDPL116</v>
          </cell>
          <cell r="D461" t="str">
            <v>D5/1 ขนาด 0.40 x 2.00 m. บานไม้อัดลูกฟัก 2 ช่อง</v>
          </cell>
          <cell r="E461">
            <v>750</v>
          </cell>
          <cell r="F461">
            <v>1074.77</v>
          </cell>
        </row>
        <row r="462">
          <cell r="C462" t="str">
            <v>S10WDPL117</v>
          </cell>
          <cell r="D462" t="str">
            <v>D5/2 ขนาด 0.80 x 2.00 m. บานไม้อัดลูกฟัก 2 ช่อง</v>
          </cell>
          <cell r="E462">
            <v>1200</v>
          </cell>
          <cell r="F462">
            <v>1381.31</v>
          </cell>
        </row>
        <row r="463">
          <cell r="C463" t="str">
            <v>S10WDPL118</v>
          </cell>
          <cell r="D463" t="str">
            <v>D7 ขนาด 0.80 x 2.00 m. บานไม้เต็งลูกฟัก</v>
          </cell>
          <cell r="E463">
            <v>1900</v>
          </cell>
          <cell r="F463">
            <v>2000</v>
          </cell>
        </row>
        <row r="464">
          <cell r="C464" t="str">
            <v>S10WDPL119</v>
          </cell>
          <cell r="D464" t="str">
            <v>D10 ขนาด 0.70 x 2.00 m. บานไม้อัดภายนอกกันชื้น ตีเกล็ดด้านล่าง</v>
          </cell>
          <cell r="E464">
            <v>950</v>
          </cell>
          <cell r="F464">
            <v>1150</v>
          </cell>
        </row>
        <row r="465">
          <cell r="C465" t="str">
            <v>S10WDPL120</v>
          </cell>
          <cell r="D465" t="str">
            <v>D11 ขนาด 0.50 x 2.00 m. บานไม้เต็งลูกฟัก ตีเกล็ดตลอด(บานคู่)</v>
          </cell>
          <cell r="E465">
            <v>1100</v>
          </cell>
          <cell r="F465">
            <v>1160</v>
          </cell>
        </row>
        <row r="466">
          <cell r="C466" t="str">
            <v>S10WDPL121</v>
          </cell>
          <cell r="D466" t="str">
            <v>D12 ขนาด 0.80 x 2.00 m. บานไม้ต็งลูกฟัก</v>
          </cell>
          <cell r="E466">
            <v>1800</v>
          </cell>
          <cell r="F466">
            <v>2000</v>
          </cell>
        </row>
        <row r="467">
          <cell r="C467" t="str">
            <v>S10WDPL125</v>
          </cell>
          <cell r="D467" t="str">
            <v>D5 ขนาด 0.80 x 2.00 m. บานไม้อัดลูกฟัก 2 ช่อง</v>
          </cell>
          <cell r="E467">
            <v>1200</v>
          </cell>
          <cell r="F467">
            <v>1381.31</v>
          </cell>
        </row>
        <row r="468">
          <cell r="C468" t="str">
            <v>S10WDPL126</v>
          </cell>
          <cell r="D468" t="str">
            <v>D7 ขนาด 0.80 x 2.00 m. บานไม้อัดลูกฟัก 2 ช่อง</v>
          </cell>
          <cell r="E468">
            <v>1200</v>
          </cell>
          <cell r="F468">
            <v>3181.31</v>
          </cell>
        </row>
        <row r="469">
          <cell r="C469" t="str">
            <v>S10WDPL131</v>
          </cell>
          <cell r="D469" t="str">
            <v>D3 ขนาด 0.80 x 2.00 m. บานไม้อัดลูกฟัก 2 ช่อง</v>
          </cell>
          <cell r="E469">
            <v>1200</v>
          </cell>
          <cell r="F469">
            <v>1381.31</v>
          </cell>
        </row>
        <row r="470">
          <cell r="C470" t="str">
            <v>S10WDPL132</v>
          </cell>
          <cell r="D470" t="str">
            <v>D4A  ขนาด 0.80 x 2.00 m. บานไม้อัดลูกฟัก 2 ช่อง</v>
          </cell>
          <cell r="E470">
            <v>1200</v>
          </cell>
          <cell r="F470">
            <v>1381.31</v>
          </cell>
        </row>
        <row r="471">
          <cell r="C471" t="str">
            <v>S10WDPL134</v>
          </cell>
          <cell r="D471" t="str">
            <v>D6 ขนาด 0.80 x 2.00 m. บานไม้อัดลูกฟัก 2 ช่อง</v>
          </cell>
          <cell r="E471">
            <v>1800</v>
          </cell>
          <cell r="F471">
            <v>1381.31</v>
          </cell>
        </row>
        <row r="472">
          <cell r="C472" t="str">
            <v>S10WDPL139</v>
          </cell>
          <cell r="D472" t="str">
            <v>D7 ขนาด 0.80 x 2.05 m. บานไม้อัดลูกฟัก ตีเกล็ดด้านล่าง</v>
          </cell>
          <cell r="E472">
            <v>1200</v>
          </cell>
          <cell r="F472">
            <v>1549.53</v>
          </cell>
        </row>
        <row r="473">
          <cell r="C473" t="str">
            <v>S10WDPL142</v>
          </cell>
          <cell r="D473" t="str">
            <v>D5 ขนาด 0.80 x 2.05 m. บานไม้อัดลูกฟัก ตีเกล็ดด้านล่าง</v>
          </cell>
          <cell r="E473">
            <v>1200</v>
          </cell>
          <cell r="F473">
            <v>1549.53</v>
          </cell>
        </row>
        <row r="474">
          <cell r="C474" t="str">
            <v>S10WDPL143</v>
          </cell>
          <cell r="D474" t="str">
            <v>D8 ขนาด 0.80 x 2.05 m. บานไม้อัดลูกฟัก ตีเกล็ดด้านล่าง</v>
          </cell>
          <cell r="E474">
            <v>1200</v>
          </cell>
          <cell r="F474">
            <v>1549.53</v>
          </cell>
        </row>
        <row r="475">
          <cell r="C475" t="str">
            <v>S10WDPL145</v>
          </cell>
          <cell r="D475" t="str">
            <v>D8 ขนาด 0.80 x 2.05 m. บานไม้อัดลูกฟัก ตีเกล็ดด้านล่าง</v>
          </cell>
          <cell r="E475">
            <v>1200</v>
          </cell>
          <cell r="F475">
            <v>1549.53</v>
          </cell>
        </row>
        <row r="476">
          <cell r="C476" t="str">
            <v>S10WDPL148</v>
          </cell>
          <cell r="D476" t="str">
            <v xml:space="preserve">D4/1 ขนาด 0.90 x 0.20 ช่องด้านบน ลูกฟักไม้เต็งติดตาย (บานโค้ง) </v>
          </cell>
          <cell r="E476">
            <v>1800</v>
          </cell>
          <cell r="F476">
            <v>530</v>
          </cell>
        </row>
        <row r="477">
          <cell r="C477" t="str">
            <v>S10WDPL149</v>
          </cell>
          <cell r="D477" t="str">
            <v xml:space="preserve">D9/1 ขนาด 0.90 x 0.20 ช่องด้านบน ลูกฟักไม้เต็งติดตาย (บานโค้ง) </v>
          </cell>
          <cell r="E477">
            <v>1800</v>
          </cell>
          <cell r="F477">
            <v>550</v>
          </cell>
        </row>
        <row r="478">
          <cell r="C478" t="str">
            <v>S10WDPL150</v>
          </cell>
          <cell r="D478" t="str">
            <v>D4/2 ขนาด 0.90 x 2.05 บานไม้อัดลูกฟัก ตีเกล็ดด้านล่าง</v>
          </cell>
          <cell r="E478">
            <v>1300</v>
          </cell>
          <cell r="F478">
            <v>1689.72</v>
          </cell>
        </row>
        <row r="479">
          <cell r="C479" t="str">
            <v>S10WDPL151</v>
          </cell>
          <cell r="D479" t="str">
            <v>D9/2 ขนาด 0.90 x 2.05 บานไม้อัดลูกฟัก ตีเกล็ดด้านล่าง</v>
          </cell>
          <cell r="E479">
            <v>1600</v>
          </cell>
          <cell r="F479">
            <v>1689.72</v>
          </cell>
        </row>
        <row r="480">
          <cell r="C480" t="str">
            <v>S10WDPL156</v>
          </cell>
          <cell r="D480" t="str">
            <v>SH-BบานD6ขนาด0.8x2.0m.บานลูกฟักไม้เต็</v>
          </cell>
          <cell r="E480">
            <v>1600</v>
          </cell>
          <cell r="F480">
            <v>1600</v>
          </cell>
        </row>
        <row r="481">
          <cell r="C481" t="str">
            <v>S10WDPL167</v>
          </cell>
          <cell r="D481" t="str">
            <v>SH-B บาน D1/1 ขนาด 0.80*2.00 ม.</v>
          </cell>
          <cell r="E481">
            <v>900</v>
          </cell>
          <cell r="F481">
            <v>680</v>
          </cell>
        </row>
        <row r="482">
          <cell r="C482" t="str">
            <v>S10WDPL168</v>
          </cell>
          <cell r="D482" t="str">
            <v>SH-B บาน D1/2 ขนาด 0.60*2.00 ม.</v>
          </cell>
          <cell r="E482">
            <v>900</v>
          </cell>
          <cell r="F482">
            <v>640</v>
          </cell>
        </row>
        <row r="483">
          <cell r="C483" t="str">
            <v>S10WDPL169</v>
          </cell>
          <cell r="D483" t="str">
            <v>SH-B บาน D2 ขนาด 0.80*2.00 ม.</v>
          </cell>
          <cell r="E483">
            <v>950</v>
          </cell>
          <cell r="F483">
            <v>650</v>
          </cell>
        </row>
        <row r="484">
          <cell r="C484" t="str">
            <v>S10WDPL170</v>
          </cell>
          <cell r="D484" t="str">
            <v>SH-B บาน D3/1 ขนาด 1.00*2.00 ม.บานลูกฟัก</v>
          </cell>
          <cell r="E484">
            <v>1000</v>
          </cell>
          <cell r="F484">
            <v>850</v>
          </cell>
        </row>
        <row r="485">
          <cell r="C485" t="str">
            <v>S10WDPL171</v>
          </cell>
          <cell r="D485" t="str">
            <v>SH-B บาน D9 ขนาด 0.90*2.00 ม.บานลูกฟัก</v>
          </cell>
          <cell r="E485">
            <v>1000</v>
          </cell>
          <cell r="F485">
            <v>750</v>
          </cell>
        </row>
        <row r="486">
          <cell r="C486" t="str">
            <v>S10WWFR004</v>
          </cell>
          <cell r="D486" t="str">
            <v>วงกบ W2 (1.00 x 1.00) TYPE A</v>
          </cell>
          <cell r="E486">
            <v>345</v>
          </cell>
          <cell r="F486">
            <v>390</v>
          </cell>
        </row>
        <row r="487">
          <cell r="C487" t="str">
            <v>S10WWFR006</v>
          </cell>
          <cell r="D487" t="str">
            <v>วงกบ W4 (0.80 x 2.00) 10 ช่องแสง TYPE A</v>
          </cell>
          <cell r="E487">
            <v>670</v>
          </cell>
          <cell r="F487">
            <v>760</v>
          </cell>
        </row>
        <row r="488">
          <cell r="C488" t="str">
            <v>S10WWFR007</v>
          </cell>
          <cell r="D488" t="str">
            <v>วงกบ W5 (0.50 x 0.40) TYPE A</v>
          </cell>
          <cell r="E488">
            <v>180</v>
          </cell>
          <cell r="F488">
            <v>220</v>
          </cell>
        </row>
        <row r="489">
          <cell r="C489" t="str">
            <v>S10WWFR008</v>
          </cell>
          <cell r="D489" t="str">
            <v>วงกบ W1 (1.40 x 1.60) TYPE A</v>
          </cell>
          <cell r="E489">
            <v>475</v>
          </cell>
          <cell r="F489">
            <v>510</v>
          </cell>
        </row>
        <row r="490">
          <cell r="C490" t="str">
            <v>S10WWFR009</v>
          </cell>
          <cell r="D490" t="str">
            <v>วงกบ  W2 (1.60 x 1.10)  TYPE B</v>
          </cell>
          <cell r="E490">
            <v>440</v>
          </cell>
          <cell r="F490">
            <v>455</v>
          </cell>
        </row>
        <row r="491">
          <cell r="C491" t="str">
            <v>S10WWFR010</v>
          </cell>
          <cell r="D491" t="str">
            <v xml:space="preserve">วงกบ  W3 (0.60 x 1.10)  TYPE B </v>
          </cell>
          <cell r="E491">
            <v>300</v>
          </cell>
          <cell r="F491">
            <v>315</v>
          </cell>
        </row>
        <row r="492">
          <cell r="C492" t="str">
            <v>S10WWFR011</v>
          </cell>
          <cell r="D492" t="str">
            <v>วงกบ  W4 (1.10 x 1.10)   TYPE B</v>
          </cell>
          <cell r="E492">
            <v>410</v>
          </cell>
          <cell r="F492">
            <v>405</v>
          </cell>
        </row>
        <row r="493">
          <cell r="C493" t="str">
            <v>S10WWFR012</v>
          </cell>
          <cell r="D493" t="str">
            <v>วงกบ  W5 (0.50 x 1.10)   TYPE B</v>
          </cell>
          <cell r="E493">
            <v>210</v>
          </cell>
          <cell r="F493">
            <v>305</v>
          </cell>
        </row>
        <row r="494">
          <cell r="C494" t="str">
            <v>S10WWFR013</v>
          </cell>
          <cell r="D494" t="str">
            <v>วงกบ W6 (0.50 x 0.50)  TYPE B</v>
          </cell>
          <cell r="E494">
            <v>210</v>
          </cell>
          <cell r="F494">
            <v>195</v>
          </cell>
        </row>
        <row r="495">
          <cell r="C495" t="str">
            <v>S10WWFR014</v>
          </cell>
          <cell r="D495" t="str">
            <v>วงกบ W1 (1.60 x 1.75)  TYPE B</v>
          </cell>
          <cell r="E495">
            <v>826</v>
          </cell>
          <cell r="F495">
            <v>740</v>
          </cell>
        </row>
        <row r="496">
          <cell r="C496" t="str">
            <v>S10WWFR022</v>
          </cell>
          <cell r="D496" t="str">
            <v>SH-B วงกบ W1 ขนาด 2.05*1.45 ม.</v>
          </cell>
          <cell r="E496">
            <v>1350</v>
          </cell>
          <cell r="F496">
            <v>1200</v>
          </cell>
        </row>
        <row r="497">
          <cell r="C497" t="str">
            <v>S10WWFR023</v>
          </cell>
          <cell r="D497" t="str">
            <v>SH-B วงกบ W2 ขนาด 2.05*1.45 ม.</v>
          </cell>
          <cell r="E497">
            <v>680</v>
          </cell>
          <cell r="F497">
            <v>850</v>
          </cell>
        </row>
        <row r="498">
          <cell r="C498" t="str">
            <v>S10WWFR024</v>
          </cell>
          <cell r="D498" t="str">
            <v>SH-B วงกบ W3 ขนาด 1.00*2.00 ม.</v>
          </cell>
          <cell r="E498">
            <v>900</v>
          </cell>
          <cell r="F498">
            <v>800</v>
          </cell>
        </row>
        <row r="499">
          <cell r="C499" t="str">
            <v>S10WWFR025</v>
          </cell>
          <cell r="D499" t="str">
            <v>SH-B วงกบ W4 ขนาด 0.70*2.00 ม.</v>
          </cell>
          <cell r="E499">
            <v>780</v>
          </cell>
          <cell r="F499">
            <v>670</v>
          </cell>
        </row>
        <row r="500">
          <cell r="C500" t="str">
            <v>S10WWFR026</v>
          </cell>
          <cell r="D500" t="str">
            <v>SH-B วงกบ W5 ขนาด 1.00*2.00 ม.</v>
          </cell>
          <cell r="E500">
            <v>2200</v>
          </cell>
          <cell r="F500">
            <v>1800</v>
          </cell>
        </row>
        <row r="501">
          <cell r="C501" t="str">
            <v>S10WWFR027</v>
          </cell>
          <cell r="D501" t="str">
            <v>SH-B วงกบ W6 ขนาด 1.00*1.45 ม.</v>
          </cell>
          <cell r="E501">
            <v>550</v>
          </cell>
          <cell r="F501">
            <v>550</v>
          </cell>
        </row>
        <row r="502">
          <cell r="C502" t="str">
            <v>S10WWFR028</v>
          </cell>
          <cell r="D502" t="str">
            <v>SH-B วงกบ W7 ขนาด 2.05*1.10 ม.</v>
          </cell>
          <cell r="E502">
            <v>850</v>
          </cell>
          <cell r="F502">
            <v>790</v>
          </cell>
        </row>
        <row r="503">
          <cell r="C503" t="str">
            <v>S10WWFR029</v>
          </cell>
          <cell r="D503" t="str">
            <v>SH-B วงกบ W8 ขนาด 1.00*1.10 ม.</v>
          </cell>
          <cell r="E503">
            <v>450</v>
          </cell>
          <cell r="F503">
            <v>440</v>
          </cell>
        </row>
        <row r="504">
          <cell r="C504" t="str">
            <v>S10WWFR030</v>
          </cell>
          <cell r="D504" t="str">
            <v>SH-B วงกบ W9 ขนาด 1.30*3.30 ม.</v>
          </cell>
          <cell r="E504">
            <v>4200</v>
          </cell>
          <cell r="F504">
            <v>3800</v>
          </cell>
        </row>
        <row r="505">
          <cell r="C505" t="str">
            <v>S10WWFR031</v>
          </cell>
          <cell r="D505" t="str">
            <v>SH-B วงกบ W10 ขนาด 1.05*0.40 ม.</v>
          </cell>
          <cell r="E505">
            <v>370</v>
          </cell>
          <cell r="F505">
            <v>375</v>
          </cell>
        </row>
        <row r="506">
          <cell r="C506" t="str">
            <v>S10WWFR033</v>
          </cell>
          <cell r="D506" t="str">
            <v>SH-B วงกบ W12 ขนาด 0.50*0.40 ม.</v>
          </cell>
          <cell r="E506">
            <v>270</v>
          </cell>
          <cell r="F506">
            <v>300</v>
          </cell>
        </row>
        <row r="507">
          <cell r="C507" t="str">
            <v>S10WWFR087</v>
          </cell>
          <cell r="D507" t="str">
            <v xml:space="preserve">วงกบ W1 (1.20 x 1.50)  TYPE C </v>
          </cell>
          <cell r="E507">
            <v>1000</v>
          </cell>
          <cell r="F507">
            <v>1100</v>
          </cell>
        </row>
        <row r="508">
          <cell r="C508" t="str">
            <v>S10WWFR088</v>
          </cell>
          <cell r="D508" t="str">
            <v>วงกบ W2 (0.40 x 1.20)  TYPE C</v>
          </cell>
          <cell r="E508">
            <v>360</v>
          </cell>
          <cell r="F508">
            <v>390</v>
          </cell>
        </row>
        <row r="509">
          <cell r="C509" t="str">
            <v>S10WWFR089</v>
          </cell>
          <cell r="D509" t="str">
            <v>วงกบ W3 (0.40 x 0.70)  TYPE C</v>
          </cell>
          <cell r="E509">
            <v>210</v>
          </cell>
          <cell r="F509">
            <v>266.10000000000002</v>
          </cell>
        </row>
        <row r="510">
          <cell r="C510" t="str">
            <v>S10WWFR091</v>
          </cell>
          <cell r="D510" t="str">
            <v>วงกบ  W4 (1.2 x 1.50)  TYPE C</v>
          </cell>
          <cell r="E510">
            <v>1140</v>
          </cell>
          <cell r="F510">
            <v>1250</v>
          </cell>
        </row>
        <row r="511">
          <cell r="C511" t="str">
            <v>S10WWFR092</v>
          </cell>
          <cell r="D511" t="str">
            <v>วงกบ W12K (0.60 x 1.10)  TYPE A</v>
          </cell>
          <cell r="E511">
            <v>340</v>
          </cell>
          <cell r="F511">
            <v>340</v>
          </cell>
        </row>
        <row r="512">
          <cell r="C512" t="str">
            <v>S10WWFR093</v>
          </cell>
          <cell r="D512" t="str">
            <v>วงกบ W4K (0.80 x 1.20) 6 ช่องแสง  TYPE A</v>
          </cell>
          <cell r="E512">
            <v>450</v>
          </cell>
          <cell r="F512">
            <v>520</v>
          </cell>
        </row>
        <row r="513">
          <cell r="C513" t="str">
            <v>S10WWFR094</v>
          </cell>
          <cell r="D513" t="str">
            <v>วงกบ W12K  (1.10 x 0.60)  TYPE B</v>
          </cell>
          <cell r="E513">
            <v>285</v>
          </cell>
          <cell r="F513">
            <v>285</v>
          </cell>
        </row>
        <row r="514">
          <cell r="C514" t="str">
            <v>S10WWFR095</v>
          </cell>
          <cell r="D514" t="str">
            <v>วงกบ W12K (1.1 x 0.60)  TYPE C</v>
          </cell>
          <cell r="E514">
            <v>370</v>
          </cell>
          <cell r="F514">
            <v>285</v>
          </cell>
        </row>
        <row r="515">
          <cell r="C515" t="str">
            <v>S10WWFR098</v>
          </cell>
          <cell r="D515" t="str">
            <v>วงกบ W3K (2.00 x 1.00) บานติดตาย  TYPE A</v>
          </cell>
          <cell r="E515">
            <v>810</v>
          </cell>
          <cell r="F515">
            <v>890</v>
          </cell>
        </row>
        <row r="516">
          <cell r="C516" t="str">
            <v>S10WWFR099</v>
          </cell>
          <cell r="D516" t="str">
            <v>วงกบ W5K (0.50 x 0.80)  TYPE C</v>
          </cell>
          <cell r="E516">
            <v>250</v>
          </cell>
          <cell r="F516">
            <v>280</v>
          </cell>
        </row>
        <row r="517">
          <cell r="C517" t="str">
            <v>S10WWFR138</v>
          </cell>
          <cell r="D517" t="str">
            <v>วงกบ W1 (1.30 x 1.60) TYPE C</v>
          </cell>
          <cell r="E517">
            <v>520</v>
          </cell>
          <cell r="F517">
            <v>530</v>
          </cell>
        </row>
        <row r="518">
          <cell r="C518" t="str">
            <v>S10WWFR139</v>
          </cell>
          <cell r="D518" t="str">
            <v>วงกบ W4 (1.30 x 1.20) TYPE C</v>
          </cell>
          <cell r="E518">
            <v>450</v>
          </cell>
          <cell r="F518">
            <v>460</v>
          </cell>
        </row>
        <row r="519">
          <cell r="C519" t="str">
            <v>S10WWFR203</v>
          </cell>
          <cell r="D519" t="str">
            <v>วงกบ W2 0.50x0.80 กระจกติดตาย</v>
          </cell>
          <cell r="F519">
            <v>300</v>
          </cell>
        </row>
        <row r="520">
          <cell r="C520" t="str">
            <v>S10WWFR204</v>
          </cell>
          <cell r="D520" t="str">
            <v>วงกบ W3 0.60x0.50 เกร็ดกระจกติดตายระบายอากาศ</v>
          </cell>
          <cell r="F520">
            <v>250</v>
          </cell>
        </row>
        <row r="521">
          <cell r="C521" t="str">
            <v>S10WWPL001</v>
          </cell>
          <cell r="D521" t="str">
            <v>บาน W1 (0.80 x 1.40 ) ไม้เต็ง 8 ช่องแสง  TYPE A</v>
          </cell>
          <cell r="E521">
            <v>315</v>
          </cell>
          <cell r="F521">
            <v>480</v>
          </cell>
        </row>
        <row r="522">
          <cell r="C522" t="str">
            <v>S10WWPL002</v>
          </cell>
          <cell r="D522" t="str">
            <v>บาน W2 (0.50 x 1.00 ) ไม้เต็ง  3 ช่องแสง  TYPE A</v>
          </cell>
          <cell r="E522">
            <v>370</v>
          </cell>
          <cell r="F522">
            <v>260</v>
          </cell>
        </row>
        <row r="523">
          <cell r="C523" t="str">
            <v>S10WWPL005</v>
          </cell>
          <cell r="D523" t="str">
            <v>บาน W2 (0.80 x 1.10 )  TYPE B</v>
          </cell>
          <cell r="E523">
            <v>360</v>
          </cell>
          <cell r="F523">
            <v>335</v>
          </cell>
        </row>
        <row r="524">
          <cell r="C524" t="str">
            <v>S10WWPL006</v>
          </cell>
          <cell r="D524" t="str">
            <v>บาน W3 (0.60 x 1.10 )  TYPE B</v>
          </cell>
          <cell r="E524">
            <v>250</v>
          </cell>
          <cell r="F524">
            <v>285</v>
          </cell>
        </row>
        <row r="525">
          <cell r="C525" t="str">
            <v>S10WWPL007</v>
          </cell>
          <cell r="D525" t="str">
            <v>บาน W4 (0.60 x 1.10 )  TYPE B</v>
          </cell>
          <cell r="E525">
            <v>250</v>
          </cell>
          <cell r="F525">
            <v>285</v>
          </cell>
        </row>
        <row r="526">
          <cell r="C526" t="str">
            <v>S10WWPL008</v>
          </cell>
          <cell r="D526" t="str">
            <v>บาน W5 (0.50 x 1.10 )  TYPE B</v>
          </cell>
          <cell r="E526">
            <v>240</v>
          </cell>
          <cell r="F526">
            <v>285</v>
          </cell>
        </row>
        <row r="527">
          <cell r="C527" t="str">
            <v>S10WWPL009</v>
          </cell>
          <cell r="D527" t="str">
            <v>บาน W1 (0.80 x 1.40 )  TYPE B</v>
          </cell>
          <cell r="E527">
            <v>360</v>
          </cell>
          <cell r="F527">
            <v>380</v>
          </cell>
        </row>
        <row r="528">
          <cell r="C528" t="str">
            <v>S10WWPL034</v>
          </cell>
          <cell r="D528" t="str">
            <v>SH-B บาน W1 ขนาด 0.50*1.10 ม.</v>
          </cell>
          <cell r="E528">
            <v>420</v>
          </cell>
          <cell r="F528">
            <v>290</v>
          </cell>
        </row>
        <row r="529">
          <cell r="C529" t="str">
            <v>S10WWPL035</v>
          </cell>
          <cell r="D529" t="str">
            <v>SH-B บาน W2 ขนาด 0.50*1.45 ม.</v>
          </cell>
          <cell r="E529">
            <v>460</v>
          </cell>
          <cell r="F529">
            <v>330</v>
          </cell>
        </row>
        <row r="530">
          <cell r="C530" t="str">
            <v>S10WWPL036</v>
          </cell>
          <cell r="D530" t="str">
            <v>SH-B บาน W3/1 ขนาด 0.50*1.45 ม.</v>
          </cell>
          <cell r="E530">
            <v>460</v>
          </cell>
          <cell r="F530">
            <v>330</v>
          </cell>
        </row>
        <row r="531">
          <cell r="C531" t="str">
            <v>S10WWPL037</v>
          </cell>
          <cell r="D531" t="str">
            <v>SH-B บาน W3/2 ขนาด 0.50*0.50 ม.</v>
          </cell>
          <cell r="E531">
            <v>280</v>
          </cell>
          <cell r="F531">
            <v>150</v>
          </cell>
        </row>
        <row r="532">
          <cell r="C532" t="str">
            <v>S10WWPL038</v>
          </cell>
          <cell r="D532" t="str">
            <v>SH-B บาน W4/1 ขนาด 0.70*1.45 ม.</v>
          </cell>
          <cell r="E532">
            <v>520</v>
          </cell>
          <cell r="F532">
            <v>380</v>
          </cell>
        </row>
        <row r="533">
          <cell r="C533" t="str">
            <v>S10WWPL039</v>
          </cell>
          <cell r="D533" t="str">
            <v>SH-B บาน W4/2 ขนาด 0.70*0.50 ม.</v>
          </cell>
          <cell r="E533">
            <v>320</v>
          </cell>
          <cell r="F533">
            <v>160</v>
          </cell>
        </row>
        <row r="534">
          <cell r="C534" t="str">
            <v>S10WWPL040</v>
          </cell>
          <cell r="D534" t="str">
            <v>SH-B บาน W5/1 ขนาด 0.50*1.45 ม.</v>
          </cell>
          <cell r="E534">
            <v>460</v>
          </cell>
          <cell r="F534">
            <v>330</v>
          </cell>
        </row>
        <row r="535">
          <cell r="C535" t="str">
            <v>S10WWPL041</v>
          </cell>
          <cell r="D535" t="str">
            <v>SH-B บาน W5/2 ขนาด 0.50*0.50 ม.บานโค้ง</v>
          </cell>
          <cell r="E535">
            <v>300</v>
          </cell>
          <cell r="F535">
            <v>250</v>
          </cell>
        </row>
        <row r="536">
          <cell r="C536" t="str">
            <v>S10WWPL042</v>
          </cell>
          <cell r="D536" t="str">
            <v>SH-B บาน W6 ขนาด 0.50*1.45 ม.</v>
          </cell>
          <cell r="E536">
            <v>460</v>
          </cell>
          <cell r="F536">
            <v>330</v>
          </cell>
        </row>
        <row r="537">
          <cell r="C537" t="str">
            <v>S10WWPL043</v>
          </cell>
          <cell r="D537" t="str">
            <v>SH-B บาน W7 ขนาด 0.50*1.10 ม.</v>
          </cell>
          <cell r="E537">
            <v>420</v>
          </cell>
          <cell r="F537">
            <v>290</v>
          </cell>
        </row>
        <row r="538">
          <cell r="C538" t="str">
            <v>S10WWPL044</v>
          </cell>
          <cell r="D538" t="str">
            <v>SH-B บาน W8 ขนาด 0.50*1.10 ม.</v>
          </cell>
          <cell r="E538">
            <v>420</v>
          </cell>
          <cell r="F538">
            <v>290</v>
          </cell>
        </row>
        <row r="539">
          <cell r="C539" t="str">
            <v>S10WWPL046</v>
          </cell>
          <cell r="D539" t="str">
            <v>SH-B บาน W10 ขนาด 0.50*0.40 ม.</v>
          </cell>
          <cell r="E539">
            <v>280</v>
          </cell>
          <cell r="F539">
            <v>150</v>
          </cell>
        </row>
        <row r="540">
          <cell r="C540" t="str">
            <v>S10WWPL047</v>
          </cell>
          <cell r="D540" t="str">
            <v>SH-B บาน W11 ขนาด 0.50*1.45 ม.</v>
          </cell>
          <cell r="E540">
            <v>580</v>
          </cell>
          <cell r="F540">
            <v>620.6</v>
          </cell>
        </row>
        <row r="541">
          <cell r="C541" t="str">
            <v>S10WWPL048</v>
          </cell>
          <cell r="D541" t="str">
            <v>SH-B บาน W12 ขนาด 0.50*0.40 ม.</v>
          </cell>
          <cell r="E541">
            <v>280</v>
          </cell>
          <cell r="F541">
            <v>150</v>
          </cell>
        </row>
        <row r="542">
          <cell r="C542" t="str">
            <v>S10WWPL083</v>
          </cell>
          <cell r="D542" t="str">
            <v xml:space="preserve">บาน W1 (0.60 x 1.50)  TYPE C </v>
          </cell>
          <cell r="E542">
            <v>320</v>
          </cell>
          <cell r="F542">
            <v>420</v>
          </cell>
        </row>
        <row r="543">
          <cell r="C543" t="str">
            <v>S10WWPL084</v>
          </cell>
          <cell r="D543" t="str">
            <v>บาน W2 (0.40 x 0.58)  TYPE C</v>
          </cell>
          <cell r="E543">
            <v>170</v>
          </cell>
          <cell r="F543">
            <v>220</v>
          </cell>
        </row>
        <row r="544">
          <cell r="C544" t="str">
            <v>S10WWPL085</v>
          </cell>
          <cell r="D544" t="str">
            <v>บาน W3 (0.40 x 0.70)  TYPE C</v>
          </cell>
          <cell r="E544">
            <v>190</v>
          </cell>
          <cell r="F544">
            <v>240</v>
          </cell>
        </row>
        <row r="545">
          <cell r="C545" t="str">
            <v>S10WWPL087</v>
          </cell>
          <cell r="D545" t="str">
            <v>บาน W4 (0.60 x 1.10)  TYPE C</v>
          </cell>
          <cell r="E545">
            <v>285</v>
          </cell>
          <cell r="F545">
            <v>315</v>
          </cell>
        </row>
        <row r="546">
          <cell r="C546" t="str">
            <v>S10WWPL088</v>
          </cell>
          <cell r="D546" t="str">
            <v>บาน W12K (0.6X1.1)  TYPE A</v>
          </cell>
          <cell r="E546">
            <v>320</v>
          </cell>
          <cell r="F546">
            <v>330</v>
          </cell>
        </row>
        <row r="547">
          <cell r="C547" t="str">
            <v>S10WWPL089</v>
          </cell>
          <cell r="D547" t="str">
            <v>บาน W12K (0.6X1.1)  TYPE B</v>
          </cell>
          <cell r="E547">
            <v>360</v>
          </cell>
          <cell r="F547">
            <v>280</v>
          </cell>
        </row>
        <row r="548">
          <cell r="C548" t="str">
            <v>S10WWPL090</v>
          </cell>
          <cell r="D548" t="str">
            <v>บาน W12K (0.6X1.1)  TYPE C</v>
          </cell>
          <cell r="E548">
            <v>320</v>
          </cell>
          <cell r="F548">
            <v>306.67</v>
          </cell>
        </row>
        <row r="549">
          <cell r="C549" t="str">
            <v>S10WWPL091</v>
          </cell>
          <cell r="D549" t="str">
            <v>SH-B บาน W9 ขนาด 0.50*0.50 ม.</v>
          </cell>
          <cell r="E549">
            <v>280</v>
          </cell>
          <cell r="F549">
            <v>150</v>
          </cell>
        </row>
        <row r="550">
          <cell r="C550" t="str">
            <v>S10WWPL093</v>
          </cell>
          <cell r="D550" t="str">
            <v>บาน W3K (0.60 x 1.00 ) ไม้เต็ง  3 ช่องแสง  TYPE A</v>
          </cell>
          <cell r="E550">
            <v>310</v>
          </cell>
          <cell r="F550">
            <v>280</v>
          </cell>
        </row>
        <row r="551">
          <cell r="C551" t="str">
            <v>S11CEMT001</v>
          </cell>
          <cell r="D551" t="str">
            <v>ปูนก่อ Q - CON</v>
          </cell>
          <cell r="E551">
            <v>172.5</v>
          </cell>
          <cell r="F551">
            <v>172.5</v>
          </cell>
        </row>
        <row r="552">
          <cell r="C552" t="str">
            <v>S11CEMT003</v>
          </cell>
          <cell r="D552" t="str">
            <v>ปูนซีเมนต์</v>
          </cell>
          <cell r="E552">
            <v>94.39</v>
          </cell>
          <cell r="F552">
            <v>89</v>
          </cell>
        </row>
        <row r="553">
          <cell r="C553" t="str">
            <v>S11CEMT005</v>
          </cell>
          <cell r="D553" t="str">
            <v>ปูนซีเมนต์ขาว (1 ถุง,20 kg)</v>
          </cell>
          <cell r="E553">
            <v>119</v>
          </cell>
          <cell r="F553">
            <v>127.33</v>
          </cell>
        </row>
        <row r="554">
          <cell r="C554" t="str">
            <v>S11CEMT007</v>
          </cell>
          <cell r="D554" t="str">
            <v>ปูนฉาบ Q-CON</v>
          </cell>
          <cell r="E554">
            <v>80</v>
          </cell>
          <cell r="F554">
            <v>80</v>
          </cell>
        </row>
        <row r="555">
          <cell r="C555" t="str">
            <v>S11CEMT009</v>
          </cell>
          <cell r="D555" t="str">
            <v>ยิปซั่ม "ไทยยิปซั่ม" (25kg./กระสอบ)</v>
          </cell>
          <cell r="E555">
            <v>200</v>
          </cell>
          <cell r="F555">
            <v>102</v>
          </cell>
        </row>
        <row r="556">
          <cell r="C556" t="str">
            <v>S11GLUE001</v>
          </cell>
          <cell r="D556" t="str">
            <v>กาวซีเมนต์ (1 ถุง,20 kg/2 ตร.ม.)</v>
          </cell>
          <cell r="E556">
            <v>80</v>
          </cell>
          <cell r="F556">
            <v>85.6</v>
          </cell>
        </row>
        <row r="557">
          <cell r="C557" t="str">
            <v>S11GLUE002</v>
          </cell>
          <cell r="D557" t="str">
            <v>EPOXY (LANKO 532 UTAREP # 80 C5) 5 kg./ชุด</v>
          </cell>
          <cell r="E557">
            <v>1400</v>
          </cell>
          <cell r="F557">
            <v>1400</v>
          </cell>
        </row>
        <row r="558">
          <cell r="C558" t="str">
            <v>S11GLUE004</v>
          </cell>
          <cell r="D558" t="str">
            <v>เวเทอร์โค้ท (ฟลินท์โค้ท เบอร์ 3 ขนาด 18 กก.)</v>
          </cell>
          <cell r="E558">
            <v>900</v>
          </cell>
          <cell r="F558">
            <v>900</v>
          </cell>
        </row>
        <row r="559">
          <cell r="C559" t="str">
            <v>S11GLUE005</v>
          </cell>
          <cell r="D559" t="str">
            <v>SCI-1600Neutral Cure Silicone(20Cart/Box)</v>
          </cell>
          <cell r="E559">
            <v>100</v>
          </cell>
          <cell r="F559">
            <v>107</v>
          </cell>
        </row>
        <row r="560">
          <cell r="C560" t="str">
            <v>S11GLUE007</v>
          </cell>
          <cell r="D560" t="str">
            <v>Acrylic Sealant TOA 3.785 L/Gallon</v>
          </cell>
          <cell r="E560">
            <v>1200</v>
          </cell>
          <cell r="F560">
            <v>765</v>
          </cell>
        </row>
        <row r="561">
          <cell r="C561" t="str">
            <v>S11GLUE008</v>
          </cell>
          <cell r="D561" t="str">
            <v>BUCKING ROD 6 mm.</v>
          </cell>
          <cell r="E561">
            <v>1</v>
          </cell>
          <cell r="F561">
            <v>100</v>
          </cell>
        </row>
        <row r="562">
          <cell r="C562" t="str">
            <v>S11GLUE010</v>
          </cell>
          <cell r="D562" t="str">
            <v>Sikaflex Construction 600 ml.</v>
          </cell>
          <cell r="E562">
            <v>170</v>
          </cell>
          <cell r="F562">
            <v>165</v>
          </cell>
        </row>
        <row r="563">
          <cell r="C563" t="str">
            <v>S11GLUE012</v>
          </cell>
          <cell r="D563" t="str">
            <v>SIKA BOND BREAKER (25 LT./ถัง)</v>
          </cell>
          <cell r="E563">
            <v>975</v>
          </cell>
          <cell r="F563">
            <v>975</v>
          </cell>
        </row>
        <row r="564">
          <cell r="C564" t="str">
            <v>S11GLUE013</v>
          </cell>
          <cell r="D564" t="str">
            <v>SIKA FORM OIL WB1 (200 LT./ถัง)</v>
          </cell>
          <cell r="E564">
            <v>6400</v>
          </cell>
          <cell r="F564">
            <v>6400</v>
          </cell>
        </row>
        <row r="565">
          <cell r="C565" t="str">
            <v>S11GLUE014</v>
          </cell>
          <cell r="D565" t="str">
            <v>EPOXY SIKADUR 732</v>
          </cell>
          <cell r="E565">
            <v>560</v>
          </cell>
          <cell r="F565">
            <v>560</v>
          </cell>
        </row>
        <row r="566">
          <cell r="C566" t="str">
            <v>S11GLUE016</v>
          </cell>
          <cell r="D566" t="str">
            <v>กัมกรีต</v>
          </cell>
          <cell r="E566">
            <v>180</v>
          </cell>
          <cell r="F566">
            <v>171.2</v>
          </cell>
        </row>
        <row r="567">
          <cell r="C567" t="str">
            <v>S11GLUE017</v>
          </cell>
          <cell r="D567" t="str">
            <v>Acrylic Sealant SISTA F130</v>
          </cell>
          <cell r="E567">
            <v>65.42</v>
          </cell>
          <cell r="F567">
            <v>65.42</v>
          </cell>
        </row>
        <row r="568">
          <cell r="C568" t="str">
            <v>S11GLUE018</v>
          </cell>
          <cell r="D568" t="str">
            <v>SIKA GROUT 214-11</v>
          </cell>
          <cell r="E568">
            <v>300</v>
          </cell>
          <cell r="F568">
            <v>300</v>
          </cell>
        </row>
        <row r="569">
          <cell r="C569" t="str">
            <v>S11GLUE019</v>
          </cell>
          <cell r="D569" t="str">
            <v>เวเทอร์โค้ท(ฟลิ้นท์โค้ท) เบอร์3 ขนาด 4 กก.</v>
          </cell>
          <cell r="E569">
            <v>900</v>
          </cell>
          <cell r="F569">
            <v>185</v>
          </cell>
        </row>
        <row r="570">
          <cell r="C570" t="str">
            <v>S11GLUE020</v>
          </cell>
          <cell r="D570" t="str">
            <v>NON-SHRINK</v>
          </cell>
          <cell r="E570">
            <v>200</v>
          </cell>
          <cell r="F570">
            <v>200</v>
          </cell>
        </row>
        <row r="571">
          <cell r="C571" t="str">
            <v>S11GLUE022</v>
          </cell>
          <cell r="D571" t="str">
            <v>LANKO 101 ( 25 กก./ ถัง )</v>
          </cell>
          <cell r="E571">
            <v>550</v>
          </cell>
          <cell r="F571">
            <v>550</v>
          </cell>
        </row>
        <row r="572">
          <cell r="C572" t="str">
            <v>S12SAND001</v>
          </cell>
          <cell r="D572" t="str">
            <v>ทรายถม</v>
          </cell>
          <cell r="E572">
            <v>180</v>
          </cell>
          <cell r="F572">
            <v>190</v>
          </cell>
        </row>
        <row r="573">
          <cell r="C573" t="str">
            <v>S12SAND002</v>
          </cell>
          <cell r="D573" t="str">
            <v>ทรายละเอียด</v>
          </cell>
          <cell r="E573">
            <v>225</v>
          </cell>
          <cell r="F573">
            <v>225</v>
          </cell>
        </row>
        <row r="574">
          <cell r="C574" t="str">
            <v>S12SAND003</v>
          </cell>
          <cell r="D574" t="str">
            <v xml:space="preserve">ทรายหยาบ </v>
          </cell>
          <cell r="E574">
            <v>220</v>
          </cell>
          <cell r="F574">
            <v>270</v>
          </cell>
        </row>
        <row r="575">
          <cell r="C575" t="str">
            <v>S13TMTK002</v>
          </cell>
          <cell r="D575" t="str">
            <v>ถัง DOS - 1600T พร้อมอุปกรณ์</v>
          </cell>
          <cell r="E575">
            <v>3831.75</v>
          </cell>
          <cell r="F575">
            <v>4500</v>
          </cell>
        </row>
        <row r="576">
          <cell r="C576" t="str">
            <v>S13TMTK008</v>
          </cell>
          <cell r="D576" t="str">
            <v>ถัง DOS DUT-1600 พร้อมอุปกรณ์ (ถังน้ำดี)</v>
          </cell>
          <cell r="E576">
            <v>5820.8</v>
          </cell>
          <cell r="F576">
            <v>5420.56</v>
          </cell>
        </row>
        <row r="577">
          <cell r="C577" t="str">
            <v>S13TMTK009</v>
          </cell>
          <cell r="D577" t="str">
            <v>ถังดักไขมันใต้ดิน DOS รุ่น DGT/U-40</v>
          </cell>
          <cell r="E577">
            <v>1754.8</v>
          </cell>
          <cell r="F577">
            <v>860</v>
          </cell>
        </row>
        <row r="578">
          <cell r="C578" t="str">
            <v>S13TMTK014</v>
          </cell>
          <cell r="D578" t="str">
            <v>ถังดักไขมัน DOS 350x450x335 mm.</v>
          </cell>
          <cell r="E578">
            <v>616.82000000000005</v>
          </cell>
          <cell r="F578">
            <v>711.55</v>
          </cell>
        </row>
        <row r="579">
          <cell r="C579" t="str">
            <v>S13TMTK015</v>
          </cell>
          <cell r="D579" t="str">
            <v>ท่อ FLEXIBLE JOINT + STAINLESS CLAMP</v>
          </cell>
          <cell r="E579">
            <v>500</v>
          </cell>
          <cell r="F579">
            <v>535</v>
          </cell>
        </row>
        <row r="580">
          <cell r="C580" t="str">
            <v>S14FITT001</v>
          </cell>
          <cell r="D580" t="str">
            <v>สะดืออ่าง 2 ตอน</v>
          </cell>
          <cell r="E580">
            <v>134</v>
          </cell>
          <cell r="F580">
            <v>21.4</v>
          </cell>
        </row>
        <row r="581">
          <cell r="C581" t="str">
            <v>S14FITT002</v>
          </cell>
          <cell r="D581" t="str">
            <v>ฝักบัวสายอ่อนสีขาว</v>
          </cell>
          <cell r="E581">
            <v>51</v>
          </cell>
          <cell r="F581">
            <v>72.760000000000005</v>
          </cell>
        </row>
        <row r="582">
          <cell r="C582" t="str">
            <v>S14FITT003</v>
          </cell>
          <cell r="D582" t="str">
            <v>สายน้ำดีพลาสติกขนาด 16"</v>
          </cell>
          <cell r="E582">
            <v>17</v>
          </cell>
          <cell r="F582">
            <v>18.190000000000001</v>
          </cell>
        </row>
        <row r="583">
          <cell r="C583" t="str">
            <v>S14FITT004</v>
          </cell>
          <cell r="D583" t="str">
            <v>สายชำระอ่อนสีขาว</v>
          </cell>
          <cell r="E583">
            <v>124</v>
          </cell>
          <cell r="F583">
            <v>90.95</v>
          </cell>
        </row>
        <row r="584">
          <cell r="C584" t="str">
            <v>S14FITT005</v>
          </cell>
          <cell r="D584" t="str">
            <v>ก๊อกอ่างล้างหน้าหัวแก้ว PREMA PM-101</v>
          </cell>
          <cell r="E584">
            <v>131</v>
          </cell>
          <cell r="F584">
            <v>157.29</v>
          </cell>
        </row>
        <row r="585">
          <cell r="C585" t="str">
            <v>S14FITT006</v>
          </cell>
          <cell r="D585" t="str">
            <v>วาวล์ลอยหัวแก้ว(ก๊อกฝักบัว) PREMAOPM-102</v>
          </cell>
          <cell r="E585">
            <v>105</v>
          </cell>
          <cell r="F585">
            <v>134.82</v>
          </cell>
        </row>
        <row r="586">
          <cell r="C586" t="str">
            <v>S14FITT007</v>
          </cell>
          <cell r="D586" t="str">
            <v>ราวแขวนผ้า C812</v>
          </cell>
          <cell r="E586">
            <v>143</v>
          </cell>
          <cell r="F586">
            <v>179.44</v>
          </cell>
        </row>
        <row r="587">
          <cell r="C587" t="str">
            <v>S14FITT008</v>
          </cell>
          <cell r="D587" t="str">
            <v>กระจกกลม สีขาว</v>
          </cell>
          <cell r="E587">
            <v>275</v>
          </cell>
          <cell r="F587">
            <v>134.82</v>
          </cell>
        </row>
        <row r="588">
          <cell r="C588" t="str">
            <v>S14FITT009</v>
          </cell>
          <cell r="D588" t="str">
            <v xml:space="preserve">หิ้งเรียบ C821  6" x 18"  </v>
          </cell>
          <cell r="E588">
            <v>140</v>
          </cell>
          <cell r="F588">
            <v>184.04</v>
          </cell>
        </row>
        <row r="589">
          <cell r="C589" t="str">
            <v>S14FITT010</v>
          </cell>
          <cell r="D589" t="str">
            <v>ท่อน้ำทิ้งพลาสติก</v>
          </cell>
          <cell r="E589">
            <v>37.380000000000003</v>
          </cell>
          <cell r="F589">
            <v>24.07</v>
          </cell>
        </row>
        <row r="590">
          <cell r="C590" t="str">
            <v>S14FITT022</v>
          </cell>
          <cell r="D590" t="str">
            <v>ราวพาดผ้า C812</v>
          </cell>
          <cell r="E590">
            <v>143</v>
          </cell>
          <cell r="F590">
            <v>143</v>
          </cell>
        </row>
        <row r="591">
          <cell r="C591" t="str">
            <v>S14FITT023</v>
          </cell>
          <cell r="D591" t="str">
            <v>ก๊อกน้ำ+ฝักบัวสายอ่อน CT367A S20</v>
          </cell>
          <cell r="E591">
            <v>2383</v>
          </cell>
          <cell r="F591">
            <v>2300</v>
          </cell>
        </row>
        <row r="592">
          <cell r="C592" t="str">
            <v>S14FITT024</v>
          </cell>
          <cell r="D592" t="str">
            <v>สายฉีดชำระ PM600K#CR(HM)</v>
          </cell>
          <cell r="E592">
            <v>262</v>
          </cell>
          <cell r="F592">
            <v>262</v>
          </cell>
        </row>
        <row r="593">
          <cell r="C593" t="str">
            <v>S14FITT025</v>
          </cell>
          <cell r="D593" t="str">
            <v>ก๊อกน้ำอ่างล้างหน้า CT167D</v>
          </cell>
          <cell r="E593">
            <v>768</v>
          </cell>
          <cell r="F593">
            <v>768</v>
          </cell>
        </row>
        <row r="594">
          <cell r="C594" t="str">
            <v>S14FITT026</v>
          </cell>
          <cell r="D594" t="str">
            <v>สะดืออ่างล้างหน้า CT670</v>
          </cell>
          <cell r="E594">
            <v>134</v>
          </cell>
          <cell r="F594">
            <v>134</v>
          </cell>
        </row>
        <row r="595">
          <cell r="C595" t="str">
            <v>S14FITT027</v>
          </cell>
          <cell r="D595" t="str">
            <v>ท่อน้ำทิ้ง CT683AX</v>
          </cell>
          <cell r="E595">
            <v>435</v>
          </cell>
          <cell r="F595">
            <v>435</v>
          </cell>
        </row>
        <row r="596">
          <cell r="C596" t="str">
            <v>S14FITT028</v>
          </cell>
          <cell r="D596" t="str">
            <v>สายน้ำดี S283</v>
          </cell>
          <cell r="E596">
            <v>51</v>
          </cell>
          <cell r="F596">
            <v>72</v>
          </cell>
        </row>
        <row r="597">
          <cell r="C597" t="str">
            <v>S14FITT029</v>
          </cell>
          <cell r="D597" t="str">
            <v>STOP VALVE อ่างล้างหน้า CT190C6</v>
          </cell>
          <cell r="E597">
            <v>154</v>
          </cell>
          <cell r="F597">
            <v>154</v>
          </cell>
        </row>
        <row r="598">
          <cell r="C598" t="str">
            <v>S14FITT030</v>
          </cell>
          <cell r="D598" t="str">
            <v>STOP VALVE สายชำระ CT190C6</v>
          </cell>
          <cell r="E598">
            <v>154</v>
          </cell>
          <cell r="F598">
            <v>154</v>
          </cell>
        </row>
        <row r="599">
          <cell r="C599" t="str">
            <v>S14FITT031</v>
          </cell>
          <cell r="D599" t="str">
            <v>ก๊อกน้ำ+ฝักบัวสายอ่อน CT367A S17</v>
          </cell>
          <cell r="E599">
            <v>2000</v>
          </cell>
          <cell r="F599">
            <v>1897</v>
          </cell>
        </row>
        <row r="600">
          <cell r="C600" t="str">
            <v>S14FITT032</v>
          </cell>
          <cell r="D600" t="str">
            <v>สายฉีดชำระ PM600#WH</v>
          </cell>
          <cell r="E600">
            <v>124</v>
          </cell>
          <cell r="F600">
            <v>124</v>
          </cell>
        </row>
        <row r="601">
          <cell r="C601" t="str">
            <v>S14FITT033</v>
          </cell>
          <cell r="D601" t="str">
            <v>สะดืออ่างล้างหน้า CT673</v>
          </cell>
          <cell r="E601">
            <v>134</v>
          </cell>
          <cell r="F601">
            <v>134</v>
          </cell>
        </row>
        <row r="602">
          <cell r="C602" t="str">
            <v>S14FITT080</v>
          </cell>
          <cell r="D602" t="str">
            <v>ก๊อกน้ำ+ฝักบัวสายอ่อน TS218A CT702(HM) S22</v>
          </cell>
          <cell r="F602">
            <v>3586</v>
          </cell>
        </row>
        <row r="603">
          <cell r="C603" t="str">
            <v>S14FITT081</v>
          </cell>
          <cell r="D603" t="str">
            <v>สายฉีดชำระ CT667NK#CR(HM)</v>
          </cell>
          <cell r="E603">
            <v>378</v>
          </cell>
          <cell r="F603">
            <v>378</v>
          </cell>
        </row>
        <row r="604">
          <cell r="C604" t="str">
            <v>S14FITT082</v>
          </cell>
          <cell r="D604" t="str">
            <v>ก๊อกน้ำอ่างล้างหน้า CT166A</v>
          </cell>
          <cell r="E604">
            <v>1284</v>
          </cell>
          <cell r="F604">
            <v>1200</v>
          </cell>
        </row>
        <row r="605">
          <cell r="C605" t="str">
            <v>S14FITT083</v>
          </cell>
          <cell r="D605" t="str">
            <v>สะดืออ่างล้างหน้า CT673</v>
          </cell>
          <cell r="E605">
            <v>134</v>
          </cell>
          <cell r="F605">
            <v>134</v>
          </cell>
        </row>
        <row r="606">
          <cell r="C606" t="str">
            <v>S14FITT085</v>
          </cell>
          <cell r="D606" t="str">
            <v>STOP VALVE อ่างล้างหน้า CT190C6</v>
          </cell>
          <cell r="E606">
            <v>154</v>
          </cell>
          <cell r="F606">
            <v>154</v>
          </cell>
        </row>
        <row r="607">
          <cell r="C607" t="str">
            <v>S14FITT086</v>
          </cell>
          <cell r="D607" t="str">
            <v>STOP VALVE สายชำระ CT190C6</v>
          </cell>
          <cell r="E607">
            <v>154</v>
          </cell>
          <cell r="F607">
            <v>154</v>
          </cell>
        </row>
        <row r="608">
          <cell r="C608" t="str">
            <v>S14FITT087</v>
          </cell>
          <cell r="D608" t="str">
            <v>ก๊อกอ่างอาบน้ำ TS219A CT702(HM) S22</v>
          </cell>
          <cell r="E608">
            <v>4350</v>
          </cell>
          <cell r="F608">
            <v>4066</v>
          </cell>
        </row>
        <row r="609">
          <cell r="C609" t="str">
            <v>S14FITT088</v>
          </cell>
          <cell r="D609" t="str">
            <v>ราวพาดผ้า C832</v>
          </cell>
          <cell r="E609">
            <v>204</v>
          </cell>
          <cell r="F609">
            <v>204</v>
          </cell>
        </row>
        <row r="610">
          <cell r="C610" t="str">
            <v>S14FITT089</v>
          </cell>
          <cell r="D610" t="str">
            <v>ก๊อกน้ำ+ฝักบัวสายอ่อน CT367A CT702(HM) S20</v>
          </cell>
          <cell r="E610">
            <v>2383</v>
          </cell>
          <cell r="F610">
            <v>3343</v>
          </cell>
        </row>
        <row r="611">
          <cell r="C611" t="str">
            <v>S14FITT090</v>
          </cell>
          <cell r="D611" t="str">
            <v>สายฉีดชำระ PM600K#CR(HM)</v>
          </cell>
          <cell r="E611">
            <v>262</v>
          </cell>
          <cell r="F611">
            <v>262</v>
          </cell>
        </row>
        <row r="612">
          <cell r="C612" t="str">
            <v>S14FITT091</v>
          </cell>
          <cell r="D612" t="str">
            <v>ก๊อกน้ำอ่างล้างหน้า CT167D</v>
          </cell>
          <cell r="E612">
            <v>768</v>
          </cell>
          <cell r="F612">
            <v>768</v>
          </cell>
        </row>
        <row r="613">
          <cell r="C613" t="str">
            <v>S14FITT092</v>
          </cell>
          <cell r="D613" t="str">
            <v>ท่อน้ำทิ้ง CT683AX</v>
          </cell>
          <cell r="E613">
            <v>435</v>
          </cell>
          <cell r="F613">
            <v>435</v>
          </cell>
        </row>
        <row r="614">
          <cell r="C614" t="str">
            <v>S14FITT093</v>
          </cell>
          <cell r="D614" t="str">
            <v>สายน้ำดี S283</v>
          </cell>
          <cell r="E614">
            <v>51</v>
          </cell>
          <cell r="F614">
            <v>51</v>
          </cell>
        </row>
        <row r="615">
          <cell r="C615" t="str">
            <v>S14FITT094</v>
          </cell>
          <cell r="D615" t="str">
            <v>กระจกเงา+ชั้นวางของ+ราวพาดผ้า  PM902(WH)</v>
          </cell>
          <cell r="E615">
            <v>275</v>
          </cell>
          <cell r="F615">
            <v>275</v>
          </cell>
        </row>
        <row r="616">
          <cell r="C616" t="str">
            <v>S14FITT095</v>
          </cell>
          <cell r="D616" t="str">
            <v>ก๊อกน้ำ+ฝักบัวสายอ่อน PM300P1(HM)</v>
          </cell>
          <cell r="E616">
            <v>234</v>
          </cell>
          <cell r="F616">
            <v>234</v>
          </cell>
        </row>
        <row r="617">
          <cell r="C617" t="str">
            <v>S14FITT096</v>
          </cell>
          <cell r="D617" t="str">
            <v>ก๊อกน้ำอ่างล้างหน้า PM101P1</v>
          </cell>
          <cell r="E617">
            <v>105</v>
          </cell>
          <cell r="F617">
            <v>131</v>
          </cell>
        </row>
        <row r="618">
          <cell r="C618" t="str">
            <v>S14FITT097</v>
          </cell>
          <cell r="D618" t="str">
            <v>สายฉีดชำระ PM600#WH</v>
          </cell>
          <cell r="E618">
            <v>124</v>
          </cell>
          <cell r="F618">
            <v>124</v>
          </cell>
        </row>
        <row r="619">
          <cell r="C619" t="str">
            <v>S14FITT098</v>
          </cell>
          <cell r="D619" t="str">
            <v>สะดืออ่างล้างหน้า PM402</v>
          </cell>
          <cell r="E619">
            <v>103</v>
          </cell>
          <cell r="F619">
            <v>103</v>
          </cell>
        </row>
        <row r="620">
          <cell r="C620" t="str">
            <v>S14FITT099</v>
          </cell>
          <cell r="D620" t="str">
            <v>ท่อน้ำทิ้ง PM401</v>
          </cell>
          <cell r="E620">
            <v>267</v>
          </cell>
          <cell r="F620">
            <v>207</v>
          </cell>
        </row>
        <row r="621">
          <cell r="C621" t="str">
            <v>S14FITT100</v>
          </cell>
          <cell r="D621" t="str">
            <v>STOP VALVE อ่างล้างหน้า PM102P1</v>
          </cell>
          <cell r="E621">
            <v>105</v>
          </cell>
          <cell r="F621">
            <v>133</v>
          </cell>
        </row>
        <row r="622">
          <cell r="C622" t="str">
            <v>S14FITT110</v>
          </cell>
          <cell r="D622" t="str">
            <v>ก๊อกน้ำ+ฝักบัวสายอ่อน CT353A CT702(HM) S23</v>
          </cell>
          <cell r="E622">
            <v>2313</v>
          </cell>
          <cell r="F622">
            <v>3213</v>
          </cell>
        </row>
        <row r="623">
          <cell r="C623" t="str">
            <v>S14FITT111</v>
          </cell>
          <cell r="D623" t="str">
            <v>สายฉีดชำระ CT667NK#CR(HM)</v>
          </cell>
          <cell r="E623">
            <v>378</v>
          </cell>
          <cell r="F623">
            <v>378</v>
          </cell>
        </row>
        <row r="624">
          <cell r="C624" t="str">
            <v>S14FITT112</v>
          </cell>
          <cell r="D624" t="str">
            <v>สะดืออ่างล้างหน้า CT673</v>
          </cell>
          <cell r="E624">
            <v>134</v>
          </cell>
          <cell r="F624">
            <v>134</v>
          </cell>
        </row>
        <row r="625">
          <cell r="C625" t="str">
            <v>S14FITT113</v>
          </cell>
          <cell r="D625" t="str">
            <v>ก๊อกน้ำอ่างล้างหน้า CT165A</v>
          </cell>
          <cell r="E625">
            <v>928</v>
          </cell>
          <cell r="F625">
            <v>928</v>
          </cell>
        </row>
        <row r="626">
          <cell r="C626" t="str">
            <v>S14FITT114</v>
          </cell>
          <cell r="D626" t="str">
            <v>ท่อน้ำทิ้ง CT683AX</v>
          </cell>
          <cell r="E626">
            <v>435</v>
          </cell>
          <cell r="F626">
            <v>435</v>
          </cell>
        </row>
        <row r="627">
          <cell r="C627" t="str">
            <v>S14FITT115</v>
          </cell>
          <cell r="D627" t="str">
            <v>สายน้ำดี S283</v>
          </cell>
          <cell r="E627">
            <v>51</v>
          </cell>
          <cell r="F627">
            <v>51</v>
          </cell>
        </row>
        <row r="628">
          <cell r="C628" t="str">
            <v>S14FITT116</v>
          </cell>
          <cell r="D628" t="str">
            <v>ก๊อกอ่างอาบน้ำ CT352A CT702(HM) S23</v>
          </cell>
          <cell r="E628">
            <v>3213</v>
          </cell>
          <cell r="F628">
            <v>3674</v>
          </cell>
        </row>
        <row r="629">
          <cell r="C629" t="str">
            <v>S14FITT117</v>
          </cell>
          <cell r="D629" t="str">
            <v>STOP VALVE สายชำระ CT190C6</v>
          </cell>
          <cell r="E629">
            <v>154</v>
          </cell>
          <cell r="F629">
            <v>154</v>
          </cell>
        </row>
        <row r="630">
          <cell r="C630" t="str">
            <v>S14FITT118</v>
          </cell>
          <cell r="D630" t="str">
            <v>STOP VALVE อ่างล้างหน้า CT190C6</v>
          </cell>
          <cell r="E630">
            <v>154</v>
          </cell>
          <cell r="F630">
            <v>154</v>
          </cell>
        </row>
        <row r="631">
          <cell r="C631" t="str">
            <v>S14FITT119</v>
          </cell>
          <cell r="D631" t="str">
            <v>ก๊อกน้ำ+ฝักบัวสายอ่อน CT367A S20</v>
          </cell>
          <cell r="E631">
            <v>2383</v>
          </cell>
          <cell r="F631">
            <v>2383</v>
          </cell>
        </row>
        <row r="632">
          <cell r="C632" t="str">
            <v>S14FITT120</v>
          </cell>
          <cell r="D632" t="str">
            <v>สายฉีดชำระ PM600#WH</v>
          </cell>
          <cell r="E632">
            <v>124</v>
          </cell>
          <cell r="F632">
            <v>124</v>
          </cell>
        </row>
        <row r="633">
          <cell r="C633" t="str">
            <v>S14FITT121</v>
          </cell>
          <cell r="D633" t="str">
            <v>ก๊อกน้ำอ่างล้างหน้า CT167D</v>
          </cell>
          <cell r="E633">
            <v>768</v>
          </cell>
          <cell r="F633">
            <v>768</v>
          </cell>
        </row>
        <row r="634">
          <cell r="C634" t="str">
            <v>S14FITT122</v>
          </cell>
          <cell r="D634" t="str">
            <v>สะดืออ่างล้างหน้า CT670</v>
          </cell>
          <cell r="E634">
            <v>134</v>
          </cell>
          <cell r="F634">
            <v>134</v>
          </cell>
        </row>
        <row r="635">
          <cell r="C635" t="str">
            <v>S14FITT123</v>
          </cell>
          <cell r="D635" t="str">
            <v>กระจกเงา+ชั้นวางของ+ราวพาดผ้า  PM902(WH)</v>
          </cell>
          <cell r="E635">
            <v>275</v>
          </cell>
          <cell r="F635">
            <v>275</v>
          </cell>
        </row>
        <row r="636">
          <cell r="C636" t="str">
            <v>S14FITT124</v>
          </cell>
          <cell r="D636" t="str">
            <v>ก๊อกน้ำ+ฝักบัวสายอ่อน PM300P1(HM)</v>
          </cell>
          <cell r="E636">
            <v>234</v>
          </cell>
          <cell r="F636">
            <v>234</v>
          </cell>
        </row>
        <row r="637">
          <cell r="C637" t="str">
            <v>S14FITT125</v>
          </cell>
          <cell r="D637" t="str">
            <v>ก๊อกน้ำอ่างล้างหน้า PM101P1</v>
          </cell>
          <cell r="E637">
            <v>140</v>
          </cell>
          <cell r="F637">
            <v>131</v>
          </cell>
        </row>
        <row r="638">
          <cell r="C638" t="str">
            <v>S14FITT126</v>
          </cell>
          <cell r="D638" t="str">
            <v>สะดืออ่างล้างหน้า PM402</v>
          </cell>
          <cell r="E638">
            <v>105</v>
          </cell>
          <cell r="F638">
            <v>103</v>
          </cell>
        </row>
        <row r="639">
          <cell r="C639" t="str">
            <v>S14FITT127</v>
          </cell>
          <cell r="D639" t="str">
            <v>ท่อน้ำทิ้ง PM401</v>
          </cell>
          <cell r="E639">
            <v>207</v>
          </cell>
          <cell r="F639">
            <v>207</v>
          </cell>
        </row>
        <row r="640">
          <cell r="C640" t="str">
            <v>S14FITT128</v>
          </cell>
          <cell r="D640" t="str">
            <v>STOP VALVE อ่างล้างหน้า PM102P1</v>
          </cell>
          <cell r="E640">
            <v>105</v>
          </cell>
          <cell r="F640">
            <v>105</v>
          </cell>
        </row>
        <row r="641">
          <cell r="C641" t="str">
            <v>S14FITT131</v>
          </cell>
          <cell r="D641" t="str">
            <v>STOP VALVE สายชำระ PM102P1</v>
          </cell>
          <cell r="E641">
            <v>105</v>
          </cell>
          <cell r="F641">
            <v>105</v>
          </cell>
        </row>
        <row r="642">
          <cell r="C642" t="str">
            <v>S14FITT132</v>
          </cell>
          <cell r="D642" t="str">
            <v>STOP VALVE โถสุขภัณฑ์ PM102P1</v>
          </cell>
          <cell r="E642">
            <v>105</v>
          </cell>
          <cell r="F642">
            <v>105</v>
          </cell>
        </row>
        <row r="643">
          <cell r="C643" t="str">
            <v>S14FITT135</v>
          </cell>
          <cell r="D643" t="str">
            <v>STOP VALVE โถสุขภัณฑ์ PM102P1</v>
          </cell>
          <cell r="E643">
            <v>105</v>
          </cell>
          <cell r="F643">
            <v>105</v>
          </cell>
        </row>
        <row r="644">
          <cell r="C644" t="str">
            <v>S14FITT136</v>
          </cell>
          <cell r="D644" t="str">
            <v>STOP VALVE สายชำระ PM102P1</v>
          </cell>
          <cell r="E644">
            <v>105</v>
          </cell>
          <cell r="F644">
            <v>105</v>
          </cell>
        </row>
        <row r="645">
          <cell r="C645" t="str">
            <v>S14FITT137</v>
          </cell>
          <cell r="D645" t="str">
            <v>ราวพาดผ้า C812</v>
          </cell>
          <cell r="E645">
            <v>143</v>
          </cell>
          <cell r="F645">
            <v>143</v>
          </cell>
        </row>
        <row r="646">
          <cell r="C646" t="str">
            <v>S14SANI001</v>
          </cell>
          <cell r="D646" t="str">
            <v>ที่วางสบู่ C805</v>
          </cell>
          <cell r="E646">
            <v>57</v>
          </cell>
          <cell r="F646">
            <v>73.62</v>
          </cell>
        </row>
        <row r="647">
          <cell r="C647" t="str">
            <v>S14SANI002</v>
          </cell>
          <cell r="D647" t="str">
            <v>ชักโครก รุ่น เอมี CSW 703</v>
          </cell>
          <cell r="E647">
            <v>1285</v>
          </cell>
          <cell r="F647">
            <v>1285</v>
          </cell>
        </row>
        <row r="648">
          <cell r="C648" t="str">
            <v>S14SANI003</v>
          </cell>
          <cell r="D648" t="str">
            <v>อ่างล้างหน้า รุ่น เวนดี้ C014</v>
          </cell>
          <cell r="E648">
            <v>290</v>
          </cell>
          <cell r="F648">
            <v>345.07</v>
          </cell>
        </row>
        <row r="649">
          <cell r="C649" t="str">
            <v>S14SANI004</v>
          </cell>
          <cell r="D649" t="str">
            <v>อ่างล้างหน้า รุ่น เคนซิงตัน C013</v>
          </cell>
          <cell r="E649">
            <v>248</v>
          </cell>
          <cell r="F649">
            <v>280.66000000000003</v>
          </cell>
        </row>
        <row r="650">
          <cell r="C650" t="str">
            <v>S14SANI005</v>
          </cell>
          <cell r="D650" t="str">
            <v>ขาตั้งแบบแขวน C420</v>
          </cell>
          <cell r="E650">
            <v>404.8</v>
          </cell>
          <cell r="F650">
            <v>455.5</v>
          </cell>
        </row>
        <row r="651">
          <cell r="C651" t="str">
            <v>S14SANI006</v>
          </cell>
          <cell r="D651" t="str">
            <v>ที่ใส่กระดาษชำระ C814</v>
          </cell>
          <cell r="E651">
            <v>52</v>
          </cell>
          <cell r="F651">
            <v>69.02</v>
          </cell>
        </row>
        <row r="652">
          <cell r="C652" t="str">
            <v>S14SANI014</v>
          </cell>
          <cell r="D652" t="str">
            <v>โถสุขภัณฑ์ C109</v>
          </cell>
          <cell r="E652">
            <v>4195</v>
          </cell>
          <cell r="F652">
            <v>4195</v>
          </cell>
        </row>
        <row r="653">
          <cell r="C653" t="str">
            <v>S14SANI015</v>
          </cell>
          <cell r="D653" t="str">
            <v>อ่างล้างหน้า C007</v>
          </cell>
          <cell r="E653">
            <v>520</v>
          </cell>
          <cell r="F653">
            <v>520</v>
          </cell>
        </row>
        <row r="654">
          <cell r="C654" t="str">
            <v>S14SANI016</v>
          </cell>
          <cell r="D654" t="str">
            <v>ที่ใส่กระดาษ C814</v>
          </cell>
          <cell r="E654">
            <v>52</v>
          </cell>
          <cell r="F654">
            <v>52</v>
          </cell>
        </row>
        <row r="655">
          <cell r="C655" t="str">
            <v>S14SANI017</v>
          </cell>
          <cell r="D655" t="str">
            <v>ที่ใส่สบู่ C805</v>
          </cell>
          <cell r="E655">
            <v>56</v>
          </cell>
          <cell r="F655">
            <v>56</v>
          </cell>
        </row>
        <row r="656">
          <cell r="C656" t="str">
            <v>S14SANI031</v>
          </cell>
          <cell r="D656" t="str">
            <v>อ่างล้างหน้า C021</v>
          </cell>
          <cell r="E656">
            <v>737</v>
          </cell>
          <cell r="F656">
            <v>737</v>
          </cell>
        </row>
        <row r="657">
          <cell r="C657" t="str">
            <v>S14SANI044</v>
          </cell>
          <cell r="D657" t="str">
            <v>โถสุขภัณฑ์ C1026</v>
          </cell>
          <cell r="F657">
            <v>10176</v>
          </cell>
        </row>
        <row r="658">
          <cell r="C658" t="str">
            <v>S14SANI045</v>
          </cell>
          <cell r="D658" t="str">
            <v>อ่างล้างหน้า C017</v>
          </cell>
          <cell r="F658">
            <v>646</v>
          </cell>
        </row>
        <row r="659">
          <cell r="C659" t="str">
            <v>S14SANI046</v>
          </cell>
          <cell r="D659" t="str">
            <v>อ่างอาบน้ำ BH223</v>
          </cell>
          <cell r="F659">
            <v>15563</v>
          </cell>
        </row>
        <row r="660">
          <cell r="C660" t="str">
            <v>S14SANI047</v>
          </cell>
          <cell r="D660" t="str">
            <v>ที่ใส่กระดาษ C8550</v>
          </cell>
          <cell r="E660">
            <v>65</v>
          </cell>
          <cell r="F660">
            <v>152</v>
          </cell>
        </row>
        <row r="661">
          <cell r="C661" t="str">
            <v>S14SANI048</v>
          </cell>
          <cell r="D661" t="str">
            <v>ที่ใส่สบู่ C8500</v>
          </cell>
          <cell r="E661">
            <v>65</v>
          </cell>
          <cell r="F661">
            <v>121</v>
          </cell>
        </row>
        <row r="662">
          <cell r="C662" t="str">
            <v>S14SANI049</v>
          </cell>
          <cell r="D662" t="str">
            <v>โถสุขภัณฑ์ C109</v>
          </cell>
          <cell r="E662">
            <v>4195</v>
          </cell>
          <cell r="F662">
            <v>4195</v>
          </cell>
        </row>
        <row r="663">
          <cell r="C663" t="str">
            <v>S14SANI050</v>
          </cell>
          <cell r="D663" t="str">
            <v>อ่างล้างหน้า C021</v>
          </cell>
          <cell r="E663">
            <v>737</v>
          </cell>
          <cell r="F663">
            <v>737</v>
          </cell>
        </row>
        <row r="664">
          <cell r="C664" t="str">
            <v>S14SANI051</v>
          </cell>
          <cell r="D664" t="str">
            <v>ที่ใส่สบู่ C830</v>
          </cell>
          <cell r="E664">
            <v>87</v>
          </cell>
          <cell r="F664">
            <v>87</v>
          </cell>
        </row>
        <row r="665">
          <cell r="C665" t="str">
            <v>S14SANI052</v>
          </cell>
          <cell r="D665" t="str">
            <v>ที่ใส่กระดาษ CT780</v>
          </cell>
          <cell r="F665">
            <v>465</v>
          </cell>
        </row>
        <row r="666">
          <cell r="C666" t="str">
            <v>S14SANI053</v>
          </cell>
          <cell r="D666" t="str">
            <v>โถสุขภัณ์แบบนั่งราบ CSW703</v>
          </cell>
          <cell r="E666">
            <v>1285</v>
          </cell>
          <cell r="F666">
            <v>1285</v>
          </cell>
        </row>
        <row r="667">
          <cell r="C667" t="str">
            <v>S14SANI054</v>
          </cell>
          <cell r="D667" t="str">
            <v>อ่างล้างหน้า C002</v>
          </cell>
          <cell r="E667">
            <v>208</v>
          </cell>
          <cell r="F667">
            <v>208</v>
          </cell>
        </row>
        <row r="668">
          <cell r="C668" t="str">
            <v>S14SANI055</v>
          </cell>
          <cell r="D668" t="str">
            <v>ที่ใส่สบู่ C805</v>
          </cell>
          <cell r="E668">
            <v>56</v>
          </cell>
          <cell r="F668">
            <v>56</v>
          </cell>
        </row>
        <row r="669">
          <cell r="C669" t="str">
            <v>S14SANI056</v>
          </cell>
          <cell r="D669" t="str">
            <v>โถสุขภัณฑ์ C1230</v>
          </cell>
          <cell r="E669">
            <v>5114</v>
          </cell>
          <cell r="F669">
            <v>5114</v>
          </cell>
        </row>
        <row r="670">
          <cell r="C670" t="str">
            <v>S14SANI057</v>
          </cell>
          <cell r="D670" t="str">
            <v>อ่างล้างหน้า C0260</v>
          </cell>
          <cell r="E670">
            <v>1084</v>
          </cell>
          <cell r="F670">
            <v>1084</v>
          </cell>
        </row>
        <row r="671">
          <cell r="C671" t="str">
            <v>S14SANI058</v>
          </cell>
          <cell r="D671" t="str">
            <v>อ่างอาบน้ำ BH227(P)</v>
          </cell>
          <cell r="E671">
            <v>5565</v>
          </cell>
          <cell r="F671">
            <v>5565</v>
          </cell>
        </row>
        <row r="672">
          <cell r="C672" t="str">
            <v>S14SANI059</v>
          </cell>
          <cell r="D672" t="str">
            <v>ที่ใส่กระดาษ C831</v>
          </cell>
          <cell r="E672">
            <v>95</v>
          </cell>
          <cell r="F672">
            <v>95</v>
          </cell>
        </row>
        <row r="673">
          <cell r="C673" t="str">
            <v>S14SANI060</v>
          </cell>
          <cell r="D673" t="str">
            <v>ที่ใส่สบู่ C830</v>
          </cell>
          <cell r="E673">
            <v>87</v>
          </cell>
          <cell r="F673">
            <v>87</v>
          </cell>
        </row>
        <row r="674">
          <cell r="C674" t="str">
            <v>S14SANI061</v>
          </cell>
          <cell r="D674" t="str">
            <v>โถสุขภัณฑ์ C109</v>
          </cell>
          <cell r="E674">
            <v>4195</v>
          </cell>
          <cell r="F674">
            <v>4195</v>
          </cell>
        </row>
        <row r="675">
          <cell r="C675" t="str">
            <v>S14SANI062</v>
          </cell>
          <cell r="D675" t="str">
            <v>อ่างล้างหน้า C021</v>
          </cell>
          <cell r="E675">
            <v>737</v>
          </cell>
          <cell r="F675">
            <v>737</v>
          </cell>
        </row>
        <row r="676">
          <cell r="C676" t="str">
            <v>S14SANI063</v>
          </cell>
          <cell r="D676" t="str">
            <v>ที่ใส่กระดาษ C814</v>
          </cell>
          <cell r="E676">
            <v>52</v>
          </cell>
          <cell r="F676">
            <v>52</v>
          </cell>
        </row>
        <row r="677">
          <cell r="C677" t="str">
            <v>S14SANI064</v>
          </cell>
          <cell r="D677" t="str">
            <v>ที่ใส่สบู่ C805</v>
          </cell>
          <cell r="E677">
            <v>56</v>
          </cell>
          <cell r="F677">
            <v>56</v>
          </cell>
        </row>
        <row r="678">
          <cell r="C678" t="str">
            <v>S14SANI066</v>
          </cell>
          <cell r="D678" t="str">
            <v>อ่างล้างหน้า C007</v>
          </cell>
          <cell r="E678">
            <v>520</v>
          </cell>
          <cell r="F678">
            <v>520</v>
          </cell>
        </row>
        <row r="679">
          <cell r="C679" t="str">
            <v>S14SANI067</v>
          </cell>
          <cell r="D679" t="str">
            <v>โถสุขภัณฑ์ CSW703</v>
          </cell>
          <cell r="E679">
            <v>1285</v>
          </cell>
          <cell r="F679">
            <v>1285</v>
          </cell>
        </row>
        <row r="680">
          <cell r="C680" t="str">
            <v>S14SANI068</v>
          </cell>
          <cell r="D680" t="str">
            <v>อ่างล้างหน้า C002</v>
          </cell>
          <cell r="E680">
            <v>208</v>
          </cell>
          <cell r="F680">
            <v>208</v>
          </cell>
        </row>
        <row r="681">
          <cell r="C681" t="str">
            <v>S14SANI583</v>
          </cell>
          <cell r="D681" t="str">
            <v>ตู้อาบน้ำ TYPE H (รวมค่าติดตั้ง)</v>
          </cell>
          <cell r="E681">
            <v>25000</v>
          </cell>
          <cell r="F681">
            <v>24750</v>
          </cell>
        </row>
        <row r="682">
          <cell r="C682" t="str">
            <v>S14SANI586</v>
          </cell>
          <cell r="D682" t="str">
            <v>ตู้อาบน้ำ TYPE K1 (รวมค่าติดตั้ง)</v>
          </cell>
          <cell r="E682">
            <v>31000</v>
          </cell>
          <cell r="F682">
            <v>30480</v>
          </cell>
        </row>
        <row r="683">
          <cell r="C683" t="str">
            <v>S14SANI587</v>
          </cell>
          <cell r="D683" t="str">
            <v>ตู้อาบน้ำ TYPE K3 (รวมค่าติดตั้ง)</v>
          </cell>
          <cell r="E683">
            <v>25000</v>
          </cell>
          <cell r="F683">
            <v>24350</v>
          </cell>
        </row>
        <row r="684">
          <cell r="C684" t="str">
            <v>S14SANI588</v>
          </cell>
          <cell r="D684" t="str">
            <v>ชุดตกแต่งห้องน้ำ TYPE C (รวมค่าติดตั้ง)</v>
          </cell>
          <cell r="E684">
            <v>25000</v>
          </cell>
          <cell r="F684">
            <v>26750</v>
          </cell>
        </row>
        <row r="685">
          <cell r="C685" t="str">
            <v>S14SANI590</v>
          </cell>
          <cell r="D685" t="str">
            <v>ชุดตกแต่งห้องน้ำ TYPE H (รวมค่าติดตั้ง)</v>
          </cell>
          <cell r="E685">
            <v>25000</v>
          </cell>
          <cell r="F685">
            <v>34562</v>
          </cell>
        </row>
        <row r="686">
          <cell r="C686" t="str">
            <v>S14SANI592</v>
          </cell>
          <cell r="D686" t="str">
            <v>ชุดตกแต่งห้องน้ำ TYPE K (รวมค่าติดตั้ง)</v>
          </cell>
          <cell r="E686">
            <v>31000</v>
          </cell>
          <cell r="F686">
            <v>33170</v>
          </cell>
        </row>
        <row r="687">
          <cell r="C687" t="str">
            <v>S15ELEC</v>
          </cell>
          <cell r="D687" t="str">
            <v>สาย THW 70 SQ.MM  (FUHRER)</v>
          </cell>
          <cell r="E687">
            <v>17</v>
          </cell>
          <cell r="F687">
            <v>18.190000000000001</v>
          </cell>
        </row>
        <row r="688">
          <cell r="C688" t="str">
            <v>S15ELEC001</v>
          </cell>
          <cell r="D688" t="str">
            <v>ตู้โหลดเซนเตอร์ 12 ช่วง 3P 100AT/100AF 1C&gt;10 KA (SAFE-T-CUT)</v>
          </cell>
          <cell r="E688">
            <v>1560</v>
          </cell>
          <cell r="F688">
            <v>1669.2</v>
          </cell>
        </row>
        <row r="689">
          <cell r="C689" t="str">
            <v>S15ELEC003</v>
          </cell>
          <cell r="D689" t="str">
            <v>ลูกเซอกิต 16 A 1P 5KA (SAFE-T-CUT)</v>
          </cell>
          <cell r="E689">
            <v>85</v>
          </cell>
          <cell r="F689">
            <v>80</v>
          </cell>
        </row>
        <row r="690">
          <cell r="C690" t="str">
            <v>S15ELEC004</v>
          </cell>
          <cell r="D690" t="str">
            <v>ลูกเซอกิต 20 A 1P 5KA (SAFE-T-CUT)</v>
          </cell>
          <cell r="E690">
            <v>85</v>
          </cell>
          <cell r="F690">
            <v>80</v>
          </cell>
        </row>
        <row r="691">
          <cell r="C691" t="str">
            <v>S15ELEC005</v>
          </cell>
          <cell r="D691" t="str">
            <v>ลูกเซอกิต 32 A 1P 5KA (SAFE-T-CUT)</v>
          </cell>
          <cell r="E691">
            <v>85</v>
          </cell>
          <cell r="F691">
            <v>80</v>
          </cell>
        </row>
        <row r="692">
          <cell r="C692" t="str">
            <v>S15ELEC006</v>
          </cell>
          <cell r="D692" t="str">
            <v>ลูกเซอกิต 45A 1P 5KA (SAFE-T-CUT)</v>
          </cell>
          <cell r="E692">
            <v>165</v>
          </cell>
          <cell r="F692">
            <v>176.55</v>
          </cell>
        </row>
        <row r="693">
          <cell r="C693" t="str">
            <v>S15ELEC007</v>
          </cell>
          <cell r="D693" t="str">
            <v>สาย THW  35 SG.MM  (FUHRER)</v>
          </cell>
          <cell r="E693">
            <v>61</v>
          </cell>
          <cell r="F693">
            <v>61.77</v>
          </cell>
        </row>
        <row r="694">
          <cell r="C694" t="str">
            <v>S15ELEC008</v>
          </cell>
          <cell r="D694" t="str">
            <v>สาย THW  16 SQ.MM (FUHRER)</v>
          </cell>
          <cell r="E694">
            <v>29</v>
          </cell>
          <cell r="F694">
            <v>28.19</v>
          </cell>
        </row>
        <row r="695">
          <cell r="C695" t="str">
            <v>S15ELEC009</v>
          </cell>
          <cell r="D695" t="str">
            <v>สาย THW  6 SQ.MM (FUHRER)</v>
          </cell>
          <cell r="E695">
            <v>15</v>
          </cell>
          <cell r="F695">
            <v>11.83</v>
          </cell>
        </row>
        <row r="696">
          <cell r="C696" t="str">
            <v>S15ELEC010</v>
          </cell>
          <cell r="D696" t="str">
            <v>สาย THW  4 SQ.MM (FUHRER)</v>
          </cell>
          <cell r="E696">
            <v>7.5</v>
          </cell>
          <cell r="F696">
            <v>6.96</v>
          </cell>
        </row>
        <row r="697">
          <cell r="C697" t="str">
            <v>S15ELEC011</v>
          </cell>
          <cell r="D697" t="str">
            <v>สาย THW  2.5 SQ.MM (FUHRER)</v>
          </cell>
          <cell r="E697">
            <v>5</v>
          </cell>
          <cell r="F697">
            <v>4.6100000000000003</v>
          </cell>
        </row>
        <row r="698">
          <cell r="C698" t="str">
            <v>S15ELEC012</v>
          </cell>
          <cell r="D698" t="str">
            <v>ท่อ PVC DIA. 2'' (ตราช้าง)</v>
          </cell>
          <cell r="E698">
            <v>221</v>
          </cell>
          <cell r="F698">
            <v>236.47000000000003</v>
          </cell>
        </row>
        <row r="699">
          <cell r="C699" t="str">
            <v>S15ELEC013</v>
          </cell>
          <cell r="D699" t="str">
            <v>ข้อโค้ง 90 องศา PVC DIA. 2'' (ตราช้าง)</v>
          </cell>
          <cell r="E699">
            <v>30</v>
          </cell>
          <cell r="F699">
            <v>32.1</v>
          </cell>
        </row>
        <row r="700">
          <cell r="C700" t="str">
            <v>S15ELEC014</v>
          </cell>
          <cell r="D700" t="str">
            <v>ข้อต่อตรง PVC DIA. 2'' (ตราช้าง)</v>
          </cell>
          <cell r="E700">
            <v>15</v>
          </cell>
          <cell r="F700">
            <v>16.05</v>
          </cell>
        </row>
        <row r="701">
          <cell r="C701" t="str">
            <v>S15ELEC015</v>
          </cell>
          <cell r="D701" t="str">
            <v>ท่อ PVC สีเหลือง DIA. 3/4" ยาว 4 ม.(ตราช้าง)</v>
          </cell>
          <cell r="E701">
            <v>42</v>
          </cell>
          <cell r="F701">
            <v>43</v>
          </cell>
        </row>
        <row r="702">
          <cell r="C702" t="str">
            <v>S15ELEC016</v>
          </cell>
          <cell r="D702" t="str">
            <v>ท่อ PVC DIA. 1/2'' (ตราช้าง)</v>
          </cell>
          <cell r="E702">
            <v>35</v>
          </cell>
          <cell r="F702">
            <v>35.5</v>
          </cell>
        </row>
        <row r="703">
          <cell r="C703" t="str">
            <v>S15ELEC017</v>
          </cell>
          <cell r="D703" t="str">
            <v>ข้อต่อตรง PVC DIA. 3/4'' (ตราช้าง)</v>
          </cell>
          <cell r="E703">
            <v>2.5</v>
          </cell>
          <cell r="F703">
            <v>2.75</v>
          </cell>
        </row>
        <row r="704">
          <cell r="C704" t="str">
            <v>S15ELEC018</v>
          </cell>
          <cell r="D704" t="str">
            <v>ข้อต่อตรง PVC DIA. 1/2'' (ตราช้าง)</v>
          </cell>
          <cell r="E704">
            <v>2</v>
          </cell>
          <cell r="F704">
            <v>2.15</v>
          </cell>
        </row>
        <row r="705">
          <cell r="C705" t="str">
            <v>S15ELEC019</v>
          </cell>
          <cell r="D705" t="str">
            <v>สแควบ็อกซ DIA. 1/2''x3/4''x1/2'' (ตราช้าง)</v>
          </cell>
          <cell r="E705">
            <v>7</v>
          </cell>
          <cell r="F705">
            <v>7</v>
          </cell>
        </row>
        <row r="706">
          <cell r="C706" t="str">
            <v>S15ELEC020</v>
          </cell>
          <cell r="D706" t="str">
            <v>แฮนดี้บ็อก DIA. 1/2''x3/4''x1/2'' (ตราช้าง)</v>
          </cell>
          <cell r="E706">
            <v>5</v>
          </cell>
          <cell r="F706">
            <v>5</v>
          </cell>
        </row>
        <row r="707">
          <cell r="C707" t="str">
            <v>S15ELEC021</v>
          </cell>
          <cell r="D707" t="str">
            <v>กราวด์ร็อด DIA. 5/8''x10''</v>
          </cell>
          <cell r="E707">
            <v>140</v>
          </cell>
          <cell r="F707">
            <v>120</v>
          </cell>
        </row>
        <row r="708">
          <cell r="C708" t="str">
            <v>S15ELEC022</v>
          </cell>
          <cell r="D708" t="str">
            <v>FLEX. (ท่ออ่อนเหล็ก) DIA. 3/4''</v>
          </cell>
          <cell r="E708">
            <v>7</v>
          </cell>
          <cell r="F708">
            <v>8</v>
          </cell>
        </row>
        <row r="709">
          <cell r="C709" t="str">
            <v>S15ELEC023</v>
          </cell>
          <cell r="D709" t="str">
            <v>FLEX. (ท่ออ่อนเหล็ก) DIA. 1/2''</v>
          </cell>
          <cell r="E709">
            <v>5</v>
          </cell>
          <cell r="F709">
            <v>5</v>
          </cell>
        </row>
        <row r="710">
          <cell r="C710" t="str">
            <v>S15ELEC024</v>
          </cell>
          <cell r="D710" t="str">
            <v>คอนเนคเตอร์ริค FLEX DIA.3/4''</v>
          </cell>
          <cell r="E710">
            <v>10</v>
          </cell>
          <cell r="F710">
            <v>10.700000000000001</v>
          </cell>
        </row>
        <row r="711">
          <cell r="C711" t="str">
            <v>S15ELEC025</v>
          </cell>
          <cell r="D711" t="str">
            <v>คอนเนคเตอร์ริค FLEX DIA.1/2''</v>
          </cell>
          <cell r="E711">
            <v>4</v>
          </cell>
          <cell r="F711">
            <v>4.28</v>
          </cell>
        </row>
        <row r="712">
          <cell r="C712" t="str">
            <v>S15ELEC026</v>
          </cell>
          <cell r="D712" t="str">
            <v>ฟูออเรสเซ้น LPRL 1-140T8/PRF LUSO</v>
          </cell>
          <cell r="E712">
            <v>637</v>
          </cell>
          <cell r="F712">
            <v>619</v>
          </cell>
        </row>
        <row r="713">
          <cell r="C713" t="str">
            <v>S15ELEC027</v>
          </cell>
          <cell r="D713" t="str">
            <v>โคมซาลาเปา  CEILING LAMP MW-9630 ขั้วE27 PEMCO</v>
          </cell>
          <cell r="E713">
            <v>297</v>
          </cell>
          <cell r="F713">
            <v>250</v>
          </cell>
        </row>
        <row r="714">
          <cell r="C714" t="str">
            <v>S15ELEC028</v>
          </cell>
          <cell r="D714" t="str">
            <v>โคมไฟหัวเสา</v>
          </cell>
          <cell r="F714">
            <v>425</v>
          </cell>
        </row>
        <row r="715">
          <cell r="C715" t="str">
            <v>S15ELEC029</v>
          </cell>
          <cell r="D715" t="str">
            <v>ดาวไลท์ 4" ขอบขาว ของคุณโกวิท</v>
          </cell>
          <cell r="E715">
            <v>160</v>
          </cell>
          <cell r="F715">
            <v>170</v>
          </cell>
        </row>
        <row r="716">
          <cell r="C716" t="str">
            <v>S15ELEC030</v>
          </cell>
          <cell r="D716" t="str">
            <v>โคม1x32W  CEILING LAMP CSG40-014AB/32W HOMEX</v>
          </cell>
          <cell r="E716">
            <v>500</v>
          </cell>
          <cell r="F716">
            <v>470</v>
          </cell>
        </row>
        <row r="717">
          <cell r="C717" t="str">
            <v>S15ELEC031</v>
          </cell>
          <cell r="D717" t="str">
            <v>โคมไฟกิ่งภายนอก OUTDOOR BRACKET LAMP 20950BK-UP ขั้วE27 PEMCO</v>
          </cell>
          <cell r="E717">
            <v>450</v>
          </cell>
          <cell r="F717">
            <v>435</v>
          </cell>
        </row>
        <row r="718">
          <cell r="C718" t="str">
            <v>S15ELEC032</v>
          </cell>
          <cell r="D718" t="str">
            <v>โคมช่อ CHANDELIER PSG 67-016/E27 HOMEX</v>
          </cell>
          <cell r="E718">
            <v>2860</v>
          </cell>
          <cell r="F718">
            <v>2640</v>
          </cell>
        </row>
        <row r="719">
          <cell r="C719" t="str">
            <v>S15ELEC033</v>
          </cell>
          <cell r="D719" t="str">
            <v>โคมช่อ CHANDELIER 52217/3W ขั้วE27 3ดวงห้อยเพดาน PEMCO</v>
          </cell>
          <cell r="E719">
            <v>1225</v>
          </cell>
          <cell r="F719">
            <v>1310.75</v>
          </cell>
        </row>
        <row r="720">
          <cell r="C720" t="str">
            <v>S15ELEC034</v>
          </cell>
          <cell r="D720" t="str">
            <v>สวิท 10A 250V (NATIONAL)</v>
          </cell>
          <cell r="E720">
            <v>28</v>
          </cell>
          <cell r="F720">
            <v>25</v>
          </cell>
        </row>
        <row r="721">
          <cell r="C721" t="str">
            <v>S15ELEC035</v>
          </cell>
          <cell r="D721" t="str">
            <v>สวิท 3 ทาง 10A 250V (NATIONAL)</v>
          </cell>
          <cell r="E721">
            <v>51</v>
          </cell>
          <cell r="F721">
            <v>49</v>
          </cell>
        </row>
        <row r="722">
          <cell r="C722" t="str">
            <v>S15ELEC036</v>
          </cell>
          <cell r="D722" t="str">
            <v>สวิทกระดิ่งกั้นน้ำ (NATIONAL)</v>
          </cell>
          <cell r="E722">
            <v>168</v>
          </cell>
          <cell r="F722">
            <v>167.2</v>
          </cell>
        </row>
        <row r="723">
          <cell r="C723" t="str">
            <v>S15ELEC037</v>
          </cell>
          <cell r="D723" t="str">
            <v>เต้ารับคู่ 2P+E 10A 2502V (NATIONAL)</v>
          </cell>
          <cell r="E723">
            <v>117</v>
          </cell>
          <cell r="F723">
            <v>109</v>
          </cell>
        </row>
        <row r="724">
          <cell r="C724" t="str">
            <v>S15ELEC038</v>
          </cell>
          <cell r="D724" t="str">
            <v>เต้ารับทีวี (NATIONAL)</v>
          </cell>
          <cell r="E724">
            <v>155</v>
          </cell>
          <cell r="F724">
            <v>154.80000000000001</v>
          </cell>
        </row>
        <row r="725">
          <cell r="C725" t="str">
            <v>S15ELEC039</v>
          </cell>
          <cell r="D725" t="str">
            <v>เต้ารับโทรศัพท์ (NATIONAL)</v>
          </cell>
          <cell r="E725">
            <v>120</v>
          </cell>
          <cell r="F725">
            <v>118.8</v>
          </cell>
        </row>
        <row r="726">
          <cell r="C726" t="str">
            <v>S15ELEC040</v>
          </cell>
          <cell r="D726" t="str">
            <v>หน้ากาก 1 ช่อง (NATIONAL)</v>
          </cell>
          <cell r="E726">
            <v>16</v>
          </cell>
          <cell r="F726">
            <v>15</v>
          </cell>
        </row>
        <row r="727">
          <cell r="C727" t="str">
            <v>S15ELEC041</v>
          </cell>
          <cell r="D727" t="str">
            <v>หน้ากาก 2 ช่อง (NATIONAL)</v>
          </cell>
          <cell r="E727">
            <v>16</v>
          </cell>
          <cell r="F727">
            <v>15</v>
          </cell>
        </row>
        <row r="728">
          <cell r="C728" t="str">
            <v>S15ELEC042</v>
          </cell>
          <cell r="D728" t="str">
            <v>หน้ากาก 3 ช่อง (NATIONAL)</v>
          </cell>
          <cell r="E728">
            <v>16</v>
          </cell>
          <cell r="F728">
            <v>15</v>
          </cell>
        </row>
        <row r="729">
          <cell r="C729" t="str">
            <v>S15ELEC045</v>
          </cell>
          <cell r="D729" t="str">
            <v>สาย TIEV 4C-0.68 SG.MM. (PD)</v>
          </cell>
          <cell r="E729">
            <v>3</v>
          </cell>
          <cell r="F729">
            <v>3.21</v>
          </cell>
        </row>
        <row r="730">
          <cell r="C730" t="str">
            <v>S15ELEC046</v>
          </cell>
          <cell r="D730" t="str">
            <v>สาย RG 6</v>
          </cell>
          <cell r="E730">
            <v>19</v>
          </cell>
          <cell r="F730">
            <v>15</v>
          </cell>
        </row>
        <row r="731">
          <cell r="C731" t="str">
            <v>S15ELEC047</v>
          </cell>
          <cell r="D731" t="str">
            <v>ตู้โหลดเซนเตอร์ 18 ช่อง 3p 125AT/125AF 1C&gt;18KA (SAFE-T-CUT)</v>
          </cell>
          <cell r="E731">
            <v>8150</v>
          </cell>
          <cell r="F731">
            <v>8720.5</v>
          </cell>
        </row>
        <row r="732">
          <cell r="C732" t="str">
            <v>S15ELEC048</v>
          </cell>
          <cell r="D732" t="str">
            <v>สาย THW  50 SQ.MM (FUHRER)</v>
          </cell>
          <cell r="E732">
            <v>88</v>
          </cell>
          <cell r="F732">
            <v>19.78</v>
          </cell>
        </row>
        <row r="733">
          <cell r="C733" t="str">
            <v>S15ELEC049</v>
          </cell>
          <cell r="D733" t="str">
            <v>สาย THW  10 SQ.MM (FUHRER)</v>
          </cell>
          <cell r="E733">
            <v>19</v>
          </cell>
          <cell r="F733">
            <v>18.71</v>
          </cell>
        </row>
        <row r="734">
          <cell r="C734" t="str">
            <v>S15ELEC050</v>
          </cell>
          <cell r="D734" t="str">
            <v>ท่อ PVC DIA. 1'' (ตราช้าง)</v>
          </cell>
          <cell r="E734">
            <v>84</v>
          </cell>
          <cell r="F734">
            <v>89.88000000000001</v>
          </cell>
        </row>
        <row r="735">
          <cell r="C735" t="str">
            <v>S15ELEC051</v>
          </cell>
          <cell r="D735" t="str">
            <v>ข้อต่อตรง PVC DIA. 1'' (ตราช้าง)</v>
          </cell>
          <cell r="E735">
            <v>5</v>
          </cell>
          <cell r="F735">
            <v>5.3500000000000005</v>
          </cell>
        </row>
        <row r="736">
          <cell r="C736" t="str">
            <v>S15ELEC052</v>
          </cell>
          <cell r="D736" t="str">
            <v>คอนเนคเตอร์ PVC DIA. 1'' (ตราช้าง)</v>
          </cell>
          <cell r="F736">
            <v>0</v>
          </cell>
        </row>
        <row r="737">
          <cell r="C737" t="str">
            <v>S15ELEC053</v>
          </cell>
          <cell r="D737" t="str">
            <v>คอนเนอเตอร์ PVC 3/4" (ตราช้าง)</v>
          </cell>
          <cell r="E737">
            <v>3</v>
          </cell>
          <cell r="F737">
            <v>3.1</v>
          </cell>
        </row>
        <row r="738">
          <cell r="C738" t="str">
            <v>S15ELEC054</v>
          </cell>
          <cell r="D738" t="str">
            <v>คอนเนคเตอร์ PVC DIA. 1/2'' (ตราช้าง)</v>
          </cell>
          <cell r="E738">
            <v>3</v>
          </cell>
          <cell r="F738">
            <v>2.7</v>
          </cell>
        </row>
        <row r="739">
          <cell r="C739" t="str">
            <v>S15ELEC055</v>
          </cell>
          <cell r="D739" t="str">
            <v>โคมไฟกิ่งภายใน BRACKET LAMP 52217/1W ขั้วE27 ห้อยผนัง PEMCO</v>
          </cell>
          <cell r="E739">
            <v>515</v>
          </cell>
          <cell r="F739">
            <v>515</v>
          </cell>
        </row>
        <row r="740">
          <cell r="C740" t="str">
            <v>S15ELEC057</v>
          </cell>
          <cell r="D740" t="str">
            <v>BELL(กระดิ่ง)220V</v>
          </cell>
          <cell r="E740">
            <v>210</v>
          </cell>
          <cell r="F740">
            <v>210</v>
          </cell>
        </row>
        <row r="741">
          <cell r="C741" t="str">
            <v>S15ELEC058</v>
          </cell>
          <cell r="D741" t="str">
            <v>สวิท 4 ทาง 10A 250V (NATIONAL)</v>
          </cell>
          <cell r="E741">
            <v>460</v>
          </cell>
          <cell r="F741">
            <v>492.20000000000005</v>
          </cell>
        </row>
        <row r="742">
          <cell r="C742" t="str">
            <v>S15ELEC059</v>
          </cell>
          <cell r="D742" t="str">
            <v>หน้ากาก 3 ช่องกันน้ำ (NATIONAL)</v>
          </cell>
          <cell r="E742">
            <v>266</v>
          </cell>
          <cell r="F742">
            <v>266</v>
          </cell>
        </row>
        <row r="743">
          <cell r="C743" t="str">
            <v>S15ELEC060</v>
          </cell>
          <cell r="D743" t="str">
            <v>หน้ากาก 1 ช่องกันน้ำ (NATIONAL)</v>
          </cell>
          <cell r="E743">
            <v>270</v>
          </cell>
          <cell r="F743">
            <v>288.90000000000003</v>
          </cell>
        </row>
        <row r="744">
          <cell r="C744" t="str">
            <v>S15ELEC061</v>
          </cell>
          <cell r="D744" t="str">
            <v>ตู้ PVC ต่อสายโทรศัพท์ พร้อมตัวต่อ 10 สาย 6''x8''x4''</v>
          </cell>
          <cell r="E744">
            <v>75</v>
          </cell>
          <cell r="F744">
            <v>80.25</v>
          </cell>
        </row>
        <row r="745">
          <cell r="C745" t="str">
            <v>S15ELEC062</v>
          </cell>
          <cell r="D745" t="str">
            <v>สาย 1x6 DAIRS-AP 0.65 SG.MM. (PD)</v>
          </cell>
          <cell r="F745">
            <v>0</v>
          </cell>
        </row>
        <row r="746">
          <cell r="C746" t="str">
            <v>S15ELEC063</v>
          </cell>
          <cell r="D746" t="str">
            <v>บ็อกเมนทีวี (6"x8"x4"PVC)</v>
          </cell>
          <cell r="E746">
            <v>75</v>
          </cell>
          <cell r="F746">
            <v>80.25</v>
          </cell>
        </row>
        <row r="747">
          <cell r="C747" t="str">
            <v>S15ELEC064</v>
          </cell>
          <cell r="D747" t="str">
            <v>สปิตเตอร์ 4 ทาง (NATIONAL)</v>
          </cell>
          <cell r="E747">
            <v>230</v>
          </cell>
          <cell r="F747">
            <v>246.10000000000002</v>
          </cell>
        </row>
        <row r="748">
          <cell r="C748" t="str">
            <v>S15ELEC065</v>
          </cell>
          <cell r="D748" t="str">
            <v>แท็ปออฟ 4 ทาง (NATIONAL)</v>
          </cell>
          <cell r="F748">
            <v>0</v>
          </cell>
        </row>
        <row r="749">
          <cell r="C749" t="str">
            <v>S15ELEC066</v>
          </cell>
          <cell r="D749" t="str">
            <v>บู้ทเตอร์ทีวี (6"x8"x4" PVC)  ตราช้าง</v>
          </cell>
          <cell r="F749">
            <v>0</v>
          </cell>
        </row>
        <row r="750">
          <cell r="C750" t="str">
            <v>S15ELEC068</v>
          </cell>
          <cell r="D750" t="str">
            <v>ตู้โหลดเซนเตอร์ 16 ช่อง 3P 100AT/100AF1C&gt;18KA (SAFE-T-CUT)</v>
          </cell>
          <cell r="E750">
            <v>5000</v>
          </cell>
          <cell r="F750">
            <v>5350</v>
          </cell>
        </row>
        <row r="751">
          <cell r="C751" t="str">
            <v>S15ELEC069</v>
          </cell>
          <cell r="D751" t="str">
            <v>ตู้โหลดเซนเตอร์ 16 ช่อง 3P 50AT/100AF1C&gt;18KA (SAFE-T-CUT)</v>
          </cell>
          <cell r="E751">
            <v>5000</v>
          </cell>
          <cell r="F751">
            <v>5350</v>
          </cell>
        </row>
        <row r="752">
          <cell r="C752" t="str">
            <v>S15ELEC070</v>
          </cell>
          <cell r="D752" t="str">
            <v>ท่อ PVC DIA. 1 1/2'' (ตราช้าง)</v>
          </cell>
          <cell r="E752">
            <v>196</v>
          </cell>
          <cell r="F752">
            <v>157</v>
          </cell>
        </row>
        <row r="753">
          <cell r="C753" t="str">
            <v>S15ELEC071</v>
          </cell>
          <cell r="D753" t="str">
            <v>ข้อต่อตรง PVC DIA. 1 1/2'' (ตราช้าง)</v>
          </cell>
          <cell r="E753">
            <v>11.7</v>
          </cell>
          <cell r="F753">
            <v>12.519</v>
          </cell>
        </row>
        <row r="754">
          <cell r="C754" t="str">
            <v>S15ELEC072</v>
          </cell>
          <cell r="D754" t="str">
            <v>ข้อโค้ง 90 องศา PVC DIA. 1 1/2'' (ตราช้าง)</v>
          </cell>
          <cell r="E754">
            <v>21.3</v>
          </cell>
          <cell r="F754">
            <v>22.791</v>
          </cell>
        </row>
        <row r="755">
          <cell r="C755" t="str">
            <v>S15ELEC073</v>
          </cell>
          <cell r="D755" t="str">
            <v>โคม FL DLP 2G-132P SANGMITR</v>
          </cell>
          <cell r="F755">
            <v>560</v>
          </cell>
        </row>
        <row r="756">
          <cell r="C756" t="str">
            <v>S15ELEC074</v>
          </cell>
          <cell r="D756" t="str">
            <v>ฟลูออเรสเซ้น LAMPTON 36W</v>
          </cell>
          <cell r="E756">
            <v>60</v>
          </cell>
          <cell r="F756">
            <v>230</v>
          </cell>
        </row>
        <row r="757">
          <cell r="C757" t="str">
            <v>S15ELEC075</v>
          </cell>
          <cell r="D757" t="str">
            <v>ตู้โหลดเซนเตอร์ 18 ช่อง 3P 100AT/100AF1C&gt;18KA (SQUARE D)</v>
          </cell>
          <cell r="E757">
            <v>5000</v>
          </cell>
          <cell r="F757">
            <v>5350</v>
          </cell>
        </row>
        <row r="758">
          <cell r="C758" t="str">
            <v>S15ELEC076</v>
          </cell>
          <cell r="D758" t="str">
            <v>ตู้โหลดเซนเตอร์ 18 ช่อง 3P 50AT/100AF1C&gt;18KA (SQUARE D)</v>
          </cell>
          <cell r="E758">
            <v>5000</v>
          </cell>
          <cell r="F758">
            <v>5350</v>
          </cell>
        </row>
        <row r="759">
          <cell r="C759" t="str">
            <v>S15ELEC077</v>
          </cell>
          <cell r="D759" t="str">
            <v>โคมช่อ CHANDELIER PAG 47-025/E14 HOMEX</v>
          </cell>
          <cell r="E759">
            <v>1500</v>
          </cell>
          <cell r="F759">
            <v>1700</v>
          </cell>
        </row>
        <row r="760">
          <cell r="C760" t="str">
            <v>S15ELEC078</v>
          </cell>
          <cell r="D760" t="str">
            <v xml:space="preserve">กราวหรอด DIA. 5/8' X8' </v>
          </cell>
          <cell r="E760">
            <v>110</v>
          </cell>
          <cell r="F760">
            <v>100</v>
          </cell>
        </row>
        <row r="761">
          <cell r="C761" t="str">
            <v>S15ELEC079</v>
          </cell>
          <cell r="D761" t="str">
            <v>พูลบ็อกซ์ 6''X8''X4'' PVC ตราช้าง</v>
          </cell>
          <cell r="E761">
            <v>140</v>
          </cell>
          <cell r="F761">
            <v>149.80000000000001</v>
          </cell>
        </row>
        <row r="762">
          <cell r="C762" t="str">
            <v>S15ELEC080</v>
          </cell>
          <cell r="D762" t="str">
            <v>แคล้มบาง 2 ขา 3/4"</v>
          </cell>
          <cell r="F762">
            <v>0</v>
          </cell>
        </row>
        <row r="763">
          <cell r="C763" t="str">
            <v>S15ELEC081</v>
          </cell>
          <cell r="D763" t="str">
            <v>แคล้มบาง 2 ขา 1"</v>
          </cell>
          <cell r="F763">
            <v>0</v>
          </cell>
        </row>
        <row r="764">
          <cell r="C764" t="str">
            <v>S15ELEC082</v>
          </cell>
          <cell r="D764" t="str">
            <v>แคล้มบาง 2 ขา 1 1/4"</v>
          </cell>
          <cell r="F764">
            <v>0</v>
          </cell>
        </row>
        <row r="765">
          <cell r="C765" t="str">
            <v>S15ELEC083</v>
          </cell>
          <cell r="D765" t="str">
            <v>แคล้มบาง 2 ขา 1 1/2"</v>
          </cell>
          <cell r="F765">
            <v>0</v>
          </cell>
        </row>
        <row r="766">
          <cell r="C766" t="str">
            <v>S15ELEC084</v>
          </cell>
          <cell r="D766" t="str">
            <v>แคล้มบาง 2 ขา 2"</v>
          </cell>
          <cell r="F766">
            <v>0</v>
          </cell>
        </row>
        <row r="767">
          <cell r="C767" t="str">
            <v>S15ELEC085</v>
          </cell>
          <cell r="D767" t="str">
            <v>แคล้มบาง 2 ขา 2 1/2"</v>
          </cell>
          <cell r="F767">
            <v>0</v>
          </cell>
        </row>
        <row r="768">
          <cell r="C768" t="str">
            <v>S15ELEC086</v>
          </cell>
          <cell r="D768" t="str">
            <v>บุชชิ่ง ขนาด1/2"</v>
          </cell>
          <cell r="F768">
            <v>0</v>
          </cell>
        </row>
        <row r="769">
          <cell r="C769" t="str">
            <v>S15ELEC087</v>
          </cell>
          <cell r="D769" t="str">
            <v>บุชชิ่ง ขนาด3/4"</v>
          </cell>
          <cell r="F769">
            <v>0</v>
          </cell>
        </row>
        <row r="770">
          <cell r="C770" t="str">
            <v>S15ELEC089</v>
          </cell>
          <cell r="D770" t="str">
            <v>คอนเนคเตอร์ EMT 1 1/4''</v>
          </cell>
          <cell r="E770">
            <v>4</v>
          </cell>
          <cell r="F770">
            <v>4.28</v>
          </cell>
        </row>
        <row r="771">
          <cell r="C771" t="str">
            <v>S15ELEC090</v>
          </cell>
          <cell r="D771" t="str">
            <v>PULL BOX เหล็กขนาด 12"x12"x6"</v>
          </cell>
          <cell r="E771">
            <v>200</v>
          </cell>
          <cell r="F771">
            <v>140</v>
          </cell>
        </row>
        <row r="772">
          <cell r="C772" t="str">
            <v>S15ELEC124</v>
          </cell>
          <cell r="D772" t="str">
            <v>แฮนดี้บอกซ์ ขนาด 2" x 4" x1 1/4"</v>
          </cell>
          <cell r="E772">
            <v>5</v>
          </cell>
          <cell r="F772">
            <v>4.5</v>
          </cell>
        </row>
        <row r="773">
          <cell r="C773" t="str">
            <v>S15MISC001</v>
          </cell>
          <cell r="D773" t="str">
            <v>แผ่นพลาสติกปูพื้น ขนาด 1.37m x 90.00 m x 0.05 mm</v>
          </cell>
          <cell r="E773">
            <v>250</v>
          </cell>
          <cell r="F773">
            <v>282.14</v>
          </cell>
        </row>
        <row r="774">
          <cell r="C774" t="str">
            <v>S15MISC002</v>
          </cell>
          <cell r="D774" t="str">
            <v>ผ้าดิบ 9 ปอนด์ 0.9 x 36 m.</v>
          </cell>
          <cell r="E774">
            <v>600</v>
          </cell>
          <cell r="F774">
            <v>600</v>
          </cell>
        </row>
        <row r="775">
          <cell r="C775" t="str">
            <v>S15MISC004</v>
          </cell>
          <cell r="D775" t="str">
            <v>กระเบื้องแผ่นเรียบ 1.2 m. X 2.4 m. X 6 mm.</v>
          </cell>
          <cell r="E775">
            <v>200</v>
          </cell>
          <cell r="F775">
            <v>214</v>
          </cell>
        </row>
        <row r="776">
          <cell r="C776" t="str">
            <v>S15PIPE003</v>
          </cell>
          <cell r="D776" t="str">
            <v>ท่อ PVC DIA. 6/8" x 4 m.</v>
          </cell>
          <cell r="E776">
            <v>55</v>
          </cell>
          <cell r="F776">
            <v>45</v>
          </cell>
        </row>
        <row r="777">
          <cell r="C777" t="str">
            <v>S15PIPE007</v>
          </cell>
          <cell r="D777" t="str">
            <v xml:space="preserve">ข้องอ 90 องศา สีเหลือง DIA. 1 1/2" </v>
          </cell>
          <cell r="E777">
            <v>11.75</v>
          </cell>
          <cell r="F777">
            <v>5</v>
          </cell>
        </row>
        <row r="778">
          <cell r="C778" t="str">
            <v>S15PIPE008</v>
          </cell>
          <cell r="D778" t="str">
            <v>ท่อ PVC สีเหลือง DIA 1 1/2" x 4 m. CLASS 5</v>
          </cell>
          <cell r="E778">
            <v>196</v>
          </cell>
          <cell r="F778">
            <v>157</v>
          </cell>
        </row>
        <row r="779">
          <cell r="C779" t="str">
            <v>S15PIPE009</v>
          </cell>
          <cell r="D779" t="str">
            <v>ท่อ PVC สีเหลือง DIA. 1" ยาว 4 ม.(ตราช้าง)</v>
          </cell>
          <cell r="E779">
            <v>104</v>
          </cell>
          <cell r="F779">
            <v>83</v>
          </cell>
        </row>
        <row r="780">
          <cell r="C780" t="str">
            <v>S15WATR001</v>
          </cell>
          <cell r="D780" t="str">
            <v>ท่อ CW DIA 1/2 '' PVC CLASS 8.5</v>
          </cell>
          <cell r="E780">
            <v>38</v>
          </cell>
          <cell r="F780">
            <v>40.660000000000004</v>
          </cell>
        </row>
        <row r="781">
          <cell r="C781" t="str">
            <v>S15WATR002</v>
          </cell>
          <cell r="D781" t="str">
            <v>ท่อ CW DIA 3/4 '' PVC CLASS 8.5</v>
          </cell>
          <cell r="E781">
            <v>46</v>
          </cell>
          <cell r="F781">
            <v>42.4</v>
          </cell>
        </row>
        <row r="782">
          <cell r="C782" t="str">
            <v>S15WATR003</v>
          </cell>
          <cell r="D782" t="str">
            <v>ท่อ CW DIA 1 '' PVC CLASS 8.5</v>
          </cell>
          <cell r="E782">
            <v>72</v>
          </cell>
          <cell r="F782">
            <v>77.040000000000006</v>
          </cell>
        </row>
        <row r="783">
          <cell r="C783" t="str">
            <v>S15WATR004</v>
          </cell>
          <cell r="D783" t="str">
            <v>ข้อต่อตรง DIA 3/4'' PVC  CLASS 13.5</v>
          </cell>
          <cell r="E783">
            <v>4</v>
          </cell>
          <cell r="F783">
            <v>2.4</v>
          </cell>
        </row>
        <row r="784">
          <cell r="C784" t="str">
            <v>S15WATR005</v>
          </cell>
          <cell r="D784" t="str">
            <v>ข้องอ  90 องศา DIA 1/2''PVC  CLASS 13.5</v>
          </cell>
          <cell r="E784">
            <v>3.5</v>
          </cell>
          <cell r="F784">
            <v>2.27</v>
          </cell>
        </row>
        <row r="785">
          <cell r="C785" t="str">
            <v>S15WATR006</v>
          </cell>
          <cell r="D785" t="str">
            <v>ข้องอ  90 องศา DIA 1''PVC  CLASS 13.5</v>
          </cell>
          <cell r="E785">
            <v>8.5</v>
          </cell>
          <cell r="F785">
            <v>5.52</v>
          </cell>
        </row>
        <row r="786">
          <cell r="C786" t="str">
            <v>S15WATR007</v>
          </cell>
          <cell r="D786" t="str">
            <v>ข้องอ 90 องศา DIA 1 1/4" PVC CLASS 13.5</v>
          </cell>
          <cell r="E786">
            <v>14.6</v>
          </cell>
          <cell r="F786">
            <v>15.622</v>
          </cell>
        </row>
        <row r="787">
          <cell r="C787" t="str">
            <v>S15WATR008</v>
          </cell>
          <cell r="D787" t="str">
            <v>ข้อต่อตรงเกลียวใน DIA 1/2'' CLASS 13.5</v>
          </cell>
          <cell r="E787">
            <v>3</v>
          </cell>
          <cell r="F787">
            <v>3.21</v>
          </cell>
        </row>
        <row r="788">
          <cell r="C788" t="str">
            <v>S15WATR009</v>
          </cell>
          <cell r="D788" t="str">
            <v>ข้อลด 1/2''ออก 3/4'' PVC CLASS 13.5</v>
          </cell>
          <cell r="E788">
            <v>3.7</v>
          </cell>
          <cell r="F788">
            <v>2.4</v>
          </cell>
        </row>
        <row r="789">
          <cell r="C789" t="str">
            <v>S15WATR010</v>
          </cell>
          <cell r="D789" t="str">
            <v>ข้อลด 1/2''ออก 1'' PVC CLASS 13.5</v>
          </cell>
          <cell r="E789">
            <v>6.1</v>
          </cell>
          <cell r="F789">
            <v>4</v>
          </cell>
        </row>
        <row r="790">
          <cell r="C790" t="str">
            <v>S15WATR011</v>
          </cell>
          <cell r="D790" t="str">
            <v>ข้อลด 1 1/4''ออก 2'' PVC CLASS 13.5</v>
          </cell>
          <cell r="E790">
            <v>18.5</v>
          </cell>
          <cell r="F790">
            <v>19.795000000000002</v>
          </cell>
        </row>
        <row r="791">
          <cell r="C791" t="str">
            <v>S15WATR012</v>
          </cell>
          <cell r="D791" t="str">
            <v>ข้อลด 1" ออก 3/4" CLASS 13.5</v>
          </cell>
          <cell r="E791">
            <v>6.1</v>
          </cell>
          <cell r="F791">
            <v>4</v>
          </cell>
        </row>
        <row r="792">
          <cell r="C792" t="str">
            <v>S15WATR013</v>
          </cell>
          <cell r="D792" t="str">
            <v>สามทาง T DIA 1/2'' PVC CLASS 13.5</v>
          </cell>
          <cell r="E792">
            <v>4.8</v>
          </cell>
          <cell r="F792">
            <v>3.12</v>
          </cell>
        </row>
        <row r="793">
          <cell r="C793" t="str">
            <v>S15WATR014</v>
          </cell>
          <cell r="D793" t="str">
            <v>สามทาง T DIA 1" PVC CLASS 13.5</v>
          </cell>
          <cell r="E793">
            <v>12.5</v>
          </cell>
          <cell r="F793">
            <v>8.1199999999999992</v>
          </cell>
        </row>
        <row r="794">
          <cell r="C794" t="str">
            <v>S15WATR015</v>
          </cell>
          <cell r="D794" t="str">
            <v>ท่อ PVC สีฟ้าตราช้าง DIA 4''  CLASS 5</v>
          </cell>
          <cell r="E794">
            <v>425</v>
          </cell>
          <cell r="F794">
            <v>340</v>
          </cell>
        </row>
        <row r="795">
          <cell r="C795" t="str">
            <v>S15WATR017</v>
          </cell>
          <cell r="D795" t="str">
            <v>ข้อต่อตรง DIA 4'' PVC  CLASS 5</v>
          </cell>
          <cell r="E795">
            <v>90</v>
          </cell>
          <cell r="F795">
            <v>21.25</v>
          </cell>
        </row>
        <row r="796">
          <cell r="C796" t="str">
            <v>S15WATR018</v>
          </cell>
          <cell r="D796" t="str">
            <v>ข้องอ 90 องศา DIA 4'' PVC CLASS 5</v>
          </cell>
          <cell r="E796">
            <v>160</v>
          </cell>
          <cell r="F796">
            <v>46</v>
          </cell>
        </row>
        <row r="797">
          <cell r="C797" t="str">
            <v>S15WATR019</v>
          </cell>
          <cell r="D797" t="str">
            <v>สามทาง Y DIA 4'' PVC CLASS 5</v>
          </cell>
          <cell r="E797">
            <v>161</v>
          </cell>
          <cell r="F797">
            <v>105</v>
          </cell>
        </row>
        <row r="798">
          <cell r="C798" t="str">
            <v>S15WATR020</v>
          </cell>
          <cell r="D798" t="str">
            <v>ข้อลด 1 1/4''ลง 2''PVC CLASS 5</v>
          </cell>
          <cell r="E798">
            <v>11.2</v>
          </cell>
          <cell r="F798">
            <v>7.28</v>
          </cell>
        </row>
        <row r="799">
          <cell r="C799" t="str">
            <v>S15WATR021</v>
          </cell>
          <cell r="D799" t="str">
            <v>CO DIA 2''PVC</v>
          </cell>
          <cell r="E799">
            <v>80</v>
          </cell>
          <cell r="F799">
            <v>70</v>
          </cell>
        </row>
        <row r="800">
          <cell r="C800" t="str">
            <v>S15WATR022</v>
          </cell>
          <cell r="D800" t="str">
            <v>ท่อ PVC สีฟ้าตราช้าง DIA 2''  CLASS 5</v>
          </cell>
          <cell r="E800">
            <v>120</v>
          </cell>
          <cell r="F800">
            <v>96</v>
          </cell>
        </row>
        <row r="801">
          <cell r="C801" t="str">
            <v>S15WATR023</v>
          </cell>
          <cell r="D801" t="str">
            <v>ท่อ W DIA 3'' PVC CLASS 5</v>
          </cell>
          <cell r="E801">
            <v>265</v>
          </cell>
          <cell r="F801">
            <v>212</v>
          </cell>
        </row>
        <row r="802">
          <cell r="C802" t="str">
            <v>S15WATR024</v>
          </cell>
          <cell r="D802" t="str">
            <v>สามทาง Y DIA 2'' PVC CLASS 5</v>
          </cell>
          <cell r="E802">
            <v>34.4</v>
          </cell>
          <cell r="F802">
            <v>22.36</v>
          </cell>
        </row>
        <row r="803">
          <cell r="C803" t="str">
            <v>S15WATR025</v>
          </cell>
          <cell r="D803" t="str">
            <v>สามทาง Y DIA 3'' PVC CLASS 5</v>
          </cell>
          <cell r="E803">
            <v>83.6</v>
          </cell>
          <cell r="F803">
            <v>54.34</v>
          </cell>
        </row>
        <row r="804">
          <cell r="C804" t="str">
            <v>S15WATR026</v>
          </cell>
          <cell r="D804" t="str">
            <v>ข้องอ 90 องศา DIA 2'' PVC CLASS 5</v>
          </cell>
          <cell r="E804">
            <v>11.6</v>
          </cell>
          <cell r="F804">
            <v>7.54</v>
          </cell>
        </row>
        <row r="805">
          <cell r="C805" t="str">
            <v>S15WATR027</v>
          </cell>
          <cell r="D805" t="str">
            <v>ข้อต่อตรง DIA 2'' PVC  CLASS 5</v>
          </cell>
          <cell r="E805">
            <v>7.5</v>
          </cell>
          <cell r="F805">
            <v>5</v>
          </cell>
        </row>
        <row r="806">
          <cell r="C806" t="str">
            <v>S15WATR028</v>
          </cell>
          <cell r="D806" t="str">
            <v xml:space="preserve">GV DIA 1/2''  </v>
          </cell>
          <cell r="E806">
            <v>60</v>
          </cell>
          <cell r="F806">
            <v>48</v>
          </cell>
        </row>
        <row r="807">
          <cell r="C807" t="str">
            <v>S15WATR029</v>
          </cell>
          <cell r="D807" t="str">
            <v xml:space="preserve">GV DIA 1'' </v>
          </cell>
          <cell r="E807">
            <v>135</v>
          </cell>
          <cell r="F807">
            <v>144.45000000000002</v>
          </cell>
        </row>
        <row r="808">
          <cell r="C808" t="str">
            <v>S15WATR030</v>
          </cell>
          <cell r="D808" t="str">
            <v xml:space="preserve">GV DIA 3/4'' </v>
          </cell>
          <cell r="E808">
            <v>80</v>
          </cell>
          <cell r="F808">
            <v>65</v>
          </cell>
        </row>
        <row r="809">
          <cell r="C809" t="str">
            <v>S15WATR031</v>
          </cell>
          <cell r="D809" t="str">
            <v xml:space="preserve">FD DIA 2 '' </v>
          </cell>
          <cell r="E809">
            <v>80</v>
          </cell>
          <cell r="F809">
            <v>65</v>
          </cell>
        </row>
        <row r="810">
          <cell r="C810" t="str">
            <v>S15WATR034</v>
          </cell>
          <cell r="D810" t="str">
            <v>สามทาง T DIA 1 1/4'' PVC CLASS 5</v>
          </cell>
          <cell r="E810">
            <v>7.8</v>
          </cell>
          <cell r="F810">
            <v>5</v>
          </cell>
        </row>
        <row r="811">
          <cell r="C811" t="str">
            <v>S15WATR035</v>
          </cell>
          <cell r="D811" t="str">
            <v>ข้อต่อตรง DIA 1'' PVC  CLASS 13.5</v>
          </cell>
          <cell r="E811">
            <v>6.1</v>
          </cell>
          <cell r="F811">
            <v>6.5270000000000001</v>
          </cell>
        </row>
        <row r="812">
          <cell r="C812" t="str">
            <v>S15WATR038</v>
          </cell>
          <cell r="D812" t="str">
            <v>สามทาง T DIA 2'' PVC CLASS 8.5 5</v>
          </cell>
          <cell r="E812">
            <v>15.5</v>
          </cell>
          <cell r="F812">
            <v>10</v>
          </cell>
        </row>
        <row r="813">
          <cell r="C813" t="str">
            <v>S15WATR039</v>
          </cell>
          <cell r="D813" t="str">
            <v>ข้อลด 3''ลง 2'' PVC CLASS 5</v>
          </cell>
          <cell r="E813">
            <v>25.2</v>
          </cell>
          <cell r="F813">
            <v>16.38</v>
          </cell>
        </row>
        <row r="814">
          <cell r="C814" t="str">
            <v>S15WATR041</v>
          </cell>
          <cell r="D814" t="str">
            <v>ข้อต่อตรงเกลียวในเป็นทองเหลือง  1/2"</v>
          </cell>
          <cell r="E814">
            <v>17</v>
          </cell>
          <cell r="F814">
            <v>16</v>
          </cell>
        </row>
        <row r="815">
          <cell r="C815" t="str">
            <v>S15WATR042</v>
          </cell>
          <cell r="D815" t="str">
            <v>ข้องอ 90 องศา DIA 3/4'' PVC CLASS13.5</v>
          </cell>
          <cell r="E815">
            <v>5</v>
          </cell>
          <cell r="F815">
            <v>3</v>
          </cell>
        </row>
        <row r="816">
          <cell r="C816" t="str">
            <v>S15WATR043</v>
          </cell>
          <cell r="D816" t="str">
            <v>ข้อต่อตรง DIA 1/2'' PVC  CLASS 13.5</v>
          </cell>
          <cell r="E816">
            <v>2.9</v>
          </cell>
          <cell r="F816">
            <v>3.1030000000000002</v>
          </cell>
        </row>
        <row r="817">
          <cell r="C817" t="str">
            <v>S15WATR046</v>
          </cell>
          <cell r="D817" t="str">
            <v>ข้องอ 90 องศา DIA 3'' PVC CLASS 5</v>
          </cell>
          <cell r="E817">
            <v>34.9</v>
          </cell>
          <cell r="F817">
            <v>23</v>
          </cell>
        </row>
        <row r="818">
          <cell r="C818" t="str">
            <v>S15WATR048</v>
          </cell>
          <cell r="D818" t="str">
            <v>สามทาง T DIA 4'' PVC CLASS 5</v>
          </cell>
          <cell r="E818">
            <v>92.9</v>
          </cell>
          <cell r="F818">
            <v>61</v>
          </cell>
        </row>
        <row r="819">
          <cell r="C819" t="str">
            <v>S15WATR049</v>
          </cell>
          <cell r="D819" t="str">
            <v>ข้อต่อตรง DIA 3'' PVC  CLASS 5</v>
          </cell>
          <cell r="E819">
            <v>23.1</v>
          </cell>
          <cell r="F819">
            <v>15</v>
          </cell>
        </row>
        <row r="820">
          <cell r="C820" t="str">
            <v>S15WATR050</v>
          </cell>
          <cell r="D820" t="str">
            <v>ข้อลด 4" ออก 3"  PVC CLASS 5</v>
          </cell>
          <cell r="E820">
            <v>48.3</v>
          </cell>
          <cell r="F820">
            <v>51.680999999999997</v>
          </cell>
        </row>
        <row r="821">
          <cell r="C821" t="str">
            <v>S15WATR051</v>
          </cell>
          <cell r="D821" t="str">
            <v>ท่อ V DIA 2'' PVC CLASS 5</v>
          </cell>
          <cell r="E821">
            <v>140</v>
          </cell>
          <cell r="F821">
            <v>64</v>
          </cell>
        </row>
        <row r="822">
          <cell r="C822" t="str">
            <v>S15WATR054</v>
          </cell>
          <cell r="D822" t="str">
            <v>ข้อต่อตรง DIA 1'' PVC  CLASS 13.5</v>
          </cell>
          <cell r="E822">
            <v>10</v>
          </cell>
          <cell r="F822">
            <v>4</v>
          </cell>
        </row>
        <row r="823">
          <cell r="C823" t="str">
            <v>S15WATR055</v>
          </cell>
          <cell r="D823" t="str">
            <v>ข้อลด 4''ลง 2'' PVC CLASS 5</v>
          </cell>
          <cell r="E823">
            <v>40.4</v>
          </cell>
          <cell r="F823">
            <v>26.26</v>
          </cell>
        </row>
        <row r="824">
          <cell r="C824" t="str">
            <v>S15WATR056</v>
          </cell>
          <cell r="D824" t="str">
            <v>CO DIA 3''PVC</v>
          </cell>
          <cell r="F824">
            <v>0</v>
          </cell>
        </row>
        <row r="825">
          <cell r="C825" t="str">
            <v>S15WATR057</v>
          </cell>
          <cell r="D825" t="str">
            <v>ท่อ V DIA 1 1/4'' PVC CLASS 5</v>
          </cell>
          <cell r="F825">
            <v>0</v>
          </cell>
        </row>
        <row r="826">
          <cell r="C826" t="str">
            <v>S15WATR060</v>
          </cell>
          <cell r="D826" t="str">
            <v>สามทาง T 1 1/4'' DIA  PVC CLASS 13.5</v>
          </cell>
          <cell r="F826">
            <v>0</v>
          </cell>
        </row>
        <row r="827">
          <cell r="C827" t="str">
            <v>SANDBED</v>
          </cell>
          <cell r="D827" t="str">
            <v>ค่าแรงลงทราย ปรับทราย</v>
          </cell>
          <cell r="F827">
            <v>0</v>
          </cell>
        </row>
        <row r="828">
          <cell r="D828" t="str">
            <v>BV DIA 1/2"</v>
          </cell>
          <cell r="F828">
            <v>0</v>
          </cell>
        </row>
        <row r="829">
          <cell r="D829" t="str">
            <v>C/O 4"</v>
          </cell>
          <cell r="E829">
            <v>140</v>
          </cell>
          <cell r="F829">
            <v>149.80000000000001</v>
          </cell>
        </row>
        <row r="830">
          <cell r="D830" t="str">
            <v>C/O 4"</v>
          </cell>
          <cell r="E830">
            <v>140</v>
          </cell>
          <cell r="F830">
            <v>149.80000000000001</v>
          </cell>
        </row>
        <row r="831">
          <cell r="D831" t="str">
            <v>CB  SUB 16-32 A1P 5 KA</v>
          </cell>
          <cell r="E831">
            <v>85</v>
          </cell>
          <cell r="F831">
            <v>90.95</v>
          </cell>
        </row>
        <row r="832">
          <cell r="D832" t="str">
            <v>CB Main 100 A2P 10 KA</v>
          </cell>
          <cell r="F832">
            <v>0</v>
          </cell>
        </row>
        <row r="833">
          <cell r="D833" t="str">
            <v xml:space="preserve">CO DIA 2'' </v>
          </cell>
          <cell r="F833">
            <v>0</v>
          </cell>
        </row>
        <row r="834">
          <cell r="D834" t="str">
            <v xml:space="preserve">CO DIA 4'' </v>
          </cell>
          <cell r="E834">
            <v>140</v>
          </cell>
          <cell r="F834">
            <v>149.80000000000001</v>
          </cell>
        </row>
        <row r="835">
          <cell r="D835" t="str">
            <v>Conector Flex 1/2"</v>
          </cell>
          <cell r="E835">
            <v>3.6</v>
          </cell>
          <cell r="F835">
            <v>3.8520000000000003</v>
          </cell>
        </row>
        <row r="836">
          <cell r="D836" t="str">
            <v>Conector Flex 3/4"</v>
          </cell>
          <cell r="E836">
            <v>10</v>
          </cell>
          <cell r="F836">
            <v>10.700000000000001</v>
          </cell>
        </row>
        <row r="837">
          <cell r="D837" t="str">
            <v>Conector PVC 3/4"</v>
          </cell>
          <cell r="E837">
            <v>3.5</v>
          </cell>
          <cell r="F837">
            <v>3.7450000000000001</v>
          </cell>
        </row>
        <row r="838">
          <cell r="D838" t="str">
            <v>CW งอ 90 1 1/2" CLASS 8.5</v>
          </cell>
          <cell r="E838">
            <v>6</v>
          </cell>
          <cell r="F838">
            <v>6.42</v>
          </cell>
        </row>
        <row r="839">
          <cell r="D839" t="str">
            <v>CW งอ 90 องศา 3/4" &gt; 1/2"  CLASS 8.5</v>
          </cell>
          <cell r="E839">
            <v>8</v>
          </cell>
          <cell r="F839">
            <v>8.56</v>
          </cell>
        </row>
        <row r="840">
          <cell r="D840" t="str">
            <v>CW งอ 90 องศา 4/8" เกลียวในทองเหลือง 1/2" CLASS 8.5</v>
          </cell>
          <cell r="F840">
            <v>0</v>
          </cell>
        </row>
        <row r="841">
          <cell r="D841" t="str">
            <v xml:space="preserve">FD DIA 2 '' </v>
          </cell>
          <cell r="E841">
            <v>68</v>
          </cell>
          <cell r="F841">
            <v>72.760000000000005</v>
          </cell>
        </row>
        <row r="842">
          <cell r="D842" t="str">
            <v>Flat Bar หนา 2.3 mm. (18.06 kg/m2)</v>
          </cell>
          <cell r="E842">
            <v>433</v>
          </cell>
          <cell r="F842">
            <v>463.31</v>
          </cell>
        </row>
        <row r="843">
          <cell r="D843" t="str">
            <v>Flat Bar หนา 3.2 mm. (25.93 kg/m2)</v>
          </cell>
          <cell r="E843">
            <v>648</v>
          </cell>
          <cell r="F843">
            <v>693.36</v>
          </cell>
        </row>
        <row r="844">
          <cell r="D844" t="str">
            <v>Flat Bar หนา 3.2 mm. (25.93 kg/m2)</v>
          </cell>
          <cell r="E844">
            <v>648</v>
          </cell>
          <cell r="F844">
            <v>693.36</v>
          </cell>
        </row>
        <row r="845">
          <cell r="D845" t="str">
            <v>Flat Bar หนา 7.0 mm. (56.72 kg/m2)</v>
          </cell>
          <cell r="E845">
            <v>1418</v>
          </cell>
          <cell r="F845">
            <v>1517.26</v>
          </cell>
        </row>
        <row r="846">
          <cell r="D846" t="str">
            <v>FLEX (ท่ออ่อนเหล็ก) DIA. 1/2"</v>
          </cell>
          <cell r="E846">
            <v>7</v>
          </cell>
          <cell r="F846">
            <v>7.49</v>
          </cell>
        </row>
        <row r="847">
          <cell r="D847" t="str">
            <v>FLEX (ท่ออ่อนเหล็ก) DIA. 3/4"</v>
          </cell>
          <cell r="E847">
            <v>9</v>
          </cell>
          <cell r="F847">
            <v>9.6300000000000008</v>
          </cell>
        </row>
        <row r="848">
          <cell r="D848" t="str">
            <v>GV DIA 1''  CLASS M</v>
          </cell>
          <cell r="E848">
            <v>90</v>
          </cell>
          <cell r="F848">
            <v>96.300000000000011</v>
          </cell>
        </row>
        <row r="849">
          <cell r="D849" t="str">
            <v>GV DIA 1/2''  CLASS M</v>
          </cell>
          <cell r="E849">
            <v>85</v>
          </cell>
          <cell r="F849">
            <v>90.95</v>
          </cell>
        </row>
        <row r="850">
          <cell r="D850" t="str">
            <v>GV DIA 3/4''  CLASS M</v>
          </cell>
          <cell r="E850">
            <v>75</v>
          </cell>
          <cell r="F850">
            <v>80.25</v>
          </cell>
        </row>
        <row r="851">
          <cell r="D851" t="str">
            <v>Hanger 2"</v>
          </cell>
          <cell r="F851">
            <v>0</v>
          </cell>
        </row>
        <row r="852">
          <cell r="D852" t="str">
            <v>Hanger 4"</v>
          </cell>
          <cell r="F852">
            <v>0</v>
          </cell>
        </row>
        <row r="853">
          <cell r="D853" t="str">
            <v>Telephone Outlet</v>
          </cell>
          <cell r="F853">
            <v>0</v>
          </cell>
        </row>
        <row r="854">
          <cell r="D854" t="str">
            <v>TV Outlet</v>
          </cell>
          <cell r="E854">
            <v>118</v>
          </cell>
          <cell r="F854">
            <v>126.26</v>
          </cell>
        </row>
        <row r="855">
          <cell r="D855" t="str">
            <v>เกลียวตลอดขนาด DIA 2 1/2  หุน</v>
          </cell>
          <cell r="F855">
            <v>0</v>
          </cell>
        </row>
        <row r="856">
          <cell r="D856" t="str">
            <v>เกลียวปล่อย DIA 1"</v>
          </cell>
          <cell r="F856">
            <v>0</v>
          </cell>
        </row>
        <row r="857">
          <cell r="D857" t="str">
            <v>เทปพันเกลียว</v>
          </cell>
          <cell r="E857">
            <v>9</v>
          </cell>
          <cell r="F857">
            <v>9.6300000000000008</v>
          </cell>
        </row>
      </sheetData>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2 บ้านพรุ  (2)"/>
      <sheetName val="super PS บ้านพรุ"/>
      <sheetName val="pro-Biotic (2)"/>
      <sheetName val="งบแป้งสาลี"/>
      <sheetName val="ปรับถมดิน1"/>
      <sheetName val="ปรับถมดิน"/>
      <sheetName val="หอพัก"/>
      <sheetName val="สร้างอาคาร (2)"/>
      <sheetName val="สร้างอาคาร"/>
      <sheetName val="new ext"/>
      <sheetName val="con PL"/>
      <sheetName val="ชุดวัดลม"/>
      <sheetName val="ลูกกุ้งวัยอ่อน"/>
      <sheetName val="india"/>
      <sheetName val="pro-Biotic"/>
      <sheetName val="โรงอาหาร (2)"/>
      <sheetName val="โรงอาหาร"/>
      <sheetName val="กำจัดกลิ่น"/>
      <sheetName val="คลัง (2)"/>
      <sheetName val="คลัง"/>
      <sheetName val="ระบบฉีดของสด"/>
      <sheetName val="ลูกกุ้ง (2)"/>
      <sheetName val="ลูกกุ้ง (3)"/>
      <sheetName val="วิศวกรรม"/>
      <sheetName val="gen มหาชัย"/>
      <sheetName val="gen บ้านพรุ"/>
      <sheetName val="อาหารปลา"/>
      <sheetName val="air2"/>
      <sheetName val="air"/>
      <sheetName val="ยางกันซึม"/>
      <sheetName val="lico2"/>
      <sheetName val="lico"/>
      <sheetName val="คอมพิวเตอร์"/>
      <sheetName val="เก็บเอกสาร"/>
      <sheetName val="ลูกกุ้ง"/>
      <sheetName val="ext"/>
      <sheetName val="ป๊มเม็ด"/>
      <sheetName val="ไอน้ำ"/>
      <sheetName val="extruder 1"/>
      <sheetName val="extruder"/>
      <sheetName val="Sheet1"/>
      <sheetName val="Sheet2"/>
      <sheetName val="Sheet3"/>
      <sheetName val="BT-2 บ้านพรุ "/>
      <sheetName val="super PS มหาชัย"/>
      <sheetName val="Totals"/>
      <sheetName val="Quoted"/>
      <sheetName val="FInput"/>
      <sheetName val="proje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Invoice"/>
      <sheetName val="Macros"/>
      <sheetName val="ATW"/>
      <sheetName val="Lock"/>
      <sheetName val="Intl Data Table"/>
      <sheetName val="TemplateInformation"/>
      <sheetName val="Purchase Order"/>
      <sheetName val="Customize Your Purchase Order"/>
      <sheetName val="Main Sum (Hotel &amp; Residences)"/>
      <sheetName val="Cost Data"/>
      <sheetName val="Material"/>
      <sheetName val="2_3_1 อาคาร"/>
      <sheetName val="EXF"/>
      <sheetName val="Progress-All"/>
      <sheetName val="cov-estimate"/>
      <sheetName val="สรุปราคา (EMC)"/>
      <sheetName val="AutoOpen_Stub_Data"/>
      <sheetName val="Intl_Data_Table"/>
      <sheetName val="Purchase_Order"/>
      <sheetName val="Customize_Your_Purchase_Order"/>
      <sheetName val="C(1)"/>
      <sheetName val="D&amp;E(1)"/>
      <sheetName val="SH-D"/>
      <sheetName val="Cost_Categories"/>
      <sheetName val="basic rate"/>
      <sheetName val="ค่าวัสดุ"/>
      <sheetName val="List"/>
      <sheetName val=""/>
      <sheetName val="HVAC"/>
      <sheetName val="Main_Sum_(Hotel_&amp;_Residences)"/>
      <sheetName val="Cost_Data"/>
      <sheetName val="2_3_1_อาคาร"/>
      <sheetName val="สรุปราคา_(EMC)"/>
      <sheetName val="INVOICEprototype1"/>
      <sheetName val="SH-G"/>
      <sheetName val="SH-C"/>
      <sheetName val="Mat"/>
      <sheetName val="PRICE LIST"/>
      <sheetName val="BOX Cryostat Details"/>
      <sheetName val="Driver Linac Layout"/>
      <sheetName val="Inputs"/>
      <sheetName val="Magnet Details"/>
      <sheetName val="MASTER"/>
      <sheetName val="Assumption"/>
      <sheetName val="DETAIL "/>
      <sheetName val="EE"/>
      <sheetName val="AutoOpen_Stub_Data1"/>
      <sheetName val="Intl_Data_Table1"/>
      <sheetName val="Purchase_Order1"/>
      <sheetName val="Customize_Your_Purchase_Order1"/>
      <sheetName val="Cost_Data1"/>
      <sheetName val="basic_rate"/>
      <sheetName val="SUM-AIR-Submit"/>
      <sheetName val="Construction cost assumption"/>
      <sheetName val="JLL Assumption"/>
      <sheetName val="Sheet1"/>
      <sheetName val="Retail Program&amp;Rev Assumption"/>
      <sheetName val="Cover"/>
      <sheetName val="สรุป"/>
      <sheetName val="I-slab"/>
      <sheetName val="97 사업추정(WEKI)"/>
      <sheetName val="Cctmst"/>
      <sheetName val="Customize Your Invoice"/>
      <sheetName val="SEA"/>
      <sheetName val="เงินกู้ธนชาติ"/>
      <sheetName val="10-1 Media"/>
      <sheetName val="10-cut"/>
      <sheetName val="เงินกู้ MGC"/>
      <sheetName val="Trial Balance"/>
      <sheetName val="Sol-Other"/>
      <sheetName val="TrialBalance Q3-2002"/>
      <sheetName val="Dec15"/>
      <sheetName val="DEC31"/>
      <sheetName val="boq"/>
      <sheetName val="Code"/>
      <sheetName val="CAPEX"/>
      <sheetName val="Capital Performance"/>
      <sheetName val="Cash Flow"/>
      <sheetName val="Cost Reductions"/>
      <sheetName val="PK Costs"/>
      <sheetName val="Cover Page"/>
      <sheetName val="Export"/>
      <sheetName val="Interdivisional"/>
      <sheetName val="Inventory"/>
      <sheetName val="Labour No.s"/>
      <sheetName val="LTIFR"/>
      <sheetName val="Market Share"/>
      <sheetName val="National Sales"/>
      <sheetName val="Overheads"/>
      <sheetName val="Packaging Products"/>
      <sheetName val="Pipe and Tube"/>
      <sheetName val="Production"/>
      <sheetName val="Profit Statement"/>
      <sheetName val="SVA"/>
      <sheetName val="CRITERIA1"/>
      <sheetName val="desc"/>
      <sheetName val="type"/>
      <sheetName val="Control"/>
      <sheetName val="Orig FC Pivot Table"/>
      <sheetName val="0398exp"/>
      <sheetName val="2004"/>
      <sheetName val="Mapping table"/>
      <sheetName val="DAY"/>
      <sheetName val="TABLE"/>
      <sheetName val="BUILD95"/>
      <sheetName val="Beam Gridline1-7"/>
      <sheetName val="I. Gen&amp;Proj Schd-Asm"/>
      <sheetName val="II. Proj Cost-Asm"/>
      <sheetName val="LITF"/>
      <sheetName val="Main Summary"/>
      <sheetName val="covere"/>
      <sheetName val="Daily Handover"/>
      <sheetName val="Mat_Source"/>
      <sheetName val="CashFlow"/>
      <sheetName val="Cash Flow Internal"/>
      <sheetName val="AutoOpen_Stub_Data2"/>
      <sheetName val="Intl_Data_Table2"/>
      <sheetName val="Purchase_Order2"/>
      <sheetName val="Customize_Your_Purchase_Order2"/>
      <sheetName val="Main_Sum_(Hotel_&amp;_Residences)1"/>
      <sheetName val="Cost_Data2"/>
      <sheetName val="2_3_1_อาคาร1"/>
      <sheetName val="สรุปราคา_(EMC)1"/>
      <sheetName val="basic_rate1"/>
      <sheetName val="PRICE_LIST"/>
      <sheetName val="BOX_Cryostat_Details"/>
      <sheetName val="Driver_Linac_Layout"/>
      <sheetName val="Magnet_Details"/>
      <sheetName val="DETAIL_"/>
      <sheetName val="Construction_cost_assumption"/>
      <sheetName val="JLL_Assumption"/>
      <sheetName val="Retail_Program&amp;Rev_Assumption"/>
      <sheetName val="Database"/>
      <sheetName val="Output"/>
      <sheetName val="factors"/>
      <sheetName val="PAY"/>
      <sheetName val="สัญญา"/>
      <sheetName val="Sheet2"/>
      <sheetName val="Sheet3"/>
      <sheetName val="SPEC PL1"/>
      <sheetName val="Submit#1_Oakwood Sukhumvit36"/>
      <sheetName val="Data"/>
      <sheetName val="BARS"/>
      <sheetName val="Balance Sheet"/>
      <sheetName val="R&amp;M"/>
      <sheetName val="SPLNM"/>
      <sheetName val="Capital_Performance"/>
      <sheetName val="Cash_Flow"/>
      <sheetName val="Cost_Reductions"/>
      <sheetName val="PK_Costs"/>
      <sheetName val="Cover_Page"/>
      <sheetName val="Labour_No_s"/>
      <sheetName val="Market_Share"/>
      <sheetName val="National_Sales"/>
      <sheetName val="Packaging_Products"/>
      <sheetName val="Pipe_and_Tube"/>
      <sheetName val="Profit_Statement"/>
      <sheetName val="Balance_Sheet"/>
      <sheetName val="Delivery Schedule"/>
      <sheetName val="Coil  Received"/>
      <sheetName val="総合B"/>
      <sheetName val="PROFILE"/>
      <sheetName val="Sheet1 (3)"/>
      <sheetName val="LeafspringDetails"/>
      <sheetName val="Received"/>
      <sheetName val="23291-0H020"/>
      <sheetName val="PART"/>
      <sheetName val="ตั๋วเงินรับ"/>
      <sheetName val="CRITERIA2"/>
      <sheetName val="CRITERIA3"/>
      <sheetName val="#ofclose"/>
      <sheetName val="販直"/>
      <sheetName val="detail 2"/>
      <sheetName val="期首ｐｖ"/>
      <sheetName val="当月ｐｖ"/>
      <sheetName val="DefectDetails"/>
      <sheetName val="97_사업추정(WEKI)"/>
      <sheetName val="Customize_Your_Invoice"/>
      <sheetName val="10-1_Media"/>
      <sheetName val="เงินกู้_MGC"/>
      <sheetName val="Trial_Balance"/>
      <sheetName val="TrialBalance_Q3-2002"/>
      <sheetName val="EST-FOOTING (G)"/>
      <sheetName val="Grand Summary"/>
      <sheetName val="Sub Summary"/>
      <sheetName val="Prelim"/>
      <sheetName val="Hotel A type A"/>
      <sheetName val="Hotel A type B"/>
      <sheetName val="Hotel A type C"/>
      <sheetName val="Hotel B type B"/>
      <sheetName val="Hotel B type C"/>
      <sheetName val="Hote C. type C"/>
      <sheetName val="Hotel A suite"/>
      <sheetName val="Bar&amp;Resturant"/>
      <sheetName val="Gyp Pavilion"/>
      <sheetName val="Reception Pavilion"/>
      <sheetName val="WC. Reception"/>
      <sheetName val="Corridor Hote A."/>
      <sheetName val="Corridor Hote B."/>
      <sheetName val="Corridor Hote C."/>
      <sheetName val="BK Unit Rate"/>
      <sheetName val="งานบริหารโครงสร้างและดำเนินการ"/>
      <sheetName val="ปก"/>
      <sheetName val="ใบแจ้งหนี้"/>
      <sheetName val="Grand SUMMARY "/>
      <sheetName val="ค่าใช้จ่ายและแผนการเบิก"/>
      <sheetName val="Grand Summary ( Variation)"/>
      <sheetName val="ค่าใช้จ่ายและแผนการเบิกolan"/>
      <sheetName val="ST work con.M"/>
      <sheetName val="ST work con.carpark"/>
      <sheetName val="ST work M"/>
      <sheetName val="ST work Facad(M) "/>
      <sheetName val="ST work carpark"/>
      <sheetName val="back up arc.Car Park"/>
      <sheetName val="backup str.carpark"/>
      <sheetName val="back up arc. M"/>
      <sheetName val="แยกงาน ผนัง พื้น ฝ้า สี"/>
      <sheetName val="Grand SUMMARY MEP "/>
      <sheetName val="หินล้าง ABCD"/>
      <sheetName val="หลักเกณฑ์"/>
      <sheetName val="Water&amp;WW"/>
      <sheetName val="J4"/>
      <sheetName val="J3"/>
      <sheetName val="Conc."/>
      <sheetName val="SCH_B13"/>
      <sheetName val="ปก "/>
      <sheetName val="01 จ.ม.ส่งราคา"/>
      <sheetName val="BLD.A"/>
      <sheetName val="Capital_Performance1"/>
      <sheetName val="Cash_Flow1"/>
      <sheetName val="Cost_Reductions1"/>
      <sheetName val="PK_Costs1"/>
      <sheetName val="Cover_Page1"/>
      <sheetName val="Labour_No_s1"/>
      <sheetName val="Market_Share1"/>
      <sheetName val="National_Sales1"/>
      <sheetName val="Packaging_Products1"/>
      <sheetName val="Pipe_and_Tube1"/>
      <sheetName val="Profit_Statement1"/>
      <sheetName val="Balance_Sheet1"/>
      <sheetName val="CHITIET"/>
      <sheetName val="AutoOpen_Stub_Data3"/>
      <sheetName val="Intl_Data_Table3"/>
      <sheetName val="Purchase_Order3"/>
      <sheetName val="Customize_Your_Purchase_Order3"/>
      <sheetName val="Main_Sum_(Hotel_&amp;_Residences)2"/>
      <sheetName val="Cost_Data3"/>
      <sheetName val="2_3_1_อาคาร2"/>
      <sheetName val="สรุปราคา_(EMC)2"/>
      <sheetName val="basic_rate2"/>
      <sheetName val="PRICE_LIST1"/>
      <sheetName val="BOX_Cryostat_Details1"/>
      <sheetName val="Driver_Linac_Layout1"/>
      <sheetName val="Magnet_Details1"/>
      <sheetName val="DETAIL_1"/>
      <sheetName val="Construction_cost_assumption1"/>
      <sheetName val="JLL_Assumption1"/>
      <sheetName val="Retail_Program&amp;Rev_Assumption1"/>
      <sheetName val="Customize_Your_Invoice1"/>
      <sheetName val="10-1_Media1"/>
      <sheetName val="เงินกู้_MGC1"/>
      <sheetName val="Trial_Balance1"/>
      <sheetName val="TrialBalance_Q3-20021"/>
      <sheetName val="97_사업추정(WEKI)1"/>
      <sheetName val="Beam_Gridline1-7"/>
      <sheetName val="I__Gen&amp;Proj_Schd-Asm"/>
      <sheetName val="II__Proj_Cost-Asm"/>
      <sheetName val="Main_Summary"/>
      <sheetName val="Daily_Handover"/>
      <sheetName val="Capital_Performance2"/>
      <sheetName val="Cash_Flow2"/>
      <sheetName val="Cost_Reductions2"/>
      <sheetName val="PK_Costs2"/>
      <sheetName val="Cover_Page2"/>
      <sheetName val="Labour_No_s2"/>
      <sheetName val="Market_Share2"/>
      <sheetName val="National_Sales2"/>
      <sheetName val="Packaging_Products2"/>
      <sheetName val="Pipe_and_Tube2"/>
      <sheetName val="Profit_Statement2"/>
      <sheetName val="Orig_FC_Pivot_Table"/>
      <sheetName val="Mapping_table"/>
      <sheetName val="SPEC_PL1"/>
      <sheetName val="Submit#1_Oakwood_Sukhumvit36"/>
      <sheetName val="Balance_Sheet2"/>
      <sheetName val="Delivery_Schedule"/>
      <sheetName val="Coil__Received"/>
      <sheetName val="Sheet1_(3)"/>
      <sheetName val="detail_2"/>
      <sheetName val="Cash_Flow_Internal"/>
      <sheetName val="EST-FOOTING_(G)"/>
      <sheetName val="Grand_Summary"/>
      <sheetName val="Sub_Summary"/>
      <sheetName val="Hotel_A_type_A"/>
      <sheetName val="Hotel_A_type_B"/>
      <sheetName val="Hotel_A_type_C"/>
      <sheetName val="Hotel_B_type_B"/>
      <sheetName val="Hotel_B_type_C"/>
      <sheetName val="Hote_C__type_C"/>
      <sheetName val="Hotel_A_suite"/>
      <sheetName val="Gyp_Pavilion"/>
      <sheetName val="Reception_Pavilion"/>
      <sheetName val="WC__Reception"/>
      <sheetName val="Corridor_Hote_A_"/>
      <sheetName val="Corridor_Hote_B_"/>
      <sheetName val="Corridor_Hote_C_"/>
      <sheetName val="Grand_SUMMARY_"/>
      <sheetName val="Grand_Summary_(_Variation)"/>
      <sheetName val="ST_work_con_M"/>
      <sheetName val="ST_work_con_carpark"/>
      <sheetName val="ST_work_M"/>
      <sheetName val="ST_work_Facad(M)_"/>
      <sheetName val="ST_work_carpark"/>
      <sheetName val="back_up_arc_Car_Park"/>
      <sheetName val="backup_str_carpark"/>
      <sheetName val="back_up_arc__M"/>
      <sheetName val="แยกงาน_ผนัง_พื้น_ฝ้า_สี"/>
      <sheetName val="Grand_SUMMARY_MEP_"/>
      <sheetName val="BK_Unit_Rate"/>
      <sheetName val="หินล้าง_ABCD"/>
      <sheetName val="ปก_"/>
      <sheetName val="01_จ_ม_ส่งราคา"/>
      <sheetName val="BLD_A"/>
      <sheetName val="Conc_"/>
      <sheetName val="retwall EB3-1 EB3-2 cost"/>
      <sheetName val="sta"/>
      <sheetName val="Laize"/>
      <sheetName val="Tender Form"/>
      <sheetName val="Summary BOQ"/>
      <sheetName val="Bill4"/>
      <sheetName val="Bill1"/>
      <sheetName val="Bill2"/>
      <sheetName val="Bill3"/>
      <sheetName val="มาบกะเบา-C1"/>
      <sheetName val="SUM Bill 6"/>
      <sheetName val="Bill6"/>
      <sheetName val="Bill6 PC"/>
      <sheetName val="Materail-U Dicth"/>
      <sheetName val="Materail- U Pre"/>
      <sheetName val="Materail-Drop Inlet"/>
      <sheetName val="Materials"/>
      <sheetName val="EQUIPMENT "/>
      <sheetName val="Time sp."/>
      <sheetName val="สรุปต้นทุน"/>
      <sheetName val="Set up yard"/>
      <sheetName val="ต้นทุน yard"/>
      <sheetName val="ต้นทุนFORMWORK"/>
      <sheetName val="Rate"/>
      <sheetName val="Materail-Pipe Curverts"/>
      <sheetName val="SUM pipe"/>
      <sheetName val="Plan-Pipe"/>
      <sheetName val="Sheet0.6m"/>
      <sheetName val="Sheet0.8m "/>
      <sheetName val="Sheet1.0m"/>
      <sheetName val="Sheet1.2m"/>
      <sheetName val="Plan-U Pre"/>
      <sheetName val="Materail-V Dicth"/>
      <sheetName val="Plan-V Dicth"/>
      <sheetName val="Materail-Head Wall"/>
      <sheetName val="head wall 0.80"/>
      <sheetName val="head wall 0.80 (2)"/>
      <sheetName val="head wall 1.00"/>
      <sheetName val="head wall 1.00 (2)"/>
      <sheetName val="head wall 1.00 (3)"/>
      <sheetName val="head wall 1.00 (4)"/>
      <sheetName val="head wall 1.20"/>
      <sheetName val="head wall 1.20 (2)"/>
      <sheetName val="head wwall 1.20 (3)"/>
      <sheetName val="Materail-Interceptor"/>
      <sheetName val="Plan-Intercepter"/>
      <sheetName val="Plan-Drop Inlet"/>
      <sheetName val="Materail-U Trough"/>
      <sheetName val="Plan-U Trough"/>
      <sheetName val="Materail(EARTH)"/>
      <sheetName val="Plan-Earth"/>
      <sheetName val="Materail (RC)"/>
      <sheetName val="Plan RC-ditch"/>
      <sheetName val="Directcost"/>
      <sheetName val="Bill7"/>
      <sheetName val="ลูกรัง"/>
      <sheetName val="หินคลุก"/>
      <sheetName val="Sheet 9"/>
      <sheetName val="수입"/>
      <sheetName val="ราคาคอนกรีตต่อหน่วย"/>
      <sheetName val="Poject name"/>
      <sheetName val="สิรินรัตน์1"/>
      <sheetName val="สิรินรัตน์"/>
      <sheetName val="พหล"/>
      <sheetName val="พหล (2)"/>
      <sheetName val="พหล (3)"/>
      <sheetName val="GP"/>
      <sheetName val="Master Division"/>
      <sheetName val="CC 5Tunnel"/>
      <sheetName val="Costmaster"/>
      <sheetName val="COA-17"/>
      <sheetName val="C-18"/>
      <sheetName val="schedule "/>
      <sheetName val="Assump - Operatio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sheetData sheetId="239"/>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t"/>
      <sheetName val="sum"/>
      <sheetName val="BOQ-ARCH"/>
    </sheetNames>
    <sheetDataSet>
      <sheetData sheetId="0">
        <row r="27">
          <cell r="L27" t="str">
            <v>บริษัท เอ็นไวรอนเมนตอล เอ็นจิเนียริ่ง คอนซัลแตนส์ จำกัด</v>
          </cell>
        </row>
      </sheetData>
      <sheetData sheetId="1"/>
      <sheetData sheetId="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ptdg"/>
      <sheetName val="gia vt,nc,may"/>
      <sheetName val="XL4Poppy"/>
      <sheetName val="valeurs de base"/>
      <sheetName val="MTL$-INTER"/>
      <sheetName val="extruder"/>
    </sheetNames>
    <sheetDataSet>
      <sheetData sheetId="0" refreshError="1"/>
      <sheetData sheetId="1" refreshError="1"/>
      <sheetData sheetId="2">
        <row r="7">
          <cell r="B7" t="str">
            <v>A dao</v>
          </cell>
          <cell r="C7">
            <v>1</v>
          </cell>
          <cell r="E7" t="str">
            <v>Nhaân coâng 2,7/7</v>
          </cell>
          <cell r="F7">
            <v>1</v>
          </cell>
          <cell r="H7" t="str">
            <v>Maùy troän 250 lít</v>
          </cell>
          <cell r="I7">
            <v>1</v>
          </cell>
        </row>
        <row r="8">
          <cell r="B8" t="str">
            <v>Baät saét 20x4x250</v>
          </cell>
          <cell r="C8">
            <v>2</v>
          </cell>
          <cell r="E8" t="str">
            <v>Nhaân coâng 3/7</v>
          </cell>
          <cell r="F8">
            <v>2</v>
          </cell>
          <cell r="H8" t="str">
            <v>Maùy ñaàm baøn 1kw</v>
          </cell>
          <cell r="I8">
            <v>2</v>
          </cell>
        </row>
        <row r="9">
          <cell r="B9" t="str">
            <v>Baät saét d = 10mm</v>
          </cell>
          <cell r="C9">
            <v>3</v>
          </cell>
          <cell r="E9" t="str">
            <v>Nhaân coâng 3,5/7</v>
          </cell>
          <cell r="F9">
            <v>3</v>
          </cell>
          <cell r="H9" t="str">
            <v>Maùy ñaàm duøi 1,5Kw</v>
          </cell>
          <cell r="I9">
            <v>3</v>
          </cell>
        </row>
        <row r="10">
          <cell r="B10" t="str">
            <v>Baät saét d=10mm</v>
          </cell>
          <cell r="C10">
            <v>4</v>
          </cell>
          <cell r="E10" t="str">
            <v>Nhaân coâng 3,7/7</v>
          </cell>
          <cell r="F10">
            <v>4</v>
          </cell>
          <cell r="H10" t="str">
            <v>Maùy caét uoán</v>
          </cell>
          <cell r="I10">
            <v>4</v>
          </cell>
        </row>
        <row r="11">
          <cell r="B11" t="str">
            <v>Boä ñieàu toác quaït(32V400FM/K) Uùc</v>
          </cell>
          <cell r="C11">
            <v>5</v>
          </cell>
          <cell r="E11" t="str">
            <v>Nhaân coâng 4/7</v>
          </cell>
          <cell r="F11">
            <v>5</v>
          </cell>
          <cell r="H11" t="str">
            <v>Maùy haøn 23Kw</v>
          </cell>
          <cell r="I11">
            <v>5</v>
          </cell>
        </row>
        <row r="12">
          <cell r="B12" t="str">
            <v>Boàn inox 3m3 ngang Dapha</v>
          </cell>
          <cell r="C12">
            <v>6</v>
          </cell>
          <cell r="E12" t="str">
            <v>Nhaân coâng 4,5/7</v>
          </cell>
          <cell r="F12">
            <v>6</v>
          </cell>
          <cell r="H12" t="str">
            <v>Maùy vaän thaêng 0,8T</v>
          </cell>
          <cell r="I12">
            <v>6</v>
          </cell>
        </row>
        <row r="13">
          <cell r="B13" t="str">
            <v>Boàn inox 5m3 ngang Dapha</v>
          </cell>
          <cell r="C13">
            <v>7</v>
          </cell>
          <cell r="H13" t="str">
            <v>Maùy troän vöõa 80 lít</v>
          </cell>
          <cell r="I13">
            <v>7</v>
          </cell>
        </row>
        <row r="14">
          <cell r="B14" t="str">
            <v>Boät maøu</v>
          </cell>
          <cell r="C14">
            <v>8</v>
          </cell>
          <cell r="H14" t="str">
            <v>Maùy haøn 15Kw</v>
          </cell>
          <cell r="I14">
            <v>8</v>
          </cell>
        </row>
        <row r="15">
          <cell r="B15" t="str">
            <v>Bu long M20x80</v>
          </cell>
          <cell r="C15">
            <v>9</v>
          </cell>
          <cell r="H15" t="str">
            <v>Maùy khoan 4,5Kw</v>
          </cell>
          <cell r="I15">
            <v>9</v>
          </cell>
        </row>
        <row r="16">
          <cell r="B16" t="str">
            <v>Bulong M20x80</v>
          </cell>
          <cell r="C16">
            <v>10</v>
          </cell>
          <cell r="H16" t="str">
            <v>Maùy haøn 14Kw</v>
          </cell>
          <cell r="I16">
            <v>10</v>
          </cell>
        </row>
        <row r="17">
          <cell r="B17" t="str">
            <v>Caàn caåu 10T</v>
          </cell>
          <cell r="C17">
            <v>11</v>
          </cell>
          <cell r="H17" t="str">
            <v>Khoan caàm tay</v>
          </cell>
          <cell r="I17">
            <v>11</v>
          </cell>
        </row>
        <row r="18">
          <cell r="B18" t="str">
            <v>Caàu dao ñaûo 4 cöïc 250A(5LBC4250) uùc</v>
          </cell>
          <cell r="C18">
            <v>12</v>
          </cell>
        </row>
        <row r="19">
          <cell r="B19" t="str">
            <v>Caàu thu raùc oáng xoái</v>
          </cell>
          <cell r="C19">
            <v>13</v>
          </cell>
        </row>
        <row r="20">
          <cell r="B20" t="str">
            <v>Caây choáng</v>
          </cell>
          <cell r="C20">
            <v>14</v>
          </cell>
        </row>
        <row r="21">
          <cell r="B21" t="str">
            <v>Caùp cv 22</v>
          </cell>
          <cell r="C21">
            <v>15</v>
          </cell>
        </row>
        <row r="22">
          <cell r="B22" t="str">
            <v>Caùp ñoàng traàn C50</v>
          </cell>
          <cell r="C22">
            <v>16</v>
          </cell>
        </row>
        <row r="23">
          <cell r="B23" t="str">
            <v>Caùt</v>
          </cell>
          <cell r="C23">
            <v>17</v>
          </cell>
        </row>
        <row r="24">
          <cell r="B24" t="str">
            <v>Caùt vaøng</v>
          </cell>
          <cell r="C24">
            <v>18</v>
          </cell>
        </row>
        <row r="25">
          <cell r="B25" t="str">
            <v>CB 100A 3P ABE103a LG</v>
          </cell>
          <cell r="C25">
            <v>19</v>
          </cell>
        </row>
        <row r="26">
          <cell r="B26" t="str">
            <v>CB 10A 2P ABE32a LG</v>
          </cell>
          <cell r="C26">
            <v>20</v>
          </cell>
        </row>
        <row r="27">
          <cell r="B27" t="str">
            <v>CB 125A 2P ABE202a LG</v>
          </cell>
          <cell r="C27">
            <v>21</v>
          </cell>
        </row>
        <row r="28">
          <cell r="B28" t="str">
            <v>CB 150A 2P ABE202a LG</v>
          </cell>
          <cell r="C28">
            <v>22</v>
          </cell>
        </row>
        <row r="29">
          <cell r="B29" t="str">
            <v>CB 150A 3P ABS203a LG</v>
          </cell>
          <cell r="C29">
            <v>23</v>
          </cell>
        </row>
        <row r="30">
          <cell r="B30" t="str">
            <v>CB 250A 3P ABS 403a LG</v>
          </cell>
          <cell r="C30">
            <v>24</v>
          </cell>
        </row>
        <row r="31">
          <cell r="B31" t="str">
            <v>CB 30A 3P ABE33a LG</v>
          </cell>
          <cell r="C31">
            <v>25</v>
          </cell>
        </row>
        <row r="32">
          <cell r="B32" t="str">
            <v>CB 40A 2P ABE52a LG</v>
          </cell>
          <cell r="C32">
            <v>26</v>
          </cell>
        </row>
        <row r="33">
          <cell r="B33" t="str">
            <v>CB 50A 3P ABE53a LG</v>
          </cell>
          <cell r="C33">
            <v>27</v>
          </cell>
        </row>
        <row r="34">
          <cell r="B34" t="str">
            <v>CB 60A 3P ABE63a LG</v>
          </cell>
          <cell r="C34">
            <v>28</v>
          </cell>
        </row>
        <row r="35">
          <cell r="B35" t="str">
            <v>CB 75A 3P ABE103a LG</v>
          </cell>
          <cell r="C35">
            <v>29</v>
          </cell>
        </row>
        <row r="36">
          <cell r="B36" t="str">
            <v>Chao chuïp</v>
          </cell>
          <cell r="C36">
            <v>30</v>
          </cell>
        </row>
        <row r="37">
          <cell r="B37" t="str">
            <v>Co PVC Þ34-21</v>
          </cell>
          <cell r="C37">
            <v>31</v>
          </cell>
        </row>
        <row r="38">
          <cell r="B38" t="str">
            <v>Co PVC Þ60</v>
          </cell>
          <cell r="C38">
            <v>32</v>
          </cell>
        </row>
        <row r="39">
          <cell r="B39" t="str">
            <v>Coân PVC Þ34/27/21</v>
          </cell>
          <cell r="C39">
            <v>33</v>
          </cell>
        </row>
        <row r="40">
          <cell r="B40" t="str">
            <v>Coân PVC Þ60/34</v>
          </cell>
          <cell r="C40">
            <v>34</v>
          </cell>
        </row>
        <row r="41">
          <cell r="B41" t="str">
            <v>Coàn röûa</v>
          </cell>
          <cell r="C41">
            <v>35</v>
          </cell>
        </row>
        <row r="42">
          <cell r="B42" t="str">
            <v>Coïc ñoàng Þ16 L = 2,4m Cadivi</v>
          </cell>
          <cell r="C42">
            <v>36</v>
          </cell>
        </row>
        <row r="43">
          <cell r="B43" t="str">
            <v>Con taéc 2 daây aâm ( 30/1/2M-1D) uùc</v>
          </cell>
          <cell r="C43">
            <v>37</v>
          </cell>
        </row>
        <row r="44">
          <cell r="B44" t="str">
            <v>Con taéc 3 daây aâm( 30M) Uùc</v>
          </cell>
          <cell r="C44">
            <v>38</v>
          </cell>
        </row>
        <row r="45">
          <cell r="B45" t="str">
            <v>Cöûa nhöïa NVS</v>
          </cell>
          <cell r="C45">
            <v>39</v>
          </cell>
        </row>
        <row r="46">
          <cell r="B46" t="str">
            <v>Cöûa ñi saét kính</v>
          </cell>
          <cell r="C46">
            <v>40</v>
          </cell>
        </row>
        <row r="47">
          <cell r="B47" t="str">
            <v>Cöûa soå luøa saét kính</v>
          </cell>
          <cell r="C47">
            <v>41</v>
          </cell>
        </row>
        <row r="48">
          <cell r="B48" t="str">
            <v>Daây daãn</v>
          </cell>
          <cell r="C48">
            <v>42</v>
          </cell>
        </row>
        <row r="49">
          <cell r="B49" t="str">
            <v>Daây ñieän ñôn vc 1,5</v>
          </cell>
          <cell r="C49">
            <v>43</v>
          </cell>
        </row>
        <row r="50">
          <cell r="B50" t="str">
            <v>Daây theùp</v>
          </cell>
          <cell r="C50">
            <v>44</v>
          </cell>
        </row>
        <row r="51">
          <cell r="B51" t="str">
            <v>Flinkote</v>
          </cell>
          <cell r="C51">
            <v>45</v>
          </cell>
        </row>
        <row r="52">
          <cell r="B52" t="str">
            <v>Gaïch 20x10</v>
          </cell>
          <cell r="C52">
            <v>46</v>
          </cell>
        </row>
        <row r="53">
          <cell r="B53" t="str">
            <v>Gaïch boäng</v>
          </cell>
          <cell r="C53">
            <v>47</v>
          </cell>
        </row>
        <row r="54">
          <cell r="B54" t="str">
            <v>Gaïch Ceramic 20x15</v>
          </cell>
          <cell r="C54">
            <v>48</v>
          </cell>
        </row>
        <row r="55">
          <cell r="B55" t="str">
            <v>Gaïch Ceramic 30x30</v>
          </cell>
          <cell r="C55">
            <v>49</v>
          </cell>
        </row>
        <row r="56">
          <cell r="B56" t="str">
            <v>Gaïch Ceramic nhaùm 20x20</v>
          </cell>
          <cell r="C56">
            <v>50</v>
          </cell>
        </row>
        <row r="57">
          <cell r="B57" t="str">
            <v>Gaïch men 15x30</v>
          </cell>
          <cell r="C57">
            <v>51</v>
          </cell>
        </row>
        <row r="58">
          <cell r="B58" t="str">
            <v>Gaïch oáng 10x10x20</v>
          </cell>
          <cell r="C58">
            <v>52</v>
          </cell>
        </row>
        <row r="59">
          <cell r="B59" t="str">
            <v>Gaïch oáng 8x8x19</v>
          </cell>
          <cell r="C59">
            <v>53</v>
          </cell>
        </row>
        <row r="60">
          <cell r="B60" t="str">
            <v>Gaïch theû 4x8x19</v>
          </cell>
          <cell r="C60">
            <v>54</v>
          </cell>
        </row>
        <row r="61">
          <cell r="B61" t="str">
            <v>Gaïch xi maêng 20x20</v>
          </cell>
          <cell r="C61">
            <v>55</v>
          </cell>
        </row>
        <row r="62">
          <cell r="B62" t="str">
            <v>Giaù ñôõ maùy</v>
          </cell>
          <cell r="C62">
            <v>56</v>
          </cell>
        </row>
        <row r="63">
          <cell r="B63" t="str">
            <v>Giaùy nhaùm</v>
          </cell>
          <cell r="C63">
            <v>57</v>
          </cell>
        </row>
        <row r="64">
          <cell r="B64" t="str">
            <v>Goã caàu coâng taùc</v>
          </cell>
          <cell r="C64">
            <v>58</v>
          </cell>
        </row>
        <row r="65">
          <cell r="B65" t="str">
            <v>Goã cheøn</v>
          </cell>
          <cell r="C65">
            <v>59</v>
          </cell>
        </row>
        <row r="66">
          <cell r="B66" t="str">
            <v>Goã choáng</v>
          </cell>
          <cell r="C66">
            <v>60</v>
          </cell>
        </row>
        <row r="67">
          <cell r="B67" t="str">
            <v>Goã ñaø neïp</v>
          </cell>
          <cell r="C67">
            <v>61</v>
          </cell>
        </row>
        <row r="68">
          <cell r="B68" t="str">
            <v>Goã vaùn</v>
          </cell>
          <cell r="C68">
            <v>62</v>
          </cell>
        </row>
        <row r="69">
          <cell r="B69" t="str">
            <v>Goã xeû</v>
          </cell>
          <cell r="C69">
            <v>63</v>
          </cell>
        </row>
        <row r="70">
          <cell r="B70" t="str">
            <v>Hoá ñaáu daây 4CB54 cty Nam vieät</v>
          </cell>
          <cell r="C70">
            <v>64</v>
          </cell>
        </row>
        <row r="71">
          <cell r="B71" t="str">
            <v>Hoäp con taéc S/Wbox1</v>
          </cell>
          <cell r="C71">
            <v>65</v>
          </cell>
        </row>
        <row r="72">
          <cell r="B72" t="str">
            <v>Hoäp gaén oå ñieän thoaïi</v>
          </cell>
          <cell r="C72">
            <v>66</v>
          </cell>
        </row>
        <row r="73">
          <cell r="B73" t="str">
            <v>Hoäp noái caùp ñieän thoaïi</v>
          </cell>
          <cell r="C73">
            <v>67</v>
          </cell>
        </row>
        <row r="74">
          <cell r="B74" t="str">
            <v>Hoäp noái caùp tieáp ñaát kho saùch</v>
          </cell>
          <cell r="C74">
            <v>68</v>
          </cell>
        </row>
        <row r="75">
          <cell r="B75" t="str">
            <v>Hoäp soá</v>
          </cell>
          <cell r="C75">
            <v>69</v>
          </cell>
        </row>
        <row r="76">
          <cell r="B76" t="str">
            <v>Hoäp tole</v>
          </cell>
          <cell r="C76">
            <v>70</v>
          </cell>
        </row>
        <row r="77">
          <cell r="B77" t="str">
            <v>Keõm buoäc</v>
          </cell>
          <cell r="C77">
            <v>71</v>
          </cell>
        </row>
        <row r="78">
          <cell r="B78" t="str">
            <v>Khung goã</v>
          </cell>
          <cell r="C78">
            <v>72</v>
          </cell>
        </row>
        <row r="79">
          <cell r="B79" t="str">
            <v>Khung saét kính cheát</v>
          </cell>
          <cell r="C79">
            <v>73</v>
          </cell>
        </row>
        <row r="80">
          <cell r="B80" t="str">
            <v>Kim thu seùt S 4,5 Phaùp</v>
          </cell>
          <cell r="C80">
            <v>74</v>
          </cell>
        </row>
        <row r="81">
          <cell r="B81" t="str">
            <v>Maêng soâng Þ114</v>
          </cell>
          <cell r="C81">
            <v>75</v>
          </cell>
        </row>
        <row r="82">
          <cell r="B82" t="str">
            <v>Maêng soâng Þ21</v>
          </cell>
          <cell r="C82">
            <v>76</v>
          </cell>
        </row>
        <row r="83">
          <cell r="B83" t="str">
            <v>Maêng soâng Þ27</v>
          </cell>
          <cell r="C83">
            <v>77</v>
          </cell>
        </row>
        <row r="84">
          <cell r="B84" t="str">
            <v>Maêng soâng Þ34</v>
          </cell>
          <cell r="C84">
            <v>78</v>
          </cell>
        </row>
        <row r="85">
          <cell r="B85" t="str">
            <v>Maêng soâng Þ60</v>
          </cell>
          <cell r="C85">
            <v>79</v>
          </cell>
        </row>
        <row r="86">
          <cell r="B86" t="str">
            <v>Maêng soâng Þ75</v>
          </cell>
          <cell r="C86">
            <v>80</v>
          </cell>
        </row>
        <row r="87">
          <cell r="B87" t="str">
            <v>Maêng soâng Þ90</v>
          </cell>
          <cell r="C87">
            <v>81</v>
          </cell>
        </row>
        <row r="88">
          <cell r="B88" t="str">
            <v>Matit</v>
          </cell>
          <cell r="C88">
            <v>82</v>
          </cell>
        </row>
        <row r="89">
          <cell r="B89" t="str">
            <v>Moùc saét</v>
          </cell>
          <cell r="C89">
            <v>83</v>
          </cell>
        </row>
        <row r="90">
          <cell r="B90" t="str">
            <v>Moùc saét ñeäm</v>
          </cell>
          <cell r="C90">
            <v>84</v>
          </cell>
        </row>
        <row r="91">
          <cell r="B91" t="str">
            <v>Ñaát ñeøn</v>
          </cell>
          <cell r="C91">
            <v>85</v>
          </cell>
        </row>
        <row r="92">
          <cell r="B92" t="str">
            <v>Ñaù 1x2</v>
          </cell>
          <cell r="C92">
            <v>86</v>
          </cell>
        </row>
        <row r="93">
          <cell r="B93" t="str">
            <v>Ñaù 4x6</v>
          </cell>
          <cell r="C93">
            <v>87</v>
          </cell>
        </row>
        <row r="94">
          <cell r="B94" t="str">
            <v>Neïp goã</v>
          </cell>
          <cell r="C94">
            <v>88</v>
          </cell>
        </row>
        <row r="95">
          <cell r="B95" t="str">
            <v>Ñeøn 1,2*2 maùng taùn quang VN</v>
          </cell>
          <cell r="C95">
            <v>89</v>
          </cell>
        </row>
        <row r="96">
          <cell r="B96" t="str">
            <v>Ñeøn 1,2*3 maùng taùn quang VN</v>
          </cell>
          <cell r="C96">
            <v>90</v>
          </cell>
        </row>
        <row r="97">
          <cell r="B97" t="str">
            <v>Ñeøn aùp töôøng 40W</v>
          </cell>
          <cell r="C97">
            <v>91</v>
          </cell>
        </row>
        <row r="98">
          <cell r="B98" t="str">
            <v>Ñeøn choáng noå boùng troøn 100W VN</v>
          </cell>
          <cell r="C98">
            <v>92</v>
          </cell>
        </row>
        <row r="99">
          <cell r="B99" t="str">
            <v>Ñeøn chuøm</v>
          </cell>
          <cell r="C99">
            <v>93</v>
          </cell>
        </row>
        <row r="100">
          <cell r="B100" t="str">
            <v>Ñeøn chuøm aùp traàn ñeá vuoâng VN</v>
          </cell>
          <cell r="C100">
            <v>94</v>
          </cell>
        </row>
        <row r="101">
          <cell r="B101" t="str">
            <v>Ñeøn kieåu maét eách D100 boùng troøn 40W</v>
          </cell>
          <cell r="C101">
            <v>95</v>
          </cell>
        </row>
        <row r="102">
          <cell r="B102" t="str">
            <v>Ñeøn neon troøn 32W ñeá vuoâng</v>
          </cell>
          <cell r="C102">
            <v>96</v>
          </cell>
        </row>
        <row r="103">
          <cell r="B103" t="str">
            <v>Ñeøn söï coá li oa</v>
          </cell>
          <cell r="C103">
            <v>97</v>
          </cell>
        </row>
        <row r="104">
          <cell r="B104" t="str">
            <v>Ñeøn troøn 60W chuïp baùn tieâu VN</v>
          </cell>
          <cell r="C104">
            <v>98</v>
          </cell>
        </row>
        <row r="105">
          <cell r="B105" t="str">
            <v>Nhöïa daùn</v>
          </cell>
          <cell r="C105">
            <v>99</v>
          </cell>
        </row>
        <row r="106">
          <cell r="B106" t="str">
            <v>Ñinh</v>
          </cell>
          <cell r="C106">
            <v>100</v>
          </cell>
        </row>
        <row r="107">
          <cell r="B107" t="str">
            <v>Ñinh caùc loaïi</v>
          </cell>
          <cell r="C107">
            <v>101</v>
          </cell>
        </row>
        <row r="108">
          <cell r="B108" t="str">
            <v>Ñinh ñæa</v>
          </cell>
          <cell r="C108">
            <v>102</v>
          </cell>
        </row>
        <row r="109">
          <cell r="B109" t="str">
            <v>Ñinh vít</v>
          </cell>
          <cell r="C109">
            <v>103</v>
          </cell>
        </row>
        <row r="110">
          <cell r="B110" t="str">
            <v>nöôùc</v>
          </cell>
          <cell r="C110">
            <v>104</v>
          </cell>
        </row>
        <row r="111">
          <cell r="B111" t="str">
            <v>OÅ caém aâm 3 cöïc(E426UEST2) Uùc</v>
          </cell>
          <cell r="C111">
            <v>105</v>
          </cell>
        </row>
        <row r="112">
          <cell r="B112" t="str">
            <v>OÅ caém ñieän thoaïi 3301AV Uùc</v>
          </cell>
          <cell r="C112">
            <v>106</v>
          </cell>
        </row>
        <row r="113">
          <cell r="B113" t="str">
            <v>OÂ xy</v>
          </cell>
          <cell r="C113">
            <v>107</v>
          </cell>
        </row>
        <row r="114">
          <cell r="B114" t="str">
            <v>OÁng xoaén ruoät gaø Þ16 cty Nam Vieät</v>
          </cell>
          <cell r="C114">
            <v>107</v>
          </cell>
        </row>
        <row r="115">
          <cell r="B115" t="str">
            <v>OÁng luoàn xoaén ruoät gaø 19 cty Nam Vieät</v>
          </cell>
          <cell r="C115">
            <v>108</v>
          </cell>
        </row>
        <row r="116">
          <cell r="B116" t="str">
            <v>OÁng luoàn xoaén ruoät gaø 28 cty Nam Vieät</v>
          </cell>
          <cell r="C116">
            <v>109</v>
          </cell>
        </row>
        <row r="117">
          <cell r="B117" t="str">
            <v>OÁng luoàn xoaén ruoät gaø 34 cty Nam Vieät</v>
          </cell>
          <cell r="C117">
            <v>110</v>
          </cell>
        </row>
        <row r="118">
          <cell r="B118" t="str">
            <v>OÁng thoaùt Nöôùc ML PVC D21</v>
          </cell>
          <cell r="C118">
            <v>110</v>
          </cell>
        </row>
        <row r="119">
          <cell r="B119" t="str">
            <v>OÁng PVC Þ114</v>
          </cell>
          <cell r="C119">
            <v>111</v>
          </cell>
        </row>
        <row r="120">
          <cell r="B120" t="str">
            <v>OÁng PVC Þ168</v>
          </cell>
          <cell r="C120">
            <v>112</v>
          </cell>
        </row>
        <row r="121">
          <cell r="B121" t="str">
            <v>OÁng PVC Þ21</v>
          </cell>
          <cell r="C121">
            <v>113</v>
          </cell>
        </row>
        <row r="122">
          <cell r="B122" t="str">
            <v>OÁng PVC Þ27</v>
          </cell>
          <cell r="C122">
            <v>114</v>
          </cell>
        </row>
        <row r="123">
          <cell r="B123" t="str">
            <v>OÁng PVC Þ34</v>
          </cell>
          <cell r="C123">
            <v>115</v>
          </cell>
        </row>
        <row r="124">
          <cell r="B124" t="str">
            <v>OÁng PVC Þ60</v>
          </cell>
          <cell r="C124">
            <v>116</v>
          </cell>
        </row>
        <row r="125">
          <cell r="B125" t="str">
            <v>OÁng PVC Þ75</v>
          </cell>
          <cell r="C125">
            <v>117</v>
          </cell>
        </row>
        <row r="126">
          <cell r="B126" t="str">
            <v>OÁng PVC Þ90</v>
          </cell>
          <cell r="C126">
            <v>118</v>
          </cell>
        </row>
        <row r="127">
          <cell r="B127" t="str">
            <v>OÁng vaø daây daãn ñieän</v>
          </cell>
          <cell r="C127">
            <v>119</v>
          </cell>
        </row>
        <row r="128">
          <cell r="B128" t="str">
            <v>Pheãu thu nöôùc 200x200 inox</v>
          </cell>
          <cell r="C128">
            <v>120</v>
          </cell>
        </row>
        <row r="129">
          <cell r="B129" t="str">
            <v>Quaït huùt gioù aùp töôøng Þ250VN</v>
          </cell>
          <cell r="C129">
            <v>121</v>
          </cell>
        </row>
        <row r="130">
          <cell r="B130" t="str">
            <v>Quaït ñaûo traàn Sali ÑL</v>
          </cell>
          <cell r="C130">
            <v>122</v>
          </cell>
        </row>
        <row r="131">
          <cell r="B131" t="str">
            <v>Quaït traàn 80W MP</v>
          </cell>
          <cell r="C131">
            <v>123</v>
          </cell>
        </row>
        <row r="132">
          <cell r="B132" t="str">
            <v>Que haøn</v>
          </cell>
          <cell r="C132">
            <v>124</v>
          </cell>
        </row>
        <row r="133">
          <cell r="B133" t="str">
            <v>Saét troøn</v>
          </cell>
          <cell r="C133">
            <v>125</v>
          </cell>
        </row>
        <row r="134">
          <cell r="B134" t="str">
            <v>Sôn</v>
          </cell>
          <cell r="C134">
            <v>126</v>
          </cell>
        </row>
        <row r="135">
          <cell r="B135" t="str">
            <v>Sôn daàu</v>
          </cell>
          <cell r="C135">
            <v>127</v>
          </cell>
        </row>
        <row r="136">
          <cell r="B136" t="str">
            <v>Sôn nöôùc</v>
          </cell>
          <cell r="C136">
            <v>128</v>
          </cell>
        </row>
        <row r="137">
          <cell r="B137" t="str">
            <v>Taám nhöïa</v>
          </cell>
          <cell r="C137">
            <v>129</v>
          </cell>
        </row>
        <row r="138">
          <cell r="B138" t="str">
            <v>Teâ PVC Þ34-21</v>
          </cell>
          <cell r="C138">
            <v>130</v>
          </cell>
        </row>
        <row r="139">
          <cell r="B139" t="str">
            <v>Teâ PVC Þ60</v>
          </cell>
          <cell r="C139">
            <v>131</v>
          </cell>
        </row>
        <row r="140">
          <cell r="B140" t="str">
            <v>Theùp hình</v>
          </cell>
          <cell r="C140">
            <v>132</v>
          </cell>
        </row>
        <row r="141">
          <cell r="B141" t="str">
            <v>Theùp taám</v>
          </cell>
          <cell r="C141">
            <v>133</v>
          </cell>
        </row>
        <row r="142">
          <cell r="B142" t="str">
            <v>Theùp troøn</v>
          </cell>
          <cell r="C142">
            <v>134</v>
          </cell>
        </row>
        <row r="143">
          <cell r="B143" t="str">
            <v>Theùp troøn hoaëc theùp deïp</v>
          </cell>
          <cell r="C143">
            <v>135</v>
          </cell>
        </row>
        <row r="144">
          <cell r="B144" t="str">
            <v>Theùp troøn Þ&lt;=10</v>
          </cell>
          <cell r="C144">
            <v>136</v>
          </cell>
        </row>
        <row r="145">
          <cell r="B145" t="str">
            <v>Theùp troøn Þ&lt;=18</v>
          </cell>
          <cell r="C145">
            <v>137</v>
          </cell>
        </row>
        <row r="146">
          <cell r="B146" t="str">
            <v>Theùp troøn Þ&lt;10</v>
          </cell>
          <cell r="C146">
            <v>138</v>
          </cell>
        </row>
        <row r="147">
          <cell r="B147" t="str">
            <v>Theùp troøn Þ&lt;18</v>
          </cell>
          <cell r="C147">
            <v>139</v>
          </cell>
        </row>
        <row r="148">
          <cell r="B148" t="str">
            <v>Theùp troøn Þ&gt;18</v>
          </cell>
          <cell r="C148">
            <v>140</v>
          </cell>
        </row>
        <row r="149">
          <cell r="B149" t="str">
            <v>Tieåu nam ( wall Urinal VF-0412)</v>
          </cell>
          <cell r="C149">
            <v>141</v>
          </cell>
        </row>
        <row r="150">
          <cell r="B150" t="str">
            <v>Toân muùi</v>
          </cell>
          <cell r="C150">
            <v>142</v>
          </cell>
        </row>
        <row r="151">
          <cell r="B151" t="str">
            <v>Toân uùp noùc</v>
          </cell>
          <cell r="C151">
            <v>143</v>
          </cell>
        </row>
        <row r="152">
          <cell r="B152" t="str">
            <v>Tole muùi</v>
          </cell>
          <cell r="C152">
            <v>144</v>
          </cell>
        </row>
        <row r="153">
          <cell r="B153" t="str">
            <v>Tole uùp noùc</v>
          </cell>
          <cell r="C153">
            <v>145</v>
          </cell>
        </row>
        <row r="154">
          <cell r="B154" t="str">
            <v>Voâi cuïc</v>
          </cell>
          <cell r="C154">
            <v>146</v>
          </cell>
        </row>
        <row r="155">
          <cell r="B155" t="str">
            <v>Xaêng</v>
          </cell>
          <cell r="C155">
            <v>147</v>
          </cell>
        </row>
        <row r="156">
          <cell r="B156" t="str">
            <v>Xí beät American VF3000</v>
          </cell>
          <cell r="C156">
            <v>148</v>
          </cell>
        </row>
        <row r="157">
          <cell r="B157" t="str">
            <v>Xi maêng PC 30</v>
          </cell>
          <cell r="C157">
            <v>149</v>
          </cell>
        </row>
        <row r="158">
          <cell r="B158" t="str">
            <v>Xi maêng PC.30</v>
          </cell>
          <cell r="C158">
            <v>150</v>
          </cell>
        </row>
        <row r="159">
          <cell r="B159" t="str">
            <v>Xi maêng traéng</v>
          </cell>
          <cell r="C159">
            <v>151</v>
          </cell>
        </row>
      </sheetData>
      <sheetData sheetId="3"/>
      <sheetData sheetId="4" refreshError="1"/>
      <sheetData sheetId="5" refreshError="1"/>
      <sheetData sheetId="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汇总"/>
      <sheetName val="汇总公式(明细)"/>
      <sheetName val="1(分品种)"/>
      <sheetName val="宋报平均"/>
      <sheetName val="王报平均 "/>
      <sheetName val="1_分品种_"/>
      <sheetName val="COVER"/>
      <sheetName val="CIVIL WORK (2)"/>
      <sheetName val="APPROVE BUDGET"/>
      <sheetName val="MASTER PLAN"/>
      <sheetName val="BUDGET CONCLUSION GROUPING"/>
      <sheetName val="SUPER PS ELECTRICAL"/>
      <sheetName val="SUPER PS MECHANICAL"/>
      <sheetName val="ELECTRICAL WORK LIST"/>
      <sheetName val="ELECTRICAL DETIAL"/>
      <sheetName val="Electrical PH Detial"/>
      <sheetName val="MECHANICAL WORK LIST"/>
      <sheetName val="TOTAL MACHINE LIST"/>
      <sheetName val="SL1"/>
      <sheetName val="SL2"/>
      <sheetName val="ITS#1"/>
      <sheetName val="ITS#2"/>
      <sheetName val="ITS#3"/>
      <sheetName val="ITS#4"/>
      <sheetName val="ST#1"/>
      <sheetName val="ST#2"/>
      <sheetName val="FM"/>
      <sheetName val="CGS#1"/>
      <sheetName val="CGS#2"/>
      <sheetName val="CGS#3"/>
      <sheetName val="CGS#4"/>
      <sheetName val="ITP#1"/>
      <sheetName val="ITP#2"/>
      <sheetName val="PR"/>
      <sheetName val="BS#1A"/>
      <sheetName val="BS#1B"/>
      <sheetName val="BS#1C"/>
      <sheetName val="FGS # 1"/>
      <sheetName val="FGS # 2"/>
      <sheetName val="FGS # 3"/>
      <sheetName val="MXS#2A"/>
      <sheetName val="MXS#2B"/>
      <sheetName val="MXS#2C"/>
      <sheetName val="PL # 1"/>
      <sheetName val="PL # 2"/>
      <sheetName val="PL # 3"/>
      <sheetName val="PL # 4"/>
      <sheetName val="PL # 5"/>
      <sheetName val="PL # 6"/>
      <sheetName val="CBT"/>
      <sheetName val="CB #  1"/>
      <sheetName val="CB #  2"/>
      <sheetName val="CB #  3"/>
      <sheetName val="PKS # 1"/>
      <sheetName val="PKS # 2"/>
      <sheetName val="PKS # 3"/>
      <sheetName val="RMS # 1"/>
      <sheetName val="RMS # 2"/>
      <sheetName val="RMS # 3"/>
      <sheetName val="NEXT FISH FEED"/>
      <sheetName val="INF#1"/>
      <sheetName val="INF#2"/>
      <sheetName val="CGF#1A"/>
      <sheetName val="CGF#1B"/>
      <sheetName val="BF#1A"/>
      <sheetName val="BF#1B"/>
      <sheetName val="FGF#1"/>
      <sheetName val="FGF#2"/>
      <sheetName val="MXF#2A"/>
      <sheetName val="MXF#2B"/>
      <sheetName val="EXT#1"/>
      <sheetName val="EXT#2"/>
      <sheetName val="EXT#3"/>
      <sheetName val="PKF#1"/>
      <sheetName val="PKF#2"/>
      <sheetName val="RMF#1"/>
      <sheetName val="RMF#2"/>
      <sheetName val="RMF#3"/>
      <sheetName val="MECHANICAL WORK"/>
      <sheetName val="CIVIL WORK"/>
      <sheetName val="BUCKET 500-230"/>
      <sheetName val="Quantity"/>
      <sheetName val="CAL"/>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
      <sheetName val="68.Pakthongchai R1"/>
      <sheetName val="68.Pakthongchai"/>
      <sheetName val="67.Topfeed"/>
      <sheetName val="66.Pakthongchai"/>
      <sheetName val="65 SG"/>
      <sheetName val="64.PNP R1"/>
      <sheetName val="64.PNP"/>
      <sheetName val="63.Pakthongchai"/>
      <sheetName val="62.Pakthongchai"/>
      <sheetName val="61.koktume"/>
      <sheetName val="60.CPF"/>
      <sheetName val="59.topfeed"/>
      <sheetName val="58.Myanmar"/>
      <sheetName val="57.PNP"/>
      <sheetName val="56.Pakthongchai"/>
      <sheetName val="55.Bangladesh R3"/>
      <sheetName val="55.Bangladesh R2"/>
      <sheetName val="55.Bangladesh"/>
      <sheetName val="54.top feed R3"/>
      <sheetName val="54.top feed R2"/>
      <sheetName val="54.top feed R1"/>
      <sheetName val="54.top feed"/>
      <sheetName val="53.Pakthongchai"/>
      <sheetName val="52.Pakthongchai"/>
      <sheetName val="51.Rajburi"/>
      <sheetName val="50.CPVN R1"/>
      <sheetName val="50.CPVN"/>
      <sheetName val="49.Pakthongchai"/>
      <sheetName val="48.กรุงไทย"/>
      <sheetName val="47."/>
      <sheetName val="46.BP"/>
      <sheetName val="45.CPF NEW CS"/>
      <sheetName val="44.CPF CS"/>
      <sheetName val="43.CPF NON CS"/>
      <sheetName val="42.BP"/>
      <sheetName val="41.VietnamR2"/>
      <sheetName val="41.VietnamR1"/>
      <sheetName val="41.Vietnam"/>
      <sheetName val="40.koktume"/>
      <sheetName val="39.ปักธงชัย R1"/>
      <sheetName val="39.ปักธงชัย"/>
      <sheetName val="38.ปักธงชัย"/>
      <sheetName val="37.BKK FM"/>
      <sheetName val="36.BP"/>
      <sheetName val="35.ปักธงชัยR1"/>
      <sheetName val="35.ปักธงชัย"/>
      <sheetName val="34.CPF R1"/>
      <sheetName val="33.PNP"/>
      <sheetName val="32.B.P."/>
      <sheetName val="31.ปักธงชัยR1"/>
      <sheetName val="31.ปักธงชัย"/>
      <sheetName val="30.ปักธงชัย"/>
      <sheetName val="29.SLP"/>
      <sheetName val="28.CPF"/>
      <sheetName val="27.ปักธงชัย"/>
      <sheetName val="26.CP.ปักธงชัย"/>
      <sheetName val="25.กม.21"/>
      <sheetName val="24.ปักธงชัย"/>
      <sheetName val="23.ปักธงชัย"/>
      <sheetName val="22.กม.21"/>
      <sheetName val="21.ปักธงชัย"/>
      <sheetName val="20.PNP"/>
      <sheetName val="19.ปักธงชัย"/>
      <sheetName val="18.ธารเกษม"/>
      <sheetName val="17.PNP"/>
      <sheetName val="16.Sriracha R1"/>
      <sheetName val="16.Sriracha"/>
      <sheetName val="15.ปักธงชัย"/>
      <sheetName val="14.กม.21"/>
      <sheetName val="13.PNP"/>
      <sheetName val="10.Sriracha"/>
      <sheetName val="9.Vietnam-revised"/>
      <sheetName val="8.กม.21"/>
      <sheetName val="7.PNP"/>
      <sheetName val="6.กม.21"/>
      <sheetName val="5.โคกตูม"/>
      <sheetName val="4.CP.Vietnam"/>
      <sheetName val="3.ธารเกษม"/>
      <sheetName val="2.ปักธงชัย"/>
      <sheetName val="12.TopFm"/>
      <sheetName val="11.โคกตูมอะไหล่"/>
      <sheetName val="1.ปักธงชัย"/>
      <sheetName val="BY SEA"/>
      <sheetName val="BY AIR"/>
      <sheetName val="consignment"/>
      <sheetName val="ENG"/>
      <sheetName val="64.PNP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
      <sheetName val="Quoted"/>
      <sheetName val="Quoted SP"/>
      <sheetName val="Discounts"/>
      <sheetName val="Data"/>
      <sheetName val="Sort"/>
      <sheetName val="AirLayout"/>
      <sheetName val="Edit"/>
      <sheetName val="Changes"/>
      <sheetName val="Systems"/>
      <sheetName val="Totals"/>
      <sheetName val="DChange"/>
      <sheetName val="DPort"/>
      <sheetName val="DModule"/>
      <sheetName val="DLead"/>
      <sheetName val="DAdd"/>
      <sheetName val="DAddHLP"/>
      <sheetName val="FInput"/>
      <sheetName val="DDoc"/>
      <sheetName val="DFreight"/>
      <sheetName val="Terms"/>
      <sheetName val="Module1"/>
      <sheetName val="Module3"/>
      <sheetName val="Module2"/>
      <sheetName val="1(分品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AA2" t="b">
            <v>0</v>
          </cell>
        </row>
        <row r="19">
          <cell r="U19">
            <v>1</v>
          </cell>
        </row>
      </sheetData>
      <sheetData sheetId="11" refreshError="1"/>
      <sheetData sheetId="12" refreshError="1"/>
      <sheetData sheetId="13" refreshError="1"/>
      <sheetData sheetId="14" refreshError="1"/>
      <sheetData sheetId="15" refreshError="1"/>
      <sheetData sheetId="16" refreshError="1"/>
      <sheetData sheetId="17">
        <row r="9">
          <cell r="B9">
            <v>0</v>
          </cell>
        </row>
      </sheetData>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
      <sheetName val="Quoted"/>
      <sheetName val="Quoted SP"/>
      <sheetName val="Quoted (2)"/>
      <sheetName val="Discounts"/>
      <sheetName val="Data"/>
      <sheetName val="Sort"/>
      <sheetName val="AirLayout"/>
      <sheetName val="Edit"/>
      <sheetName val="Changes"/>
      <sheetName val="Systems"/>
      <sheetName val="Totals"/>
      <sheetName val="DChange"/>
      <sheetName val="DPort"/>
      <sheetName val="DModule"/>
      <sheetName val="DLead"/>
      <sheetName val="DAdd"/>
      <sheetName val="DAddHLP"/>
      <sheetName val="FInput"/>
      <sheetName val="DDoc"/>
      <sheetName val="DFreight"/>
      <sheetName val="Terms"/>
      <sheetName val="Module1"/>
      <sheetName val="Module3"/>
      <sheetName val="Module2"/>
      <sheetName val="8-原料耗用价格比较"/>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row r="2">
          <cell r="AA2" t="b">
            <v>0</v>
          </cell>
        </row>
        <row r="30">
          <cell r="U30" t="str">
            <v xml:space="preserve"> </v>
          </cell>
        </row>
      </sheetData>
      <sheetData sheetId="12"/>
      <sheetData sheetId="13"/>
      <sheetData sheetId="14" refreshError="1"/>
      <sheetData sheetId="15"/>
      <sheetData sheetId="16"/>
      <sheetData sheetId="17"/>
      <sheetData sheetId="18" refreshError="1"/>
      <sheetData sheetId="19"/>
      <sheetData sheetId="20"/>
      <sheetData sheetId="21"/>
      <sheetData sheetId="22" refreshError="1"/>
      <sheetData sheetId="23" refreshError="1"/>
      <sheetData sheetId="24" refreshError="1"/>
      <sheetData sheetId="2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pricelist"/>
      <sheetName val="Quotation Danish -  DKK "/>
      <sheetName val="Quotation English - DKK "/>
      <sheetName val="Quotation English - EUR "/>
      <sheetName val="Quotation  EUR"/>
      <sheetName val="Quotation  DKK"/>
      <sheetName val="Div. machines"/>
      <sheetName val="GM 80-161"/>
      <sheetName val="Filter bag cage"/>
      <sheetName val="GRM 121-181"/>
      <sheetName val="D 160  - D 315"/>
      <sheetName val="CM 5-6-6K-12"/>
      <sheetName val="CM 701-901K"/>
      <sheetName val="CM 1101-1101K"/>
      <sheetName val="CRT 1101-1101K "/>
      <sheetName val="ECS Wenger"/>
      <sheetName val="ECS  CLEXTRAL"/>
      <sheetName val="ECS  VARIOUS TYPES"/>
      <sheetName val="ECS EX 17-20"/>
      <sheetName val="ECS  EX 1250"/>
      <sheetName val="FLEXTEX"/>
      <sheetName val="BT"/>
      <sheetName val="CZD "/>
      <sheetName val="VAC 1000-1500"/>
      <sheetName val="2KTV-4KTV"/>
      <sheetName val="SEP-SEP1"/>
      <sheetName val="DS 250- DS250WP"/>
      <sheetName val="POC 701-1401"/>
      <sheetName val="MULTI A"/>
      <sheetName val="MULTI B"/>
      <sheetName val="MULTI  01"/>
      <sheetName val="MULTI 1400C"/>
      <sheetName val="OPTIMILL 1201"/>
      <sheetName val="OPTIMILL"/>
      <sheetName val="EX 617"/>
      <sheetName val="EX 620"/>
      <sheetName val="EX 917"/>
      <sheetName val="EX 920"/>
      <sheetName val="EX 1250"/>
      <sheetName val="VG 500"/>
      <sheetName val="VG 600"/>
      <sheetName val="FEX 25"/>
      <sheetName val="FEX 34"/>
      <sheetName val="FEX 42"/>
      <sheetName val="PM 5"/>
      <sheetName val="PMV 2"/>
      <sheetName val="PM 6"/>
      <sheetName val="PM 12"/>
      <sheetName val="PMV 515"/>
      <sheetName val="PM 615"/>
      <sheetName val="PMV 615"/>
      <sheetName val="PM 707"/>
      <sheetName val="PMV 717"/>
      <sheetName val="PM717"/>
      <sheetName val="PM 900"/>
      <sheetName val="PM 909"/>
      <sheetName val="PMV 919"/>
      <sheetName val="PM 919"/>
      <sheetName val="PM 1219"/>
      <sheetName val="Coating on die"/>
      <sheetName val="HB 1500 - 7500"/>
      <sheetName val="PM 30 - 3"/>
      <sheetName val="PM 30 - 2"/>
      <sheetName val="HPB 500 - 10000"/>
      <sheetName val="MFS 500"/>
      <sheetName val="VB 12 -24"/>
      <sheetName val="K200-K400"/>
      <sheetName val="KBS 10 -  28"/>
    </sheetNames>
    <sheetDataSet>
      <sheetData sheetId="0" refreshError="1">
        <row r="5">
          <cell r="A5">
            <v>3</v>
          </cell>
          <cell r="B5" t="str">
            <v>Spændelement TL 4545 - Ø100</v>
          </cell>
          <cell r="C5" t="str">
            <v>Shaft adapter, taper-lock TL45450 Ø100</v>
          </cell>
          <cell r="D5">
            <v>292</v>
          </cell>
          <cell r="E5">
            <v>39.247311827956985</v>
          </cell>
        </row>
        <row r="6">
          <cell r="A6">
            <v>4</v>
          </cell>
          <cell r="B6" t="str">
            <v>Kileremskive SPC 10 – Ø560 TL5050</v>
          </cell>
          <cell r="C6" t="str">
            <v>V-belt pulley SPC 10 – Ø560 TL4545</v>
          </cell>
          <cell r="D6">
            <v>6890</v>
          </cell>
          <cell r="E6">
            <v>926.07526881720423</v>
          </cell>
        </row>
        <row r="7">
          <cell r="A7">
            <v>14</v>
          </cell>
          <cell r="B7" t="str">
            <v>Blandeaksel, komplet</v>
          </cell>
          <cell r="C7" t="str">
            <v>Mixing shaft, complete</v>
          </cell>
          <cell r="D7">
            <v>20458</v>
          </cell>
          <cell r="E7">
            <v>2749.7311827956987</v>
          </cell>
        </row>
        <row r="8">
          <cell r="A8">
            <v>15</v>
          </cell>
          <cell r="B8" t="str">
            <v>Fordæksel</v>
          </cell>
          <cell r="C8" t="str">
            <v>Front cover</v>
          </cell>
          <cell r="D8">
            <v>5353</v>
          </cell>
          <cell r="E8">
            <v>719.48924731182797</v>
          </cell>
        </row>
        <row r="9">
          <cell r="A9">
            <v>19</v>
          </cell>
          <cell r="B9" t="str">
            <v>Skraber, komplet, incl. pos. 21</v>
          </cell>
          <cell r="C9" t="str">
            <v>Scraper, complete, incl. item 21</v>
          </cell>
          <cell r="D9">
            <v>133</v>
          </cell>
          <cell r="E9">
            <v>17.876344086021504</v>
          </cell>
        </row>
        <row r="10">
          <cell r="A10">
            <v>21</v>
          </cell>
          <cell r="B10" t="str">
            <v>Kilerem SPA 2120</v>
          </cell>
          <cell r="C10" t="str">
            <v>V-belt SPA 2120</v>
          </cell>
          <cell r="D10">
            <v>69</v>
          </cell>
          <cell r="E10">
            <v>9.2741935483870961</v>
          </cell>
        </row>
        <row r="11">
          <cell r="A11">
            <v>22</v>
          </cell>
          <cell r="B11" t="str">
            <v>Cy. Skrue M16x25 A2</v>
          </cell>
          <cell r="C11" t="str">
            <v>Cyl.  Screw M16x25 A2</v>
          </cell>
          <cell r="D11">
            <v>23</v>
          </cell>
          <cell r="E11">
            <v>3.0913978494623655</v>
          </cell>
        </row>
        <row r="12">
          <cell r="A12">
            <v>27</v>
          </cell>
          <cell r="B12" t="str">
            <v>erstattet af 053525</v>
          </cell>
          <cell r="C12" t="str">
            <v>Replaced by 053525</v>
          </cell>
          <cell r="D12" t="str">
            <v>replaced</v>
          </cell>
          <cell r="E12" t="e">
            <v>#VALUE!</v>
          </cell>
        </row>
        <row r="13">
          <cell r="A13">
            <v>55</v>
          </cell>
          <cell r="B13" t="str">
            <v>Håndhjul</v>
          </cell>
          <cell r="C13" t="str">
            <v xml:space="preserve">     </v>
          </cell>
          <cell r="D13">
            <v>318</v>
          </cell>
          <cell r="E13">
            <v>42.741935483870968</v>
          </cell>
        </row>
        <row r="14">
          <cell r="A14">
            <v>63</v>
          </cell>
          <cell r="B14" t="str">
            <v xml:space="preserve">Vandkappe L=240 EX17 </v>
          </cell>
          <cell r="C14" t="str">
            <v xml:space="preserve">Water jacket L=240 EX17 </v>
          </cell>
          <cell r="D14">
            <v>11655</v>
          </cell>
          <cell r="E14">
            <v>1566.5322580645161</v>
          </cell>
        </row>
        <row r="15">
          <cell r="A15">
            <v>64</v>
          </cell>
          <cell r="B15" t="str">
            <v xml:space="preserve">Vandkappe L=330 EX17 </v>
          </cell>
          <cell r="C15" t="str">
            <v xml:space="preserve">Water jacket L=330 EX17 </v>
          </cell>
          <cell r="D15">
            <v>12609</v>
          </cell>
          <cell r="E15">
            <v>1694.758064516129</v>
          </cell>
        </row>
        <row r="16">
          <cell r="A16">
            <v>68</v>
          </cell>
          <cell r="B16" t="str">
            <v>1/2" fletslange 1000 90°/lige oml.</v>
          </cell>
          <cell r="C16" t="str">
            <v>Reinforced hose 1/2" 1000 90°</v>
          </cell>
          <cell r="D16">
            <v>477</v>
          </cell>
          <cell r="E16">
            <v>64.112903225806448</v>
          </cell>
        </row>
        <row r="17">
          <cell r="A17">
            <v>73</v>
          </cell>
          <cell r="B17" t="str">
            <v>Aksel Ø12</v>
          </cell>
          <cell r="C17" t="str">
            <v>Shaft Ø12</v>
          </cell>
          <cell r="D17">
            <v>204</v>
          </cell>
          <cell r="E17">
            <v>27.419354838709676</v>
          </cell>
        </row>
        <row r="18">
          <cell r="A18">
            <v>84</v>
          </cell>
          <cell r="B18" t="str">
            <v>Trykmåler</v>
          </cell>
          <cell r="C18" t="str">
            <v>Pressure sensor</v>
          </cell>
          <cell r="D18">
            <v>1749</v>
          </cell>
          <cell r="E18">
            <v>235.08064516129031</v>
          </cell>
        </row>
        <row r="19">
          <cell r="A19">
            <v>109</v>
          </cell>
          <cell r="B19" t="str">
            <v>Spændeelement TL5050 Ø90</v>
          </cell>
          <cell r="C19" t="str">
            <v>Shaft adapter, taper-lock TL5050 Ø90</v>
          </cell>
          <cell r="D19">
            <v>451</v>
          </cell>
          <cell r="E19">
            <v>60.618279569892472</v>
          </cell>
        </row>
        <row r="20">
          <cell r="A20">
            <v>124</v>
          </cell>
          <cell r="B20" t="str">
            <v>6-kt. Skrue M12 x 16 DIN 933</v>
          </cell>
          <cell r="C20" t="str">
            <v>Hex screw M12 x 16 DIN 933</v>
          </cell>
          <cell r="D20">
            <v>2</v>
          </cell>
          <cell r="E20">
            <v>0.26881720430107525</v>
          </cell>
        </row>
        <row r="21">
          <cell r="A21">
            <v>143</v>
          </cell>
          <cell r="B21" t="str">
            <v>Slange Ø6/Ø4 NYLON klar</v>
          </cell>
          <cell r="C21" t="str">
            <v>Hose Ø6/Ø4 nylon ready</v>
          </cell>
          <cell r="D21">
            <v>15.4</v>
          </cell>
          <cell r="E21">
            <v>2.0698924731182795</v>
          </cell>
        </row>
        <row r="22">
          <cell r="A22">
            <v>153</v>
          </cell>
          <cell r="B22" t="str">
            <v>Spændelement TL2517, Ø42</v>
          </cell>
          <cell r="C22" t="str">
            <v>Tension element, TL2517 Ø42</v>
          </cell>
          <cell r="D22">
            <v>48</v>
          </cell>
          <cell r="E22">
            <v>6.4516129032258061</v>
          </cell>
        </row>
        <row r="23">
          <cell r="A23">
            <v>157</v>
          </cell>
          <cell r="B23" t="str">
            <v>Knivskaft</v>
          </cell>
          <cell r="C23" t="str">
            <v>knife shaft</v>
          </cell>
          <cell r="D23">
            <v>3710</v>
          </cell>
          <cell r="E23">
            <v>498.6559139784946</v>
          </cell>
        </row>
        <row r="24">
          <cell r="A24">
            <v>160</v>
          </cell>
          <cell r="B24" t="str">
            <v>Rørstift Ø07 x 30 DIN 1481</v>
          </cell>
          <cell r="C24" t="str">
            <v>Tub pin Ø07 x 30 DIN 1481</v>
          </cell>
          <cell r="D24">
            <v>1.8</v>
          </cell>
          <cell r="E24">
            <v>0.24193548387096772</v>
          </cell>
        </row>
        <row r="25">
          <cell r="A25">
            <v>171</v>
          </cell>
          <cell r="B25" t="str">
            <v>O-ring Ø159,3 x Ø5,7 Nitril</v>
          </cell>
          <cell r="C25" t="str">
            <v>O-ring Ø159,3 x 5,7, Nitril</v>
          </cell>
          <cell r="D25">
            <v>8.5</v>
          </cell>
          <cell r="E25">
            <v>1.1424731182795698</v>
          </cell>
        </row>
        <row r="26">
          <cell r="A26">
            <v>172</v>
          </cell>
          <cell r="B26" t="str">
            <v>Cyl. rulleleje NJ 2226</v>
          </cell>
          <cell r="C26" t="str">
            <v>Roller bearing NJ2226e</v>
          </cell>
          <cell r="D26">
            <v>3551</v>
          </cell>
          <cell r="E26">
            <v>477.28494623655911</v>
          </cell>
        </row>
        <row r="27">
          <cell r="A27">
            <v>174</v>
          </cell>
          <cell r="B27" t="str">
            <v>Pinolskrue M10 x 12 DIN 916</v>
          </cell>
          <cell r="C27" t="str">
            <v>Pointed screw M10 x 12 DIN 916</v>
          </cell>
          <cell r="D27">
            <v>1.2</v>
          </cell>
          <cell r="E27">
            <v>0.16129032258064516</v>
          </cell>
        </row>
        <row r="28">
          <cell r="A28">
            <v>179</v>
          </cell>
          <cell r="B28" t="str">
            <v>Fjederring U30 x 1,5</v>
          </cell>
          <cell r="C28" t="str">
            <v>Spring ring U30 x 1,5</v>
          </cell>
          <cell r="D28">
            <v>1.9</v>
          </cell>
          <cell r="E28">
            <v>0.2553763440860215</v>
          </cell>
        </row>
        <row r="29">
          <cell r="A29">
            <v>187</v>
          </cell>
          <cell r="B29" t="str">
            <v>Olietank</v>
          </cell>
          <cell r="C29" t="str">
            <v>Oil tank</v>
          </cell>
          <cell r="D29">
            <v>14840</v>
          </cell>
          <cell r="E29">
            <v>1994.6236559139784</v>
          </cell>
        </row>
        <row r="30">
          <cell r="A30">
            <v>191</v>
          </cell>
          <cell r="B30" t="str">
            <v>Gevindstang M30 L = 580</v>
          </cell>
          <cell r="C30" t="str">
            <v>Tread rod M30  L = 580</v>
          </cell>
          <cell r="D30">
            <v>133</v>
          </cell>
          <cell r="E30">
            <v>17.876344086021504</v>
          </cell>
        </row>
        <row r="31">
          <cell r="A31">
            <v>201</v>
          </cell>
          <cell r="B31" t="str">
            <v>O-ring Ø016,0 x Ø3,00 Nitril</v>
          </cell>
          <cell r="C31" t="str">
            <v>O-ring Ø016,0 x Ø3,00 Nitril</v>
          </cell>
          <cell r="D31">
            <v>0.5</v>
          </cell>
          <cell r="E31">
            <v>6.7204301075268813E-2</v>
          </cell>
        </row>
        <row r="32">
          <cell r="A32">
            <v>204</v>
          </cell>
          <cell r="B32" t="str">
            <v>O-ring Ø011,3 x Ø2,40 Viton</v>
          </cell>
          <cell r="C32" t="str">
            <v>O-ring Ø011,3 x Ø2,40 Viton</v>
          </cell>
          <cell r="D32">
            <v>1.8</v>
          </cell>
          <cell r="E32">
            <v>0.24193548387096772</v>
          </cell>
        </row>
        <row r="33">
          <cell r="A33">
            <v>205</v>
          </cell>
          <cell r="B33" t="str">
            <v>PT100 føler</v>
          </cell>
          <cell r="C33" t="str">
            <v>PT100 thermal sensor</v>
          </cell>
          <cell r="D33">
            <v>1039</v>
          </cell>
          <cell r="E33">
            <v>139.65053763440861</v>
          </cell>
        </row>
        <row r="34">
          <cell r="A34">
            <v>217</v>
          </cell>
          <cell r="B34" t="str">
            <v>Feder A 24 x 14 x 350 DS96</v>
          </cell>
          <cell r="C34" t="str">
            <v>Parallel key A 24 x 14 x 350 DS96</v>
          </cell>
          <cell r="D34">
            <v>111</v>
          </cell>
          <cell r="E34">
            <v>14.919354838709676</v>
          </cell>
        </row>
        <row r="35">
          <cell r="A35">
            <v>219</v>
          </cell>
          <cell r="B35" t="str">
            <v>Rørstift Ø6  x 50</v>
          </cell>
          <cell r="C35" t="str">
            <v>Hollow pin Ø6  x 50</v>
          </cell>
          <cell r="D35">
            <v>1.1000000000000001</v>
          </cell>
          <cell r="E35">
            <v>0.14784946236559141</v>
          </cell>
        </row>
        <row r="36">
          <cell r="A36">
            <v>226</v>
          </cell>
          <cell r="B36" t="str">
            <v>Feder A 8x7x30 DS96</v>
          </cell>
          <cell r="C36" t="str">
            <v>Parallel key A 8 x 7 x 30 DS96</v>
          </cell>
          <cell r="D36">
            <v>4.2</v>
          </cell>
          <cell r="E36">
            <v>0.56451612903225801</v>
          </cell>
        </row>
        <row r="37">
          <cell r="A37">
            <v>232</v>
          </cell>
          <cell r="B37" t="str">
            <v>Manometer 0-100 bar 1/4" Fyldt</v>
          </cell>
          <cell r="C37" t="str">
            <v>Manometer 0-100 bar 1/4" Filled</v>
          </cell>
          <cell r="D37">
            <v>154</v>
          </cell>
          <cell r="E37">
            <v>20.698924731182796</v>
          </cell>
        </row>
        <row r="38">
          <cell r="A38">
            <v>233</v>
          </cell>
          <cell r="B38" t="str">
            <v>Ventil Kuglevent.  1/4" Type Total MESS</v>
          </cell>
          <cell r="C38" t="str">
            <v>Spherical valve 1/4" Type Total MESS</v>
          </cell>
          <cell r="D38">
            <v>58</v>
          </cell>
          <cell r="E38">
            <v>7.7956989247311821</v>
          </cell>
        </row>
        <row r="39">
          <cell r="A39">
            <v>234</v>
          </cell>
          <cell r="B39" t="str">
            <v>Smørenippel 1/4"RG lige</v>
          </cell>
          <cell r="C39" t="str">
            <v>Grease nipple 1/4"RG straight</v>
          </cell>
          <cell r="D39">
            <v>5.2</v>
          </cell>
          <cell r="E39">
            <v>0.69892473118279563</v>
          </cell>
        </row>
        <row r="40">
          <cell r="A40">
            <v>262</v>
          </cell>
          <cell r="B40" t="str">
            <v>Hals for dysehoved EX17</v>
          </cell>
          <cell r="C40" t="str">
            <v>Neck for nozzle EX17</v>
          </cell>
          <cell r="D40">
            <v>8427</v>
          </cell>
          <cell r="E40">
            <v>1132.6612903225805</v>
          </cell>
        </row>
        <row r="41">
          <cell r="A41">
            <v>264</v>
          </cell>
          <cell r="B41" t="str">
            <v>Møtrik M36 med R45 kugle</v>
          </cell>
          <cell r="C41" t="str">
            <v xml:space="preserve">Nut M36  </v>
          </cell>
          <cell r="D41">
            <v>113</v>
          </cell>
          <cell r="E41">
            <v>15.188172043010752</v>
          </cell>
        </row>
        <row r="42">
          <cell r="A42">
            <v>283</v>
          </cell>
          <cell r="B42" t="str">
            <v>Fordelerrør for damp, højre</v>
          </cell>
          <cell r="C42" t="str">
            <v>Distributor pipe for steam, right</v>
          </cell>
          <cell r="D42">
            <v>8586</v>
          </cell>
          <cell r="E42">
            <v>1154.0322580645161</v>
          </cell>
        </row>
        <row r="43">
          <cell r="A43">
            <v>286</v>
          </cell>
          <cell r="B43" t="str">
            <v>Magnetbeslag B=512 M700-900</v>
          </cell>
          <cell r="C43" t="str">
            <v>Magnet fitting B=512 M700-900</v>
          </cell>
          <cell r="D43">
            <v>159</v>
          </cell>
          <cell r="E43">
            <v>21.370967741935484</v>
          </cell>
        </row>
        <row r="44">
          <cell r="A44">
            <v>288</v>
          </cell>
          <cell r="B44" t="str">
            <v>Samlekasse el 80 x 82 m. T-stik</v>
          </cell>
          <cell r="C44" t="str">
            <v>Connection box, electr. 80 x 82 m. T-adapt.</v>
          </cell>
          <cell r="D44">
            <v>784</v>
          </cell>
          <cell r="E44">
            <v>105.3763440860215</v>
          </cell>
        </row>
        <row r="45">
          <cell r="A45">
            <v>289</v>
          </cell>
          <cell r="B45" t="str">
            <v>O-ring Ø185,0 x Ø5,70 Viton</v>
          </cell>
          <cell r="C45" t="str">
            <v>O-ring Ø185,0 x Ø5,70 Viton</v>
          </cell>
          <cell r="D45">
            <v>61</v>
          </cell>
          <cell r="E45">
            <v>8.198924731182796</v>
          </cell>
        </row>
        <row r="46">
          <cell r="A46">
            <v>290</v>
          </cell>
          <cell r="B46" t="str">
            <v>O-ring Ø149,3 x Ø5,70 Viton</v>
          </cell>
          <cell r="C46" t="str">
            <v>O-ring Ø149,3 x Ø5,70 Viton</v>
          </cell>
          <cell r="D46">
            <v>24</v>
          </cell>
          <cell r="E46">
            <v>3.225806451612903</v>
          </cell>
        </row>
        <row r="47">
          <cell r="A47">
            <v>291</v>
          </cell>
          <cell r="B47" t="str">
            <v xml:space="preserve">O-ring Ø215,0 x Ø6,00 Viton </v>
          </cell>
          <cell r="C47" t="str">
            <v xml:space="preserve">O-ring Ø215,0 x Ø6,00 Viton </v>
          </cell>
          <cell r="D47">
            <v>61</v>
          </cell>
          <cell r="E47">
            <v>8.198924731182796</v>
          </cell>
        </row>
        <row r="48">
          <cell r="A48">
            <v>292</v>
          </cell>
          <cell r="B48" t="str">
            <v>Cyl. Skrue M12 x 30  12.9</v>
          </cell>
          <cell r="C48" t="str">
            <v>Cyl. Screw M12 x 30  12.9</v>
          </cell>
          <cell r="D48">
            <v>3</v>
          </cell>
          <cell r="E48">
            <v>0.40322580645161288</v>
          </cell>
        </row>
        <row r="49">
          <cell r="A49">
            <v>293</v>
          </cell>
          <cell r="B49" t="str">
            <v>Studs for sneglerør 1"RG x 67 EX/FEX</v>
          </cell>
          <cell r="C49" t="str">
            <v>Hex nipple 1"RG x 67 EX/FEX</v>
          </cell>
          <cell r="D49">
            <v>167</v>
          </cell>
          <cell r="E49">
            <v>22.446236559139784</v>
          </cell>
        </row>
        <row r="50">
          <cell r="A50">
            <v>294</v>
          </cell>
          <cell r="B50" t="str">
            <v>Konsol med induktiv føler</v>
          </cell>
          <cell r="C50" t="str">
            <v>Support for  indcator</v>
          </cell>
          <cell r="D50">
            <v>519</v>
          </cell>
          <cell r="E50">
            <v>69.758064516129025</v>
          </cell>
        </row>
        <row r="51">
          <cell r="A51">
            <v>296</v>
          </cell>
          <cell r="B51" t="str">
            <v>Slutmuffe 1" RG galvaniseret</v>
          </cell>
          <cell r="C51" t="str">
            <v>Closing cap  1" RG galvanized</v>
          </cell>
          <cell r="D51">
            <v>21</v>
          </cell>
          <cell r="E51">
            <v>2.82258064516129</v>
          </cell>
        </row>
        <row r="52">
          <cell r="A52">
            <v>297</v>
          </cell>
          <cell r="B52" t="str">
            <v>Brystnippel 3/8" konisk</v>
          </cell>
          <cell r="C52" t="str">
            <v>Nipple 3/8" chonical</v>
          </cell>
          <cell r="D52">
            <v>20</v>
          </cell>
          <cell r="E52">
            <v>2.6881720430107525</v>
          </cell>
        </row>
        <row r="53">
          <cell r="A53">
            <v>298</v>
          </cell>
          <cell r="B53" t="str">
            <v>Vinkel 90gr omløber f 3/8" slange</v>
          </cell>
          <cell r="C53" t="str">
            <v>Angle 90degr. circulation f 3/8" hose</v>
          </cell>
          <cell r="D53">
            <v>47</v>
          </cell>
          <cell r="E53">
            <v>6.3172043010752681</v>
          </cell>
        </row>
        <row r="54">
          <cell r="A54">
            <v>299</v>
          </cell>
          <cell r="B54" t="str">
            <v>Skruekappe for 3/8" slange</v>
          </cell>
          <cell r="C54" t="str">
            <v>Screw covering for 3/8" hose</v>
          </cell>
          <cell r="D54">
            <v>30</v>
          </cell>
          <cell r="E54">
            <v>4.032258064516129</v>
          </cell>
        </row>
        <row r="55">
          <cell r="A55">
            <v>300</v>
          </cell>
          <cell r="B55" t="str">
            <v>Slange 3/8" Damp blå</v>
          </cell>
          <cell r="C55" t="str">
            <v>Hose 3/8" steam blue</v>
          </cell>
          <cell r="D55">
            <v>58</v>
          </cell>
          <cell r="E55">
            <v>7.7956989247311821</v>
          </cell>
        </row>
        <row r="56">
          <cell r="A56">
            <v>313</v>
          </cell>
          <cell r="B56" t="str">
            <v>Skrue for matrice spændering M24 x 100</v>
          </cell>
          <cell r="C56" t="str">
            <v>Screw for Die lock ring</v>
          </cell>
          <cell r="D56">
            <v>133</v>
          </cell>
          <cell r="E56">
            <v>17.876344086021504</v>
          </cell>
        </row>
        <row r="57">
          <cell r="A57">
            <v>316</v>
          </cell>
          <cell r="B57" t="str">
            <v>Gevindstang M30 L = 130</v>
          </cell>
          <cell r="C57" t="str">
            <v>Threaded pin M30, L = 130</v>
          </cell>
          <cell r="D57">
            <v>217</v>
          </cell>
          <cell r="E57">
            <v>29.166666666666664</v>
          </cell>
        </row>
        <row r="58">
          <cell r="A58">
            <v>328</v>
          </cell>
          <cell r="B58" t="str">
            <v>Hovedlejeskål.</v>
          </cell>
          <cell r="C58" t="str">
            <v>Bush f/main bearing</v>
          </cell>
          <cell r="D58">
            <v>15370</v>
          </cell>
          <cell r="E58">
            <v>2065.8602150537631</v>
          </cell>
        </row>
        <row r="59">
          <cell r="A59">
            <v>346</v>
          </cell>
          <cell r="B59" t="str">
            <v>Cyl. Skrue M12 x 70</v>
          </cell>
          <cell r="C59" t="str">
            <v>Cyl. Screw M12 x 70</v>
          </cell>
          <cell r="D59">
            <v>5</v>
          </cell>
          <cell r="E59">
            <v>0.67204301075268813</v>
          </cell>
        </row>
        <row r="60">
          <cell r="A60">
            <v>348</v>
          </cell>
          <cell r="B60" t="str">
            <v>O-ring Ø289,3 x Ø5,70 Nitril</v>
          </cell>
          <cell r="C60" t="str">
            <v>O-ring Ø289,3 x Ø5,70 Nitril</v>
          </cell>
          <cell r="D60">
            <v>20</v>
          </cell>
          <cell r="E60">
            <v>2.6881720430107525</v>
          </cell>
        </row>
        <row r="61">
          <cell r="A61">
            <v>352</v>
          </cell>
          <cell r="B61" t="str">
            <v>Pakning.</v>
          </cell>
          <cell r="C61" t="str">
            <v>Packing</v>
          </cell>
          <cell r="D61">
            <v>111</v>
          </cell>
          <cell r="E61">
            <v>14.919354838709676</v>
          </cell>
        </row>
        <row r="62">
          <cell r="A62">
            <v>353</v>
          </cell>
          <cell r="B62" t="str">
            <v xml:space="preserve">Konisk Rulleleje Timken LM 272249/210. </v>
          </cell>
          <cell r="C62" t="str">
            <v>Tapered roller bearing timken LM 272249/210</v>
          </cell>
          <cell r="D62">
            <v>42930</v>
          </cell>
          <cell r="E62">
            <v>5770.1612903225805</v>
          </cell>
        </row>
        <row r="63">
          <cell r="A63">
            <v>355</v>
          </cell>
          <cell r="B63" t="str">
            <v>Ring F/Labyrinttætning</v>
          </cell>
          <cell r="C63" t="str">
            <v>Ring f/labyrith seal</v>
          </cell>
          <cell r="D63">
            <v>9275</v>
          </cell>
          <cell r="E63">
            <v>1246.6397849462364</v>
          </cell>
        </row>
        <row r="64">
          <cell r="A64">
            <v>358</v>
          </cell>
          <cell r="B64" t="str">
            <v>V-Ring 700 A</v>
          </cell>
          <cell r="C64" t="str">
            <v>V-ring 700-A</v>
          </cell>
          <cell r="D64">
            <v>1219</v>
          </cell>
          <cell r="E64">
            <v>163.84408602150538</v>
          </cell>
        </row>
        <row r="65">
          <cell r="A65">
            <v>359</v>
          </cell>
          <cell r="B65" t="str">
            <v>Slidring f/h.aksel/leje.</v>
          </cell>
          <cell r="C65" t="str">
            <v>Sealing ring</v>
          </cell>
          <cell r="D65">
            <v>7176</v>
          </cell>
          <cell r="E65">
            <v>964.51612903225805</v>
          </cell>
        </row>
        <row r="66">
          <cell r="A66">
            <v>361</v>
          </cell>
          <cell r="B66" t="str">
            <v>Tætningsring Ø510XØ572X20.</v>
          </cell>
          <cell r="C66" t="str">
            <v>Oil seal Ø510/Ø572x20</v>
          </cell>
          <cell r="D66">
            <v>2883</v>
          </cell>
          <cell r="E66">
            <v>387.5</v>
          </cell>
        </row>
        <row r="67">
          <cell r="A67">
            <v>362</v>
          </cell>
          <cell r="B67" t="str">
            <v>Låsering F/Tætningsring.</v>
          </cell>
          <cell r="C67" t="str">
            <v>Lockring f/oil seal</v>
          </cell>
          <cell r="D67">
            <v>451</v>
          </cell>
          <cell r="E67">
            <v>60.618279569892472</v>
          </cell>
        </row>
        <row r="68">
          <cell r="A68">
            <v>363</v>
          </cell>
          <cell r="B68" t="str">
            <v>6-kt. skrue M24 x 100 DIN 931</v>
          </cell>
          <cell r="C68" t="str">
            <v>Hex screw M24 x 100 DIN 931</v>
          </cell>
          <cell r="D68">
            <v>22</v>
          </cell>
          <cell r="E68">
            <v>2.956989247311828</v>
          </cell>
        </row>
        <row r="69">
          <cell r="A69">
            <v>368</v>
          </cell>
          <cell r="B69" t="str">
            <v>Kileremskive SPC 8 Ø355 TL 3525</v>
          </cell>
          <cell r="C69" t="str">
            <v>V-belt pulley SPC 8 Ø355 TL 3525</v>
          </cell>
          <cell r="D69">
            <v>6148</v>
          </cell>
          <cell r="E69">
            <v>826.34408602150529</v>
          </cell>
        </row>
        <row r="70">
          <cell r="A70">
            <v>369</v>
          </cell>
          <cell r="B70" t="str">
            <v>Nav F/Bremseskive.</v>
          </cell>
          <cell r="C70" t="str">
            <v>Hub f/break disc</v>
          </cell>
          <cell r="D70">
            <v>9794</v>
          </cell>
          <cell r="E70">
            <v>1316.3978494623655</v>
          </cell>
        </row>
        <row r="71">
          <cell r="A71">
            <v>370</v>
          </cell>
          <cell r="B71" t="str">
            <v>O-Ring Ø475XØ3</v>
          </cell>
          <cell r="C71" t="str">
            <v>O-ring Ø475xØ3</v>
          </cell>
          <cell r="D71">
            <v>123</v>
          </cell>
          <cell r="E71">
            <v>16.532258064516128</v>
          </cell>
        </row>
        <row r="72">
          <cell r="A72">
            <v>371</v>
          </cell>
          <cell r="B72" t="str">
            <v>Pinolskrue M12x35</v>
          </cell>
          <cell r="C72" t="str">
            <v>Pointed screw M12x35</v>
          </cell>
          <cell r="D72">
            <v>4.2</v>
          </cell>
          <cell r="E72">
            <v>0.56451612903225801</v>
          </cell>
        </row>
        <row r="73">
          <cell r="A73">
            <v>373</v>
          </cell>
          <cell r="B73" t="str">
            <v>Pakning F/Lejeskål Bag</v>
          </cell>
          <cell r="C73" t="str">
            <v>Packing</v>
          </cell>
          <cell r="D73">
            <v>154</v>
          </cell>
          <cell r="E73">
            <v>20.698924731182796</v>
          </cell>
        </row>
        <row r="74">
          <cell r="A74">
            <v>375</v>
          </cell>
          <cell r="B74" t="str">
            <v>Konisk Rulleleje Timken EE 526130/190.</v>
          </cell>
          <cell r="C74" t="str">
            <v>Tapered roller bearing timken EE 526130/190</v>
          </cell>
          <cell r="D74">
            <v>24910</v>
          </cell>
          <cell r="E74">
            <v>3348.1182795698924</v>
          </cell>
        </row>
        <row r="75">
          <cell r="A75">
            <v>379</v>
          </cell>
          <cell r="B75" t="str">
            <v>Gevindskinne</v>
          </cell>
          <cell r="C75" t="str">
            <v>Thread rail</v>
          </cell>
          <cell r="D75">
            <v>318</v>
          </cell>
          <cell r="E75">
            <v>42.741935483870968</v>
          </cell>
        </row>
        <row r="76">
          <cell r="A76">
            <v>390</v>
          </cell>
          <cell r="B76" t="str">
            <v>Tall.fjeder Ø338/Ø232X3.</v>
          </cell>
          <cell r="C76" t="str">
            <v>Disc. Spring Ø338/Ø232x3</v>
          </cell>
          <cell r="D76">
            <v>1537</v>
          </cell>
          <cell r="E76">
            <v>206.58602150537632</v>
          </cell>
        </row>
        <row r="77">
          <cell r="A77">
            <v>392</v>
          </cell>
          <cell r="B77" t="str">
            <v>Bremseskive.</v>
          </cell>
          <cell r="C77" t="str">
            <v>Break disc</v>
          </cell>
          <cell r="D77">
            <v>7335</v>
          </cell>
          <cell r="E77">
            <v>985.88709677419354</v>
          </cell>
        </row>
        <row r="78">
          <cell r="A78">
            <v>393</v>
          </cell>
          <cell r="B78" t="str">
            <v>Tætningsskål</v>
          </cell>
          <cell r="C78" t="str">
            <v>Sealing ring</v>
          </cell>
          <cell r="D78">
            <v>14098</v>
          </cell>
          <cell r="E78">
            <v>1894.8924731182794</v>
          </cell>
        </row>
        <row r="79">
          <cell r="A79">
            <v>397</v>
          </cell>
          <cell r="B79" t="str">
            <v>Grafitringsholder.</v>
          </cell>
          <cell r="C79" t="str">
            <v>Holder f/graphite ring</v>
          </cell>
          <cell r="D79">
            <v>2417</v>
          </cell>
          <cell r="E79">
            <v>324.86559139784947</v>
          </cell>
        </row>
        <row r="80">
          <cell r="A80">
            <v>398</v>
          </cell>
          <cell r="B80" t="str">
            <v>Fjeder</v>
          </cell>
          <cell r="C80" t="str">
            <v>Spring</v>
          </cell>
          <cell r="D80">
            <v>48</v>
          </cell>
          <cell r="E80">
            <v>6.4516129032258061</v>
          </cell>
        </row>
        <row r="81">
          <cell r="A81">
            <v>399</v>
          </cell>
          <cell r="B81" t="str">
            <v>Glidering.</v>
          </cell>
          <cell r="C81" t="str">
            <v>Slide ring</v>
          </cell>
          <cell r="D81">
            <v>3493</v>
          </cell>
          <cell r="E81">
            <v>469.48924731182791</v>
          </cell>
        </row>
        <row r="82">
          <cell r="A82">
            <v>401</v>
          </cell>
          <cell r="B82" t="str">
            <v>Dæksel F/Rulleleje</v>
          </cell>
          <cell r="C82" t="str">
            <v>Cover for bearing</v>
          </cell>
          <cell r="D82">
            <v>5268</v>
          </cell>
          <cell r="E82">
            <v>708.0645161290322</v>
          </cell>
        </row>
        <row r="83">
          <cell r="A83">
            <v>402</v>
          </cell>
          <cell r="B83" t="str">
            <v>Sfærisk Rulleleje 24048.</v>
          </cell>
          <cell r="C83" t="str">
            <v xml:space="preserve">Spherical roller bearing 24048 </v>
          </cell>
          <cell r="D83">
            <v>12508</v>
          </cell>
          <cell r="E83">
            <v>1681.1827956989246</v>
          </cell>
        </row>
        <row r="84">
          <cell r="A84">
            <v>404</v>
          </cell>
          <cell r="B84" t="str">
            <v>Spændskive M56</v>
          </cell>
          <cell r="C84" t="str">
            <v>Lock washer  M 56</v>
          </cell>
          <cell r="D84">
            <v>382</v>
          </cell>
          <cell r="E84">
            <v>51.344086021505376</v>
          </cell>
        </row>
        <row r="85">
          <cell r="A85">
            <v>406</v>
          </cell>
          <cell r="B85" t="str">
            <v>Holder f/godsfordeler.</v>
          </cell>
          <cell r="C85" t="str">
            <v>Holder for deflector</v>
          </cell>
          <cell r="D85">
            <v>1431</v>
          </cell>
          <cell r="E85">
            <v>192.33870967741933</v>
          </cell>
        </row>
        <row r="86">
          <cell r="A86">
            <v>407</v>
          </cell>
          <cell r="B86" t="str">
            <v>Leje Sfærisk Ax-rulleleje 29336E EX</v>
          </cell>
          <cell r="C86" t="str">
            <v>Bearing(Thrustbearing) - spherical AX - rollerbearing 29336E EX</v>
          </cell>
          <cell r="D86">
            <v>4381</v>
          </cell>
          <cell r="E86">
            <v>588.84408602150529</v>
          </cell>
        </row>
        <row r="87">
          <cell r="A87">
            <v>411</v>
          </cell>
          <cell r="B87" t="str">
            <v xml:space="preserve">Erstattet af 028716 </v>
          </cell>
          <cell r="C87" t="str">
            <v>Replaced by 028716</v>
          </cell>
          <cell r="D87" t="str">
            <v>replaced</v>
          </cell>
          <cell r="E87" t="e">
            <v>#VALUE!</v>
          </cell>
        </row>
        <row r="88">
          <cell r="A88">
            <v>414</v>
          </cell>
          <cell r="B88" t="str">
            <v>6-kt. Skrue M30 x 90 DIN 933</v>
          </cell>
          <cell r="C88" t="str">
            <v>Hex screw M30 x 90 DIN 933</v>
          </cell>
          <cell r="D88">
            <v>48</v>
          </cell>
          <cell r="E88">
            <v>6.4516129032258061</v>
          </cell>
        </row>
        <row r="89">
          <cell r="A89">
            <v>415</v>
          </cell>
          <cell r="B89" t="str">
            <v>Stift Ø10 x 45</v>
          </cell>
          <cell r="C89" t="str">
            <v>Pin Ø10 x 45</v>
          </cell>
          <cell r="D89">
            <v>9.5</v>
          </cell>
          <cell r="E89">
            <v>1.2768817204301075</v>
          </cell>
        </row>
        <row r="90">
          <cell r="A90">
            <v>416</v>
          </cell>
          <cell r="B90" t="str">
            <v xml:space="preserve">Cyl. Skrue M24 x 80 8.8 DIN 912, </v>
          </cell>
          <cell r="C90" t="str">
            <v>Cyl. Screw M24 x 80 8.8 DIN 912</v>
          </cell>
          <cell r="D90">
            <v>33</v>
          </cell>
          <cell r="E90">
            <v>4.435483870967742</v>
          </cell>
        </row>
        <row r="91">
          <cell r="A91">
            <v>421</v>
          </cell>
          <cell r="B91" t="str">
            <v>Monteringsplade for mikroswitch</v>
          </cell>
          <cell r="C91" t="str">
            <v>Mounting plate for micro switch</v>
          </cell>
          <cell r="D91">
            <v>159</v>
          </cell>
          <cell r="E91">
            <v>21.370967741935484</v>
          </cell>
        </row>
        <row r="92">
          <cell r="A92">
            <v>422</v>
          </cell>
          <cell r="B92" t="str">
            <v>Holder f/fedtfordelerblok</v>
          </cell>
          <cell r="C92" t="str">
            <v>Holder for grease distributor block</v>
          </cell>
          <cell r="D92">
            <v>217</v>
          </cell>
          <cell r="E92">
            <v>29.166666666666664</v>
          </cell>
        </row>
        <row r="93">
          <cell r="A93">
            <v>423</v>
          </cell>
          <cell r="B93" t="str">
            <v>Indløbstragt</v>
          </cell>
          <cell r="C93" t="str">
            <v>Inlet Duct</v>
          </cell>
          <cell r="D93">
            <v>25970</v>
          </cell>
          <cell r="E93">
            <v>3490.5913978494623</v>
          </cell>
        </row>
        <row r="94">
          <cell r="A94">
            <v>424</v>
          </cell>
          <cell r="B94" t="str">
            <v>Pillekammer.</v>
          </cell>
          <cell r="C94" t="str">
            <v>Pellet chamber</v>
          </cell>
          <cell r="D94">
            <v>143100</v>
          </cell>
          <cell r="E94">
            <v>19233.870967741936</v>
          </cell>
        </row>
        <row r="95">
          <cell r="A95">
            <v>425</v>
          </cell>
          <cell r="B95" t="str">
            <v>Cyl. Skrue M24 x 45 DIN 912</v>
          </cell>
          <cell r="C95" t="str">
            <v>Cyl. Screw M24 x 45 DIN 912</v>
          </cell>
          <cell r="D95">
            <v>32</v>
          </cell>
          <cell r="E95">
            <v>4.301075268817204</v>
          </cell>
        </row>
        <row r="96">
          <cell r="A96">
            <v>426</v>
          </cell>
          <cell r="B96" t="str">
            <v>Skive M24.</v>
          </cell>
          <cell r="C96" t="str">
            <v>Washer M 24</v>
          </cell>
          <cell r="D96">
            <v>34</v>
          </cell>
          <cell r="E96">
            <v>4.5698924731182791</v>
          </cell>
        </row>
        <row r="97">
          <cell r="A97">
            <v>427</v>
          </cell>
          <cell r="B97" t="str">
            <v>6-kt. Skrue M16 x 60 FZB DIN 932</v>
          </cell>
          <cell r="C97" t="str">
            <v>Hex screw M16 x 60 FZB DIN 932</v>
          </cell>
          <cell r="D97">
            <v>5.2</v>
          </cell>
          <cell r="E97">
            <v>0.69892473118279563</v>
          </cell>
        </row>
        <row r="98">
          <cell r="A98">
            <v>428</v>
          </cell>
          <cell r="B98" t="str">
            <v>Feder</v>
          </cell>
          <cell r="C98" t="str">
            <v>Parallel Key</v>
          </cell>
          <cell r="D98">
            <v>5.3</v>
          </cell>
          <cell r="E98">
            <v>0.71236559139784938</v>
          </cell>
        </row>
        <row r="99">
          <cell r="A99">
            <v>431</v>
          </cell>
          <cell r="B99" t="str">
            <v>Mellemlægsskive.</v>
          </cell>
          <cell r="C99" t="str">
            <v>Shim f/break disc</v>
          </cell>
          <cell r="D99">
            <v>350</v>
          </cell>
          <cell r="E99">
            <v>47.043010752688168</v>
          </cell>
        </row>
        <row r="100">
          <cell r="A100">
            <v>432</v>
          </cell>
          <cell r="B100" t="str">
            <v>6-kt. Skrue M6 x 10 8.8 FZB DIN933</v>
          </cell>
          <cell r="C100" t="str">
            <v>Hex screw M6 x 10 8.8 FZB DIN933</v>
          </cell>
          <cell r="D100">
            <v>0.3</v>
          </cell>
          <cell r="E100">
            <v>4.0322580645161289E-2</v>
          </cell>
        </row>
        <row r="101">
          <cell r="A101">
            <v>433</v>
          </cell>
          <cell r="B101" t="str">
            <v>Facetskive Ø6 DIN 125B FZB</v>
          </cell>
          <cell r="C101" t="str">
            <v>Washer Ø6 DIN 125B FZB</v>
          </cell>
          <cell r="D101">
            <v>0.2</v>
          </cell>
          <cell r="E101">
            <v>2.6881720430107527E-2</v>
          </cell>
        </row>
        <row r="102">
          <cell r="A102">
            <v>434</v>
          </cell>
          <cell r="B102" t="str">
            <v>Styr F/Trykfjeder.</v>
          </cell>
          <cell r="C102" t="str">
            <v>Holder f/spring</v>
          </cell>
          <cell r="D102">
            <v>164</v>
          </cell>
          <cell r="E102">
            <v>22.043010752688172</v>
          </cell>
        </row>
        <row r="103">
          <cell r="A103">
            <v>436</v>
          </cell>
          <cell r="B103" t="str">
            <v>Fjederskive Ø16 FZB</v>
          </cell>
          <cell r="C103" t="str">
            <v>Spring disc Ø16 FZB</v>
          </cell>
          <cell r="D103">
            <v>0.8</v>
          </cell>
          <cell r="E103">
            <v>0.10752688172043011</v>
          </cell>
        </row>
        <row r="104">
          <cell r="A104">
            <v>437</v>
          </cell>
          <cell r="B104" t="str">
            <v>O-Ring Ø5,33 X 113,67.</v>
          </cell>
          <cell r="C104" t="str">
            <v>O-Ring Ø5,33 X 113,67.</v>
          </cell>
          <cell r="D104">
            <v>5.8</v>
          </cell>
          <cell r="E104">
            <v>0.77956989247311825</v>
          </cell>
        </row>
        <row r="105">
          <cell r="A105">
            <v>438</v>
          </cell>
          <cell r="B105" t="str">
            <v>O-Ring Ø5,33 X  62,82.</v>
          </cell>
          <cell r="C105" t="str">
            <v>O-Ring Ø5,33 X  62,82.</v>
          </cell>
          <cell r="D105">
            <v>4.8</v>
          </cell>
          <cell r="E105">
            <v>0.64516129032258063</v>
          </cell>
        </row>
        <row r="106">
          <cell r="A106">
            <v>447</v>
          </cell>
          <cell r="B106" t="str">
            <v>Labyrintring</v>
          </cell>
          <cell r="C106" t="str">
            <v>Labyrinth ring</v>
          </cell>
          <cell r="D106">
            <v>1643</v>
          </cell>
          <cell r="E106">
            <v>220.83333333333331</v>
          </cell>
        </row>
        <row r="107">
          <cell r="A107">
            <v>448</v>
          </cell>
          <cell r="B107" t="str">
            <v>Bøsning F/Rulleaksel</v>
          </cell>
          <cell r="C107" t="str">
            <v>Bushing for rollershaft</v>
          </cell>
          <cell r="D107">
            <v>2215</v>
          </cell>
          <cell r="E107">
            <v>297.71505376344084</v>
          </cell>
        </row>
        <row r="108">
          <cell r="A108">
            <v>449</v>
          </cell>
          <cell r="B108" t="str">
            <v>Dæksel, bag</v>
          </cell>
          <cell r="C108" t="str">
            <v>Cover, rear</v>
          </cell>
          <cell r="D108">
            <v>965</v>
          </cell>
          <cell r="E108">
            <v>129.7043010752688</v>
          </cell>
        </row>
        <row r="109">
          <cell r="A109">
            <v>450</v>
          </cell>
          <cell r="B109" t="str">
            <v>Dæksel for, f/rulleholderaksel</v>
          </cell>
          <cell r="C109" t="str">
            <v>Cover front, f/roller main shaft</v>
          </cell>
          <cell r="D109">
            <v>594</v>
          </cell>
          <cell r="E109">
            <v>79.838709677419345</v>
          </cell>
        </row>
        <row r="110">
          <cell r="A110">
            <v>451</v>
          </cell>
          <cell r="B110" t="str">
            <v>Slidring</v>
          </cell>
          <cell r="C110" t="str">
            <v xml:space="preserve">Wear ring  </v>
          </cell>
          <cell r="D110">
            <v>3710</v>
          </cell>
          <cell r="E110">
            <v>498.6559139784946</v>
          </cell>
        </row>
        <row r="111">
          <cell r="A111">
            <v>452</v>
          </cell>
          <cell r="B111" t="str">
            <v>Skive for samling af dysehoved EX17</v>
          </cell>
          <cell r="C111" t="str">
            <v>Disc for nozzle head EX17</v>
          </cell>
          <cell r="D111">
            <v>448</v>
          </cell>
          <cell r="E111">
            <v>60.215053763440856</v>
          </cell>
        </row>
        <row r="112">
          <cell r="A112">
            <v>464</v>
          </cell>
          <cell r="B112" t="str">
            <v>6-kt. Skrue M6 x 16 FZB DIN 932</v>
          </cell>
          <cell r="C112" t="str">
            <v>Hex screw M6 x 16 FZB DIN 932</v>
          </cell>
          <cell r="D112">
            <v>0.3</v>
          </cell>
          <cell r="E112">
            <v>4.0322580645161289E-2</v>
          </cell>
        </row>
        <row r="113">
          <cell r="A113">
            <v>465</v>
          </cell>
          <cell r="B113" t="str">
            <v>6-kt. Skrue M12 x 25 FZB DIN 933</v>
          </cell>
          <cell r="C113" t="str">
            <v>Hex screw M12 x 25 FZB DIN 933</v>
          </cell>
          <cell r="D113">
            <v>1.8</v>
          </cell>
          <cell r="E113">
            <v>0.24193548387096772</v>
          </cell>
        </row>
        <row r="114">
          <cell r="A114">
            <v>466</v>
          </cell>
          <cell r="B114" t="str">
            <v>Møtrik M12 DIN 934-8 FZB</v>
          </cell>
          <cell r="C114" t="str">
            <v>Nut M12 DIN 934-8 FZB</v>
          </cell>
          <cell r="D114">
            <v>0.6</v>
          </cell>
          <cell r="E114">
            <v>8.0645161290322578E-2</v>
          </cell>
        </row>
        <row r="115">
          <cell r="A115">
            <v>468</v>
          </cell>
          <cell r="B115" t="str">
            <v>6-kt. Skrue M16 x 70 FZB DIN 930</v>
          </cell>
          <cell r="C115" t="str">
            <v>Hex screw M16 x 70 FZB DIN 930</v>
          </cell>
          <cell r="D115">
            <v>6.4</v>
          </cell>
          <cell r="E115">
            <v>0.86021505376344087</v>
          </cell>
        </row>
        <row r="116">
          <cell r="A116">
            <v>470</v>
          </cell>
          <cell r="B116" t="str">
            <v>6-kt. Skrue M8 x 16 8.8 sort D933</v>
          </cell>
          <cell r="C116" t="str">
            <v>Hex screw M8 x 16 8.8 D933</v>
          </cell>
          <cell r="D116">
            <v>0.5</v>
          </cell>
          <cell r="E116">
            <v>6.7204301075268813E-2</v>
          </cell>
        </row>
        <row r="117">
          <cell r="A117">
            <v>472</v>
          </cell>
          <cell r="B117" t="str">
            <v>Facetskive Ø10 FZB DIN125A</v>
          </cell>
          <cell r="C117" t="str">
            <v>Washer Ø10 FZB DIN125A</v>
          </cell>
          <cell r="D117">
            <v>0.4</v>
          </cell>
          <cell r="E117">
            <v>5.3763440860215055E-2</v>
          </cell>
        </row>
        <row r="118">
          <cell r="A118">
            <v>476</v>
          </cell>
          <cell r="B118" t="str">
            <v>Hydraulik-slange Ø6x880</v>
          </cell>
          <cell r="C118" t="str">
            <v>Hydraulic tube Ø6x880</v>
          </cell>
          <cell r="D118">
            <v>159</v>
          </cell>
          <cell r="E118">
            <v>21.370967741935484</v>
          </cell>
        </row>
        <row r="119">
          <cell r="A119">
            <v>477</v>
          </cell>
          <cell r="B119" t="str">
            <v>Vinkel 90o Ø6 skr. - 1/8"UKRG</v>
          </cell>
          <cell r="C119" t="str">
            <v>Angle 90degr. Ø6 skr. - 1/8"UKRG</v>
          </cell>
          <cell r="D119">
            <v>31</v>
          </cell>
          <cell r="E119">
            <v>4.1666666666666661</v>
          </cell>
        </row>
        <row r="120">
          <cell r="A120">
            <v>478</v>
          </cell>
          <cell r="B120" t="str">
            <v xml:space="preserve"> Låseblik MB 44</v>
          </cell>
          <cell r="C120" t="str">
            <v>Lock f/nut MB44</v>
          </cell>
          <cell r="D120">
            <v>154</v>
          </cell>
          <cell r="E120">
            <v>20.698924731182796</v>
          </cell>
        </row>
        <row r="121">
          <cell r="A121">
            <v>479</v>
          </cell>
          <cell r="B121" t="str">
            <v>Låsemøtrik HM 44T-TR220.</v>
          </cell>
          <cell r="C121" t="str">
            <v>Lock nut HM 44T-TR220</v>
          </cell>
          <cell r="D121">
            <v>890</v>
          </cell>
          <cell r="E121">
            <v>119.62365591397848</v>
          </cell>
        </row>
        <row r="122">
          <cell r="A122">
            <v>483</v>
          </cell>
          <cell r="B122" t="str">
            <v>Feder</v>
          </cell>
          <cell r="C122" t="str">
            <v>Parallel key</v>
          </cell>
          <cell r="D122">
            <v>117</v>
          </cell>
          <cell r="E122">
            <v>15.725806451612902</v>
          </cell>
        </row>
        <row r="123">
          <cell r="A123">
            <v>486</v>
          </cell>
          <cell r="B123" t="str">
            <v>Kammer</v>
          </cell>
          <cell r="C123" t="str">
            <v>Chamber</v>
          </cell>
          <cell r="D123">
            <v>64130</v>
          </cell>
          <cell r="E123">
            <v>8619.6236559139779</v>
          </cell>
        </row>
        <row r="124">
          <cell r="A124">
            <v>487</v>
          </cell>
          <cell r="B124" t="str">
            <v>Forkegle</v>
          </cell>
          <cell r="C124" t="str">
            <v>Front cone</v>
          </cell>
          <cell r="D124">
            <v>46110</v>
          </cell>
          <cell r="E124">
            <v>6197.5806451612898</v>
          </cell>
        </row>
        <row r="125">
          <cell r="A125">
            <v>488</v>
          </cell>
          <cell r="B125" t="str">
            <v>Cyl. Skrue M5 x 40 8.8 DIN 912</v>
          </cell>
          <cell r="C125" t="str">
            <v>Cyl. Screw M5 x 40 8.8 DIN 912</v>
          </cell>
          <cell r="D125">
            <v>0.6</v>
          </cell>
          <cell r="E125">
            <v>8.0645161290322578E-2</v>
          </cell>
        </row>
        <row r="126">
          <cell r="A126">
            <v>489</v>
          </cell>
          <cell r="B126" t="str">
            <v>U-skrue M8 x 10 A2</v>
          </cell>
          <cell r="C126" t="str">
            <v>Counter sunk screw M8 x 10 A2</v>
          </cell>
          <cell r="D126">
            <v>2.1</v>
          </cell>
          <cell r="E126">
            <v>0.282258064516129</v>
          </cell>
        </row>
        <row r="127">
          <cell r="A127">
            <v>490</v>
          </cell>
          <cell r="B127" t="str">
            <v>Betjeningsboks komplet for hydraulisk sikringskobling</v>
          </cell>
          <cell r="C127" t="str">
            <v>Control box complete for hydraulic overload protection</v>
          </cell>
          <cell r="D127">
            <v>4346</v>
          </cell>
          <cell r="E127">
            <v>584.13978494623655</v>
          </cell>
        </row>
        <row r="128">
          <cell r="A128">
            <v>494</v>
          </cell>
          <cell r="B128" t="str">
            <v>Skråskive M24 DIN 434</v>
          </cell>
          <cell r="C128" t="str">
            <v>Washer M 24 DIN 434</v>
          </cell>
          <cell r="D128">
            <v>19.100000000000001</v>
          </cell>
          <cell r="E128">
            <v>2.567204301075269</v>
          </cell>
        </row>
        <row r="129">
          <cell r="A129">
            <v>495</v>
          </cell>
          <cell r="B129" t="str">
            <v>Fjederskive Ø24</v>
          </cell>
          <cell r="C129" t="str">
            <v>Spring washer Ø24</v>
          </cell>
          <cell r="D129">
            <v>3</v>
          </cell>
          <cell r="E129">
            <v>0.40322580645161288</v>
          </cell>
        </row>
        <row r="130">
          <cell r="A130">
            <v>502</v>
          </cell>
          <cell r="B130" t="str">
            <v>Topdæksel for gearkasse</v>
          </cell>
          <cell r="C130" t="str">
            <v>Top cover for gearboks</v>
          </cell>
          <cell r="D130">
            <v>1781</v>
          </cell>
          <cell r="E130">
            <v>239.38172043010752</v>
          </cell>
        </row>
        <row r="131">
          <cell r="A131">
            <v>503</v>
          </cell>
          <cell r="B131" t="str">
            <v>Pakning for topdæksel</v>
          </cell>
          <cell r="C131" t="str">
            <v>Packing</v>
          </cell>
          <cell r="D131">
            <v>233</v>
          </cell>
          <cell r="E131">
            <v>31.317204301075268</v>
          </cell>
        </row>
        <row r="132">
          <cell r="A132">
            <v>504</v>
          </cell>
          <cell r="B132" t="str">
            <v>Cyl. Skrue M10 x 20 8.8 DIN 912</v>
          </cell>
          <cell r="C132" t="str">
            <v>Cyl. Screw M10 x 20 8.8 DIN 912</v>
          </cell>
          <cell r="D132">
            <v>1.3</v>
          </cell>
          <cell r="E132">
            <v>0.17473118279569891</v>
          </cell>
        </row>
        <row r="133">
          <cell r="A133">
            <v>505</v>
          </cell>
          <cell r="B133" t="str">
            <v>Fjederskive Ø10 FZB DIN7980</v>
          </cell>
          <cell r="C133" t="str">
            <v>Spring disc Ø10 FZB DIN7980</v>
          </cell>
          <cell r="D133">
            <v>0.3</v>
          </cell>
          <cell r="E133">
            <v>4.0322580645161289E-2</v>
          </cell>
        </row>
        <row r="134">
          <cell r="A134">
            <v>506</v>
          </cell>
          <cell r="B134" t="str">
            <v>Skueglas Ø75 kuppel</v>
          </cell>
          <cell r="C134" t="str">
            <v>Sight glass Ø75 case</v>
          </cell>
          <cell r="D134">
            <v>339</v>
          </cell>
          <cell r="E134">
            <v>45.564516129032256</v>
          </cell>
        </row>
        <row r="135">
          <cell r="A135">
            <v>507</v>
          </cell>
          <cell r="B135" t="str">
            <v>Flange for skueglas</v>
          </cell>
          <cell r="C135" t="str">
            <v>Flange for inspection glas</v>
          </cell>
          <cell r="D135">
            <v>479</v>
          </cell>
          <cell r="E135">
            <v>64.381720430107521</v>
          </cell>
        </row>
        <row r="136">
          <cell r="A136">
            <v>508</v>
          </cell>
          <cell r="B136" t="str">
            <v xml:space="preserve">Pakning for skueglas Ø110xØ80x5,0 </v>
          </cell>
          <cell r="C136" t="str">
            <v>Packing for inspection glass Ø110xØ80x5,0</v>
          </cell>
          <cell r="D136">
            <v>17</v>
          </cell>
          <cell r="E136">
            <v>2.2849462365591395</v>
          </cell>
        </row>
        <row r="137">
          <cell r="A137">
            <v>509</v>
          </cell>
          <cell r="B137" t="str">
            <v>Cyl. kærvskrue M6 x 8 A2 DIN 84</v>
          </cell>
          <cell r="C137" t="str">
            <v>Cyl. Slotted Screv M6 x 8  A 2 DIN 84</v>
          </cell>
          <cell r="D137">
            <v>0.4</v>
          </cell>
          <cell r="E137">
            <v>5.3763440860215055E-2</v>
          </cell>
        </row>
        <row r="138">
          <cell r="A138">
            <v>510</v>
          </cell>
          <cell r="B138" t="str">
            <v>Luftskrue</v>
          </cell>
          <cell r="C138" t="str">
            <v>Air screw 1" RG</v>
          </cell>
          <cell r="D138">
            <v>66</v>
          </cell>
          <cell r="E138">
            <v>8.870967741935484</v>
          </cell>
        </row>
        <row r="139">
          <cell r="A139">
            <v>511</v>
          </cell>
          <cell r="B139" t="str">
            <v>Hovedaksel komplet incl. pos. 2-5</v>
          </cell>
          <cell r="C139" t="str">
            <v>Main shaft</v>
          </cell>
          <cell r="D139">
            <v>38584</v>
          </cell>
          <cell r="E139">
            <v>5186.0215053763441</v>
          </cell>
        </row>
        <row r="140">
          <cell r="A140">
            <v>512</v>
          </cell>
          <cell r="B140" t="str">
            <v>Hovedlejeskål</v>
          </cell>
          <cell r="C140" t="str">
            <v>Main bearing bush</v>
          </cell>
          <cell r="D140">
            <v>11024</v>
          </cell>
          <cell r="E140">
            <v>1481.7204301075269</v>
          </cell>
        </row>
        <row r="141">
          <cell r="A141">
            <v>513</v>
          </cell>
          <cell r="B141" t="str">
            <v>Pakning</v>
          </cell>
          <cell r="C141" t="str">
            <v>Packing</v>
          </cell>
          <cell r="D141">
            <v>74</v>
          </cell>
          <cell r="E141">
            <v>9.9462365591397841</v>
          </cell>
        </row>
        <row r="142">
          <cell r="A142">
            <v>514</v>
          </cell>
          <cell r="B142" t="str">
            <v>Cyl. skrue M16 x 35 A2 DIN 912</v>
          </cell>
          <cell r="C142" t="str">
            <v>Cyl, srew M16 x35 A2 din 912</v>
          </cell>
          <cell r="D142">
            <v>12.7</v>
          </cell>
          <cell r="E142">
            <v>1.7069892473118278</v>
          </cell>
        </row>
        <row r="143">
          <cell r="A143">
            <v>515</v>
          </cell>
          <cell r="B143" t="str">
            <v>Fjederskive Ø16 FZB DIN 127B</v>
          </cell>
          <cell r="C143" t="str">
            <v>Spring disc Ø16 FZB DIN 127B</v>
          </cell>
          <cell r="D143">
            <v>0.8</v>
          </cell>
          <cell r="E143">
            <v>0.10752688172043011</v>
          </cell>
        </row>
        <row r="144">
          <cell r="A144">
            <v>516</v>
          </cell>
          <cell r="B144" t="str">
            <v>Sfærisk rulleleje 23052</v>
          </cell>
          <cell r="C144" t="str">
            <v>Roller bearing 23052c</v>
          </cell>
          <cell r="D144">
            <v>11130</v>
          </cell>
          <cell r="E144">
            <v>1495.9677419354839</v>
          </cell>
        </row>
        <row r="145">
          <cell r="A145">
            <v>517</v>
          </cell>
          <cell r="B145" t="str">
            <v>Låsering I 400 x 6,0 J DIN 472</v>
          </cell>
          <cell r="C145" t="str">
            <v>Lock ring I 400 x 6,0 J DIN 472</v>
          </cell>
          <cell r="D145">
            <v>1251</v>
          </cell>
          <cell r="E145">
            <v>168.14516129032256</v>
          </cell>
        </row>
        <row r="146">
          <cell r="A146">
            <v>518</v>
          </cell>
          <cell r="B146" t="str">
            <v>Tætningsring A Ø370/Ø410 x 15 viton</v>
          </cell>
          <cell r="C146" t="str">
            <v>Oil seal 410x370x15</v>
          </cell>
          <cell r="D146">
            <v>1219</v>
          </cell>
          <cell r="E146">
            <v>163.84408602150538</v>
          </cell>
        </row>
        <row r="147">
          <cell r="A147">
            <v>519</v>
          </cell>
          <cell r="B147" t="str">
            <v>Tandhjul</v>
          </cell>
          <cell r="C147" t="str">
            <v>Gear</v>
          </cell>
          <cell r="D147">
            <v>54590</v>
          </cell>
          <cell r="E147">
            <v>7337.3655913978491</v>
          </cell>
        </row>
        <row r="148">
          <cell r="A148">
            <v>520</v>
          </cell>
          <cell r="B148" t="str">
            <v>Spændeskive</v>
          </cell>
          <cell r="C148" t="str">
            <v>Washer</v>
          </cell>
          <cell r="D148">
            <v>721</v>
          </cell>
          <cell r="E148">
            <v>96.908602150537632</v>
          </cell>
        </row>
        <row r="149">
          <cell r="A149">
            <v>521</v>
          </cell>
          <cell r="B149" t="str">
            <v>Sikringskobling, komplet, M12</v>
          </cell>
          <cell r="C149" t="str">
            <v>Safety coupling, complete</v>
          </cell>
          <cell r="D149">
            <v>16112</v>
          </cell>
          <cell r="E149">
            <v>2165.5913978494623</v>
          </cell>
        </row>
        <row r="150">
          <cell r="A150">
            <v>522</v>
          </cell>
          <cell r="B150" t="str">
            <v>Tætningsring A Ø180 x Ø215 x 16 viton</v>
          </cell>
          <cell r="C150" t="str">
            <v>Oil seal 215x180x16</v>
          </cell>
          <cell r="D150">
            <v>445</v>
          </cell>
          <cell r="E150">
            <v>59.811827956989241</v>
          </cell>
        </row>
        <row r="151">
          <cell r="A151">
            <v>523</v>
          </cell>
          <cell r="B151" t="str">
            <v>Cyl. Skrue M16 x 35</v>
          </cell>
          <cell r="C151" t="str">
            <v>Cyl. Screw M16 x 35</v>
          </cell>
          <cell r="D151">
            <v>4</v>
          </cell>
          <cell r="E151">
            <v>0.5376344086021505</v>
          </cell>
        </row>
        <row r="152">
          <cell r="A152">
            <v>524</v>
          </cell>
          <cell r="B152" t="str">
            <v>Pakning</v>
          </cell>
          <cell r="C152" t="str">
            <v>Packing</v>
          </cell>
          <cell r="D152">
            <v>54</v>
          </cell>
          <cell r="E152">
            <v>7.258064516129032</v>
          </cell>
        </row>
        <row r="153">
          <cell r="A153">
            <v>525</v>
          </cell>
          <cell r="B153" t="str">
            <v>Cyl. rulleleje NJ 1034</v>
          </cell>
          <cell r="C153" t="str">
            <v>Roller bearing Nj1034</v>
          </cell>
          <cell r="D153">
            <v>3445</v>
          </cell>
          <cell r="E153">
            <v>463.03763440860212</v>
          </cell>
        </row>
        <row r="154">
          <cell r="A154">
            <v>526</v>
          </cell>
          <cell r="B154" t="str">
            <v>Rulleholderaksel, komplet, incl. pos. 36-54</v>
          </cell>
          <cell r="C154" t="str">
            <v>Roller main shaft</v>
          </cell>
          <cell r="D154">
            <v>29150</v>
          </cell>
          <cell r="E154">
            <v>3918.010752688172</v>
          </cell>
        </row>
        <row r="155">
          <cell r="A155">
            <v>527</v>
          </cell>
          <cell r="B155" t="str">
            <v>Afstrygerkniv</v>
          </cell>
          <cell r="C155" t="str">
            <v>Scraper knife</v>
          </cell>
          <cell r="D155">
            <v>901</v>
          </cell>
          <cell r="E155">
            <v>121.1021505376344</v>
          </cell>
        </row>
        <row r="156">
          <cell r="A156">
            <v>529</v>
          </cell>
          <cell r="B156" t="str">
            <v>Tætningsring A Ø220 x Ø250 x 12 viton</v>
          </cell>
          <cell r="C156" t="str">
            <v>Sealing ring A Ø220 x Ø250 x 12 Viton</v>
          </cell>
          <cell r="D156">
            <v>371</v>
          </cell>
          <cell r="E156">
            <v>49.865591397849457</v>
          </cell>
        </row>
        <row r="157">
          <cell r="A157">
            <v>530</v>
          </cell>
          <cell r="B157" t="str">
            <v>Afstandsring</v>
          </cell>
          <cell r="C157" t="str">
            <v>Distance ring</v>
          </cell>
          <cell r="D157">
            <v>631</v>
          </cell>
          <cell r="E157">
            <v>84.811827956989248</v>
          </cell>
        </row>
        <row r="158">
          <cell r="A158">
            <v>531</v>
          </cell>
          <cell r="B158" t="str">
            <v>Forplade M 12</v>
          </cell>
          <cell r="C158" t="str">
            <v>Front plate  M12</v>
          </cell>
          <cell r="D158">
            <v>7844</v>
          </cell>
          <cell r="E158">
            <v>1054.3010752688172</v>
          </cell>
        </row>
        <row r="159">
          <cell r="A159">
            <v>532</v>
          </cell>
          <cell r="B159" t="str">
            <v>Holder f/godsfordeler</v>
          </cell>
          <cell r="C159" t="str">
            <v>Holder for deflector</v>
          </cell>
          <cell r="D159">
            <v>663</v>
          </cell>
          <cell r="E159">
            <v>89.112903225806448</v>
          </cell>
        </row>
        <row r="160">
          <cell r="A160">
            <v>533</v>
          </cell>
          <cell r="B160" t="str">
            <v>Godsfordeler 1</v>
          </cell>
          <cell r="C160" t="str">
            <v>Deflector 1</v>
          </cell>
          <cell r="D160">
            <v>482</v>
          </cell>
          <cell r="E160">
            <v>64.784946236559136</v>
          </cell>
        </row>
        <row r="161">
          <cell r="A161">
            <v>534</v>
          </cell>
          <cell r="B161" t="str">
            <v>Godsfordeler 2</v>
          </cell>
          <cell r="C161" t="str">
            <v>Deflector 2</v>
          </cell>
          <cell r="D161">
            <v>482</v>
          </cell>
          <cell r="E161">
            <v>64.784946236559136</v>
          </cell>
        </row>
        <row r="162">
          <cell r="A162">
            <v>535</v>
          </cell>
          <cell r="B162" t="str">
            <v>Godsfordeler 3</v>
          </cell>
          <cell r="C162" t="str">
            <v>Deflector 3</v>
          </cell>
          <cell r="D162">
            <v>482</v>
          </cell>
          <cell r="E162">
            <v>64.784946236559136</v>
          </cell>
        </row>
        <row r="163">
          <cell r="A163">
            <v>536</v>
          </cell>
          <cell r="B163" t="str">
            <v>Rulleindstillingsarm</v>
          </cell>
          <cell r="C163" t="str">
            <v>Roller adjusting arm</v>
          </cell>
          <cell r="D163">
            <v>1293</v>
          </cell>
          <cell r="E163">
            <v>173.79032258064515</v>
          </cell>
        </row>
        <row r="164">
          <cell r="A164">
            <v>537</v>
          </cell>
          <cell r="B164" t="str">
            <v>Smøreskrue</v>
          </cell>
          <cell r="C164" t="str">
            <v>Lubricating screw</v>
          </cell>
          <cell r="D164">
            <v>318</v>
          </cell>
          <cell r="E164">
            <v>42.741935483870968</v>
          </cell>
        </row>
        <row r="165">
          <cell r="A165">
            <v>538</v>
          </cell>
          <cell r="B165" t="str">
            <v xml:space="preserve">Spændering f/matrice, </v>
          </cell>
          <cell r="C165" t="str">
            <v>Span ring for die</v>
          </cell>
          <cell r="D165">
            <v>9328</v>
          </cell>
          <cell r="E165">
            <v>1253.763440860215</v>
          </cell>
        </row>
        <row r="166">
          <cell r="A166">
            <v>539</v>
          </cell>
          <cell r="B166" t="str">
            <v>Fødecylinder</v>
          </cell>
          <cell r="C166" t="str">
            <v>Feed cone  M12</v>
          </cell>
          <cell r="D166">
            <v>3975</v>
          </cell>
          <cell r="E166">
            <v>534.27419354838707</v>
          </cell>
        </row>
        <row r="167">
          <cell r="A167">
            <v>541</v>
          </cell>
          <cell r="B167" t="str">
            <v>Pillekammer, højre hængslet, kompl., incl. pos. 18-34</v>
          </cell>
          <cell r="C167" t="str">
            <v>Pellet chamber Right</v>
          </cell>
          <cell r="D167">
            <v>55120</v>
          </cell>
          <cell r="E167">
            <v>7408.6021505376339</v>
          </cell>
        </row>
        <row r="168">
          <cell r="A168">
            <v>542</v>
          </cell>
          <cell r="B168" t="str">
            <v>Cyl. Skrue M12 x 30 8.8 DIN 912</v>
          </cell>
          <cell r="C168" t="str">
            <v>Cyl. Screw M12 x 30 8.8 DIN 912</v>
          </cell>
          <cell r="D168">
            <v>2</v>
          </cell>
          <cell r="E168">
            <v>0.26881720430107525</v>
          </cell>
        </row>
        <row r="169">
          <cell r="A169">
            <v>543</v>
          </cell>
          <cell r="B169" t="str">
            <v>Indløbstragt</v>
          </cell>
          <cell r="C169" t="str">
            <v>Inlet Duct</v>
          </cell>
          <cell r="D169">
            <v>10812</v>
          </cell>
          <cell r="E169">
            <v>1453.2258064516129</v>
          </cell>
        </row>
        <row r="170">
          <cell r="A170">
            <v>544</v>
          </cell>
          <cell r="B170" t="str">
            <v>Drivaksel, komplet, incl. pos. 41</v>
          </cell>
          <cell r="C170" t="str">
            <v>Drive shaft</v>
          </cell>
          <cell r="D170">
            <v>18868</v>
          </cell>
          <cell r="E170">
            <v>2536.0215053763441</v>
          </cell>
        </row>
        <row r="171">
          <cell r="A171">
            <v>545</v>
          </cell>
          <cell r="B171" t="str">
            <v>Oliekaster</v>
          </cell>
          <cell r="C171" t="str">
            <v>Oil Dip Ring</v>
          </cell>
          <cell r="D171">
            <v>551</v>
          </cell>
          <cell r="E171">
            <v>74.05913978494624</v>
          </cell>
        </row>
        <row r="172">
          <cell r="A172">
            <v>546</v>
          </cell>
          <cell r="B172" t="str">
            <v>Pinolskrue M10 x 10 A2 DIN 916</v>
          </cell>
          <cell r="C172" t="str">
            <v>Centre screw M10 x 20  A2  DIM 916</v>
          </cell>
          <cell r="D172">
            <v>1.2</v>
          </cell>
          <cell r="E172">
            <v>0.16129032258064516</v>
          </cell>
        </row>
        <row r="173">
          <cell r="A173">
            <v>547</v>
          </cell>
          <cell r="B173" t="str">
            <v>Lejedæksel lukket</v>
          </cell>
          <cell r="C173" t="str">
            <v>Bearing cover, closed</v>
          </cell>
          <cell r="D173">
            <v>3392</v>
          </cell>
          <cell r="E173">
            <v>455.91397849462362</v>
          </cell>
        </row>
        <row r="174">
          <cell r="A174">
            <v>548</v>
          </cell>
          <cell r="B174" t="str">
            <v>Lejedæksel, åben</v>
          </cell>
          <cell r="C174" t="str">
            <v>Bearing cover, open</v>
          </cell>
          <cell r="D174">
            <v>3180</v>
          </cell>
          <cell r="E174">
            <v>427.41935483870964</v>
          </cell>
        </row>
        <row r="175">
          <cell r="A175">
            <v>549</v>
          </cell>
          <cell r="B175" t="str">
            <v>Pakning</v>
          </cell>
          <cell r="C175" t="str">
            <v>Packing</v>
          </cell>
          <cell r="D175">
            <v>81</v>
          </cell>
          <cell r="E175">
            <v>10.887096774193548</v>
          </cell>
        </row>
        <row r="176">
          <cell r="A176">
            <v>550</v>
          </cell>
          <cell r="B176" t="str">
            <v>Dæksel</v>
          </cell>
          <cell r="C176" t="str">
            <v>Cover</v>
          </cell>
          <cell r="D176">
            <v>1431</v>
          </cell>
          <cell r="E176">
            <v>192.33870967741933</v>
          </cell>
        </row>
        <row r="177">
          <cell r="A177">
            <v>551</v>
          </cell>
          <cell r="B177" t="str">
            <v>Pakning f/dæksel, drivaksel</v>
          </cell>
          <cell r="C177" t="str">
            <v>Packing for cover, drive shaft</v>
          </cell>
          <cell r="D177">
            <v>25</v>
          </cell>
          <cell r="E177">
            <v>3.3602150537634405</v>
          </cell>
        </row>
        <row r="178">
          <cell r="A178">
            <v>552</v>
          </cell>
          <cell r="B178" t="str">
            <v>Cyl. skrue M12 x 25 A2</v>
          </cell>
          <cell r="C178" t="str">
            <v>Cyl. Screw M12 x 25 A2</v>
          </cell>
          <cell r="D178">
            <v>2.1</v>
          </cell>
          <cell r="E178">
            <v>0.282258064516129</v>
          </cell>
        </row>
        <row r="179">
          <cell r="A179">
            <v>553</v>
          </cell>
          <cell r="B179" t="str">
            <v>Fjederskive Ø12 DIN 7980</v>
          </cell>
          <cell r="C179" t="str">
            <v>Spring disc Ø12 FZB</v>
          </cell>
          <cell r="D179">
            <v>0.3</v>
          </cell>
          <cell r="E179">
            <v>4.0322580645161289E-2</v>
          </cell>
        </row>
        <row r="180">
          <cell r="A180">
            <v>554</v>
          </cell>
          <cell r="B180" t="str">
            <v>Tætningsring A Ø95/Ø120 x 13 viton</v>
          </cell>
          <cell r="C180" t="str">
            <v>Oil seal 120x95x13</v>
          </cell>
          <cell r="D180">
            <v>159</v>
          </cell>
          <cell r="E180">
            <v>21.370967741935484</v>
          </cell>
        </row>
        <row r="181">
          <cell r="A181">
            <v>555</v>
          </cell>
          <cell r="B181" t="str">
            <v>Cyl. rulleleje NJ320</v>
          </cell>
          <cell r="C181" t="str">
            <v>Roller bearing NJ320</v>
          </cell>
          <cell r="D181">
            <v>1749</v>
          </cell>
          <cell r="E181">
            <v>235.08064516129031</v>
          </cell>
        </row>
        <row r="182">
          <cell r="A182">
            <v>556</v>
          </cell>
          <cell r="B182" t="str">
            <v>Sfærisk rulleleje 22219</v>
          </cell>
          <cell r="C182" t="str">
            <v>Roller bearing 22219c</v>
          </cell>
          <cell r="D182">
            <v>1431</v>
          </cell>
          <cell r="E182">
            <v>192.33870967741933</v>
          </cell>
        </row>
        <row r="183">
          <cell r="A183">
            <v>557</v>
          </cell>
          <cell r="B183" t="str">
            <v>Prop 1" RG</v>
          </cell>
          <cell r="C183" t="str">
            <v xml:space="preserve">1"RG PLUG </v>
          </cell>
          <cell r="D183">
            <v>14.8</v>
          </cell>
          <cell r="E183">
            <v>1.989247311827957</v>
          </cell>
        </row>
        <row r="184">
          <cell r="A184">
            <v>559</v>
          </cell>
          <cell r="B184" t="str">
            <v>Aftapningsrør</v>
          </cell>
          <cell r="C184" t="str">
            <v>Pull-off pipe</v>
          </cell>
          <cell r="D184">
            <v>106</v>
          </cell>
          <cell r="E184">
            <v>14.247311827956988</v>
          </cell>
        </row>
        <row r="185">
          <cell r="A185">
            <v>560</v>
          </cell>
          <cell r="B185" t="str">
            <v>Kugleventil 1", Boemer</v>
          </cell>
          <cell r="C185" t="str">
            <v>Ball valve 1", Boemer</v>
          </cell>
          <cell r="D185">
            <v>631</v>
          </cell>
          <cell r="E185">
            <v>84.811827956989248</v>
          </cell>
        </row>
        <row r="186">
          <cell r="A186">
            <v>561</v>
          </cell>
          <cell r="B186" t="str">
            <v>Afstandsring</v>
          </cell>
          <cell r="C186" t="str">
            <v>Distance ring</v>
          </cell>
          <cell r="D186">
            <v>392</v>
          </cell>
          <cell r="E186">
            <v>52.688172043010752</v>
          </cell>
        </row>
        <row r="187">
          <cell r="A187">
            <v>563</v>
          </cell>
          <cell r="B187" t="str">
            <v>Mikroswitch m/rulle, XCK-M102</v>
          </cell>
          <cell r="C187" t="str">
            <v>Micro switch  XCK -M102</v>
          </cell>
          <cell r="D187">
            <v>334</v>
          </cell>
          <cell r="E187">
            <v>44.892473118279568</v>
          </cell>
        </row>
        <row r="188">
          <cell r="A188">
            <v>564</v>
          </cell>
          <cell r="B188" t="str">
            <v>Beslag f/mikroswitch</v>
          </cell>
          <cell r="C188" t="str">
            <v>Fitting for microswitch</v>
          </cell>
          <cell r="D188">
            <v>143</v>
          </cell>
          <cell r="E188">
            <v>19.22043010752688</v>
          </cell>
        </row>
        <row r="189">
          <cell r="A189">
            <v>568</v>
          </cell>
          <cell r="B189" t="str">
            <v>Cyl. Skrue M10x30 8.8</v>
          </cell>
          <cell r="C189" t="str">
            <v xml:space="preserve">Cyl. Screw M10 x 30 8.8 </v>
          </cell>
          <cell r="D189">
            <v>1.4</v>
          </cell>
          <cell r="E189">
            <v>0.18817204301075266</v>
          </cell>
        </row>
        <row r="190">
          <cell r="A190">
            <v>571</v>
          </cell>
          <cell r="B190" t="str">
            <v>6 kt skrue M 8 x 20 8.8  DIN 933</v>
          </cell>
          <cell r="C190" t="str">
            <v>Hex screw M 8 x20  8,8  DIN 933</v>
          </cell>
          <cell r="D190">
            <v>0.5</v>
          </cell>
          <cell r="E190">
            <v>6.7204301075268813E-2</v>
          </cell>
        </row>
        <row r="191">
          <cell r="A191">
            <v>572</v>
          </cell>
          <cell r="B191" t="str">
            <v>Cyl. skrue M8 x 16 DIN 912</v>
          </cell>
          <cell r="C191" t="str">
            <v xml:space="preserve">Cyl. Screw M8 X 16  DIN 912 </v>
          </cell>
          <cell r="D191">
            <v>0.8</v>
          </cell>
          <cell r="E191">
            <v>0.10752688172043011</v>
          </cell>
        </row>
        <row r="192">
          <cell r="A192">
            <v>574</v>
          </cell>
          <cell r="B192" t="str">
            <v>Facetskive Ø8 FZB DIN125B</v>
          </cell>
          <cell r="C192" t="str">
            <v>Washer Ø8 FZB DIN125B</v>
          </cell>
          <cell r="D192">
            <v>0.2</v>
          </cell>
          <cell r="E192">
            <v>2.6881720430107527E-2</v>
          </cell>
        </row>
        <row r="193">
          <cell r="A193">
            <v>576</v>
          </cell>
          <cell r="B193" t="str">
            <v>Facetskive Ø8 FZB DIN125B</v>
          </cell>
          <cell r="C193" t="str">
            <v>Washer Ø8 FZB DIN125B</v>
          </cell>
          <cell r="D193">
            <v>4</v>
          </cell>
          <cell r="E193">
            <v>0.5376344086021505</v>
          </cell>
        </row>
        <row r="194">
          <cell r="A194">
            <v>577</v>
          </cell>
          <cell r="B194" t="str">
            <v>Hængsel for pillekammer</v>
          </cell>
          <cell r="C194" t="str">
            <v>Hinge for pellet chamber bottom PM12</v>
          </cell>
          <cell r="D194">
            <v>1405</v>
          </cell>
          <cell r="E194">
            <v>188.84408602150538</v>
          </cell>
        </row>
        <row r="195">
          <cell r="A195">
            <v>578</v>
          </cell>
          <cell r="B195" t="str">
            <v>Tap for hængsel</v>
          </cell>
          <cell r="C195" t="str">
            <v>Spindle for hinge</v>
          </cell>
          <cell r="D195">
            <v>281</v>
          </cell>
          <cell r="E195">
            <v>37.768817204301072</v>
          </cell>
        </row>
        <row r="196">
          <cell r="A196">
            <v>579</v>
          </cell>
          <cell r="B196" t="str">
            <v>O-ring Ø164,69 x Ø3,53</v>
          </cell>
          <cell r="C196" t="str">
            <v>O-RING Ø164,7XØ3.53</v>
          </cell>
          <cell r="D196">
            <v>5.5</v>
          </cell>
          <cell r="E196">
            <v>0.739247311827957</v>
          </cell>
        </row>
        <row r="197">
          <cell r="A197">
            <v>580</v>
          </cell>
          <cell r="B197" t="str">
            <v>Bagplade for pillekammer mod gear</v>
          </cell>
          <cell r="C197" t="str">
            <v xml:space="preserve">Backplate for pellet chamber </v>
          </cell>
          <cell r="D197">
            <v>2385</v>
          </cell>
          <cell r="E197">
            <v>320.56451612903226</v>
          </cell>
        </row>
        <row r="198">
          <cell r="A198">
            <v>581</v>
          </cell>
          <cell r="B198" t="str">
            <v>Bagplade for pillekammer mod ring</v>
          </cell>
          <cell r="C198" t="str">
            <v xml:space="preserve">Backplate for pellet chamber </v>
          </cell>
          <cell r="D198">
            <v>1855</v>
          </cell>
          <cell r="E198">
            <v>249.3279569892473</v>
          </cell>
        </row>
        <row r="199">
          <cell r="A199">
            <v>582</v>
          </cell>
          <cell r="B199" t="str">
            <v>U-skrue M10 x 20 DIN 7991 A2</v>
          </cell>
          <cell r="C199" t="str">
            <v>Counter sunk screw M10 x 20 DIN 7991 A2</v>
          </cell>
          <cell r="D199">
            <v>2.7</v>
          </cell>
          <cell r="E199">
            <v>0.36290322580645162</v>
          </cell>
        </row>
        <row r="200">
          <cell r="A200">
            <v>583</v>
          </cell>
          <cell r="B200" t="str">
            <v>U Skrue M6x10 DIN7991 A2</v>
          </cell>
          <cell r="C200" t="str">
            <v>Counter sunk screw M6x10xDIN7991 A2</v>
          </cell>
          <cell r="D200">
            <v>1</v>
          </cell>
          <cell r="E200">
            <v>0.13440860215053763</v>
          </cell>
        </row>
        <row r="201">
          <cell r="A201">
            <v>583</v>
          </cell>
          <cell r="B201" t="str">
            <v>U-skrue M6 x 10 DIN7991 A2</v>
          </cell>
          <cell r="C201" t="str">
            <v>Counter sunk screw M6 x 10 DIN7991 A2</v>
          </cell>
          <cell r="D201">
            <v>1</v>
          </cell>
          <cell r="E201">
            <v>0.13440860215053763</v>
          </cell>
        </row>
        <row r="202">
          <cell r="A202">
            <v>584</v>
          </cell>
          <cell r="B202" t="str">
            <v>Smøreslange</v>
          </cell>
          <cell r="C202" t="str">
            <v>Oil pipe with 2 banjo</v>
          </cell>
          <cell r="D202">
            <v>186</v>
          </cell>
          <cell r="E202">
            <v>25</v>
          </cell>
        </row>
        <row r="203">
          <cell r="A203">
            <v>586</v>
          </cell>
          <cell r="B203" t="str">
            <v>Hægte for lukkebeslag</v>
          </cell>
          <cell r="C203" t="str">
            <v>Hock for lock on pelletchamber</v>
          </cell>
          <cell r="D203">
            <v>180</v>
          </cell>
          <cell r="E203">
            <v>24.193548387096772</v>
          </cell>
        </row>
        <row r="204">
          <cell r="A204">
            <v>588</v>
          </cell>
          <cell r="B204" t="str">
            <v>Tætningsring Ø 2-7/8 x 1-15/16 x 12</v>
          </cell>
          <cell r="C204" t="str">
            <v>Sealing ring Ø 2-7/8 x 1-15/16 x 12</v>
          </cell>
          <cell r="D204">
            <v>233</v>
          </cell>
          <cell r="E204">
            <v>31.317204301075268</v>
          </cell>
        </row>
        <row r="205">
          <cell r="A205">
            <v>589</v>
          </cell>
          <cell r="B205" t="str">
            <v>Topmøtrik M12 DIN 1286</v>
          </cell>
          <cell r="C205" t="str">
            <v>Top nut M12 DIN 1286</v>
          </cell>
          <cell r="D205">
            <v>17</v>
          </cell>
          <cell r="E205">
            <v>2.2849462365591395</v>
          </cell>
        </row>
        <row r="206">
          <cell r="A206">
            <v>590</v>
          </cell>
          <cell r="B206" t="str">
            <v>6-kt. Skrue M12 x 30 FZB DIN933 (for 5,5 kW motor)</v>
          </cell>
          <cell r="C206" t="str">
            <v>Hex screw M12 x 30 FZB DIN933 (for 5,5 kW motor)</v>
          </cell>
          <cell r="D206">
            <v>1.8</v>
          </cell>
          <cell r="E206">
            <v>0.24193548387096772</v>
          </cell>
        </row>
        <row r="207">
          <cell r="A207">
            <v>592</v>
          </cell>
          <cell r="B207" t="str">
            <v>6-kt. Skrue M12 x 45  8.8 sort</v>
          </cell>
          <cell r="C207" t="str">
            <v>Hex screw M12 x 45  8.8 sort</v>
          </cell>
          <cell r="D207">
            <v>1.9</v>
          </cell>
          <cell r="E207">
            <v>0.2553763440860215</v>
          </cell>
        </row>
        <row r="208">
          <cell r="A208">
            <v>595</v>
          </cell>
          <cell r="B208" t="str">
            <v xml:space="preserve">Slidring  </v>
          </cell>
          <cell r="C208" t="str">
            <v>Wear ring for main shaft.</v>
          </cell>
          <cell r="D208">
            <v>6360</v>
          </cell>
          <cell r="E208">
            <v>854.83870967741927</v>
          </cell>
        </row>
        <row r="209">
          <cell r="A209">
            <v>596</v>
          </cell>
          <cell r="B209" t="str">
            <v>feder</v>
          </cell>
          <cell r="C209" t="str">
            <v xml:space="preserve">Parallel key </v>
          </cell>
          <cell r="D209">
            <v>127</v>
          </cell>
          <cell r="E209">
            <v>17.06989247311828</v>
          </cell>
        </row>
        <row r="210">
          <cell r="A210">
            <v>596</v>
          </cell>
          <cell r="B210" t="str">
            <v>Feder A 50 x 28 x 180</v>
          </cell>
          <cell r="C210" t="str">
            <v>Parralel key  A 50 x 28 x 180</v>
          </cell>
          <cell r="D210">
            <v>127</v>
          </cell>
          <cell r="E210">
            <v>17.06989247311828</v>
          </cell>
        </row>
        <row r="211">
          <cell r="A211">
            <v>597</v>
          </cell>
          <cell r="B211" t="str">
            <v>Akselmøtrik</v>
          </cell>
          <cell r="C211" t="str">
            <v xml:space="preserve">Nut for shaft  </v>
          </cell>
          <cell r="D211">
            <v>398</v>
          </cell>
          <cell r="E211">
            <v>53.494623655913976</v>
          </cell>
        </row>
        <row r="212">
          <cell r="A212">
            <v>598</v>
          </cell>
          <cell r="B212" t="str">
            <v>Låseblik KM 40</v>
          </cell>
          <cell r="C212" t="str">
            <v>Lock washer MB 40</v>
          </cell>
          <cell r="D212">
            <v>70</v>
          </cell>
          <cell r="E212">
            <v>9.408602150537634</v>
          </cell>
        </row>
        <row r="213">
          <cell r="A213">
            <v>599</v>
          </cell>
          <cell r="B213" t="str">
            <v>Styretap Ø28</v>
          </cell>
          <cell r="C213" t="str">
            <v xml:space="preserve">King pin Ø28 </v>
          </cell>
          <cell r="D213">
            <v>27</v>
          </cell>
          <cell r="E213">
            <v>3.629032258064516</v>
          </cell>
        </row>
        <row r="214">
          <cell r="A214">
            <v>600</v>
          </cell>
          <cell r="B214" t="str">
            <v>Skrue M16x36 f/godsfordeler</v>
          </cell>
          <cell r="C214" t="str">
            <v>Screw M16x35 f/deflector</v>
          </cell>
          <cell r="D214">
            <v>6.4</v>
          </cell>
          <cell r="E214">
            <v>0.86021505376344087</v>
          </cell>
        </row>
        <row r="215">
          <cell r="A215">
            <v>601</v>
          </cell>
          <cell r="B215" t="str">
            <v>Slidring rulle holder aksel</v>
          </cell>
          <cell r="C215" t="str">
            <v>Wear ring for roller main shaft</v>
          </cell>
          <cell r="D215">
            <v>2194</v>
          </cell>
          <cell r="E215">
            <v>294.89247311827955</v>
          </cell>
        </row>
        <row r="216">
          <cell r="A216">
            <v>603</v>
          </cell>
          <cell r="B216" t="str">
            <v>Dæksel, for</v>
          </cell>
          <cell r="C216" t="str">
            <v xml:space="preserve">Cover front end </v>
          </cell>
          <cell r="D216">
            <v>286</v>
          </cell>
          <cell r="E216">
            <v>38.44086021505376</v>
          </cell>
        </row>
        <row r="217">
          <cell r="A217">
            <v>604</v>
          </cell>
          <cell r="B217" t="str">
            <v>Dæksel, bag</v>
          </cell>
          <cell r="C217" t="str">
            <v xml:space="preserve">Cover rear end </v>
          </cell>
          <cell r="D217">
            <v>498</v>
          </cell>
          <cell r="E217">
            <v>66.935483870967744</v>
          </cell>
        </row>
        <row r="218">
          <cell r="A218">
            <v>605</v>
          </cell>
          <cell r="B218" t="str">
            <v>Skive</v>
          </cell>
          <cell r="C218" t="str">
            <v>Washer</v>
          </cell>
          <cell r="D218">
            <v>302</v>
          </cell>
          <cell r="E218">
            <v>40.591397849462361</v>
          </cell>
        </row>
        <row r="219">
          <cell r="A219">
            <v>606</v>
          </cell>
          <cell r="B219" t="str">
            <v>Feder AB 32 x 18 x 80</v>
          </cell>
          <cell r="C219" t="str">
            <v>Paralell key  AB 32 x 18 x 80</v>
          </cell>
          <cell r="D219">
            <v>98</v>
          </cell>
          <cell r="E219">
            <v>13.172043010752688</v>
          </cell>
        </row>
        <row r="220">
          <cell r="A220">
            <v>607</v>
          </cell>
          <cell r="B220" t="str">
            <v>Akselmøtrik KM19</v>
          </cell>
          <cell r="C220" t="str">
            <v>Nut for shaft KM19</v>
          </cell>
          <cell r="D220">
            <v>143</v>
          </cell>
          <cell r="E220">
            <v>19.22043010752688</v>
          </cell>
        </row>
        <row r="221">
          <cell r="A221">
            <v>608</v>
          </cell>
          <cell r="B221" t="str">
            <v>Akselmøtrik KM20</v>
          </cell>
          <cell r="C221" t="str">
            <v>Nut for shaft KM20</v>
          </cell>
          <cell r="D221">
            <v>159</v>
          </cell>
          <cell r="E221">
            <v>21.370967741935484</v>
          </cell>
        </row>
        <row r="222">
          <cell r="A222">
            <v>609</v>
          </cell>
          <cell r="B222" t="str">
            <v>Cyl. Skrue M6 x 25 8.8 DIN 912</v>
          </cell>
          <cell r="C222" t="str">
            <v>Cyl. Screw M6 x 25 8.8 DIN 912</v>
          </cell>
          <cell r="D222">
            <v>0.5</v>
          </cell>
          <cell r="E222">
            <v>6.7204301075268813E-2</v>
          </cell>
        </row>
        <row r="223">
          <cell r="A223">
            <v>610</v>
          </cell>
          <cell r="B223" t="str">
            <v>Låseblik MB 19</v>
          </cell>
          <cell r="C223" t="str">
            <v>Lock washer MB 19</v>
          </cell>
          <cell r="D223">
            <v>21</v>
          </cell>
          <cell r="E223">
            <v>2.82258064516129</v>
          </cell>
        </row>
        <row r="224">
          <cell r="A224">
            <v>611</v>
          </cell>
          <cell r="B224" t="str">
            <v>6-kt. Skrue M12 x 25 A2 DIN 933</v>
          </cell>
          <cell r="C224" t="str">
            <v>Hex screw M12 x 25 A2 DIN 933</v>
          </cell>
          <cell r="D224">
            <v>2.7</v>
          </cell>
          <cell r="E224">
            <v>0.36290322580645162</v>
          </cell>
        </row>
        <row r="225">
          <cell r="A225">
            <v>612</v>
          </cell>
          <cell r="B225" t="str">
            <v>Fjederskive Ø12 A2 DIN 127B</v>
          </cell>
          <cell r="C225" t="str">
            <v>Spring disc Ø12 A2 DIN 127B</v>
          </cell>
          <cell r="D225">
            <v>0.5</v>
          </cell>
          <cell r="E225">
            <v>6.7204301075268813E-2</v>
          </cell>
        </row>
        <row r="226">
          <cell r="A226">
            <v>614</v>
          </cell>
          <cell r="B226" t="str">
            <v>Smøreskrue</v>
          </cell>
          <cell r="C226" t="str">
            <v>Lubricating screw</v>
          </cell>
          <cell r="D226">
            <v>101</v>
          </cell>
          <cell r="E226">
            <v>13.5752688172043</v>
          </cell>
        </row>
        <row r="227">
          <cell r="A227">
            <v>615</v>
          </cell>
          <cell r="B227" t="str">
            <v>Vinkel 90°   ø 10 skr. - 1/4 RG</v>
          </cell>
          <cell r="C227" t="str">
            <v>Angle 90 degr. 1/8"</v>
          </cell>
          <cell r="D227">
            <v>13.3</v>
          </cell>
          <cell r="E227">
            <v>1.7876344086021505</v>
          </cell>
        </row>
        <row r="228">
          <cell r="A228">
            <v>616</v>
          </cell>
          <cell r="B228" t="str">
            <v>Rør 1/8" x 1174</v>
          </cell>
          <cell r="C228" t="str">
            <v>Pipe 1/8" x 1174</v>
          </cell>
          <cell r="D228">
            <v>37</v>
          </cell>
          <cell r="E228">
            <v>4.9731182795698921</v>
          </cell>
        </row>
        <row r="229">
          <cell r="A229">
            <v>618</v>
          </cell>
          <cell r="B229" t="str">
            <v>Muffe 1/8" RG messing</v>
          </cell>
          <cell r="C229" t="str">
            <v>Socket 1/8" RG brass</v>
          </cell>
          <cell r="D229">
            <v>28</v>
          </cell>
          <cell r="E229">
            <v>3.7634408602150535</v>
          </cell>
        </row>
        <row r="230">
          <cell r="A230">
            <v>622</v>
          </cell>
          <cell r="B230" t="str">
            <v>Inderpart f/sikringskobling</v>
          </cell>
          <cell r="C230" t="str">
            <v>Safety coupling inner part M12</v>
          </cell>
          <cell r="D230">
            <v>7526</v>
          </cell>
          <cell r="E230">
            <v>1011.5591397849462</v>
          </cell>
        </row>
        <row r="231">
          <cell r="A231">
            <v>623</v>
          </cell>
          <cell r="B231" t="str">
            <v>Yderpart f/sikringskobling</v>
          </cell>
          <cell r="C231" t="str">
            <v>Safety coupling outer part</v>
          </cell>
          <cell r="D231">
            <v>13250</v>
          </cell>
          <cell r="E231">
            <v>1780.9139784946235</v>
          </cell>
        </row>
        <row r="232">
          <cell r="A232">
            <v>624</v>
          </cell>
          <cell r="B232" t="str">
            <v>Borebøsning A 25 x 30 DIN 172</v>
          </cell>
          <cell r="C232" t="str">
            <v>Steel sleeve</v>
          </cell>
          <cell r="D232">
            <v>403</v>
          </cell>
          <cell r="E232">
            <v>54.166666666666664</v>
          </cell>
        </row>
        <row r="233">
          <cell r="A233">
            <v>625</v>
          </cell>
          <cell r="B233" t="str">
            <v>Sikringsbolt</v>
          </cell>
          <cell r="C233" t="str">
            <v>Shear pin with o-ring</v>
          </cell>
          <cell r="D233">
            <v>72</v>
          </cell>
          <cell r="E233">
            <v>9.67741935483871</v>
          </cell>
        </row>
        <row r="234">
          <cell r="A234">
            <v>626</v>
          </cell>
          <cell r="B234" t="str">
            <v>Låseplade</v>
          </cell>
          <cell r="C234" t="str">
            <v>Lock plate for shearpin</v>
          </cell>
          <cell r="D234">
            <v>140</v>
          </cell>
          <cell r="E234">
            <v>18.817204301075268</v>
          </cell>
        </row>
        <row r="235">
          <cell r="A235">
            <v>627</v>
          </cell>
          <cell r="B235" t="str">
            <v>Cyl. skrue M10 x 16 DIN 912</v>
          </cell>
          <cell r="C235" t="str">
            <v>Cyl srew M10 X 16  DIN 912</v>
          </cell>
          <cell r="D235">
            <v>1.8</v>
          </cell>
          <cell r="E235">
            <v>0.24193548387096772</v>
          </cell>
        </row>
        <row r="236">
          <cell r="A236">
            <v>636</v>
          </cell>
          <cell r="B236" t="str">
            <v>Dæksel</v>
          </cell>
          <cell r="C236" t="str">
            <v>Cover</v>
          </cell>
          <cell r="D236">
            <v>477</v>
          </cell>
          <cell r="E236">
            <v>64.112903225806448</v>
          </cell>
        </row>
        <row r="237">
          <cell r="A237">
            <v>638</v>
          </cell>
          <cell r="B237" t="str">
            <v>Pakning</v>
          </cell>
          <cell r="C237" t="str">
            <v>Packing for closed bearing house</v>
          </cell>
          <cell r="D237">
            <v>20</v>
          </cell>
          <cell r="E237">
            <v>2.6881720430107525</v>
          </cell>
        </row>
        <row r="238">
          <cell r="A238">
            <v>639</v>
          </cell>
          <cell r="B238" t="str">
            <v>Cyl. Skrue M6 x 16 A2 DIN 912</v>
          </cell>
          <cell r="C238" t="str">
            <v>Cyl. Screw M6 x 16 A2 DIN 912</v>
          </cell>
          <cell r="D238">
            <v>0.8</v>
          </cell>
          <cell r="E238">
            <v>0.10752688172043011</v>
          </cell>
        </row>
        <row r="239">
          <cell r="A239">
            <v>640</v>
          </cell>
          <cell r="B239" t="str">
            <v>U-skrue M6 x 16 A2 DIN 7991</v>
          </cell>
          <cell r="C239" t="str">
            <v>Counter sunk screw M6 x 16 A2 DIN 7991</v>
          </cell>
          <cell r="D239">
            <v>1</v>
          </cell>
          <cell r="E239">
            <v>0.13440860215053763</v>
          </cell>
        </row>
        <row r="240">
          <cell r="A240">
            <v>643</v>
          </cell>
          <cell r="B240" t="str">
            <v>Løftebøjle for matrice</v>
          </cell>
          <cell r="C240" t="str">
            <v>Lift rack for die</v>
          </cell>
          <cell r="D240">
            <v>6890</v>
          </cell>
          <cell r="E240">
            <v>926.07526881720423</v>
          </cell>
        </row>
        <row r="241">
          <cell r="A241">
            <v>644</v>
          </cell>
          <cell r="B241" t="str">
            <v>Blandegevind H113 M20 RF komplet</v>
          </cell>
          <cell r="C241" t="str">
            <v>Mixing paddle H113 M20 compl.</v>
          </cell>
          <cell r="D241">
            <v>345</v>
          </cell>
          <cell r="E241">
            <v>46.37096774193548</v>
          </cell>
        </row>
        <row r="242">
          <cell r="A242">
            <v>645</v>
          </cell>
          <cell r="B242" t="str">
            <v>Pakning for sidedæksel</v>
          </cell>
          <cell r="C242" t="str">
            <v>Packing for side cover</v>
          </cell>
          <cell r="D242">
            <v>159</v>
          </cell>
          <cell r="E242">
            <v>21.370967741935484</v>
          </cell>
        </row>
        <row r="243">
          <cell r="A243">
            <v>647</v>
          </cell>
          <cell r="B243" t="str">
            <v>Pakning for hovedlejeskål</v>
          </cell>
          <cell r="C243" t="str">
            <v>Packing for main bearing housing</v>
          </cell>
          <cell r="D243">
            <v>85</v>
          </cell>
          <cell r="E243">
            <v>11.424731182795698</v>
          </cell>
        </row>
        <row r="244">
          <cell r="A244">
            <v>648</v>
          </cell>
          <cell r="B244" t="str">
            <v>Rulleholderaksel, komplet, incl.  pos. 748 - 764</v>
          </cell>
          <cell r="C244" t="str">
            <v>Roller main shaft, complete, incl.  item 748 - 764</v>
          </cell>
          <cell r="D244">
            <v>51834</v>
          </cell>
          <cell r="E244">
            <v>6966.9354838709678</v>
          </cell>
        </row>
        <row r="245">
          <cell r="A245">
            <v>655</v>
          </cell>
          <cell r="B245" t="str">
            <v>Holder for knivskaft</v>
          </cell>
          <cell r="C245" t="str">
            <v>Holder for knife shaft</v>
          </cell>
          <cell r="D245">
            <v>1431</v>
          </cell>
          <cell r="E245">
            <v>192.33870967741933</v>
          </cell>
        </row>
        <row r="246">
          <cell r="A246">
            <v>656</v>
          </cell>
          <cell r="B246" t="str">
            <v>Skaft f/kniv, kompl., incl. pos. 30-31</v>
          </cell>
          <cell r="C246" t="str">
            <v>Knife shaft</v>
          </cell>
          <cell r="D246">
            <v>1950</v>
          </cell>
          <cell r="E246">
            <v>262.09677419354836</v>
          </cell>
        </row>
        <row r="247">
          <cell r="A247">
            <v>656</v>
          </cell>
          <cell r="B247" t="str">
            <v>Skaft for kniv komplet M30</v>
          </cell>
          <cell r="C247" t="str">
            <v>Shute for knife, compl M30</v>
          </cell>
          <cell r="D247">
            <v>1950</v>
          </cell>
          <cell r="E247">
            <v>262.09677419354836</v>
          </cell>
        </row>
        <row r="248">
          <cell r="A248">
            <v>657</v>
          </cell>
          <cell r="B248" t="str">
            <v>Knivblad T3 B154 L122</v>
          </cell>
          <cell r="C248" t="str">
            <v>Kife, thin t=3, width 154</v>
          </cell>
          <cell r="D248">
            <v>233</v>
          </cell>
          <cell r="E248">
            <v>31.317204301075268</v>
          </cell>
        </row>
        <row r="249">
          <cell r="A249">
            <v>658</v>
          </cell>
          <cell r="B249" t="str">
            <v>Krydsgreb GB 6335.4 M16 x 30</v>
          </cell>
          <cell r="C249" t="str">
            <v xml:space="preserve"> Cross handle</v>
          </cell>
          <cell r="D249">
            <v>52</v>
          </cell>
          <cell r="E249">
            <v>6.989247311827957</v>
          </cell>
        </row>
        <row r="250">
          <cell r="A250">
            <v>658</v>
          </cell>
          <cell r="B250" t="str">
            <v>Krydshåndtag M16 x 30 stift</v>
          </cell>
          <cell r="C250" t="str">
            <v>Cross handle M16 x 30 stift</v>
          </cell>
          <cell r="D250">
            <v>52</v>
          </cell>
          <cell r="E250">
            <v>6.989247311827957</v>
          </cell>
        </row>
        <row r="251">
          <cell r="A251">
            <v>659</v>
          </cell>
          <cell r="B251" t="str">
            <v>Håndtag for kniv</v>
          </cell>
          <cell r="C251" t="str">
            <v>Handle for knife</v>
          </cell>
          <cell r="D251">
            <v>100</v>
          </cell>
          <cell r="E251">
            <v>13.440860215053762</v>
          </cell>
        </row>
        <row r="252">
          <cell r="A252">
            <v>660</v>
          </cell>
          <cell r="B252" t="str">
            <v>Kanttætning Udv.  L=4706 pr. m</v>
          </cell>
          <cell r="C252" t="str">
            <v>Packing inside L=4502 per m</v>
          </cell>
          <cell r="D252">
            <v>32</v>
          </cell>
          <cell r="E252">
            <v>4.301075268817204</v>
          </cell>
        </row>
        <row r="253">
          <cell r="A253">
            <v>663</v>
          </cell>
          <cell r="B253" t="str">
            <v>Krydsgreb</v>
          </cell>
          <cell r="C253" t="str">
            <v xml:space="preserve"> Cross handle</v>
          </cell>
          <cell r="D253">
            <v>58</v>
          </cell>
          <cell r="E253">
            <v>7.7956989247311821</v>
          </cell>
        </row>
        <row r="254">
          <cell r="A254">
            <v>664</v>
          </cell>
          <cell r="B254" t="str">
            <v>Spændebeslag for pillekammer</v>
          </cell>
          <cell r="C254" t="str">
            <v>Fixing fitting for pelletchamber</v>
          </cell>
          <cell r="D254">
            <v>194</v>
          </cell>
          <cell r="E254">
            <v>26.0752688172043</v>
          </cell>
        </row>
        <row r="255">
          <cell r="A255">
            <v>669</v>
          </cell>
          <cell r="B255" t="str">
            <v>Hængsel 25 x 5 x 28 Ø12 lige AISI 304</v>
          </cell>
          <cell r="C255" t="str">
            <v>Hinge plate</v>
          </cell>
          <cell r="D255">
            <v>32</v>
          </cell>
          <cell r="E255">
            <v>4.301075268817204</v>
          </cell>
        </row>
        <row r="256">
          <cell r="A256">
            <v>670</v>
          </cell>
          <cell r="B256" t="str">
            <v>Møtrik M20 DIN 934</v>
          </cell>
          <cell r="C256" t="str">
            <v>Nut M20 DIN 934</v>
          </cell>
          <cell r="D256">
            <v>8</v>
          </cell>
          <cell r="E256">
            <v>1.075268817204301</v>
          </cell>
        </row>
        <row r="257">
          <cell r="A257">
            <v>671</v>
          </cell>
          <cell r="B257" t="str">
            <v>Låsering U 12 x 1 DIN 471 A2</v>
          </cell>
          <cell r="C257" t="str">
            <v>Lock ring U 12 x 1 DIN 471 A2</v>
          </cell>
          <cell r="D257">
            <v>2.8</v>
          </cell>
          <cell r="E257">
            <v>0.37634408602150532</v>
          </cell>
        </row>
        <row r="258">
          <cell r="A258">
            <v>671</v>
          </cell>
          <cell r="B258" t="str">
            <v>Låsering U 12x1 DIN 471 A2</v>
          </cell>
          <cell r="C258" t="str">
            <v>Lock ring U 12x1 DIN 471 A2</v>
          </cell>
          <cell r="D258">
            <v>2.8</v>
          </cell>
          <cell r="E258">
            <v>0.37634408602150532</v>
          </cell>
        </row>
        <row r="259">
          <cell r="A259">
            <v>674</v>
          </cell>
          <cell r="B259" t="str">
            <v>6-kt. Skrue M12 x 30 A2 DIN 933</v>
          </cell>
          <cell r="C259" t="str">
            <v>Hex screw M12 x 30 A2 DIN 933</v>
          </cell>
          <cell r="D259">
            <v>2.8</v>
          </cell>
          <cell r="E259">
            <v>0.37634408602150532</v>
          </cell>
        </row>
        <row r="260">
          <cell r="A260">
            <v>678</v>
          </cell>
          <cell r="B260" t="str">
            <v>Fingerskrue M8 x 16 DIN 464</v>
          </cell>
          <cell r="C260" t="str">
            <v>Thump screw M8 X 16 DIN 464</v>
          </cell>
          <cell r="D260">
            <v>27</v>
          </cell>
          <cell r="E260">
            <v>3.629032258064516</v>
          </cell>
        </row>
        <row r="261">
          <cell r="A261">
            <v>679</v>
          </cell>
          <cell r="B261" t="str">
            <v>Hægtelukke Bevola 1006</v>
          </cell>
          <cell r="C261" t="str">
            <v>Hook lock bevola 1006</v>
          </cell>
          <cell r="D261">
            <v>127</v>
          </cell>
          <cell r="E261">
            <v>17.06989247311828</v>
          </cell>
        </row>
        <row r="262">
          <cell r="A262">
            <v>681</v>
          </cell>
          <cell r="B262" t="str">
            <v>Forstærkerring med kniv PM30</v>
          </cell>
          <cell r="C262" t="str">
            <v>Reinforcement ring w. knife PM30</v>
          </cell>
          <cell r="D262">
            <v>14140</v>
          </cell>
          <cell r="E262">
            <v>1900.5376344086021</v>
          </cell>
        </row>
        <row r="263">
          <cell r="A263">
            <v>689</v>
          </cell>
          <cell r="B263" t="str">
            <v>Håndtag Elesa M243/140</v>
          </cell>
          <cell r="C263" t="str">
            <v>Handle  Elesa M243/140</v>
          </cell>
          <cell r="D263">
            <v>56</v>
          </cell>
          <cell r="E263">
            <v>7.5268817204301071</v>
          </cell>
        </row>
        <row r="264">
          <cell r="A264">
            <v>690</v>
          </cell>
          <cell r="B264" t="str">
            <v>Cyl. skrue M8 x 35 DIN 921 A2</v>
          </cell>
          <cell r="C264" t="str">
            <v xml:space="preserve">Cyl. Srew M8X35  DIN912           </v>
          </cell>
          <cell r="D264">
            <v>1.6</v>
          </cell>
          <cell r="E264">
            <v>0.21505376344086022</v>
          </cell>
        </row>
        <row r="265">
          <cell r="A265">
            <v>693</v>
          </cell>
          <cell r="B265" t="str">
            <v>6-kt. Skrue M10 x 16 A2 DIN 933</v>
          </cell>
          <cell r="C265" t="str">
            <v>Hex screw M10 x 16 A2 DIN 933</v>
          </cell>
          <cell r="D265">
            <v>1.8</v>
          </cell>
          <cell r="E265">
            <v>0.24193548387096772</v>
          </cell>
        </row>
        <row r="266">
          <cell r="A266">
            <v>694</v>
          </cell>
          <cell r="B266" t="str">
            <v>Fjederskive Ø10 A2 DIN127B</v>
          </cell>
          <cell r="C266" t="str">
            <v>Spring disc Ø10 A2 DIN127B</v>
          </cell>
          <cell r="D266">
            <v>0.4</v>
          </cell>
          <cell r="E266">
            <v>5.3763440860215055E-2</v>
          </cell>
        </row>
        <row r="267">
          <cell r="A267">
            <v>695</v>
          </cell>
          <cell r="B267" t="str">
            <v>Stopklods for kniv</v>
          </cell>
          <cell r="C267" t="str">
            <v xml:space="preserve">STOP FOR KNIFE </v>
          </cell>
          <cell r="D267">
            <v>419</v>
          </cell>
          <cell r="E267">
            <v>56.317204301075265</v>
          </cell>
        </row>
        <row r="268">
          <cell r="A268">
            <v>697</v>
          </cell>
          <cell r="B268" t="str">
            <v>Cyl. Skrue M12 x 30 A2 DIN912</v>
          </cell>
          <cell r="C268" t="str">
            <v>Cyl. Screw M12 x 30 A2 DIN912</v>
          </cell>
          <cell r="D268">
            <v>3.5</v>
          </cell>
          <cell r="E268">
            <v>0.47043010752688169</v>
          </cell>
        </row>
        <row r="269">
          <cell r="A269">
            <v>702</v>
          </cell>
          <cell r="B269" t="str">
            <v>Facetskive Ø20 FZB DIN 125 B</v>
          </cell>
          <cell r="C269" t="str">
            <v>Washer Ø20 FZB DIN 125 B</v>
          </cell>
          <cell r="D269">
            <v>1.4</v>
          </cell>
          <cell r="E269">
            <v>0.18817204301075266</v>
          </cell>
        </row>
        <row r="270">
          <cell r="A270">
            <v>704</v>
          </cell>
          <cell r="B270" t="str">
            <v>Stopring</v>
          </cell>
          <cell r="C270" t="str">
            <v>Stop ring</v>
          </cell>
          <cell r="D270">
            <v>1378</v>
          </cell>
          <cell r="E270">
            <v>185.21505376344086</v>
          </cell>
        </row>
        <row r="271">
          <cell r="A271">
            <v>705</v>
          </cell>
          <cell r="B271" t="str">
            <v>Pakning for lejehus</v>
          </cell>
          <cell r="C271" t="str">
            <v>Packing for bearing housing</v>
          </cell>
          <cell r="D271">
            <v>80</v>
          </cell>
          <cell r="E271">
            <v>10.75268817204301</v>
          </cell>
        </row>
        <row r="272">
          <cell r="A272">
            <v>706</v>
          </cell>
          <cell r="B272" t="str">
            <v>Drivaksel komplet</v>
          </cell>
          <cell r="C272" t="str">
            <v>Drive shaft complete</v>
          </cell>
          <cell r="D272">
            <v>27984</v>
          </cell>
          <cell r="E272">
            <v>3761.2903225806449</v>
          </cell>
        </row>
        <row r="273">
          <cell r="A273">
            <v>707</v>
          </cell>
          <cell r="B273" t="str">
            <v>Aftræksring</v>
          </cell>
          <cell r="C273" t="str">
            <v>Pull-off ring</v>
          </cell>
          <cell r="D273">
            <v>260</v>
          </cell>
          <cell r="E273">
            <v>34.946236559139784</v>
          </cell>
        </row>
        <row r="274">
          <cell r="A274">
            <v>708</v>
          </cell>
          <cell r="B274" t="str">
            <v>Oliekaster incl. pos. 647</v>
          </cell>
          <cell r="C274" t="str">
            <v>Oil distributor incl. item 647</v>
          </cell>
          <cell r="D274">
            <v>631</v>
          </cell>
          <cell r="E274">
            <v>84.811827956989248</v>
          </cell>
        </row>
        <row r="275">
          <cell r="A275">
            <v>710</v>
          </cell>
          <cell r="B275" t="str">
            <v>Fjederskive Ø10 FZB</v>
          </cell>
          <cell r="C275" t="str">
            <v>Spring disc M10 2-roller system</v>
          </cell>
          <cell r="D275">
            <v>0.2</v>
          </cell>
          <cell r="E275">
            <v>2.6881720430107527E-2</v>
          </cell>
        </row>
        <row r="276">
          <cell r="A276">
            <v>711</v>
          </cell>
          <cell r="B276" t="str">
            <v>Cyl. Skrue M10x35 A2 DIN 912</v>
          </cell>
          <cell r="C276" t="str">
            <v>Cyl. Screw M10 x 35 A2 DIN912</v>
          </cell>
          <cell r="D276">
            <v>3.2</v>
          </cell>
          <cell r="E276">
            <v>0.43010752688172044</v>
          </cell>
        </row>
        <row r="277">
          <cell r="A277">
            <v>712</v>
          </cell>
          <cell r="B277" t="str">
            <v>Pakning for dæksel</v>
          </cell>
          <cell r="C277" t="str">
            <v>Packing for cover</v>
          </cell>
          <cell r="D277">
            <v>80</v>
          </cell>
          <cell r="E277">
            <v>10.75268817204301</v>
          </cell>
        </row>
        <row r="278">
          <cell r="A278">
            <v>713</v>
          </cell>
          <cell r="B278" t="str">
            <v>Lejehus for drivaksel, åben</v>
          </cell>
          <cell r="C278" t="str">
            <v>Bearing housing for drive shaft, open</v>
          </cell>
          <cell r="D278">
            <v>6890</v>
          </cell>
          <cell r="E278">
            <v>926.07526881720423</v>
          </cell>
        </row>
        <row r="279">
          <cell r="A279">
            <v>714</v>
          </cell>
          <cell r="B279" t="str">
            <v xml:space="preserve">Cyl. Skrue M24 x 80 12,9 DIN 912, </v>
          </cell>
          <cell r="C279" t="str">
            <v>Cyl. Screw M24 x 80 12,9 DIN 912</v>
          </cell>
          <cell r="D279">
            <v>37</v>
          </cell>
          <cell r="E279">
            <v>4.9731182795698921</v>
          </cell>
        </row>
        <row r="280">
          <cell r="A280">
            <v>715</v>
          </cell>
          <cell r="B280" t="str">
            <v>Fjederskive M24</v>
          </cell>
          <cell r="C280" t="str">
            <v>Spring disc M24</v>
          </cell>
          <cell r="D280">
            <v>2.4</v>
          </cell>
          <cell r="E280">
            <v>0.32258064516129031</v>
          </cell>
        </row>
        <row r="281">
          <cell r="A281">
            <v>716</v>
          </cell>
          <cell r="B281" t="str">
            <v>Pakning for lejehus</v>
          </cell>
          <cell r="C281" t="str">
            <v>Packing for bearing housing</v>
          </cell>
          <cell r="D281">
            <v>80</v>
          </cell>
          <cell r="E281">
            <v>10.75268817204301</v>
          </cell>
        </row>
        <row r="282">
          <cell r="A282">
            <v>717</v>
          </cell>
          <cell r="B282" t="str">
            <v>Pakning for dæksel</v>
          </cell>
          <cell r="C282" t="str">
            <v>Packing for cover</v>
          </cell>
          <cell r="D282">
            <v>36</v>
          </cell>
          <cell r="E282">
            <v>4.838709677419355</v>
          </cell>
        </row>
        <row r="283">
          <cell r="A283">
            <v>718</v>
          </cell>
          <cell r="B283" t="str">
            <v>Knivblad T3 B194 GN</v>
          </cell>
          <cell r="C283" t="str">
            <v>Knife blade T3 B194 GN</v>
          </cell>
          <cell r="D283">
            <v>323</v>
          </cell>
          <cell r="E283">
            <v>43.413978494623656</v>
          </cell>
        </row>
        <row r="284">
          <cell r="A284">
            <v>719</v>
          </cell>
          <cell r="B284" t="str">
            <v>Skaft f/kniv, kompl., incl. pos. 527-529</v>
          </cell>
          <cell r="C284" t="str">
            <v>Handle for knife, complete, incl. item 527 - 529</v>
          </cell>
          <cell r="D284">
            <v>2035</v>
          </cell>
          <cell r="E284">
            <v>273.52150537634407</v>
          </cell>
        </row>
        <row r="285">
          <cell r="A285">
            <v>721</v>
          </cell>
          <cell r="B285" t="str">
            <v>Rullejusteringsarm komplet</v>
          </cell>
          <cell r="C285" t="str">
            <v>Roller adjustment arm complete</v>
          </cell>
          <cell r="D285">
            <v>2300</v>
          </cell>
          <cell r="E285">
            <v>309.13978494623655</v>
          </cell>
        </row>
        <row r="286">
          <cell r="A286">
            <v>725</v>
          </cell>
          <cell r="B286" t="str">
            <v>Prop 1" RG galv.</v>
          </cell>
          <cell r="C286" t="str">
            <v>Plug 1" RG galv.</v>
          </cell>
          <cell r="D286">
            <v>19.100000000000001</v>
          </cell>
          <cell r="E286">
            <v>2.567204301075269</v>
          </cell>
        </row>
        <row r="287">
          <cell r="A287">
            <v>726</v>
          </cell>
          <cell r="B287" t="str">
            <v>Strøm-T 1" RG , 45°</v>
          </cell>
          <cell r="C287" t="str">
            <v>T fitting 1" RG , 45°</v>
          </cell>
          <cell r="D287">
            <v>154</v>
          </cell>
          <cell r="E287">
            <v>20.698924731182796</v>
          </cell>
        </row>
        <row r="288">
          <cell r="A288">
            <v>726</v>
          </cell>
          <cell r="B288" t="str">
            <v>Strøm-T, 1" RG, 45°</v>
          </cell>
          <cell r="C288" t="str">
            <v>T fitting, 1" RG, 45°</v>
          </cell>
          <cell r="D288">
            <v>154</v>
          </cell>
          <cell r="E288">
            <v>20.698924731182796</v>
          </cell>
        </row>
        <row r="289">
          <cell r="A289">
            <v>728</v>
          </cell>
          <cell r="B289" t="str">
            <v>Flangeleje med dæksel CMUCF 210</v>
          </cell>
          <cell r="C289" t="str">
            <v>Flange with cover CMUCF 210</v>
          </cell>
          <cell r="D289">
            <v>456</v>
          </cell>
          <cell r="E289">
            <v>61.29032258064516</v>
          </cell>
        </row>
        <row r="290">
          <cell r="A290">
            <v>729</v>
          </cell>
          <cell r="B290" t="str">
            <v>Rulleaksel komplet, incl. pos. 13-17</v>
          </cell>
          <cell r="C290" t="str">
            <v>Roller shaft + item 4/10/11/12/13</v>
          </cell>
          <cell r="D290">
            <v>1475</v>
          </cell>
          <cell r="E290">
            <v>198.25268817204301</v>
          </cell>
        </row>
        <row r="291">
          <cell r="A291">
            <v>731</v>
          </cell>
          <cell r="B291" t="str">
            <v>Akselmøtrik KM13</v>
          </cell>
          <cell r="C291" t="str">
            <v>Nut for shaft KM13</v>
          </cell>
          <cell r="D291">
            <v>111</v>
          </cell>
          <cell r="E291">
            <v>14.919354838709676</v>
          </cell>
        </row>
        <row r="292">
          <cell r="A292">
            <v>732</v>
          </cell>
          <cell r="B292" t="str">
            <v>Tandkrans</v>
          </cell>
          <cell r="C292" t="str">
            <v>Toothed bush</v>
          </cell>
          <cell r="D292">
            <v>954</v>
          </cell>
          <cell r="E292">
            <v>128.2258064516129</v>
          </cell>
        </row>
        <row r="293">
          <cell r="A293">
            <v>733</v>
          </cell>
          <cell r="B293" t="str">
            <v>Endedæksel</v>
          </cell>
          <cell r="C293" t="str">
            <v>End cover</v>
          </cell>
          <cell r="D293">
            <v>350</v>
          </cell>
          <cell r="E293">
            <v>47.043010752688168</v>
          </cell>
        </row>
        <row r="294">
          <cell r="A294">
            <v>734</v>
          </cell>
          <cell r="B294" t="str">
            <v>Tætningskrave</v>
          </cell>
          <cell r="C294" t="str">
            <v>Labyrinth seal</v>
          </cell>
          <cell r="D294">
            <v>323</v>
          </cell>
          <cell r="E294">
            <v>43.413978494623656</v>
          </cell>
        </row>
        <row r="295">
          <cell r="A295">
            <v>735</v>
          </cell>
          <cell r="B295" t="str">
            <v>Afstandsring</v>
          </cell>
          <cell r="C295" t="str">
            <v>Distance ring</v>
          </cell>
          <cell r="D295">
            <v>217</v>
          </cell>
          <cell r="E295">
            <v>29.166666666666664</v>
          </cell>
        </row>
        <row r="296">
          <cell r="A296">
            <v>736</v>
          </cell>
          <cell r="B296" t="str">
            <v>Afstandsring</v>
          </cell>
          <cell r="C296" t="str">
            <v>Distance ring</v>
          </cell>
          <cell r="D296">
            <v>127</v>
          </cell>
          <cell r="E296">
            <v>17.06989247311828</v>
          </cell>
        </row>
        <row r="297">
          <cell r="A297">
            <v>737</v>
          </cell>
          <cell r="B297" t="str">
            <v>Feder A 10 x 8 x 45</v>
          </cell>
          <cell r="C297" t="str">
            <v>Paralell key A10x8x45</v>
          </cell>
          <cell r="D297">
            <v>4.2</v>
          </cell>
          <cell r="E297">
            <v>0.56451612903225801</v>
          </cell>
        </row>
        <row r="298">
          <cell r="A298">
            <v>738</v>
          </cell>
          <cell r="B298" t="str">
            <v>Låseblik MB13</v>
          </cell>
          <cell r="C298" t="str">
            <v>Lock washer  MB13</v>
          </cell>
          <cell r="D298">
            <v>11.7</v>
          </cell>
          <cell r="E298">
            <v>1.57258064516129</v>
          </cell>
        </row>
        <row r="299">
          <cell r="A299">
            <v>739</v>
          </cell>
          <cell r="B299" t="str">
            <v>Møtrik M30 8 DIN 934 FZB</v>
          </cell>
          <cell r="C299" t="str">
            <v>Nut M30 8 DIN 934 FZB</v>
          </cell>
          <cell r="D299">
            <v>10.6</v>
          </cell>
          <cell r="E299">
            <v>1.4247311827956988</v>
          </cell>
        </row>
        <row r="300">
          <cell r="A300">
            <v>740</v>
          </cell>
          <cell r="B300" t="str">
            <v>Facetskive Ø30 DIN 125 B</v>
          </cell>
          <cell r="C300" t="str">
            <v>Washer Ø30 DIN 125 B</v>
          </cell>
          <cell r="D300">
            <v>4.9000000000000004</v>
          </cell>
          <cell r="E300">
            <v>0.65860215053763438</v>
          </cell>
        </row>
        <row r="301">
          <cell r="A301">
            <v>741</v>
          </cell>
          <cell r="B301" t="str">
            <v>U. skrue M8 x 20 10.9 DIN 7991</v>
          </cell>
          <cell r="C301" t="str">
            <v>Counter sunk screw M8x20  10.9 DIN 7991</v>
          </cell>
          <cell r="D301">
            <v>1.3</v>
          </cell>
          <cell r="E301">
            <v>0.17473118279569891</v>
          </cell>
        </row>
        <row r="302">
          <cell r="A302">
            <v>742</v>
          </cell>
          <cell r="B302" t="str">
            <v>V-stjerne fjederskive Ø8 DIN 6798V</v>
          </cell>
          <cell r="C302" t="str">
            <v>Serrated lock washer Ø8</v>
          </cell>
          <cell r="D302">
            <v>0.8</v>
          </cell>
          <cell r="E302">
            <v>0.10752688172043011</v>
          </cell>
        </row>
        <row r="303">
          <cell r="A303">
            <v>755</v>
          </cell>
          <cell r="B303" t="str">
            <v>Skraber, komplet  3/4 "</v>
          </cell>
          <cell r="C303" t="str">
            <v>Scraper, complete</v>
          </cell>
          <cell r="D303">
            <v>133</v>
          </cell>
          <cell r="E303">
            <v>17.876344086021504</v>
          </cell>
        </row>
        <row r="304">
          <cell r="A304">
            <v>756</v>
          </cell>
          <cell r="B304" t="str">
            <v>Skærm</v>
          </cell>
          <cell r="C304" t="str">
            <v>Guard</v>
          </cell>
          <cell r="D304">
            <v>2650</v>
          </cell>
          <cell r="E304">
            <v>356.18279569892474</v>
          </cell>
        </row>
        <row r="305">
          <cell r="A305">
            <v>757</v>
          </cell>
          <cell r="B305" t="str">
            <v>Kileremskive SPA 4, TL 3020</v>
          </cell>
          <cell r="C305" t="str">
            <v>V-belt pulley SPA 4, TL 3020</v>
          </cell>
          <cell r="D305">
            <v>689</v>
          </cell>
          <cell r="E305">
            <v>92.607526881720432</v>
          </cell>
        </row>
        <row r="306">
          <cell r="A306">
            <v>758</v>
          </cell>
          <cell r="B306" t="str">
            <v>Spændelement TL 3020, Ø50 CM12</v>
          </cell>
          <cell r="C306" t="str">
            <v>Taperlock TL 3020, Ø50</v>
          </cell>
          <cell r="D306">
            <v>73</v>
          </cell>
          <cell r="E306">
            <v>9.8118279569892461</v>
          </cell>
        </row>
        <row r="307">
          <cell r="A307">
            <v>759</v>
          </cell>
          <cell r="B307" t="str">
            <v>Kileremskive SPA 4, TL 2012 CM12</v>
          </cell>
          <cell r="C307" t="str">
            <v>V-belt pulley SPA 4, TL 2012</v>
          </cell>
          <cell r="D307">
            <v>122</v>
          </cell>
          <cell r="E307">
            <v>16.397849462365592</v>
          </cell>
        </row>
        <row r="308">
          <cell r="A308">
            <v>760</v>
          </cell>
          <cell r="B308" t="str">
            <v>Spændelement</v>
          </cell>
          <cell r="C308" t="str">
            <v>Taperlock</v>
          </cell>
          <cell r="D308">
            <v>58</v>
          </cell>
          <cell r="E308">
            <v>7.7956989247311821</v>
          </cell>
        </row>
        <row r="309">
          <cell r="A309">
            <v>764</v>
          </cell>
          <cell r="B309" t="str">
            <v>Flangeleje UCF210 Ø50, komplet med leje</v>
          </cell>
          <cell r="C309" t="str">
            <v>Flange UCF210 Ø50 compl. W. bearing</v>
          </cell>
          <cell r="D309">
            <v>317</v>
          </cell>
          <cell r="E309">
            <v>42.607526881720425</v>
          </cell>
        </row>
        <row r="310">
          <cell r="A310">
            <v>765</v>
          </cell>
          <cell r="B310" t="str">
            <v>Cyl. Skrue M20 x 30 8.8</v>
          </cell>
          <cell r="C310" t="str">
            <v>Cyl. Screw M20 x 30 8.8</v>
          </cell>
          <cell r="D310">
            <v>15.9</v>
          </cell>
          <cell r="E310">
            <v>2.1370967741935485</v>
          </cell>
        </row>
        <row r="311">
          <cell r="A311">
            <v>766</v>
          </cell>
          <cell r="B311" t="str">
            <v>Thermometer med føler &amp; 66mm lomme</v>
          </cell>
          <cell r="C311" t="str">
            <v>Thermometer with sensor &amp; 66mm pocket</v>
          </cell>
          <cell r="D311">
            <v>482</v>
          </cell>
          <cell r="E311">
            <v>64.784946236559136</v>
          </cell>
        </row>
        <row r="312">
          <cell r="A312">
            <v>767</v>
          </cell>
          <cell r="B312" t="str">
            <v>Beslag for føler</v>
          </cell>
          <cell r="C312" t="str">
            <v xml:space="preserve">Fitting for sensor </v>
          </cell>
          <cell r="D312">
            <v>138</v>
          </cell>
          <cell r="E312">
            <v>18.548387096774192</v>
          </cell>
        </row>
        <row r="313">
          <cell r="A313">
            <v>769</v>
          </cell>
          <cell r="B313" t="str">
            <v>Blandegevind, komplet, H113  3/4 "</v>
          </cell>
          <cell r="C313" t="str">
            <v>Mixing paddle, complete, H113</v>
          </cell>
          <cell r="D313">
            <v>355</v>
          </cell>
          <cell r="E313">
            <v>47.715053763440856</v>
          </cell>
        </row>
        <row r="314">
          <cell r="A314">
            <v>772</v>
          </cell>
          <cell r="B314" t="str">
            <v>Øjebolt B M16 x 130</v>
          </cell>
          <cell r="C314" t="str">
            <v>Eye bolt B M16 x 130</v>
          </cell>
          <cell r="D314">
            <v>46</v>
          </cell>
          <cell r="E314">
            <v>6.182795698924731</v>
          </cell>
        </row>
        <row r="315">
          <cell r="A315">
            <v>775</v>
          </cell>
          <cell r="B315" t="str">
            <v>Dampindføring, komplet, incl. pos. 26-32</v>
          </cell>
          <cell r="C315" t="str">
            <v>Steam injection, complete, incl. pos. 26-32</v>
          </cell>
          <cell r="D315">
            <v>1558</v>
          </cell>
          <cell r="E315">
            <v>209.40860215053763</v>
          </cell>
        </row>
        <row r="316">
          <cell r="A316">
            <v>776</v>
          </cell>
          <cell r="B316" t="str">
            <v>Melasseejektor, komplet</v>
          </cell>
          <cell r="C316" t="str">
            <v>Molasses ejector, complete</v>
          </cell>
          <cell r="D316">
            <v>2809</v>
          </cell>
          <cell r="E316">
            <v>377.55376344086022</v>
          </cell>
        </row>
        <row r="317">
          <cell r="A317">
            <v>777</v>
          </cell>
          <cell r="B317" t="str">
            <v>Termometer</v>
          </cell>
          <cell r="C317" t="str">
            <v>Thermometer</v>
          </cell>
          <cell r="D317">
            <v>292</v>
          </cell>
          <cell r="E317">
            <v>39.247311827956985</v>
          </cell>
        </row>
        <row r="318">
          <cell r="A318">
            <v>778</v>
          </cell>
          <cell r="B318" t="str">
            <v>Fordelerrør CM12</v>
          </cell>
          <cell r="C318" t="str">
            <v>Distribution pipe  CM 12</v>
          </cell>
          <cell r="D318">
            <v>6042</v>
          </cell>
          <cell r="E318">
            <v>812.0967741935483</v>
          </cell>
        </row>
        <row r="319">
          <cell r="A319">
            <v>781</v>
          </cell>
          <cell r="B319" t="str">
            <v>Nippelrør 1" x 150</v>
          </cell>
          <cell r="C319" t="str">
            <v>Nipple pipe 1" x 150</v>
          </cell>
          <cell r="D319">
            <v>25</v>
          </cell>
          <cell r="E319">
            <v>3.3602150537634405</v>
          </cell>
        </row>
        <row r="320">
          <cell r="A320">
            <v>782</v>
          </cell>
          <cell r="B320" t="str">
            <v>Muffe 1" RG, L = 43</v>
          </cell>
          <cell r="C320" t="str">
            <v>Socket 1" RG, L = 43</v>
          </cell>
          <cell r="D320">
            <v>14.8</v>
          </cell>
          <cell r="E320">
            <v>1.989247311827957</v>
          </cell>
        </row>
        <row r="321">
          <cell r="A321">
            <v>783</v>
          </cell>
          <cell r="B321" t="str">
            <v>Vinkel 90o. 1”</v>
          </cell>
          <cell r="C321" t="str">
            <v>Street elbow 90 deg. 1”</v>
          </cell>
          <cell r="D321">
            <v>133</v>
          </cell>
          <cell r="E321">
            <v>17.876344086021504</v>
          </cell>
        </row>
        <row r="322">
          <cell r="A322">
            <v>784</v>
          </cell>
          <cell r="B322" t="str">
            <v>Ventil Kontravent. 1/2"RG CNB290</v>
          </cell>
          <cell r="C322" t="str">
            <v>Check valve 1/2"RG CNB290</v>
          </cell>
          <cell r="D322">
            <v>108</v>
          </cell>
          <cell r="E322">
            <v>14.516129032258064</v>
          </cell>
        </row>
        <row r="323">
          <cell r="A323">
            <v>785</v>
          </cell>
          <cell r="B323" t="str">
            <v>Brystnippel ½" -3/8"</v>
          </cell>
          <cell r="C323" t="str">
            <v>Hex. nipple ½" -3/8"</v>
          </cell>
          <cell r="D323">
            <v>15.9</v>
          </cell>
          <cell r="E323">
            <v>2.1370967741935485</v>
          </cell>
        </row>
        <row r="324">
          <cell r="A324">
            <v>786</v>
          </cell>
          <cell r="B324" t="str">
            <v>Kuglehane, 3/8"</v>
          </cell>
          <cell r="C324" t="str">
            <v>Ball valve 3/8" (for steam)</v>
          </cell>
          <cell r="D324">
            <v>260</v>
          </cell>
          <cell r="E324">
            <v>34.946236559139784</v>
          </cell>
        </row>
        <row r="325">
          <cell r="A325">
            <v>787</v>
          </cell>
          <cell r="B325" t="str">
            <v>Nippelrør 1" x 40</v>
          </cell>
          <cell r="C325" t="str">
            <v>Nipple pipe 1" x 40</v>
          </cell>
          <cell r="D325">
            <v>4.2</v>
          </cell>
          <cell r="E325">
            <v>0.56451612903225801</v>
          </cell>
        </row>
        <row r="326">
          <cell r="A326">
            <v>788</v>
          </cell>
          <cell r="B326" t="str">
            <v>Kontraventil 1" RG, PN 16</v>
          </cell>
          <cell r="C326" t="str">
            <v>Counter valve 1" RG, PN 16</v>
          </cell>
          <cell r="D326">
            <v>281</v>
          </cell>
          <cell r="E326">
            <v>37.768817204301072</v>
          </cell>
        </row>
        <row r="327">
          <cell r="A327">
            <v>789</v>
          </cell>
          <cell r="B327" t="str">
            <v>Ejektor</v>
          </cell>
          <cell r="C327" t="str">
            <v>Ejector</v>
          </cell>
          <cell r="D327">
            <v>822</v>
          </cell>
          <cell r="E327">
            <v>110.48387096774194</v>
          </cell>
        </row>
        <row r="328">
          <cell r="A328">
            <v>791</v>
          </cell>
          <cell r="B328" t="str">
            <v>Brystnippel 1" U - 3/8" U KRG spec.</v>
          </cell>
          <cell r="C328" t="str">
            <v>Nipple 1" - 3/8" NPV spec.</v>
          </cell>
          <cell r="D328">
            <v>191</v>
          </cell>
          <cell r="E328">
            <v>25.672043010752688</v>
          </cell>
        </row>
        <row r="329">
          <cell r="A329">
            <v>805</v>
          </cell>
          <cell r="B329" t="str">
            <v>Øjebolt B M12 x 60 DIN 444-4.6</v>
          </cell>
          <cell r="C329" t="str">
            <v>Eye bolt B M12 x 60 DIN 444-4.6</v>
          </cell>
          <cell r="D329">
            <v>20</v>
          </cell>
          <cell r="E329">
            <v>2.6881720430107525</v>
          </cell>
        </row>
        <row r="330">
          <cell r="A330">
            <v>807</v>
          </cell>
          <cell r="B330" t="str">
            <v>Gevindplade f/mikroswitch</v>
          </cell>
          <cell r="C330" t="str">
            <v>Thread block for micro switch</v>
          </cell>
          <cell r="D330">
            <v>53</v>
          </cell>
          <cell r="E330">
            <v>7.1236559139784941</v>
          </cell>
        </row>
        <row r="331">
          <cell r="A331">
            <v>809</v>
          </cell>
          <cell r="B331" t="str">
            <v>Cyl. Skrue M5 x 12 A2</v>
          </cell>
          <cell r="C331" t="str">
            <v>Cyl. Screw M5 x 12 A2</v>
          </cell>
          <cell r="D331">
            <v>0.8</v>
          </cell>
          <cell r="E331">
            <v>0.10752688172043011</v>
          </cell>
        </row>
        <row r="332">
          <cell r="A332">
            <v>813</v>
          </cell>
          <cell r="B332" t="str">
            <v>Kobling HRC 130 FF for TL 1610</v>
          </cell>
          <cell r="C332" t="str">
            <v>Coupling HRC 130FF TL 1610</v>
          </cell>
          <cell r="D332">
            <v>313</v>
          </cell>
          <cell r="E332">
            <v>42.06989247311828</v>
          </cell>
        </row>
        <row r="333">
          <cell r="A333">
            <v>814</v>
          </cell>
          <cell r="B333" t="str">
            <v>Spændelement TL 1610 Ø40</v>
          </cell>
          <cell r="C333" t="str">
            <v>Shaft adapter TL 1610 Ø40</v>
          </cell>
          <cell r="D333">
            <v>55</v>
          </cell>
          <cell r="E333">
            <v>7.3924731182795691</v>
          </cell>
        </row>
        <row r="334">
          <cell r="A334">
            <v>815</v>
          </cell>
          <cell r="B334" t="str">
            <v>Spændelement TL 1610 Ø30</v>
          </cell>
          <cell r="C334" t="str">
            <v>Shaft adapter TL 1610 Ø30</v>
          </cell>
          <cell r="D334">
            <v>68</v>
          </cell>
          <cell r="E334">
            <v>9.1397849462365581</v>
          </cell>
        </row>
        <row r="335">
          <cell r="A335">
            <v>816</v>
          </cell>
          <cell r="B335" t="str">
            <v>Flangeleje UCF208 Ø40, komplet med leje</v>
          </cell>
          <cell r="C335" t="str">
            <v>Flange UCF208 Ø40 compl. W. bearing</v>
          </cell>
          <cell r="D335">
            <v>231</v>
          </cell>
          <cell r="E335">
            <v>31.048387096774192</v>
          </cell>
        </row>
        <row r="336">
          <cell r="A336">
            <v>817</v>
          </cell>
          <cell r="B336" t="str">
            <v>Flangeleje, incl. dæksel</v>
          </cell>
          <cell r="C336" t="str">
            <v xml:space="preserve">Flange with cover </v>
          </cell>
          <cell r="D336">
            <v>329</v>
          </cell>
          <cell r="E336">
            <v>44.22043010752688</v>
          </cell>
        </row>
        <row r="337">
          <cell r="A337">
            <v>819</v>
          </cell>
          <cell r="B337" t="str">
            <v>Topmøtrik M8 DIN 1587</v>
          </cell>
          <cell r="C337" t="str">
            <v>Top nut M8 DIN 1587</v>
          </cell>
          <cell r="D337">
            <v>6.95</v>
          </cell>
          <cell r="E337">
            <v>0.93413978494623651</v>
          </cell>
        </row>
        <row r="338">
          <cell r="A338">
            <v>820</v>
          </cell>
          <cell r="B338" t="str">
            <v>6-kt. Skrue M8 x 20 8.8 FZB D933</v>
          </cell>
          <cell r="C338" t="str">
            <v>Hex screw M8 x 20 8.8 FZB D933</v>
          </cell>
          <cell r="D338">
            <v>0.7</v>
          </cell>
          <cell r="E338">
            <v>9.408602150537633E-2</v>
          </cell>
        </row>
        <row r="339">
          <cell r="A339">
            <v>821</v>
          </cell>
          <cell r="B339" t="str">
            <v>6-kt. Skrue M10 x 25 8.8 FZB D933</v>
          </cell>
          <cell r="C339" t="str">
            <v>Hex screw M10 x 25 8.8 FZB D933</v>
          </cell>
          <cell r="D339">
            <v>1.2</v>
          </cell>
          <cell r="E339">
            <v>0.16129032258064516</v>
          </cell>
        </row>
        <row r="340">
          <cell r="A340">
            <v>822</v>
          </cell>
          <cell r="B340" t="str">
            <v>6-kt. Skrue M10 x 20 8.8 DIN 933 FZB</v>
          </cell>
          <cell r="C340" t="str">
            <v>Hex screw M10 x 20 8.8 DIN 933 FZB</v>
          </cell>
          <cell r="D340">
            <v>1.2</v>
          </cell>
          <cell r="E340">
            <v>0.16129032258064516</v>
          </cell>
        </row>
        <row r="341">
          <cell r="A341">
            <v>823</v>
          </cell>
          <cell r="B341" t="str">
            <v>6-kt. Skrue M12 x 35 DIN 933</v>
          </cell>
          <cell r="C341" t="str">
            <v>Hex screw M12 x 35 DIN 933</v>
          </cell>
          <cell r="D341">
            <v>1.6</v>
          </cell>
          <cell r="E341">
            <v>0.21505376344086022</v>
          </cell>
        </row>
        <row r="342">
          <cell r="A342">
            <v>824</v>
          </cell>
          <cell r="B342" t="str">
            <v>Topmøtrik M16 messingforkromet</v>
          </cell>
          <cell r="C342" t="str">
            <v>Top nut M16 brass</v>
          </cell>
          <cell r="D342">
            <v>27</v>
          </cell>
          <cell r="E342">
            <v>3.629032258064516</v>
          </cell>
        </row>
        <row r="343">
          <cell r="A343">
            <v>825</v>
          </cell>
          <cell r="B343" t="str">
            <v>6-kt. Skrue M16 x 30 8.8 FZB D932</v>
          </cell>
          <cell r="C343" t="str">
            <v>Hex screw M16 x 30 8.8 FZB D932</v>
          </cell>
          <cell r="D343">
            <v>3.7</v>
          </cell>
          <cell r="E343">
            <v>0.49731182795698925</v>
          </cell>
        </row>
        <row r="344">
          <cell r="A344">
            <v>826</v>
          </cell>
          <cell r="B344" t="str">
            <v>Cyl. Hovedet kærvskrue M5x10</v>
          </cell>
          <cell r="C344" t="str">
            <v>Cyl. Headed slotted screw M5x10</v>
          </cell>
          <cell r="D344">
            <v>0.3</v>
          </cell>
          <cell r="E344">
            <v>4.0322580645161289E-2</v>
          </cell>
        </row>
        <row r="345">
          <cell r="A345">
            <v>832</v>
          </cell>
          <cell r="B345" t="str">
            <v>6-kt. skrue M6 x 10 DIN 933</v>
          </cell>
          <cell r="C345" t="str">
            <v>Hex screw M6 x 10 DIN 933</v>
          </cell>
          <cell r="D345">
            <v>5.3</v>
          </cell>
          <cell r="E345">
            <v>0.71236559139784938</v>
          </cell>
        </row>
        <row r="346">
          <cell r="A346">
            <v>838</v>
          </cell>
          <cell r="B346" t="str">
            <v>6-kt. Skrue M24 x 80 DIN 931</v>
          </cell>
          <cell r="C346" t="str">
            <v>Hex screw M24 x 80 DIN 931</v>
          </cell>
          <cell r="D346">
            <v>20</v>
          </cell>
          <cell r="E346">
            <v>2.6881720430107525</v>
          </cell>
        </row>
        <row r="347">
          <cell r="A347">
            <v>844</v>
          </cell>
          <cell r="B347" t="str">
            <v>Gevindstang M24 8.8 L=455 mm</v>
          </cell>
          <cell r="C347" t="str">
            <v>Threaded rod M24 8.8 L=455 mm</v>
          </cell>
          <cell r="D347">
            <v>72</v>
          </cell>
          <cell r="E347">
            <v>9.67741935483871</v>
          </cell>
        </row>
        <row r="348">
          <cell r="A348">
            <v>903</v>
          </cell>
          <cell r="B348" t="str">
            <v>Håndtag F/Kniv</v>
          </cell>
          <cell r="C348" t="str">
            <v>Handle</v>
          </cell>
          <cell r="D348">
            <v>191</v>
          </cell>
          <cell r="E348">
            <v>25.672043010752688</v>
          </cell>
        </row>
        <row r="349">
          <cell r="A349">
            <v>904</v>
          </cell>
          <cell r="B349" t="str">
            <v>Topmøtrik M12 DIN 1286</v>
          </cell>
          <cell r="C349" t="str">
            <v>Top nut M12 DIN 1286</v>
          </cell>
          <cell r="D349">
            <v>12.7</v>
          </cell>
          <cell r="E349">
            <v>1.7069892473118278</v>
          </cell>
        </row>
        <row r="350">
          <cell r="A350">
            <v>923</v>
          </cell>
          <cell r="B350" t="str">
            <v>Stilleskrue</v>
          </cell>
          <cell r="C350" t="str">
            <v>Regulating Screw</v>
          </cell>
          <cell r="D350">
            <v>133</v>
          </cell>
          <cell r="E350">
            <v>17.876344086021504</v>
          </cell>
        </row>
        <row r="351">
          <cell r="A351">
            <v>925</v>
          </cell>
          <cell r="B351" t="str">
            <v>Cyl. skrue M16 x 45 A2 DIN 912</v>
          </cell>
          <cell r="C351" t="str">
            <v>Cyl. Screw M16 x 45 A2 DIN912</v>
          </cell>
          <cell r="D351">
            <v>12.7</v>
          </cell>
          <cell r="E351">
            <v>1.7069892473118278</v>
          </cell>
        </row>
        <row r="352">
          <cell r="A352">
            <v>926</v>
          </cell>
          <cell r="B352" t="str">
            <v>Fjederskive M16 A2</v>
          </cell>
          <cell r="C352" t="str">
            <v>Spring disc M16 A2</v>
          </cell>
          <cell r="D352">
            <v>0.8</v>
          </cell>
          <cell r="E352">
            <v>0.10752688172043011</v>
          </cell>
        </row>
        <row r="353">
          <cell r="A353">
            <v>931</v>
          </cell>
          <cell r="B353" t="str">
            <v>Feder AB 25 x 14 x 150</v>
          </cell>
          <cell r="C353" t="str">
            <v>Paralell key AB 25 x 14 x 150</v>
          </cell>
          <cell r="D353">
            <v>48</v>
          </cell>
          <cell r="E353">
            <v>6.4516129032258061</v>
          </cell>
        </row>
        <row r="354">
          <cell r="A354">
            <v>948</v>
          </cell>
          <cell r="B354" t="str">
            <v>Motorplade CM12</v>
          </cell>
          <cell r="C354" t="str">
            <v>Motor plate</v>
          </cell>
          <cell r="D354">
            <v>270</v>
          </cell>
          <cell r="E354">
            <v>36.29032258064516</v>
          </cell>
        </row>
        <row r="355">
          <cell r="A355">
            <v>950</v>
          </cell>
          <cell r="B355" t="str">
            <v>Låsering U 16x1 A – DIN471</v>
          </cell>
          <cell r="C355" t="str">
            <v>Lock ring U 16x1 A – DIN471</v>
          </cell>
          <cell r="D355">
            <v>0.8</v>
          </cell>
          <cell r="E355">
            <v>0.10752688172043011</v>
          </cell>
        </row>
        <row r="356">
          <cell r="A356">
            <v>970</v>
          </cell>
          <cell r="B356" t="str">
            <v>Håndhjul med M12 gevind</v>
          </cell>
          <cell r="C356" t="str">
            <v>Handwheel with M12 thread</v>
          </cell>
          <cell r="D356">
            <v>246</v>
          </cell>
          <cell r="E356">
            <v>33.064516129032256</v>
          </cell>
        </row>
        <row r="357">
          <cell r="A357">
            <v>977</v>
          </cell>
          <cell r="B357" t="str">
            <v>Holder for godsfordeler</v>
          </cell>
          <cell r="C357" t="str">
            <v>Holder for distributor</v>
          </cell>
          <cell r="D357">
            <v>583</v>
          </cell>
          <cell r="E357">
            <v>78.36021505376344</v>
          </cell>
        </row>
        <row r="358">
          <cell r="A358">
            <v>978</v>
          </cell>
          <cell r="B358" t="str">
            <v>Spændering for Matrice M700</v>
          </cell>
          <cell r="C358" t="str">
            <v>Tightening ring for Die M700</v>
          </cell>
          <cell r="D358">
            <v>23002</v>
          </cell>
          <cell r="E358">
            <v>3091.6666666666665</v>
          </cell>
        </row>
        <row r="359">
          <cell r="A359">
            <v>979</v>
          </cell>
          <cell r="B359" t="str">
            <v>Overligger</v>
          </cell>
          <cell r="C359" t="str">
            <v>Lintel</v>
          </cell>
          <cell r="D359">
            <v>1219</v>
          </cell>
          <cell r="E359">
            <v>163.84408602150538</v>
          </cell>
        </row>
        <row r="360">
          <cell r="A360">
            <v>980</v>
          </cell>
          <cell r="B360" t="str">
            <v>Fødecylinder m/perforering</v>
          </cell>
          <cell r="C360" t="str">
            <v>Feed cylinder w/perforation</v>
          </cell>
          <cell r="D360">
            <v>11618</v>
          </cell>
          <cell r="E360">
            <v>1561.5591397849462</v>
          </cell>
        </row>
        <row r="361">
          <cell r="A361">
            <v>981</v>
          </cell>
          <cell r="B361" t="str">
            <v>Forstærkerring for matrice M700</v>
          </cell>
          <cell r="C361" t="str">
            <v>Reinforcement ring for Die M700</v>
          </cell>
          <cell r="D361">
            <v>17596</v>
          </cell>
          <cell r="E361">
            <v>2365.0537634408602</v>
          </cell>
        </row>
        <row r="362">
          <cell r="A362">
            <v>982</v>
          </cell>
          <cell r="B362" t="str">
            <v>Opspændingsring for matrice M700</v>
          </cell>
          <cell r="C362" t="str">
            <v>Fixing ring for Die M700</v>
          </cell>
          <cell r="D362">
            <v>14681</v>
          </cell>
          <cell r="E362">
            <v>1973.252688172043</v>
          </cell>
        </row>
        <row r="363">
          <cell r="A363">
            <v>986</v>
          </cell>
          <cell r="B363" t="str">
            <v>Rulleaksel komplet, incl. pos. 911 - 912</v>
          </cell>
          <cell r="C363" t="str">
            <v>Roller shaft complete, incl. item 911 - 912</v>
          </cell>
          <cell r="D363">
            <v>8109</v>
          </cell>
          <cell r="E363">
            <v>1089.9193548387095</v>
          </cell>
        </row>
        <row r="364">
          <cell r="A364">
            <v>987</v>
          </cell>
          <cell r="B364" t="str">
            <v>Endedæksel</v>
          </cell>
          <cell r="C364" t="str">
            <v>End cover</v>
          </cell>
          <cell r="D364">
            <v>482</v>
          </cell>
          <cell r="E364">
            <v>64.784946236559136</v>
          </cell>
        </row>
        <row r="365">
          <cell r="A365">
            <v>988</v>
          </cell>
          <cell r="B365" t="str">
            <v>Tætningskrave</v>
          </cell>
          <cell r="C365" t="str">
            <v>Sealing sleeve</v>
          </cell>
          <cell r="D365">
            <v>620</v>
          </cell>
          <cell r="E365">
            <v>83.333333333333329</v>
          </cell>
        </row>
        <row r="366">
          <cell r="A366">
            <v>989</v>
          </cell>
          <cell r="B366" t="str">
            <v>Afstandsring</v>
          </cell>
          <cell r="C366" t="str">
            <v>Distance ring</v>
          </cell>
          <cell r="D366">
            <v>360</v>
          </cell>
          <cell r="E366">
            <v>48.387096774193544</v>
          </cell>
        </row>
        <row r="367">
          <cell r="A367">
            <v>999</v>
          </cell>
          <cell r="B367" t="str">
            <v>Blandegevind, komplet, H160, incl. pos. 21</v>
          </cell>
          <cell r="C367" t="str">
            <v>Mixing paddle, complete, H160, incl. item 21</v>
          </cell>
          <cell r="D367">
            <v>419</v>
          </cell>
          <cell r="E367">
            <v>56.317204301075265</v>
          </cell>
        </row>
        <row r="368">
          <cell r="A368">
            <v>2000</v>
          </cell>
          <cell r="B368" t="str">
            <v>Forplade</v>
          </cell>
          <cell r="C368" t="str">
            <v>Front plate</v>
          </cell>
          <cell r="D368">
            <v>13780</v>
          </cell>
          <cell r="E368">
            <v>1852.1505376344085</v>
          </cell>
        </row>
        <row r="369">
          <cell r="A369">
            <v>2001</v>
          </cell>
          <cell r="B369" t="str">
            <v>Rullejusteringsarm</v>
          </cell>
          <cell r="C369" t="str">
            <v>Roller adjustment</v>
          </cell>
          <cell r="D369">
            <v>2491</v>
          </cell>
          <cell r="E369">
            <v>334.81182795698925</v>
          </cell>
        </row>
        <row r="370">
          <cell r="A370">
            <v>2006</v>
          </cell>
          <cell r="B370" t="str">
            <v>Fødecylinder M900 med perforering</v>
          </cell>
          <cell r="C370" t="str">
            <v>Feed cone M900 with perforation</v>
          </cell>
          <cell r="D370">
            <v>18746</v>
          </cell>
          <cell r="E370">
            <v>2519.6236559139784</v>
          </cell>
        </row>
        <row r="371">
          <cell r="A371">
            <v>2007</v>
          </cell>
          <cell r="B371" t="str">
            <v>Forstærkerring for matrice M900</v>
          </cell>
          <cell r="C371" t="str">
            <v>Reinforcement ring for Die M900</v>
          </cell>
          <cell r="D371">
            <v>22684</v>
          </cell>
          <cell r="E371">
            <v>3048.9247311827953</v>
          </cell>
        </row>
        <row r="372">
          <cell r="A372">
            <v>2009</v>
          </cell>
          <cell r="B372" t="str">
            <v>Rulleaksel</v>
          </cell>
          <cell r="C372" t="str">
            <v>Rollershaft</v>
          </cell>
          <cell r="D372">
            <v>8003</v>
          </cell>
          <cell r="E372">
            <v>1075.6720430107525</v>
          </cell>
        </row>
        <row r="373">
          <cell r="A373">
            <v>2010</v>
          </cell>
          <cell r="B373" t="str">
            <v>Endedæksel</v>
          </cell>
          <cell r="C373" t="str">
            <v>Seal cover</v>
          </cell>
          <cell r="D373">
            <v>1685</v>
          </cell>
          <cell r="E373">
            <v>226.47849462365591</v>
          </cell>
        </row>
        <row r="374">
          <cell r="A374">
            <v>2012</v>
          </cell>
          <cell r="B374" t="str">
            <v>Afstandsring</v>
          </cell>
          <cell r="C374" t="str">
            <v>Spacer ring</v>
          </cell>
          <cell r="D374">
            <v>525</v>
          </cell>
          <cell r="E374">
            <v>70.564516129032256</v>
          </cell>
        </row>
        <row r="375">
          <cell r="A375">
            <v>2013</v>
          </cell>
          <cell r="B375" t="str">
            <v>Bolt F/Rulleaksel.</v>
          </cell>
          <cell r="C375" t="str">
            <v>Bolt for rollershaft</v>
          </cell>
          <cell r="D375">
            <v>1325</v>
          </cell>
          <cell r="E375">
            <v>178.09139784946237</v>
          </cell>
        </row>
        <row r="376">
          <cell r="A376">
            <v>2069</v>
          </cell>
          <cell r="B376" t="str">
            <v>Styretap pillekammer/gearbox, kort M30</v>
          </cell>
          <cell r="C376" t="str">
            <v>Guide pin for pellet chamber/gearbox, short M30</v>
          </cell>
          <cell r="D376">
            <v>1213</v>
          </cell>
          <cell r="E376">
            <v>163.03763440860214</v>
          </cell>
        </row>
        <row r="377">
          <cell r="A377">
            <v>2070</v>
          </cell>
          <cell r="B377" t="str">
            <v>Møtrik M42 for pillekammer M15/M30</v>
          </cell>
          <cell r="C377" t="str">
            <v>Nut M42 for pelletchamber M15/M30</v>
          </cell>
          <cell r="D377">
            <v>716</v>
          </cell>
          <cell r="E377">
            <v>96.236559139784944</v>
          </cell>
        </row>
        <row r="378">
          <cell r="A378">
            <v>2072</v>
          </cell>
          <cell r="B378" t="str">
            <v>Indføringssnegl komplet M30</v>
          </cell>
          <cell r="C378" t="str">
            <v>Inlet screw compl. M30</v>
          </cell>
          <cell r="D378">
            <v>6042</v>
          </cell>
          <cell r="E378">
            <v>812.0967741935483</v>
          </cell>
        </row>
        <row r="379">
          <cell r="A379">
            <v>2074</v>
          </cell>
          <cell r="B379" t="str">
            <v>Slidbøsning for rulleholderakselleje M30</v>
          </cell>
          <cell r="C379" t="str">
            <v>Wear bushing for rollershaft bearing M30</v>
          </cell>
          <cell r="D379">
            <v>1749</v>
          </cell>
          <cell r="E379">
            <v>235.08064516129031</v>
          </cell>
        </row>
        <row r="380">
          <cell r="A380">
            <v>2075</v>
          </cell>
          <cell r="B380" t="str">
            <v>Slidring for rulleholderaksel L=65 M30</v>
          </cell>
          <cell r="C380" t="str">
            <v>Wearring for roller shaft L=65 M30</v>
          </cell>
          <cell r="D380">
            <v>4725</v>
          </cell>
          <cell r="E380">
            <v>635.08064516129025</v>
          </cell>
        </row>
        <row r="381">
          <cell r="A381">
            <v>2076</v>
          </cell>
          <cell r="B381" t="str">
            <v>Tætningsskive for rulleholderleje M30</v>
          </cell>
          <cell r="C381" t="str">
            <v>Sealing facet for roller bearing M30</v>
          </cell>
          <cell r="D381">
            <v>493</v>
          </cell>
          <cell r="E381">
            <v>66.263440860215056</v>
          </cell>
        </row>
        <row r="382">
          <cell r="A382">
            <v>2081</v>
          </cell>
          <cell r="B382" t="str">
            <v>Tætnings skive</v>
          </cell>
          <cell r="C382" t="str">
            <v>Labyrinth seal</v>
          </cell>
          <cell r="D382">
            <v>1049</v>
          </cell>
          <cell r="E382">
            <v>140.99462365591398</v>
          </cell>
        </row>
        <row r="383">
          <cell r="A383">
            <v>2082</v>
          </cell>
          <cell r="B383" t="str">
            <v xml:space="preserve">Labyrintskive </v>
          </cell>
          <cell r="C383" t="str">
            <v>Labyrint ring</v>
          </cell>
          <cell r="D383">
            <v>371</v>
          </cell>
          <cell r="E383">
            <v>49.865591397849457</v>
          </cell>
        </row>
        <row r="384">
          <cell r="A384">
            <v>2088</v>
          </cell>
          <cell r="B384" t="str">
            <v xml:space="preserve">Rulle aksel </v>
          </cell>
          <cell r="C384" t="str">
            <v>Rollershaft</v>
          </cell>
          <cell r="D384">
            <v>8268</v>
          </cell>
          <cell r="E384">
            <v>1111.2903225806451</v>
          </cell>
        </row>
        <row r="385">
          <cell r="A385">
            <v>2112</v>
          </cell>
          <cell r="B385" t="str">
            <v>Opspændingsring for hoveaksel/matrice DPUC</v>
          </cell>
          <cell r="C385" t="str">
            <v>Fixing ring for mainshaft/die DPUC</v>
          </cell>
          <cell r="D385">
            <v>8770</v>
          </cell>
          <cell r="E385">
            <v>1178.763440860215</v>
          </cell>
        </row>
        <row r="386">
          <cell r="A386">
            <v>2113</v>
          </cell>
          <cell r="B386" t="str">
            <v>Forstærkerring for matrice DPUC</v>
          </cell>
          <cell r="C386" t="str">
            <v>Reinforcement ring for Die DPUC</v>
          </cell>
          <cell r="D386">
            <v>7550</v>
          </cell>
          <cell r="E386">
            <v>1014.7849462365591</v>
          </cell>
        </row>
        <row r="387">
          <cell r="A387">
            <v>2137</v>
          </cell>
          <cell r="B387" t="str">
            <v>Godsfordeler  M3</v>
          </cell>
          <cell r="C387" t="str">
            <v>Deflector</v>
          </cell>
          <cell r="D387">
            <v>599</v>
          </cell>
          <cell r="E387">
            <v>80.510752688172033</v>
          </cell>
        </row>
        <row r="388">
          <cell r="A388">
            <v>2138</v>
          </cell>
          <cell r="B388" t="str">
            <v>Spændering for fødekonus</v>
          </cell>
          <cell r="C388" t="str">
            <v>Feeder cone lock ring</v>
          </cell>
          <cell r="D388">
            <v>472</v>
          </cell>
          <cell r="E388">
            <v>63.44086021505376</v>
          </cell>
        </row>
        <row r="389">
          <cell r="A389">
            <v>2146</v>
          </cell>
          <cell r="B389" t="str">
            <v>Afstandsring</v>
          </cell>
          <cell r="C389" t="str">
            <v>Spacer ring</v>
          </cell>
          <cell r="D389">
            <v>239</v>
          </cell>
          <cell r="E389">
            <v>32.123655913978496</v>
          </cell>
        </row>
        <row r="390">
          <cell r="A390">
            <v>2148</v>
          </cell>
          <cell r="B390" t="str">
            <v xml:space="preserve">Godsfordeler </v>
          </cell>
          <cell r="C390" t="str">
            <v>Deflector</v>
          </cell>
          <cell r="D390">
            <v>477</v>
          </cell>
          <cell r="E390">
            <v>64.112903225806448</v>
          </cell>
        </row>
        <row r="391">
          <cell r="A391">
            <v>2149</v>
          </cell>
          <cell r="B391" t="str">
            <v xml:space="preserve">Fødekonus </v>
          </cell>
          <cell r="C391" t="str">
            <v>Feeder cone</v>
          </cell>
          <cell r="D391">
            <v>3392</v>
          </cell>
          <cell r="E391">
            <v>455.91397849462362</v>
          </cell>
        </row>
        <row r="392">
          <cell r="A392">
            <v>2154</v>
          </cell>
          <cell r="B392" t="str">
            <v xml:space="preserve">blandegevind H 121 </v>
          </cell>
          <cell r="C392" t="str">
            <v>Mixing padle  H121</v>
          </cell>
          <cell r="D392">
            <v>180</v>
          </cell>
          <cell r="E392">
            <v>24.193548387096772</v>
          </cell>
        </row>
        <row r="393">
          <cell r="A393">
            <v>2156</v>
          </cell>
          <cell r="B393" t="str">
            <v>Møtrik M24, venstre</v>
          </cell>
          <cell r="C393" t="str">
            <v>Nut M24, left</v>
          </cell>
          <cell r="D393">
            <v>15.9</v>
          </cell>
          <cell r="E393">
            <v>2.1370967741935485</v>
          </cell>
        </row>
        <row r="394">
          <cell r="A394">
            <v>2157</v>
          </cell>
          <cell r="B394" t="str">
            <v>Tandhjul</v>
          </cell>
          <cell r="C394" t="str">
            <v>Gear Wheel</v>
          </cell>
          <cell r="D394">
            <v>11130</v>
          </cell>
          <cell r="E394">
            <v>1495.9677419354839</v>
          </cell>
        </row>
        <row r="395">
          <cell r="A395">
            <v>2158</v>
          </cell>
          <cell r="B395" t="str">
            <v>Rulleholderaksel komplet excl forplade</v>
          </cell>
          <cell r="C395" t="str">
            <v>Roller Mainshaft complete excl front plate</v>
          </cell>
          <cell r="D395">
            <v>15370</v>
          </cell>
          <cell r="E395">
            <v>2065.8602150537631</v>
          </cell>
        </row>
        <row r="396">
          <cell r="A396">
            <v>2159</v>
          </cell>
          <cell r="B396" t="str">
            <v>Afstrygerkniv</v>
          </cell>
          <cell r="C396" t="str">
            <v>Scraper knife</v>
          </cell>
          <cell r="D396">
            <v>461</v>
          </cell>
          <cell r="E396">
            <v>61.962365591397848</v>
          </cell>
        </row>
        <row r="397">
          <cell r="A397">
            <v>2160</v>
          </cell>
          <cell r="B397" t="str">
            <v>Sikringskobling, komplet  M5</v>
          </cell>
          <cell r="C397" t="str">
            <v>Safety Coupling, complete</v>
          </cell>
          <cell r="D397">
            <v>9307</v>
          </cell>
          <cell r="E397">
            <v>1250.9408602150536</v>
          </cell>
        </row>
        <row r="398">
          <cell r="A398">
            <v>2161</v>
          </cell>
          <cell r="B398" t="str">
            <v>Sikringsbolt</v>
          </cell>
          <cell r="C398" t="str">
            <v>Shear Pin.</v>
          </cell>
          <cell r="D398">
            <v>42</v>
          </cell>
          <cell r="E398">
            <v>5.6451612903225801</v>
          </cell>
        </row>
        <row r="399">
          <cell r="A399">
            <v>2162</v>
          </cell>
          <cell r="B399" t="str">
            <v>Drivaksel</v>
          </cell>
          <cell r="C399" t="str">
            <v>Drive Shaft</v>
          </cell>
          <cell r="D399">
            <v>7950</v>
          </cell>
          <cell r="E399">
            <v>1068.5483870967741</v>
          </cell>
        </row>
        <row r="400">
          <cell r="A400">
            <v>2163</v>
          </cell>
          <cell r="B400" t="str">
            <v>Oliekaster</v>
          </cell>
          <cell r="C400" t="str">
            <v>Oil Flinger.</v>
          </cell>
          <cell r="D400">
            <v>567</v>
          </cell>
          <cell r="E400">
            <v>76.209677419354833</v>
          </cell>
        </row>
        <row r="401">
          <cell r="A401">
            <v>2164</v>
          </cell>
          <cell r="B401" t="str">
            <v>Lejedæksel</v>
          </cell>
          <cell r="C401" t="str">
            <v>Bearing Cover.</v>
          </cell>
          <cell r="D401">
            <v>1473</v>
          </cell>
          <cell r="E401">
            <v>197.98387096774192</v>
          </cell>
        </row>
        <row r="402">
          <cell r="A402">
            <v>2169</v>
          </cell>
          <cell r="B402" t="str">
            <v>Knivskaft, gl. model f/kniv</v>
          </cell>
          <cell r="C402" t="str">
            <v>Knife Shaft, old model for thick knife</v>
          </cell>
          <cell r="D402">
            <v>1855</v>
          </cell>
          <cell r="E402">
            <v>249.3279569892473</v>
          </cell>
        </row>
        <row r="403">
          <cell r="A403">
            <v>2170</v>
          </cell>
          <cell r="B403" t="str">
            <v>Forplade komplet</v>
          </cell>
          <cell r="C403" t="str">
            <v>Front Plate, complete.</v>
          </cell>
          <cell r="D403">
            <v>3127</v>
          </cell>
          <cell r="E403">
            <v>420.29569892473114</v>
          </cell>
        </row>
        <row r="404">
          <cell r="A404">
            <v>2171</v>
          </cell>
          <cell r="B404" t="str">
            <v>Rulleindstillingsarm</v>
          </cell>
          <cell r="C404" t="str">
            <v>Roller adjusting Arm.</v>
          </cell>
          <cell r="D404">
            <v>890</v>
          </cell>
          <cell r="E404">
            <v>119.62365591397848</v>
          </cell>
        </row>
        <row r="405">
          <cell r="A405">
            <v>2172</v>
          </cell>
          <cell r="B405" t="str">
            <v>Godsfordeler, pr. stk.</v>
          </cell>
          <cell r="C405" t="str">
            <v>Deflector, each.</v>
          </cell>
          <cell r="D405">
            <v>345</v>
          </cell>
          <cell r="E405">
            <v>46.37096774193548</v>
          </cell>
        </row>
        <row r="406">
          <cell r="A406">
            <v>2173</v>
          </cell>
          <cell r="B406" t="str">
            <v>Smørerør, pr. stk.</v>
          </cell>
          <cell r="C406" t="str">
            <v>Oil Pipes, each.</v>
          </cell>
          <cell r="D406">
            <v>345</v>
          </cell>
          <cell r="E406">
            <v>46.37096774193548</v>
          </cell>
        </row>
        <row r="407">
          <cell r="A407">
            <v>2174</v>
          </cell>
          <cell r="B407" t="str">
            <v>Spændering for matrice</v>
          </cell>
          <cell r="C407" t="str">
            <v>Lock Ring.</v>
          </cell>
          <cell r="D407">
            <v>7738</v>
          </cell>
          <cell r="E407">
            <v>1040.0537634408602</v>
          </cell>
        </row>
        <row r="408">
          <cell r="A408">
            <v>2175</v>
          </cell>
          <cell r="B408" t="str">
            <v>Fødekonus</v>
          </cell>
          <cell r="C408" t="str">
            <v>Feed Cone.</v>
          </cell>
          <cell r="D408">
            <v>2629</v>
          </cell>
          <cell r="E408">
            <v>353.3602150537634</v>
          </cell>
        </row>
        <row r="409">
          <cell r="A409">
            <v>2176</v>
          </cell>
          <cell r="B409" t="str">
            <v>Spændering for fødekonus</v>
          </cell>
          <cell r="C409" t="str">
            <v>Lock Ring.</v>
          </cell>
          <cell r="D409">
            <v>472</v>
          </cell>
          <cell r="E409">
            <v>63.44086021505376</v>
          </cell>
        </row>
        <row r="410">
          <cell r="A410">
            <v>2177</v>
          </cell>
          <cell r="B410" t="str">
            <v>Krave til forskærm</v>
          </cell>
          <cell r="C410" t="str">
            <v>Ring for Front Cover</v>
          </cell>
          <cell r="D410">
            <v>4982</v>
          </cell>
          <cell r="E410">
            <v>669.6236559139785</v>
          </cell>
        </row>
        <row r="411">
          <cell r="A411">
            <v>2178</v>
          </cell>
          <cell r="B411" t="str">
            <v>Indløbstragt</v>
          </cell>
          <cell r="C411" t="str">
            <v>Inlet Duct</v>
          </cell>
          <cell r="D411">
            <v>9434</v>
          </cell>
          <cell r="E411">
            <v>1268.010752688172</v>
          </cell>
        </row>
        <row r="412">
          <cell r="A412">
            <v>2179</v>
          </cell>
          <cell r="B412" t="str">
            <v>Pakning</v>
          </cell>
          <cell r="C412" t="str">
            <v>Packing.</v>
          </cell>
          <cell r="D412">
            <v>27</v>
          </cell>
          <cell r="E412">
            <v>3.629032258064516</v>
          </cell>
        </row>
        <row r="413">
          <cell r="A413">
            <v>2183</v>
          </cell>
          <cell r="B413" t="str">
            <v>Rulleaksel</v>
          </cell>
          <cell r="C413" t="str">
            <v>Rollershaft</v>
          </cell>
          <cell r="D413">
            <v>1219</v>
          </cell>
          <cell r="E413">
            <v>163.84408602150538</v>
          </cell>
        </row>
        <row r="414">
          <cell r="A414">
            <v>2184</v>
          </cell>
          <cell r="B414" t="str">
            <v>Låsemøtrik</v>
          </cell>
          <cell r="C414" t="str">
            <v>Lock nut</v>
          </cell>
          <cell r="D414">
            <v>90</v>
          </cell>
          <cell r="E414">
            <v>12.096774193548386</v>
          </cell>
        </row>
        <row r="415">
          <cell r="A415">
            <v>2185</v>
          </cell>
          <cell r="B415" t="str">
            <v>Rullebøsning</v>
          </cell>
          <cell r="C415" t="str">
            <v>Roller bushing</v>
          </cell>
          <cell r="D415">
            <v>583</v>
          </cell>
          <cell r="E415">
            <v>78.36021505376344</v>
          </cell>
        </row>
        <row r="416">
          <cell r="A416">
            <v>2186</v>
          </cell>
          <cell r="B416" t="str">
            <v>Endedæksel</v>
          </cell>
          <cell r="C416" t="str">
            <v>End cover</v>
          </cell>
          <cell r="D416">
            <v>265</v>
          </cell>
          <cell r="E416">
            <v>35.618279569892472</v>
          </cell>
        </row>
        <row r="417">
          <cell r="A417">
            <v>2187</v>
          </cell>
          <cell r="B417" t="str">
            <v>Tætningsskive</v>
          </cell>
          <cell r="C417" t="str">
            <v>Labyrinth seal</v>
          </cell>
          <cell r="D417">
            <v>35</v>
          </cell>
          <cell r="E417">
            <v>4.704301075268817</v>
          </cell>
        </row>
        <row r="418">
          <cell r="A418">
            <v>2188</v>
          </cell>
          <cell r="B418" t="str">
            <v>Tætningskrave</v>
          </cell>
          <cell r="C418" t="str">
            <v>Tightening sleeve</v>
          </cell>
          <cell r="D418">
            <v>164</v>
          </cell>
          <cell r="E418">
            <v>22.043010752688172</v>
          </cell>
        </row>
        <row r="419">
          <cell r="A419">
            <v>2189</v>
          </cell>
          <cell r="B419" t="str">
            <v>Afstandsring</v>
          </cell>
          <cell r="C419" t="str">
            <v>Distance ring</v>
          </cell>
          <cell r="D419">
            <v>127</v>
          </cell>
          <cell r="E419">
            <v>17.06989247311828</v>
          </cell>
        </row>
        <row r="420">
          <cell r="A420">
            <v>2192</v>
          </cell>
          <cell r="B420" t="str">
            <v>Tandsektor</v>
          </cell>
          <cell r="C420" t="str">
            <v>Tooth-arc</v>
          </cell>
          <cell r="D420">
            <v>1272</v>
          </cell>
          <cell r="E420">
            <v>170.96774193548387</v>
          </cell>
        </row>
        <row r="421">
          <cell r="A421">
            <v>2196</v>
          </cell>
          <cell r="B421" t="str">
            <v>Dæksel for gearbox</v>
          </cell>
          <cell r="C421" t="str">
            <v>Cover for gearbox</v>
          </cell>
          <cell r="D421">
            <v>1272</v>
          </cell>
          <cell r="E421">
            <v>170.96774193548387</v>
          </cell>
        </row>
        <row r="422">
          <cell r="A422">
            <v>2197</v>
          </cell>
          <cell r="B422" t="str">
            <v>Hovedaksel  M6</v>
          </cell>
          <cell r="C422" t="str">
            <v>Main Shaft</v>
          </cell>
          <cell r="D422">
            <v>23500</v>
          </cell>
          <cell r="E422">
            <v>3158.6021505376343</v>
          </cell>
        </row>
        <row r="423">
          <cell r="A423">
            <v>2198</v>
          </cell>
          <cell r="B423" t="str">
            <v>Hovedlejeskål.</v>
          </cell>
          <cell r="C423" t="str">
            <v>Main Bearing Bush</v>
          </cell>
          <cell r="D423">
            <v>6148</v>
          </cell>
          <cell r="E423">
            <v>826.34408602150529</v>
          </cell>
        </row>
        <row r="424">
          <cell r="A424">
            <v>2199</v>
          </cell>
          <cell r="B424" t="str">
            <v>Tandhjul</v>
          </cell>
          <cell r="C424" t="str">
            <v>Gear Wheel</v>
          </cell>
          <cell r="D424">
            <v>18550</v>
          </cell>
          <cell r="E424">
            <v>2493.2795698924729</v>
          </cell>
        </row>
        <row r="425">
          <cell r="A425">
            <v>2200</v>
          </cell>
          <cell r="B425" t="str">
            <v>Rulleholderaksel</v>
          </cell>
          <cell r="C425" t="str">
            <v>Roller Mainshaft</v>
          </cell>
          <cell r="D425">
            <v>17808</v>
          </cell>
          <cell r="E425">
            <v>2393.5483870967741</v>
          </cell>
        </row>
        <row r="426">
          <cell r="A426">
            <v>2201</v>
          </cell>
          <cell r="B426" t="str">
            <v>Afstrygerkniv.</v>
          </cell>
          <cell r="C426" t="str">
            <v>Knife.</v>
          </cell>
          <cell r="D426">
            <v>307</v>
          </cell>
          <cell r="E426">
            <v>41.263440860215049</v>
          </cell>
        </row>
        <row r="427">
          <cell r="A427">
            <v>2202</v>
          </cell>
          <cell r="B427" t="str">
            <v>Sikringskobling  Komplet M6.</v>
          </cell>
          <cell r="C427" t="str">
            <v>Complete Safety Coupling M6</v>
          </cell>
          <cell r="D427">
            <v>10918</v>
          </cell>
          <cell r="E427">
            <v>1467.4731182795699</v>
          </cell>
        </row>
        <row r="428">
          <cell r="A428">
            <v>2203</v>
          </cell>
          <cell r="B428" t="str">
            <v>Sikringsbolt</v>
          </cell>
          <cell r="C428" t="str">
            <v>Shear Pin.</v>
          </cell>
          <cell r="D428">
            <v>47</v>
          </cell>
          <cell r="E428">
            <v>6.3172043010752681</v>
          </cell>
        </row>
        <row r="429">
          <cell r="A429">
            <v>2204</v>
          </cell>
          <cell r="B429" t="str">
            <v>Drivaksel.</v>
          </cell>
          <cell r="C429" t="str">
            <v>Driver Shaft</v>
          </cell>
          <cell r="D429">
            <v>10340</v>
          </cell>
          <cell r="E429">
            <v>1389.7849462365591</v>
          </cell>
        </row>
        <row r="430">
          <cell r="A430">
            <v>2205</v>
          </cell>
          <cell r="B430" t="str">
            <v>Oliekaster</v>
          </cell>
          <cell r="C430" t="str">
            <v>Oil Dip Ring</v>
          </cell>
          <cell r="D430">
            <v>519</v>
          </cell>
          <cell r="E430">
            <v>69.758064516129025</v>
          </cell>
        </row>
        <row r="431">
          <cell r="A431">
            <v>2206</v>
          </cell>
          <cell r="B431" t="str">
            <v>Lejehus, lukket</v>
          </cell>
          <cell r="C431" t="str">
            <v>Bearing Cover.</v>
          </cell>
          <cell r="D431">
            <v>2624</v>
          </cell>
          <cell r="E431">
            <v>352.68817204301075</v>
          </cell>
        </row>
        <row r="432">
          <cell r="A432">
            <v>2207</v>
          </cell>
          <cell r="B432" t="str">
            <v>Lejehus, åben</v>
          </cell>
          <cell r="C432" t="str">
            <v>Bearing Cover.</v>
          </cell>
          <cell r="D432">
            <v>1654</v>
          </cell>
          <cell r="E432">
            <v>222.31182795698925</v>
          </cell>
        </row>
        <row r="433">
          <cell r="A433">
            <v>2208</v>
          </cell>
          <cell r="B433" t="str">
            <v>Pillekammer.</v>
          </cell>
          <cell r="C433" t="str">
            <v>Pellet Chamber</v>
          </cell>
          <cell r="D433">
            <v>22578</v>
          </cell>
          <cell r="E433">
            <v>3034.6774193548385</v>
          </cell>
        </row>
        <row r="434">
          <cell r="A434">
            <v>2209</v>
          </cell>
          <cell r="B434" t="str">
            <v>Knivskaft.</v>
          </cell>
          <cell r="C434" t="str">
            <v>Knife Shaft.</v>
          </cell>
          <cell r="D434">
            <v>1166</v>
          </cell>
          <cell r="E434">
            <v>156.72043010752688</v>
          </cell>
        </row>
        <row r="435">
          <cell r="A435">
            <v>2210</v>
          </cell>
          <cell r="B435" t="str">
            <v>Kniv (tynd).</v>
          </cell>
          <cell r="C435" t="str">
            <v>Knife (thin)</v>
          </cell>
          <cell r="D435">
            <v>143</v>
          </cell>
          <cell r="E435">
            <v>19.22043010752688</v>
          </cell>
        </row>
        <row r="436">
          <cell r="A436">
            <v>2211</v>
          </cell>
          <cell r="B436" t="str">
            <v>Forplade komplet</v>
          </cell>
          <cell r="C436" t="str">
            <v>Front Plate complete</v>
          </cell>
          <cell r="D436">
            <v>3434</v>
          </cell>
          <cell r="E436">
            <v>461.55913978494624</v>
          </cell>
        </row>
        <row r="437">
          <cell r="A437">
            <v>2212</v>
          </cell>
          <cell r="B437" t="str">
            <v>Rulleindstillingsarm</v>
          </cell>
          <cell r="C437" t="str">
            <v>Roller adjusting Arm.</v>
          </cell>
          <cell r="D437">
            <v>832</v>
          </cell>
          <cell r="E437">
            <v>111.82795698924731</v>
          </cell>
        </row>
        <row r="438">
          <cell r="A438">
            <v>2213</v>
          </cell>
          <cell r="B438" t="str">
            <v>Godsfordeler</v>
          </cell>
          <cell r="C438" t="str">
            <v>Deflector.</v>
          </cell>
          <cell r="D438">
            <v>440</v>
          </cell>
          <cell r="E438">
            <v>59.139784946236553</v>
          </cell>
        </row>
        <row r="439">
          <cell r="A439">
            <v>2214</v>
          </cell>
          <cell r="B439" t="str">
            <v>Holder for Godsfordeler.</v>
          </cell>
          <cell r="C439" t="str">
            <v>Holder for Deflector</v>
          </cell>
          <cell r="D439">
            <v>657</v>
          </cell>
          <cell r="E439">
            <v>88.306451612903217</v>
          </cell>
        </row>
        <row r="440">
          <cell r="A440">
            <v>2215</v>
          </cell>
          <cell r="B440" t="str">
            <v xml:space="preserve">Smørrerør for rulle komplet m. fit </v>
          </cell>
          <cell r="C440" t="str">
            <v>Greasepipe for roller</v>
          </cell>
          <cell r="D440">
            <v>138</v>
          </cell>
          <cell r="E440">
            <v>18.548387096774192</v>
          </cell>
        </row>
        <row r="441">
          <cell r="A441">
            <v>2216</v>
          </cell>
          <cell r="B441" t="str">
            <v>Spændering for matrice</v>
          </cell>
          <cell r="C441" t="str">
            <v>Lock Ring for Die.</v>
          </cell>
          <cell r="D441">
            <v>8045</v>
          </cell>
          <cell r="E441">
            <v>1081.3172043010752</v>
          </cell>
        </row>
        <row r="442">
          <cell r="A442">
            <v>2217</v>
          </cell>
          <cell r="B442" t="str">
            <v>Fødekonus, stål.</v>
          </cell>
          <cell r="C442" t="str">
            <v>Feed Cone</v>
          </cell>
          <cell r="D442">
            <v>3233</v>
          </cell>
          <cell r="E442">
            <v>434.54301075268813</v>
          </cell>
        </row>
        <row r="443">
          <cell r="A443">
            <v>2218</v>
          </cell>
          <cell r="B443" t="str">
            <v>Spændering for fødekonus</v>
          </cell>
          <cell r="C443" t="str">
            <v>Lock Ring for Feed Cone</v>
          </cell>
          <cell r="D443">
            <v>615</v>
          </cell>
          <cell r="E443">
            <v>82.661290322580641</v>
          </cell>
        </row>
        <row r="444">
          <cell r="A444">
            <v>2219</v>
          </cell>
          <cell r="B444" t="str">
            <v>Indløbstragt</v>
          </cell>
          <cell r="C444" t="str">
            <v>Inlet Duct</v>
          </cell>
          <cell r="D444">
            <v>11909</v>
          </cell>
          <cell r="E444">
            <v>1600.6720430107525</v>
          </cell>
        </row>
        <row r="445">
          <cell r="A445">
            <v>2220</v>
          </cell>
          <cell r="B445" t="str">
            <v>Pakning</v>
          </cell>
          <cell r="C445" t="str">
            <v>Packing</v>
          </cell>
          <cell r="D445">
            <v>32</v>
          </cell>
          <cell r="E445">
            <v>4.301075268817204</v>
          </cell>
        </row>
        <row r="446">
          <cell r="A446">
            <v>2220</v>
          </cell>
          <cell r="B446" t="str">
            <v>Pakning for lejehus</v>
          </cell>
          <cell r="C446" t="str">
            <v>Packing.</v>
          </cell>
          <cell r="D446">
            <v>32</v>
          </cell>
          <cell r="E446">
            <v>4.301075268817204</v>
          </cell>
        </row>
        <row r="447">
          <cell r="A447">
            <v>2224</v>
          </cell>
          <cell r="B447" t="str">
            <v>Rulleaksel  complet  M6</v>
          </cell>
          <cell r="C447" t="str">
            <v xml:space="preserve">Rollershaft M6. </v>
          </cell>
          <cell r="D447">
            <v>1425</v>
          </cell>
          <cell r="E447">
            <v>191.53225806451613</v>
          </cell>
        </row>
        <row r="448">
          <cell r="A448">
            <v>2225</v>
          </cell>
          <cell r="B448" t="str">
            <v>Låsemøtrik</v>
          </cell>
          <cell r="C448" t="str">
            <v>Locknut</v>
          </cell>
          <cell r="D448">
            <v>81</v>
          </cell>
          <cell r="E448">
            <v>10.887096774193548</v>
          </cell>
        </row>
        <row r="449">
          <cell r="A449">
            <v>2226</v>
          </cell>
          <cell r="B449" t="str">
            <v>Rullebøsning</v>
          </cell>
          <cell r="C449" t="str">
            <v>Roller bushing</v>
          </cell>
          <cell r="D449">
            <v>822</v>
          </cell>
          <cell r="E449">
            <v>110.48387096774194</v>
          </cell>
        </row>
        <row r="450">
          <cell r="A450">
            <v>2227</v>
          </cell>
          <cell r="B450" t="str">
            <v>Endedæksel</v>
          </cell>
          <cell r="C450" t="str">
            <v>Endcover</v>
          </cell>
          <cell r="D450">
            <v>371</v>
          </cell>
          <cell r="E450">
            <v>49.865591397849457</v>
          </cell>
        </row>
        <row r="451">
          <cell r="A451">
            <v>2228</v>
          </cell>
          <cell r="B451" t="str">
            <v>Tætningsskive</v>
          </cell>
          <cell r="C451" t="str">
            <v>Tightening disc</v>
          </cell>
          <cell r="D451">
            <v>37</v>
          </cell>
          <cell r="E451">
            <v>4.9731182795698921</v>
          </cell>
        </row>
        <row r="452">
          <cell r="A452">
            <v>2229</v>
          </cell>
          <cell r="B452" t="str">
            <v>Tætningskrave</v>
          </cell>
          <cell r="C452" t="str">
            <v>Tightening sleeve</v>
          </cell>
          <cell r="D452">
            <v>281</v>
          </cell>
          <cell r="E452">
            <v>37.768817204301072</v>
          </cell>
        </row>
        <row r="453">
          <cell r="A453">
            <v>2230</v>
          </cell>
          <cell r="B453" t="str">
            <v>Tætningskrave</v>
          </cell>
          <cell r="C453" t="str">
            <v>Tightening sleeve</v>
          </cell>
          <cell r="D453">
            <v>286</v>
          </cell>
          <cell r="E453">
            <v>38.44086021505376</v>
          </cell>
        </row>
        <row r="454">
          <cell r="A454">
            <v>2231</v>
          </cell>
          <cell r="B454" t="str">
            <v>Afstandsrør for rulle</v>
          </cell>
          <cell r="C454" t="str">
            <v>Distance ring</v>
          </cell>
          <cell r="D454">
            <v>106</v>
          </cell>
          <cell r="E454">
            <v>14.247311827956988</v>
          </cell>
        </row>
        <row r="455">
          <cell r="A455">
            <v>2232</v>
          </cell>
          <cell r="B455" t="str">
            <v>Skive</v>
          </cell>
          <cell r="C455" t="str">
            <v>Washer</v>
          </cell>
          <cell r="D455">
            <v>159</v>
          </cell>
          <cell r="E455">
            <v>21.370967741935484</v>
          </cell>
        </row>
        <row r="456">
          <cell r="A456">
            <v>2248</v>
          </cell>
          <cell r="B456" t="str">
            <v>Kontramøtrik f/pillekammer</v>
          </cell>
          <cell r="C456" t="str">
            <v>Counter nut for pelletchamber</v>
          </cell>
          <cell r="D456">
            <v>193</v>
          </cell>
          <cell r="E456">
            <v>25.94086021505376</v>
          </cell>
        </row>
        <row r="457">
          <cell r="A457">
            <v>2281</v>
          </cell>
          <cell r="B457" t="str">
            <v>Lejehus</v>
          </cell>
          <cell r="C457" t="str">
            <v>Bearing housing</v>
          </cell>
          <cell r="D457">
            <v>1325</v>
          </cell>
          <cell r="E457">
            <v>178.09139784946237</v>
          </cell>
        </row>
        <row r="458">
          <cell r="A458">
            <v>2284</v>
          </cell>
          <cell r="B458" t="str">
            <v>Transportørkædehjul</v>
          </cell>
          <cell r="C458" t="str">
            <v>Conveyor chain wheel</v>
          </cell>
          <cell r="D458">
            <v>3710</v>
          </cell>
          <cell r="E458">
            <v>498.6559139784946</v>
          </cell>
        </row>
        <row r="459">
          <cell r="A459">
            <v>2285</v>
          </cell>
          <cell r="B459" t="str">
            <v>Kølerlamel, pl. 1,5 mm perf. Ø3, galvaniseret</v>
          </cell>
          <cell r="C459" t="str">
            <v xml:space="preserve">Tray, sheet 1,5 MM, perforation Ø3,0 MM,galvanized          </v>
          </cell>
          <cell r="D459">
            <v>313</v>
          </cell>
          <cell r="E459">
            <v>42.06989247311828</v>
          </cell>
        </row>
        <row r="460">
          <cell r="A460">
            <v>2286</v>
          </cell>
          <cell r="B460" t="str">
            <v>Gummigardin, indløb 1 H500 (tørre)</v>
          </cell>
          <cell r="C460" t="str">
            <v xml:space="preserve">Rubber curtain, inlet 1 </v>
          </cell>
          <cell r="D460">
            <v>3445</v>
          </cell>
          <cell r="E460">
            <v>463.03763440860212</v>
          </cell>
        </row>
        <row r="461">
          <cell r="A461">
            <v>2287</v>
          </cell>
          <cell r="B461" t="str">
            <v>Gummigardin, indløb 1 (køler) H500</v>
          </cell>
          <cell r="C461" t="str">
            <v xml:space="preserve">Rubber curtain, inlet 1      </v>
          </cell>
          <cell r="D461">
            <v>1219</v>
          </cell>
          <cell r="E461">
            <v>163.84408602150538</v>
          </cell>
        </row>
        <row r="462">
          <cell r="A462">
            <v>2288</v>
          </cell>
          <cell r="B462" t="str">
            <v>Gummigardin udløb nitril H500</v>
          </cell>
          <cell r="C462" t="str">
            <v>Rubber curtain outlet nitril H500</v>
          </cell>
          <cell r="D462">
            <v>1452</v>
          </cell>
          <cell r="E462">
            <v>195.16129032258064</v>
          </cell>
        </row>
        <row r="463">
          <cell r="A463">
            <v>2289</v>
          </cell>
          <cell r="B463" t="str">
            <v>Smuldskraber, smuldskærm</v>
          </cell>
          <cell r="C463" t="str">
            <v xml:space="preserve">Dust scraber, Dust screen </v>
          </cell>
          <cell r="D463">
            <v>1140</v>
          </cell>
          <cell r="E463">
            <v>153.2258064516129</v>
          </cell>
        </row>
        <row r="464">
          <cell r="A464">
            <v>2291</v>
          </cell>
          <cell r="B464" t="str">
            <v>Gummigardin drew nitril, H500</v>
          </cell>
          <cell r="C464" t="str">
            <v>Rubber curtain drive nitril H500</v>
          </cell>
          <cell r="D464">
            <v>1357</v>
          </cell>
          <cell r="E464">
            <v>182.39247311827955</v>
          </cell>
        </row>
        <row r="465">
          <cell r="A465">
            <v>2299</v>
          </cell>
          <cell r="B465" t="str">
            <v>Gummigardin udløb silicone H500</v>
          </cell>
          <cell r="C465" t="str">
            <v>Rubber curtain outlet silcone H500</v>
          </cell>
          <cell r="D465">
            <v>2936</v>
          </cell>
          <cell r="E465">
            <v>394.6236559139785</v>
          </cell>
        </row>
        <row r="466">
          <cell r="A466">
            <v>2300</v>
          </cell>
          <cell r="B466" t="str">
            <v>gummiplade v/indløb (tørre)</v>
          </cell>
          <cell r="C466" t="str">
            <v>Rubber plate, inlet</v>
          </cell>
          <cell r="D466">
            <v>2200</v>
          </cell>
          <cell r="E466">
            <v>295.69892473118279</v>
          </cell>
        </row>
        <row r="467">
          <cell r="A467">
            <v>2301</v>
          </cell>
          <cell r="B467" t="str">
            <v>Gummigardin drev silicone, H500</v>
          </cell>
          <cell r="C467" t="str">
            <v>Rubber curtain drive silicone H 500</v>
          </cell>
          <cell r="D467">
            <v>3975</v>
          </cell>
          <cell r="E467">
            <v>534.27419354838707</v>
          </cell>
        </row>
        <row r="468">
          <cell r="A468">
            <v>2315</v>
          </cell>
          <cell r="B468" t="str">
            <v>Stempelring</v>
          </cell>
          <cell r="C468" t="str">
            <v>Piston ring</v>
          </cell>
          <cell r="D468">
            <v>53</v>
          </cell>
          <cell r="E468">
            <v>7.1236559139784941</v>
          </cell>
        </row>
        <row r="469">
          <cell r="A469">
            <v>2317</v>
          </cell>
          <cell r="B469" t="str">
            <v>Papirpakning</v>
          </cell>
          <cell r="C469" t="str">
            <v>Packing, paper</v>
          </cell>
          <cell r="D469">
            <v>90</v>
          </cell>
          <cell r="E469">
            <v>12.096774193548386</v>
          </cell>
        </row>
        <row r="470">
          <cell r="A470">
            <v>2318</v>
          </cell>
          <cell r="B470" t="str">
            <v>Feder</v>
          </cell>
          <cell r="C470" t="str">
            <v>Parallel Key</v>
          </cell>
          <cell r="D470">
            <v>90</v>
          </cell>
          <cell r="E470">
            <v>12.096774193548386</v>
          </cell>
        </row>
        <row r="471">
          <cell r="A471">
            <v>2319</v>
          </cell>
          <cell r="B471" t="str">
            <v>Pakning f/sikringskobling</v>
          </cell>
          <cell r="C471" t="str">
            <v>Packing f/safety coupling</v>
          </cell>
          <cell r="D471">
            <v>164</v>
          </cell>
          <cell r="E471">
            <v>22.043010752688172</v>
          </cell>
        </row>
        <row r="472">
          <cell r="A472">
            <v>2320</v>
          </cell>
          <cell r="B472" t="str">
            <v>Stålbøsning</v>
          </cell>
          <cell r="C472" t="str">
            <v>Steel Sleeve</v>
          </cell>
          <cell r="D472">
            <v>95</v>
          </cell>
          <cell r="E472">
            <v>12.768817204301074</v>
          </cell>
        </row>
        <row r="473">
          <cell r="A473">
            <v>2321</v>
          </cell>
          <cell r="B473" t="str">
            <v>Fjedersplit Ø3 x 67</v>
          </cell>
          <cell r="C473" t="str">
            <v>Split pin Ø3 x 67</v>
          </cell>
          <cell r="D473">
            <v>7.4</v>
          </cell>
          <cell r="E473">
            <v>0.9946236559139785</v>
          </cell>
        </row>
        <row r="474">
          <cell r="A474">
            <v>2325</v>
          </cell>
          <cell r="B474" t="str">
            <v>Låsering I 95 x 3 DIN472</v>
          </cell>
          <cell r="C474" t="str">
            <v xml:space="preserve">Retaining Ring </v>
          </cell>
          <cell r="D474">
            <v>11.1</v>
          </cell>
          <cell r="E474">
            <v>1.4919354838709675</v>
          </cell>
        </row>
        <row r="475">
          <cell r="A475">
            <v>2327</v>
          </cell>
          <cell r="B475" t="str">
            <v>Flangeleje med dæksel CMUCF 207,Ø35,</v>
          </cell>
          <cell r="C475" t="str">
            <v>Flange bearing with cover CMUCF 207, Ø35,</v>
          </cell>
          <cell r="D475">
            <v>295</v>
          </cell>
          <cell r="E475">
            <v>39.6505376344086</v>
          </cell>
        </row>
        <row r="476">
          <cell r="A476">
            <v>2328</v>
          </cell>
          <cell r="B476" t="str">
            <v>Pakning for topdæksel</v>
          </cell>
          <cell r="C476" t="str">
            <v>Packing</v>
          </cell>
          <cell r="D476">
            <v>69</v>
          </cell>
          <cell r="E476">
            <v>9.2741935483870961</v>
          </cell>
        </row>
        <row r="477">
          <cell r="A477">
            <v>2330</v>
          </cell>
          <cell r="B477" t="str">
            <v>Papirpakning</v>
          </cell>
          <cell r="C477" t="str">
            <v>Packing</v>
          </cell>
          <cell r="D477">
            <v>101</v>
          </cell>
          <cell r="E477">
            <v>13.5752688172043</v>
          </cell>
        </row>
        <row r="478">
          <cell r="A478">
            <v>2331</v>
          </cell>
          <cell r="B478" t="str">
            <v>Feder.</v>
          </cell>
          <cell r="C478" t="str">
            <v>Parallel Key</v>
          </cell>
          <cell r="D478">
            <v>10.6</v>
          </cell>
          <cell r="E478">
            <v>1.4247311827956988</v>
          </cell>
        </row>
        <row r="479">
          <cell r="A479">
            <v>2333</v>
          </cell>
          <cell r="B479" t="str">
            <v>Pakning for sikringskoblig</v>
          </cell>
          <cell r="C479" t="str">
            <v>Packing.</v>
          </cell>
          <cell r="D479">
            <v>69</v>
          </cell>
          <cell r="E479">
            <v>9.2741935483870961</v>
          </cell>
        </row>
        <row r="480">
          <cell r="A480">
            <v>2335</v>
          </cell>
          <cell r="B480" t="str">
            <v>Feder</v>
          </cell>
          <cell r="C480" t="str">
            <v>Paralell key A8x7x36</v>
          </cell>
          <cell r="D480">
            <v>8.5</v>
          </cell>
          <cell r="E480">
            <v>1.1424731182795698</v>
          </cell>
        </row>
        <row r="481">
          <cell r="A481">
            <v>2337</v>
          </cell>
          <cell r="B481" t="str">
            <v>Låsering I 230 x 5</v>
          </cell>
          <cell r="C481" t="str">
            <v>Lock ring I 230 x 5</v>
          </cell>
          <cell r="D481">
            <v>161</v>
          </cell>
          <cell r="E481">
            <v>21.639784946236556</v>
          </cell>
        </row>
        <row r="482">
          <cell r="A482">
            <v>2340</v>
          </cell>
          <cell r="B482" t="str">
            <v>Pakning for hovedlejeskål M24/M30</v>
          </cell>
          <cell r="C482" t="str">
            <v>Packing for mainbearing M24/M30</v>
          </cell>
          <cell r="D482">
            <v>106</v>
          </cell>
          <cell r="E482">
            <v>14.247311827956988</v>
          </cell>
        </row>
        <row r="483">
          <cell r="A483">
            <v>2343</v>
          </cell>
          <cell r="B483" t="str">
            <v>Feder Parallel key</v>
          </cell>
          <cell r="C483" t="str">
            <v>Parallel key</v>
          </cell>
          <cell r="D483">
            <v>31</v>
          </cell>
          <cell r="E483">
            <v>4.1666666666666661</v>
          </cell>
        </row>
        <row r="484">
          <cell r="A484">
            <v>2345</v>
          </cell>
          <cell r="B484" t="str">
            <v>Filter indsats</v>
          </cell>
          <cell r="C484" t="str">
            <v>Filter insert</v>
          </cell>
          <cell r="D484">
            <v>170</v>
          </cell>
          <cell r="E484">
            <v>22.849462365591396</v>
          </cell>
        </row>
        <row r="485">
          <cell r="A485">
            <v>2346</v>
          </cell>
          <cell r="B485" t="str">
            <v>Oliekøler Bowman 3/4 "</v>
          </cell>
          <cell r="C485" t="str">
            <v>Oil cooler Bowman 3/4 "</v>
          </cell>
          <cell r="D485">
            <v>4187</v>
          </cell>
          <cell r="E485">
            <v>562.76881720430106</v>
          </cell>
        </row>
        <row r="486">
          <cell r="A486">
            <v>2349</v>
          </cell>
          <cell r="B486" t="str">
            <v>Låsering U180 x 4</v>
          </cell>
          <cell r="C486" t="str">
            <v>Lock ring U180 x 4</v>
          </cell>
          <cell r="D486">
            <v>128</v>
          </cell>
          <cell r="E486">
            <v>17.204301075268816</v>
          </cell>
        </row>
        <row r="487">
          <cell r="A487">
            <v>2350</v>
          </cell>
          <cell r="B487" t="str">
            <v>Nilos-ring 16036 JV</v>
          </cell>
          <cell r="C487" t="str">
            <v>Nilos-ring 16036 JV</v>
          </cell>
          <cell r="D487">
            <v>191</v>
          </cell>
          <cell r="E487">
            <v>25.672043010752688</v>
          </cell>
        </row>
        <row r="488">
          <cell r="A488">
            <v>2351</v>
          </cell>
          <cell r="B488" t="str">
            <v>V-ring V100 A</v>
          </cell>
          <cell r="C488" t="str">
            <v>V-ring V100 A</v>
          </cell>
          <cell r="D488">
            <v>27</v>
          </cell>
          <cell r="E488">
            <v>3.629032258064516</v>
          </cell>
        </row>
        <row r="489">
          <cell r="A489">
            <v>2353</v>
          </cell>
          <cell r="B489" t="str">
            <v>O-Ring Ø7,0XØ227,9</v>
          </cell>
          <cell r="C489" t="str">
            <v>O-ring ø7,0xØ227,9</v>
          </cell>
          <cell r="D489">
            <v>37</v>
          </cell>
          <cell r="E489">
            <v>4.9731182795698921</v>
          </cell>
        </row>
        <row r="490">
          <cell r="A490">
            <v>2354</v>
          </cell>
          <cell r="B490" t="str">
            <v>Bremsekaliber.</v>
          </cell>
          <cell r="C490" t="str">
            <v>Hydraulic calibre</v>
          </cell>
          <cell r="D490">
            <v>3477</v>
          </cell>
          <cell r="E490">
            <v>467.33870967741933</v>
          </cell>
        </row>
        <row r="491">
          <cell r="A491">
            <v>2355</v>
          </cell>
          <cell r="B491" t="str">
            <v>Låsering I 290x5</v>
          </cell>
          <cell r="C491" t="str">
            <v>Retaining rin I290x5 - DIN472</v>
          </cell>
          <cell r="D491">
            <v>228</v>
          </cell>
          <cell r="E491">
            <v>30.64516129032258</v>
          </cell>
        </row>
        <row r="492">
          <cell r="A492">
            <v>2360</v>
          </cell>
          <cell r="B492" t="str">
            <v>Låsering U110 x 4 DIN 471</v>
          </cell>
          <cell r="C492" t="str">
            <v>Lock ring U 110x4,0  DIN 471</v>
          </cell>
          <cell r="D492">
            <v>40</v>
          </cell>
          <cell r="E492">
            <v>5.376344086021505</v>
          </cell>
        </row>
        <row r="493">
          <cell r="A493">
            <v>2361</v>
          </cell>
          <cell r="B493" t="str">
            <v>Fedtfordelerblok SSV-8K</v>
          </cell>
          <cell r="C493" t="str">
            <v>Grease distributor block SSV-8K</v>
          </cell>
          <cell r="D493">
            <v>1738</v>
          </cell>
          <cell r="E493">
            <v>233.6021505376344</v>
          </cell>
        </row>
        <row r="494">
          <cell r="A494">
            <v>2363</v>
          </cell>
          <cell r="B494" t="str">
            <v>Filtring 6 x 10 x 250 ø70 aksel</v>
          </cell>
          <cell r="C494" t="str">
            <v>Filt seal  6 x 10 x 250 ø70 shaft</v>
          </cell>
          <cell r="D494">
            <v>28</v>
          </cell>
          <cell r="E494">
            <v>3.7634408602150535</v>
          </cell>
        </row>
        <row r="495">
          <cell r="A495">
            <v>2365</v>
          </cell>
          <cell r="B495" t="str">
            <v>Tætningsbånd 3x40x1650 Viton</v>
          </cell>
          <cell r="C495" t="str">
            <v>Seal tape 3 x 40 x 1650 Viton</v>
          </cell>
          <cell r="D495">
            <v>742</v>
          </cell>
          <cell r="E495">
            <v>99.731182795698913</v>
          </cell>
        </row>
        <row r="496">
          <cell r="A496">
            <v>2366</v>
          </cell>
          <cell r="B496" t="str">
            <v>Spændebånd Ø515</v>
          </cell>
          <cell r="C496" t="str">
            <v>Clip Ø515</v>
          </cell>
          <cell r="D496">
            <v>174</v>
          </cell>
          <cell r="E496">
            <v>23.387096774193548</v>
          </cell>
        </row>
        <row r="497">
          <cell r="A497">
            <v>2367</v>
          </cell>
          <cell r="B497" t="str">
            <v>Stålbørstetætningsring M30</v>
          </cell>
          <cell r="C497" t="str">
            <v>Wire brush sealing ring M30</v>
          </cell>
          <cell r="D497">
            <v>996</v>
          </cell>
          <cell r="E497">
            <v>133.87096774193549</v>
          </cell>
        </row>
        <row r="498">
          <cell r="A498">
            <v>2368</v>
          </cell>
          <cell r="B498" t="str">
            <v>Rørstift Ø12 x 32 12,9</v>
          </cell>
          <cell r="C498" t="str">
            <v>Tub pin Ø12 x 32 12,9</v>
          </cell>
          <cell r="D498">
            <v>5.2</v>
          </cell>
          <cell r="E498">
            <v>0.69892473118279563</v>
          </cell>
        </row>
        <row r="499">
          <cell r="A499">
            <v>2369</v>
          </cell>
          <cell r="B499" t="str">
            <v>Feder B 8 x 4 x 20 DS 96</v>
          </cell>
          <cell r="C499" t="str">
            <v>Parallel key B 8 x 4 x 20 DS 96</v>
          </cell>
          <cell r="D499">
            <v>12.7</v>
          </cell>
          <cell r="E499">
            <v>1.7069892473118278</v>
          </cell>
        </row>
        <row r="500">
          <cell r="A500">
            <v>2371</v>
          </cell>
          <cell r="B500" t="str">
            <v>Låsering  I 180 x4,00   DIN 472</v>
          </cell>
          <cell r="C500" t="str">
            <v>Lock ring I 180 x 4,0  DIN472</v>
          </cell>
          <cell r="D500">
            <v>64</v>
          </cell>
          <cell r="E500">
            <v>8.6021505376344081</v>
          </cell>
        </row>
        <row r="501">
          <cell r="A501">
            <v>2373</v>
          </cell>
          <cell r="B501" t="str">
            <v>Låsering I 215 x 5,0 J DIN472</v>
          </cell>
          <cell r="C501" t="str">
            <v>Lock ring I 215 x 5,0 J DIN472</v>
          </cell>
          <cell r="D501">
            <v>18.600000000000001</v>
          </cell>
          <cell r="E501">
            <v>2.5</v>
          </cell>
        </row>
        <row r="502">
          <cell r="A502">
            <v>2374</v>
          </cell>
          <cell r="B502" t="str">
            <v>Bremseskive</v>
          </cell>
          <cell r="C502" t="str">
            <v>Brake disc</v>
          </cell>
          <cell r="D502">
            <v>4579</v>
          </cell>
          <cell r="E502">
            <v>615.45698924731175</v>
          </cell>
        </row>
        <row r="503">
          <cell r="A503">
            <v>2375</v>
          </cell>
          <cell r="B503" t="str">
            <v>Permanentmagnet 300 x 155 x 88</v>
          </cell>
          <cell r="C503" t="str">
            <v>Permanent magnet 300 x 155 x 88</v>
          </cell>
          <cell r="D503">
            <v>3805</v>
          </cell>
          <cell r="E503">
            <v>511.42473118279565</v>
          </cell>
        </row>
        <row r="504">
          <cell r="A504">
            <v>2380</v>
          </cell>
          <cell r="B504" t="str">
            <v>Spændestykke</v>
          </cell>
          <cell r="C504" t="str">
            <v>Clamp</v>
          </cell>
          <cell r="D504">
            <v>54</v>
          </cell>
          <cell r="E504">
            <v>7.258064516129032</v>
          </cell>
        </row>
        <row r="505">
          <cell r="A505">
            <v>2381</v>
          </cell>
          <cell r="B505" t="str">
            <v>Oliestandsglas UC-FLT 31121</v>
          </cell>
          <cell r="C505" t="str">
            <v>Oil-level glass UC-FLT 31121</v>
          </cell>
          <cell r="D505">
            <v>292</v>
          </cell>
          <cell r="E505">
            <v>39.247311827956985</v>
          </cell>
        </row>
        <row r="506">
          <cell r="A506">
            <v>2382</v>
          </cell>
          <cell r="B506" t="str">
            <v>Erstattet af 502021</v>
          </cell>
          <cell r="C506" t="str">
            <v>replaced by 502021</v>
          </cell>
          <cell r="D506" t="str">
            <v>replaced</v>
          </cell>
          <cell r="E506" t="e">
            <v>#VALUE!</v>
          </cell>
        </row>
        <row r="507">
          <cell r="A507">
            <v>2383</v>
          </cell>
          <cell r="B507" t="str">
            <v>Mikroswitch med kort arm XCK-M115</v>
          </cell>
          <cell r="C507" t="str">
            <v>Mikro switch w short arm XCK-M115</v>
          </cell>
          <cell r="D507">
            <v>282</v>
          </cell>
          <cell r="E507">
            <v>37.903225806451609</v>
          </cell>
        </row>
        <row r="508">
          <cell r="A508">
            <v>2384</v>
          </cell>
          <cell r="B508" t="str">
            <v>Dæksel</v>
          </cell>
          <cell r="C508" t="str">
            <v>Cover.</v>
          </cell>
          <cell r="D508">
            <v>159</v>
          </cell>
          <cell r="E508">
            <v>21.370967741935484</v>
          </cell>
        </row>
        <row r="509">
          <cell r="A509">
            <v>2386</v>
          </cell>
          <cell r="B509" t="str">
            <v>Vinkeldrejeled - Lincoln</v>
          </cell>
          <cell r="C509" t="str">
            <v>Swivel Lincoln</v>
          </cell>
          <cell r="D509">
            <v>936</v>
          </cell>
          <cell r="E509">
            <v>125.80645161290322</v>
          </cell>
        </row>
        <row r="510">
          <cell r="A510">
            <v>2387</v>
          </cell>
          <cell r="B510" t="str">
            <v>Smørenippel 1/8" RG 90gr</v>
          </cell>
          <cell r="C510" t="str">
            <v>Grease nipple 1/8" RG 90gr</v>
          </cell>
          <cell r="D510">
            <v>5.3</v>
          </cell>
          <cell r="E510">
            <v>0.71236559139784938</v>
          </cell>
        </row>
        <row r="511">
          <cell r="A511">
            <v>2389</v>
          </cell>
          <cell r="B511" t="str">
            <v>V-ring V120A</v>
          </cell>
          <cell r="C511" t="str">
            <v>V-ring V120A</v>
          </cell>
          <cell r="D511">
            <v>127</v>
          </cell>
          <cell r="E511">
            <v>17.06989247311828</v>
          </cell>
        </row>
        <row r="512">
          <cell r="A512">
            <v>2392</v>
          </cell>
          <cell r="B512" t="str">
            <v>Rulleleje INA -NKIS 50</v>
          </cell>
          <cell r="C512" t="str">
            <v>Needle bearing INA - NKIS 50</v>
          </cell>
          <cell r="D512">
            <v>286</v>
          </cell>
          <cell r="E512">
            <v>38.44086021505376</v>
          </cell>
        </row>
        <row r="513">
          <cell r="A513">
            <v>2394</v>
          </cell>
          <cell r="B513" t="str">
            <v>Cyl. rulleleje NJ 219</v>
          </cell>
          <cell r="C513" t="str">
            <v>Roller Bearing NJ 219</v>
          </cell>
          <cell r="D513">
            <v>1007</v>
          </cell>
          <cell r="E513">
            <v>135.34946236559139</v>
          </cell>
        </row>
        <row r="514">
          <cell r="A514">
            <v>2395</v>
          </cell>
          <cell r="B514" t="str">
            <v>Kugleleje 6218 M</v>
          </cell>
          <cell r="C514" t="str">
            <v>Roller Bearing 6218 M</v>
          </cell>
          <cell r="D514">
            <v>429</v>
          </cell>
          <cell r="E514">
            <v>57.661290322580641</v>
          </cell>
        </row>
        <row r="515">
          <cell r="A515">
            <v>2396</v>
          </cell>
          <cell r="B515" t="str">
            <v>Cyl. rulleleje NJ 213</v>
          </cell>
          <cell r="C515" t="str">
            <v>Roller Bearing NJ 213</v>
          </cell>
          <cell r="D515">
            <v>583</v>
          </cell>
          <cell r="E515">
            <v>78.36021505376344</v>
          </cell>
        </row>
        <row r="516">
          <cell r="A516">
            <v>2397</v>
          </cell>
          <cell r="B516" t="str">
            <v>Cyl. rulleleje NJ 310</v>
          </cell>
          <cell r="C516" t="str">
            <v>Roller Bearing NJ 310</v>
          </cell>
          <cell r="D516">
            <v>419</v>
          </cell>
          <cell r="E516">
            <v>56.317204301075265</v>
          </cell>
        </row>
        <row r="517">
          <cell r="A517">
            <v>2398</v>
          </cell>
          <cell r="B517" t="str">
            <v>Leje, komplet</v>
          </cell>
          <cell r="C517" t="str">
            <v>Bearing complete</v>
          </cell>
          <cell r="D517">
            <v>249</v>
          </cell>
          <cell r="E517">
            <v>33.467741935483872</v>
          </cell>
        </row>
        <row r="518">
          <cell r="A518">
            <v>2399</v>
          </cell>
          <cell r="B518" t="str">
            <v xml:space="preserve">Flangeleje UCF 207, Ø35, komplet, </v>
          </cell>
          <cell r="C518" t="str">
            <v>Flange bearing UCF 207, Ø35, complete, i</v>
          </cell>
          <cell r="D518">
            <v>140</v>
          </cell>
          <cell r="E518">
            <v>18.817204301075268</v>
          </cell>
        </row>
        <row r="519">
          <cell r="A519">
            <v>2400</v>
          </cell>
          <cell r="B519" t="str">
            <v>Cyl. rulleleje NJ 238.</v>
          </cell>
          <cell r="C519" t="str">
            <v>Roller Bearing NJ 238.</v>
          </cell>
          <cell r="D519">
            <v>7860</v>
          </cell>
          <cell r="E519">
            <v>1056.4516129032259</v>
          </cell>
        </row>
        <row r="520">
          <cell r="A520">
            <v>2401</v>
          </cell>
          <cell r="B520" t="str">
            <v>Cyl. rulleleje NJ 1022</v>
          </cell>
          <cell r="C520" t="str">
            <v>Roller Bearing NJ 1022</v>
          </cell>
          <cell r="D520">
            <v>1632</v>
          </cell>
          <cell r="E520">
            <v>219.35483870967741</v>
          </cell>
        </row>
        <row r="521">
          <cell r="A521">
            <v>2402</v>
          </cell>
          <cell r="B521" t="str">
            <v>Cyl. rulleleje NJ 315.</v>
          </cell>
          <cell r="C521" t="str">
            <v>Roller Bearing NJ 315.</v>
          </cell>
          <cell r="D521">
            <v>1675</v>
          </cell>
          <cell r="E521">
            <v>225.13440860215053</v>
          </cell>
        </row>
        <row r="522">
          <cell r="A522">
            <v>2403</v>
          </cell>
          <cell r="B522" t="str">
            <v>Cyl. rulleleje NJ 315 E.TVP2</v>
          </cell>
          <cell r="C522" t="str">
            <v>Roller bearing NJ 315 E.TVP2.</v>
          </cell>
          <cell r="D522">
            <v>1020</v>
          </cell>
          <cell r="E522">
            <v>137.09677419354838</v>
          </cell>
        </row>
        <row r="523">
          <cell r="A523">
            <v>2406</v>
          </cell>
          <cell r="B523" t="str">
            <v>Flangeleje   UCF 216   Ø 80 komplet med leje</v>
          </cell>
          <cell r="C523" t="str">
            <v>Flange UCF214 Ø70 compl. W. bearing</v>
          </cell>
          <cell r="D523">
            <v>822</v>
          </cell>
          <cell r="E523">
            <v>110.48387096774194</v>
          </cell>
        </row>
        <row r="524">
          <cell r="A524">
            <v>2408</v>
          </cell>
          <cell r="B524" t="str">
            <v>Sfærisk rulleleje 22318E</v>
          </cell>
          <cell r="C524" t="str">
            <v>Spherical roller bearing 22318E</v>
          </cell>
          <cell r="D524">
            <v>1219</v>
          </cell>
          <cell r="E524">
            <v>163.84408602150538</v>
          </cell>
        </row>
        <row r="525">
          <cell r="A525">
            <v>2409</v>
          </cell>
          <cell r="B525" t="str">
            <v>Sfærisk Rulleleje 22218C</v>
          </cell>
          <cell r="C525" t="str">
            <v>Spherical roller bearing</v>
          </cell>
          <cell r="D525">
            <v>1007</v>
          </cell>
          <cell r="E525">
            <v>135.34946236559139</v>
          </cell>
        </row>
        <row r="526">
          <cell r="A526">
            <v>2410</v>
          </cell>
          <cell r="B526" t="str">
            <v>Sfærisk rulleleje 22222E</v>
          </cell>
          <cell r="C526" t="str">
            <v>Spherical roller bearing 22222E</v>
          </cell>
          <cell r="D526">
            <v>1525</v>
          </cell>
          <cell r="E526">
            <v>204.97311827956989</v>
          </cell>
        </row>
        <row r="527">
          <cell r="A527">
            <v>2411</v>
          </cell>
          <cell r="B527" t="str">
            <v>Sporkugleleje 16036</v>
          </cell>
          <cell r="C527" t="str">
            <v>Ball bearing 16036</v>
          </cell>
          <cell r="D527">
            <v>1537</v>
          </cell>
          <cell r="E527">
            <v>206.58602150537632</v>
          </cell>
        </row>
        <row r="528">
          <cell r="A528">
            <v>2412</v>
          </cell>
          <cell r="B528" t="str">
            <v>Cylindrisk rulleleje NU 2232</v>
          </cell>
          <cell r="C528" t="str">
            <v>Cylindrical roller bearing NU 2232</v>
          </cell>
          <cell r="D528">
            <v>5978</v>
          </cell>
          <cell r="E528">
            <v>803.49462365591398</v>
          </cell>
        </row>
        <row r="529">
          <cell r="A529">
            <v>2413</v>
          </cell>
          <cell r="B529" t="str">
            <v>Sfærisk rulleleje 23222</v>
          </cell>
          <cell r="C529" t="str">
            <v>Spherical roller bearing 23222</v>
          </cell>
          <cell r="D529">
            <v>1823</v>
          </cell>
          <cell r="E529">
            <v>245.02688172043008</v>
          </cell>
        </row>
        <row r="530">
          <cell r="A530">
            <v>2414</v>
          </cell>
          <cell r="B530" t="str">
            <v>Sfærisk rulleleje 22319</v>
          </cell>
          <cell r="C530" t="str">
            <v>Spherical roller bearing 22319</v>
          </cell>
          <cell r="D530">
            <v>1548</v>
          </cell>
          <cell r="E530">
            <v>208.06451612903226</v>
          </cell>
        </row>
        <row r="531">
          <cell r="A531">
            <v>2415</v>
          </cell>
          <cell r="B531" t="str">
            <v>Konisk rulleleje 32226A</v>
          </cell>
          <cell r="C531" t="str">
            <v>Roller bearing, tapered 32226A</v>
          </cell>
          <cell r="D531">
            <v>2014</v>
          </cell>
          <cell r="E531">
            <v>270.69892473118279</v>
          </cell>
        </row>
        <row r="532">
          <cell r="A532">
            <v>2416</v>
          </cell>
          <cell r="B532" t="str">
            <v>Kon. Rulleleje 3226A</v>
          </cell>
          <cell r="C532" t="str">
            <v>Tapered roller bearing 32038x</v>
          </cell>
          <cell r="D532">
            <v>2915</v>
          </cell>
          <cell r="E532">
            <v>391.80107526881716</v>
          </cell>
        </row>
        <row r="533">
          <cell r="A533">
            <v>2421</v>
          </cell>
          <cell r="B533" t="str">
            <v>Sfærisk rulleleje 23048CCK/W33</v>
          </cell>
          <cell r="C533" t="str">
            <v>Spherical roller bearing 23048CCK/W33</v>
          </cell>
          <cell r="D533">
            <v>4929</v>
          </cell>
          <cell r="E533">
            <v>662.5</v>
          </cell>
        </row>
        <row r="534">
          <cell r="A534">
            <v>2423</v>
          </cell>
          <cell r="B534" t="str">
            <v>Sfærisk rulleleje 23980CAC/W33</v>
          </cell>
          <cell r="C534" t="str">
            <v>Spherical roller bearing 23980CAC/W33</v>
          </cell>
          <cell r="D534">
            <v>17490</v>
          </cell>
          <cell r="E534">
            <v>2350.8064516129029</v>
          </cell>
        </row>
        <row r="535">
          <cell r="A535">
            <v>2424</v>
          </cell>
          <cell r="B535" t="str">
            <v>Sfærisk rulleleje 24134CC/W33</v>
          </cell>
          <cell r="C535" t="str">
            <v>Spherical roller bearing 24134CC/W33</v>
          </cell>
          <cell r="D535">
            <v>4611</v>
          </cell>
          <cell r="E535">
            <v>619.75806451612902</v>
          </cell>
        </row>
        <row r="536">
          <cell r="A536">
            <v>2425</v>
          </cell>
          <cell r="B536" t="str">
            <v>Sfærisk rulleleje 22230C</v>
          </cell>
          <cell r="C536" t="str">
            <v>Spherical roller bearing 22230/</v>
          </cell>
          <cell r="D536">
            <v>2544</v>
          </cell>
          <cell r="E536">
            <v>341.93548387096774</v>
          </cell>
        </row>
        <row r="537">
          <cell r="A537">
            <v>2431</v>
          </cell>
          <cell r="B537" t="str">
            <v xml:space="preserve">Konisk rulleleje JH211710/211749 </v>
          </cell>
          <cell r="C537" t="str">
            <v>Tapered rollerbearing Timken JH211749/JH211710</v>
          </cell>
          <cell r="D537">
            <v>408</v>
          </cell>
          <cell r="E537">
            <v>54.838709677419352</v>
          </cell>
        </row>
        <row r="538">
          <cell r="A538">
            <v>2433</v>
          </cell>
          <cell r="B538" t="str">
            <v>Tætningsring  5 3/4" x 7" x 1/2"</v>
          </cell>
          <cell r="C538" t="str">
            <v>Oil Seal 5 3/4" x 7" x 1/2"</v>
          </cell>
          <cell r="D538">
            <v>456</v>
          </cell>
          <cell r="E538">
            <v>61.29032258064516</v>
          </cell>
        </row>
        <row r="539">
          <cell r="A539">
            <v>2434</v>
          </cell>
          <cell r="B539" t="str">
            <v>Tætningsring Ø140 x Ø160 x 10</v>
          </cell>
          <cell r="C539" t="str">
            <v>Sealing ring  Ø140 x Ø160 x 10</v>
          </cell>
          <cell r="D539">
            <v>48</v>
          </cell>
          <cell r="E539">
            <v>6.4516129032258061</v>
          </cell>
        </row>
        <row r="540">
          <cell r="A540">
            <v>2435</v>
          </cell>
          <cell r="B540" t="str">
            <v>Tætningsring  Ø 4-3/4 x 3-1/4 x 1/2</v>
          </cell>
          <cell r="C540" t="str">
            <v>Oil Seal  Ø 4-3/4 x 3-1/4 x 1/2</v>
          </cell>
          <cell r="D540">
            <v>265</v>
          </cell>
          <cell r="E540">
            <v>35.618279569892472</v>
          </cell>
        </row>
        <row r="541">
          <cell r="A541">
            <v>2436</v>
          </cell>
          <cell r="B541" t="str">
            <v>Tætningsring 340 x 300 x 18.</v>
          </cell>
          <cell r="C541" t="str">
            <v>Oil Seal, 340x300x18</v>
          </cell>
          <cell r="D541">
            <v>710</v>
          </cell>
          <cell r="E541">
            <v>95.430107526881713</v>
          </cell>
        </row>
        <row r="542">
          <cell r="A542">
            <v>2438</v>
          </cell>
          <cell r="B542" t="str">
            <v>Tætningsring Ø170XØ140X13.</v>
          </cell>
          <cell r="C542" t="str">
            <v>Oil seal Ø170xØ140x13</v>
          </cell>
          <cell r="D542">
            <v>195</v>
          </cell>
          <cell r="E542">
            <v>26.209677419354836</v>
          </cell>
        </row>
        <row r="543">
          <cell r="A543">
            <v>2439</v>
          </cell>
          <cell r="B543" t="str">
            <v>Tætningsring Ø150 x Ø180 x 13</v>
          </cell>
          <cell r="C543" t="str">
            <v>Sealing ring Ø150 x Ø180 x 13</v>
          </cell>
          <cell r="D543">
            <v>93</v>
          </cell>
          <cell r="E543">
            <v>12.5</v>
          </cell>
        </row>
        <row r="544">
          <cell r="A544">
            <v>2445</v>
          </cell>
          <cell r="B544" t="str">
            <v>Tætningsring 110 x 140 x 13 A VITON</v>
          </cell>
          <cell r="C544" t="str">
            <v>Sealing ring 110 x 140 x 13 A VITON</v>
          </cell>
          <cell r="D544">
            <v>228</v>
          </cell>
          <cell r="E544">
            <v>30.64516129032258</v>
          </cell>
        </row>
        <row r="545">
          <cell r="A545">
            <v>2446</v>
          </cell>
          <cell r="B545" t="str">
            <v>Tætningsring 110 x 140 x 13 AS VITON</v>
          </cell>
          <cell r="C545" t="str">
            <v>Sealing ring 110 x 140 x 13 AS VITON</v>
          </cell>
          <cell r="D545">
            <v>318</v>
          </cell>
          <cell r="E545">
            <v>42.741935483870968</v>
          </cell>
        </row>
        <row r="546">
          <cell r="A546">
            <v>2447</v>
          </cell>
          <cell r="B546" t="str">
            <v>Tætningsring Ø100 x Ø130 x 12 Viton</v>
          </cell>
          <cell r="C546" t="str">
            <v>Sealing ring Ø100 x Ø130 x 12 Viton</v>
          </cell>
          <cell r="D546">
            <v>154</v>
          </cell>
          <cell r="E546">
            <v>20.698924731182796</v>
          </cell>
        </row>
        <row r="547">
          <cell r="A547">
            <v>2448</v>
          </cell>
          <cell r="B547" t="str">
            <v>Tætningsring Ø200x230x15 viton</v>
          </cell>
          <cell r="C547" t="str">
            <v>Oil seal Ø200 xØ230 X15 viton</v>
          </cell>
          <cell r="D547">
            <v>562</v>
          </cell>
          <cell r="E547">
            <v>75.537634408602145</v>
          </cell>
        </row>
        <row r="548">
          <cell r="A548">
            <v>2449</v>
          </cell>
          <cell r="B548" t="str">
            <v>Tætningsring A Ø180 x Ø210 x 15 VITON</v>
          </cell>
          <cell r="C548" t="str">
            <v>Sealing ring A Ø180 x Ø210 x 15 VITON</v>
          </cell>
          <cell r="D548">
            <v>151</v>
          </cell>
          <cell r="E548">
            <v>20.29569892473118</v>
          </cell>
        </row>
        <row r="549">
          <cell r="A549">
            <v>2450</v>
          </cell>
          <cell r="B549" t="str">
            <v>Olietætningsring A Ø210 x Ø240 x 15</v>
          </cell>
          <cell r="C549" t="str">
            <v xml:space="preserve">Sealing ring A Ø210 x Ø240 x 15 </v>
          </cell>
          <cell r="D549">
            <v>150</v>
          </cell>
          <cell r="E549">
            <v>20.161290322580644</v>
          </cell>
        </row>
        <row r="550">
          <cell r="A550">
            <v>2452</v>
          </cell>
          <cell r="B550" t="str">
            <v>Tætning Ø280xØ310x15 Viton</v>
          </cell>
          <cell r="C550" t="str">
            <v>Seal Ø280 x Ø310 x 15 Viton</v>
          </cell>
          <cell r="D550">
            <v>488</v>
          </cell>
          <cell r="E550">
            <v>65.591397849462368</v>
          </cell>
        </row>
        <row r="551">
          <cell r="A551">
            <v>2452</v>
          </cell>
          <cell r="B551" t="str">
            <v>Tætningsring Ø280/Ø310X15.</v>
          </cell>
          <cell r="C551" t="str">
            <v>Oil seal Ø280/Ø310x15</v>
          </cell>
          <cell r="D551">
            <v>572</v>
          </cell>
          <cell r="E551">
            <v>76.881720430107521</v>
          </cell>
        </row>
        <row r="552">
          <cell r="A552">
            <v>2453</v>
          </cell>
          <cell r="B552" t="str">
            <v>Tætningsring A Ø440 x Ø480 x 20 Viton</v>
          </cell>
          <cell r="C552" t="str">
            <v>Sealing ring A Ø440 x Ø480 x 20 Viton</v>
          </cell>
          <cell r="D552">
            <v>1950</v>
          </cell>
          <cell r="E552">
            <v>262.09677419354836</v>
          </cell>
        </row>
        <row r="553">
          <cell r="A553">
            <v>2456</v>
          </cell>
          <cell r="B553" t="str">
            <v>O-ring Ø085,0 x Ø4,00 Viton</v>
          </cell>
          <cell r="C553" t="str">
            <v>O-ring Ø085,0 x Ø4,00 Viton</v>
          </cell>
          <cell r="D553">
            <v>21</v>
          </cell>
          <cell r="E553">
            <v>2.82258064516129</v>
          </cell>
        </row>
        <row r="554">
          <cell r="A554">
            <v>2464</v>
          </cell>
          <cell r="B554" t="str">
            <v>Kilerem SPZ 1080</v>
          </cell>
          <cell r="C554" t="str">
            <v>V-belt SPZ 1080</v>
          </cell>
          <cell r="D554">
            <v>32</v>
          </cell>
          <cell r="E554">
            <v>4.301075268817204</v>
          </cell>
        </row>
        <row r="555">
          <cell r="A555">
            <v>2467</v>
          </cell>
          <cell r="B555" t="str">
            <v>Kilerem SPA 2500</v>
          </cell>
          <cell r="C555" t="str">
            <v>V-belt SPA 2500</v>
          </cell>
          <cell r="D555">
            <v>122</v>
          </cell>
          <cell r="E555">
            <v>16.397849462365592</v>
          </cell>
        </row>
        <row r="556">
          <cell r="A556">
            <v>2468</v>
          </cell>
          <cell r="B556" t="str">
            <v>Kilerem SPC 2500</v>
          </cell>
          <cell r="C556" t="str">
            <v xml:space="preserve">V-belt SPC 2500 </v>
          </cell>
          <cell r="D556">
            <v>201</v>
          </cell>
          <cell r="E556">
            <v>27.016129032258064</v>
          </cell>
        </row>
        <row r="557">
          <cell r="A557">
            <v>2469</v>
          </cell>
          <cell r="B557" t="str">
            <v>Ventil, kugleventil 1" EGO3388</v>
          </cell>
          <cell r="C557" t="str">
            <v>Spherical valve 1" EGO3388</v>
          </cell>
          <cell r="D557">
            <v>94</v>
          </cell>
          <cell r="E557">
            <v>12.634408602150536</v>
          </cell>
        </row>
        <row r="558">
          <cell r="A558">
            <v>2471</v>
          </cell>
          <cell r="B558" t="str">
            <v>Kilerem SPC 3150</v>
          </cell>
          <cell r="C558" t="str">
            <v>V-belt SPC 3150</v>
          </cell>
          <cell r="D558">
            <v>254</v>
          </cell>
          <cell r="E558">
            <v>34.13978494623656</v>
          </cell>
        </row>
        <row r="559">
          <cell r="A559">
            <v>2473</v>
          </cell>
          <cell r="B559" t="str">
            <v>Kileremskive SPA 5, Ø132, TL 2517</v>
          </cell>
          <cell r="C559" t="str">
            <v>V-belt pulley SPA 5, Ø132, TL 2517</v>
          </cell>
          <cell r="D559">
            <v>133</v>
          </cell>
          <cell r="E559">
            <v>17.876344086021504</v>
          </cell>
        </row>
        <row r="560">
          <cell r="A560">
            <v>2478</v>
          </cell>
          <cell r="B560" t="str">
            <v>Taperlock nav TL2517 ø48</v>
          </cell>
          <cell r="C560" t="str">
            <v>Taperlock bush TL2517 ø48</v>
          </cell>
          <cell r="D560">
            <v>48</v>
          </cell>
          <cell r="E560">
            <v>6.4516129032258061</v>
          </cell>
        </row>
        <row r="561">
          <cell r="A561">
            <v>2479</v>
          </cell>
          <cell r="B561" t="str">
            <v>Taperlock f. remtræk motor aksel TL3535 Ø75</v>
          </cell>
          <cell r="C561" t="str">
            <v>Taperlock f. belt drive motor shaft TL3535 Ø75</v>
          </cell>
          <cell r="D561">
            <v>154</v>
          </cell>
          <cell r="E561">
            <v>20.698924731182796</v>
          </cell>
        </row>
        <row r="562">
          <cell r="A562">
            <v>2480</v>
          </cell>
          <cell r="B562" t="str">
            <v>Spændeelement TL 3535 Ø080</v>
          </cell>
          <cell r="C562" t="str">
            <v>Shaft adapter, taper-lock TL 3535 Ø080</v>
          </cell>
          <cell r="D562">
            <v>156</v>
          </cell>
          <cell r="E562">
            <v>20.967741935483868</v>
          </cell>
        </row>
        <row r="563">
          <cell r="A563">
            <v>2482</v>
          </cell>
          <cell r="B563" t="str">
            <v>Spændelement TL 5050 - Ø105</v>
          </cell>
          <cell r="C563" t="str">
            <v>Shaft adapter, taper-lock TL5050 Ø125</v>
          </cell>
          <cell r="D563">
            <v>451</v>
          </cell>
          <cell r="E563">
            <v>60.618279569892472</v>
          </cell>
        </row>
        <row r="564">
          <cell r="A564">
            <v>2486</v>
          </cell>
          <cell r="B564" t="str">
            <v xml:space="preserve">1 stk kobl.element for LW190 (12 stk pr sæt) </v>
          </cell>
          <cell r="C564" t="str">
            <v>1pcs. of Coupl.element f LW190 (12pcs)</v>
          </cell>
          <cell r="D564">
            <v>164</v>
          </cell>
          <cell r="E564">
            <v>22.043010752688172</v>
          </cell>
        </row>
        <row r="565">
          <cell r="A565">
            <v>2487</v>
          </cell>
          <cell r="B565" t="str">
            <v>Kobl.element  for Hadeflex LW2608 14 stk pr sæt)pr stk</v>
          </cell>
          <cell r="C565" t="str">
            <v>1 pcs of coupling element for LW260 (14 pcs. Pr set)</v>
          </cell>
          <cell r="D565">
            <v>265</v>
          </cell>
          <cell r="E565">
            <v>35.618279569892472</v>
          </cell>
        </row>
        <row r="566">
          <cell r="A566">
            <v>2488</v>
          </cell>
          <cell r="B566" t="str">
            <v>Tandrem 800 H 200</v>
          </cell>
          <cell r="C566" t="str">
            <v>Toothed belt 800H 200</v>
          </cell>
          <cell r="D566">
            <v>440</v>
          </cell>
          <cell r="E566">
            <v>59.139784946236553</v>
          </cell>
        </row>
        <row r="567">
          <cell r="A567">
            <v>2500</v>
          </cell>
          <cell r="B567" t="str">
            <v>Cyl. skrue M20 x 50 A2 DIN912</v>
          </cell>
          <cell r="C567" t="str">
            <v>Cyl. screw M20 x 50 A2 DIN912</v>
          </cell>
          <cell r="D567">
            <v>31</v>
          </cell>
          <cell r="E567">
            <v>4.1666666666666661</v>
          </cell>
        </row>
        <row r="568">
          <cell r="A568">
            <v>2525</v>
          </cell>
          <cell r="B568" t="str">
            <v>Induktivføler XS1-M18MA230</v>
          </cell>
          <cell r="C568" t="str">
            <v>Inductive sensor XS1-M18MA230</v>
          </cell>
          <cell r="D568">
            <v>478</v>
          </cell>
          <cell r="E568">
            <v>64.247311827956992</v>
          </cell>
        </row>
        <row r="569">
          <cell r="A569">
            <v>2552</v>
          </cell>
          <cell r="B569" t="str">
            <v>Tandhjul rulleindst.</v>
          </cell>
          <cell r="C569" t="str">
            <v>Gear wheel</v>
          </cell>
          <cell r="D569">
            <v>557</v>
          </cell>
          <cell r="E569">
            <v>74.865591397849457</v>
          </cell>
        </row>
        <row r="570">
          <cell r="A570">
            <v>2569</v>
          </cell>
          <cell r="B570" t="str">
            <v xml:space="preserve">Vinkel 90gr ø28 skærering </v>
          </cell>
          <cell r="C570" t="str">
            <v xml:space="preserve">Angle 90degr. ø28 cutting ring </v>
          </cell>
          <cell r="D570">
            <v>198</v>
          </cell>
          <cell r="E570">
            <v>26.612903225806452</v>
          </cell>
        </row>
        <row r="571">
          <cell r="A571">
            <v>2571</v>
          </cell>
          <cell r="B571" t="str">
            <v xml:space="preserve">Vinkel 90gr ø28 skærering </v>
          </cell>
          <cell r="C571" t="str">
            <v>Angle 90degr. ø28 cutting ring</v>
          </cell>
          <cell r="D571">
            <v>169</v>
          </cell>
          <cell r="E571">
            <v>22.71505376344086</v>
          </cell>
        </row>
        <row r="572">
          <cell r="A572">
            <v>2575</v>
          </cell>
          <cell r="B572" t="str">
            <v>Cyl. Skrue M12 x 40 8.8 DIN 912</v>
          </cell>
          <cell r="C572" t="str">
            <v>Cyl. Screw M12 x 40 8.8 DIN 912</v>
          </cell>
          <cell r="D572">
            <v>2.1</v>
          </cell>
          <cell r="E572">
            <v>0.282258064516129</v>
          </cell>
        </row>
        <row r="573">
          <cell r="A573">
            <v>2576</v>
          </cell>
          <cell r="B573" t="str">
            <v>Cyl. Skrue M20 x 40  8.8</v>
          </cell>
          <cell r="C573" t="str">
            <v>Cyl. Screw M20 x 40  8.8</v>
          </cell>
          <cell r="D573">
            <v>11.1</v>
          </cell>
          <cell r="E573">
            <v>1.4919354838709675</v>
          </cell>
        </row>
        <row r="574">
          <cell r="A574">
            <v>2577</v>
          </cell>
          <cell r="B574" t="str">
            <v>Cyl. Skrue M12x30 A2</v>
          </cell>
          <cell r="C574" t="str">
            <v>Cyl. Screw M12x30 A2</v>
          </cell>
          <cell r="D574">
            <v>13.1</v>
          </cell>
          <cell r="E574">
            <v>1.7607526881720428</v>
          </cell>
        </row>
        <row r="575">
          <cell r="A575">
            <v>2579</v>
          </cell>
          <cell r="B575" t="str">
            <v>Cyl. Skrue M6 x 20  A2 DIN 912</v>
          </cell>
          <cell r="C575" t="str">
            <v>Cyl. screw M06 x 30 A2 DIN912</v>
          </cell>
          <cell r="D575">
            <v>1.2</v>
          </cell>
          <cell r="E575">
            <v>0.16129032258064516</v>
          </cell>
        </row>
        <row r="576">
          <cell r="A576">
            <v>2580</v>
          </cell>
          <cell r="B576" t="str">
            <v>Cylskrue M16x40 A2 DIN912</v>
          </cell>
          <cell r="C576" t="str">
            <v>Screw M16x40 DIN 172</v>
          </cell>
          <cell r="D576">
            <v>14.8</v>
          </cell>
          <cell r="E576">
            <v>1.989247311827957</v>
          </cell>
        </row>
        <row r="577">
          <cell r="A577">
            <v>2581</v>
          </cell>
          <cell r="B577" t="str">
            <v>U skrue M6x20 DIN7991</v>
          </cell>
          <cell r="C577" t="str">
            <v>Counter sunk screw M6 x 20 DIN 7991</v>
          </cell>
          <cell r="D577">
            <v>2.7</v>
          </cell>
          <cell r="E577">
            <v>0.36290322580645162</v>
          </cell>
        </row>
        <row r="578">
          <cell r="A578">
            <v>2582</v>
          </cell>
          <cell r="B578" t="str">
            <v>U skrue M12 x 25 – 10.9</v>
          </cell>
          <cell r="C578" t="str">
            <v>U screw M12 x 25 – 10.9</v>
          </cell>
          <cell r="D578">
            <v>3.4</v>
          </cell>
          <cell r="E578">
            <v>0.45698924731182794</v>
          </cell>
        </row>
        <row r="579">
          <cell r="A579">
            <v>2583</v>
          </cell>
          <cell r="B579" t="str">
            <v>U-skrue M8 x 20 A2 DIN 7991</v>
          </cell>
          <cell r="C579" t="str">
            <v>Counter sunk screw M8 x 20 A2 DIN 7991</v>
          </cell>
          <cell r="D579">
            <v>1.8</v>
          </cell>
          <cell r="E579">
            <v>0.24193548387096772</v>
          </cell>
        </row>
        <row r="580">
          <cell r="A580">
            <v>2587</v>
          </cell>
          <cell r="B580" t="str">
            <v>Møtrik M36 FZB DIN934-8</v>
          </cell>
          <cell r="C580" t="str">
            <v>Nut M36 FZB DIN934-8</v>
          </cell>
          <cell r="D580">
            <v>24</v>
          </cell>
          <cell r="E580">
            <v>3.225806451612903</v>
          </cell>
        </row>
        <row r="581">
          <cell r="A581">
            <v>2588</v>
          </cell>
          <cell r="B581" t="str">
            <v>Låsemøtrik KM 12</v>
          </cell>
          <cell r="C581" t="str">
            <v>Lock Nut KM 12</v>
          </cell>
          <cell r="D581">
            <v>32</v>
          </cell>
          <cell r="E581">
            <v>4.301075268817204</v>
          </cell>
        </row>
        <row r="582">
          <cell r="A582">
            <v>2589</v>
          </cell>
          <cell r="B582" t="str">
            <v>Låsemøtrik KM22</v>
          </cell>
          <cell r="C582" t="str">
            <v>Lock nut KM22</v>
          </cell>
          <cell r="D582">
            <v>117</v>
          </cell>
          <cell r="E582">
            <v>15.725806451612902</v>
          </cell>
        </row>
        <row r="583">
          <cell r="A583">
            <v>2590</v>
          </cell>
          <cell r="B583" t="str">
            <v>Ertattea f 575599</v>
          </cell>
          <cell r="C583" t="str">
            <v>Replaced by 575599</v>
          </cell>
          <cell r="D583" t="str">
            <v>replaced</v>
          </cell>
          <cell r="E583" t="e">
            <v>#VALUE!</v>
          </cell>
        </row>
        <row r="584">
          <cell r="A584">
            <v>2591</v>
          </cell>
          <cell r="B584" t="str">
            <v>Akselmøtrik kM26 M130 x 2</v>
          </cell>
          <cell r="C584" t="str">
            <v>Shaft nut kM26 M130 x 2</v>
          </cell>
          <cell r="D584">
            <v>456</v>
          </cell>
          <cell r="E584">
            <v>61.29032258064516</v>
          </cell>
        </row>
        <row r="585">
          <cell r="A585">
            <v>2592</v>
          </cell>
          <cell r="B585" t="str">
            <v>Låsemøtrik KM38</v>
          </cell>
          <cell r="C585" t="str">
            <v>Lock nut SKF - KM38</v>
          </cell>
          <cell r="D585">
            <v>408</v>
          </cell>
          <cell r="E585">
            <v>54.838709677419352</v>
          </cell>
        </row>
        <row r="586">
          <cell r="A586">
            <v>2593</v>
          </cell>
          <cell r="B586" t="str">
            <v>Facetskive</v>
          </cell>
          <cell r="C586" t="str">
            <v>Washer</v>
          </cell>
          <cell r="D586">
            <v>0.7</v>
          </cell>
          <cell r="E586">
            <v>9.408602150537633E-2</v>
          </cell>
        </row>
        <row r="587">
          <cell r="A587">
            <v>2593</v>
          </cell>
          <cell r="B587" t="str">
            <v>Facetskive Ø16 Forzinket DIN125B</v>
          </cell>
          <cell r="C587" t="str">
            <v>Washer Ø16 Forzinket DIN125B</v>
          </cell>
          <cell r="D587">
            <v>0.7</v>
          </cell>
          <cell r="E587">
            <v>9.408602150537633E-2</v>
          </cell>
        </row>
        <row r="588">
          <cell r="A588">
            <v>2594</v>
          </cell>
          <cell r="B588" t="str">
            <v>Låseskive</v>
          </cell>
          <cell r="C588" t="str">
            <v xml:space="preserve">Lock washer - MB10 </v>
          </cell>
          <cell r="D588">
            <v>64</v>
          </cell>
          <cell r="E588">
            <v>8.6021505376344081</v>
          </cell>
        </row>
        <row r="589">
          <cell r="A589">
            <v>2595</v>
          </cell>
          <cell r="B589" t="str">
            <v>Låseblik MB 11</v>
          </cell>
          <cell r="C589" t="str">
            <v>Lock washer MB11</v>
          </cell>
          <cell r="D589">
            <v>10.6</v>
          </cell>
          <cell r="E589">
            <v>1.4247311827956988</v>
          </cell>
        </row>
        <row r="590">
          <cell r="A590">
            <v>2596</v>
          </cell>
          <cell r="B590" t="str">
            <v>Låseblik MB 12</v>
          </cell>
          <cell r="C590" t="str">
            <v>Junction Plate MB 12</v>
          </cell>
          <cell r="D590">
            <v>10.6</v>
          </cell>
          <cell r="E590">
            <v>1.4247311827956988</v>
          </cell>
        </row>
        <row r="591">
          <cell r="A591">
            <v>2598</v>
          </cell>
          <cell r="B591" t="str">
            <v>Låseblik MB 20</v>
          </cell>
          <cell r="C591" t="str">
            <v>Lock washer MB 20</v>
          </cell>
          <cell r="D591">
            <v>18.600000000000001</v>
          </cell>
          <cell r="E591">
            <v>2.5</v>
          </cell>
        </row>
        <row r="592">
          <cell r="A592">
            <v>2599</v>
          </cell>
          <cell r="B592" t="str">
            <v>erstattet af 575600</v>
          </cell>
          <cell r="C592" t="str">
            <v>Replaced  by 575600</v>
          </cell>
          <cell r="D592" t="str">
            <v>replaced</v>
          </cell>
          <cell r="E592" t="e">
            <v>#VALUE!</v>
          </cell>
        </row>
        <row r="593">
          <cell r="A593">
            <v>2600</v>
          </cell>
          <cell r="B593" t="str">
            <v>Låseblik MB26 Ø130 x 2</v>
          </cell>
          <cell r="C593" t="str">
            <v>Locking washer MB26 Ø130 x 2</v>
          </cell>
          <cell r="D593">
            <v>34</v>
          </cell>
          <cell r="E593">
            <v>4.5698924731182791</v>
          </cell>
        </row>
        <row r="594">
          <cell r="A594">
            <v>2601</v>
          </cell>
          <cell r="B594" t="str">
            <v>Låseblik MB 38</v>
          </cell>
          <cell r="C594" t="str">
            <v>Lock washer MB 38</v>
          </cell>
          <cell r="D594">
            <v>67</v>
          </cell>
          <cell r="E594">
            <v>9.0053763440860202</v>
          </cell>
        </row>
        <row r="595">
          <cell r="A595">
            <v>2602</v>
          </cell>
          <cell r="B595" t="str">
            <v>Fjederskive M20 FZB</v>
          </cell>
          <cell r="C595" t="str">
            <v>Spring disc M20 FZB</v>
          </cell>
          <cell r="D595">
            <v>2.7</v>
          </cell>
          <cell r="E595">
            <v>0.36290322580645162</v>
          </cell>
        </row>
        <row r="596">
          <cell r="A596">
            <v>2603</v>
          </cell>
          <cell r="B596" t="str">
            <v>V-stjerne fjederskive Ø6 DIN6798V</v>
          </cell>
          <cell r="C596" t="str">
            <v>Serrated Lock washer Ø6</v>
          </cell>
          <cell r="D596">
            <v>0.8</v>
          </cell>
          <cell r="E596">
            <v>0.10752688172043011</v>
          </cell>
        </row>
        <row r="597">
          <cell r="A597">
            <v>2605</v>
          </cell>
          <cell r="B597" t="str">
            <v>Sikringsbolt</v>
          </cell>
          <cell r="C597" t="str">
            <v xml:space="preserve">Shear pin </v>
          </cell>
          <cell r="D597">
            <v>51</v>
          </cell>
          <cell r="E597">
            <v>6.854838709677419</v>
          </cell>
        </row>
        <row r="598">
          <cell r="A598">
            <v>2606</v>
          </cell>
          <cell r="B598" t="str">
            <v>kniv, t=7, bredde 80 gl.</v>
          </cell>
          <cell r="C598" t="str">
            <v>Knife thin t=7, width 80  (old version)</v>
          </cell>
          <cell r="D598">
            <v>631</v>
          </cell>
          <cell r="E598">
            <v>84.811827956989248</v>
          </cell>
        </row>
        <row r="599">
          <cell r="A599">
            <v>2608</v>
          </cell>
          <cell r="B599" t="str">
            <v>Omløbermøtrik</v>
          </cell>
          <cell r="C599" t="str">
            <v>Union nut</v>
          </cell>
          <cell r="D599">
            <v>2703</v>
          </cell>
          <cell r="E599">
            <v>363.30645161290323</v>
          </cell>
        </row>
        <row r="600">
          <cell r="A600">
            <v>2609</v>
          </cell>
          <cell r="B600" t="str">
            <v xml:space="preserve">Håndhjul </v>
          </cell>
          <cell r="C600" t="str">
            <v>Hand wheel</v>
          </cell>
          <cell r="D600">
            <v>1834</v>
          </cell>
          <cell r="E600">
            <v>246.50537634408602</v>
          </cell>
        </row>
        <row r="601">
          <cell r="A601">
            <v>2616</v>
          </cell>
          <cell r="B601" t="str">
            <v>Smørerør, kobber</v>
          </cell>
          <cell r="C601" t="str">
            <v>Oil pipe, copper</v>
          </cell>
          <cell r="D601">
            <v>260</v>
          </cell>
          <cell r="E601">
            <v>34.946236559139784</v>
          </cell>
        </row>
        <row r="602">
          <cell r="A602">
            <v>2623</v>
          </cell>
          <cell r="B602" t="str">
            <v>Styrebolt</v>
          </cell>
          <cell r="C602" t="str">
            <v>King pin</v>
          </cell>
          <cell r="D602">
            <v>36</v>
          </cell>
          <cell r="E602">
            <v>4.838709677419355</v>
          </cell>
        </row>
        <row r="603">
          <cell r="A603">
            <v>2625</v>
          </cell>
          <cell r="B603" t="str">
            <v>Håndhjul</v>
          </cell>
          <cell r="C603" t="str">
            <v>Hand Wheel</v>
          </cell>
          <cell r="D603">
            <v>318</v>
          </cell>
          <cell r="E603">
            <v>42.741935483870968</v>
          </cell>
        </row>
        <row r="604">
          <cell r="A604">
            <v>2630</v>
          </cell>
          <cell r="B604" t="str">
            <v>Sikringskobling innerpart (bear) M5</v>
          </cell>
          <cell r="C604" t="str">
            <v xml:space="preserve">M5 Safety coupling inner part     </v>
          </cell>
          <cell r="D604">
            <v>3445</v>
          </cell>
          <cell r="E604">
            <v>463.03763440860212</v>
          </cell>
        </row>
        <row r="605">
          <cell r="A605">
            <v>2632</v>
          </cell>
          <cell r="B605" t="str">
            <v>Støtteben</v>
          </cell>
          <cell r="C605" t="str">
            <v>Support leg</v>
          </cell>
          <cell r="D605">
            <v>1346</v>
          </cell>
          <cell r="E605">
            <v>180.91397849462365</v>
          </cell>
        </row>
        <row r="606">
          <cell r="A606">
            <v>2640</v>
          </cell>
          <cell r="B606" t="str">
            <v>Bronceforing sikrings kob, kompl.</v>
          </cell>
          <cell r="C606" t="str">
            <v>Bronze sleve for safety coupling</v>
          </cell>
          <cell r="D606">
            <v>3021</v>
          </cell>
          <cell r="E606">
            <v>406.04838709677415</v>
          </cell>
        </row>
        <row r="607">
          <cell r="A607">
            <v>2644</v>
          </cell>
          <cell r="B607" t="str">
            <v>Sikringskobling inderpart M6</v>
          </cell>
          <cell r="C607" t="str">
            <v xml:space="preserve">Safety coupling ,inder part       </v>
          </cell>
          <cell r="D607">
            <v>5830</v>
          </cell>
          <cell r="E607">
            <v>783.60215053763432</v>
          </cell>
        </row>
        <row r="608">
          <cell r="A608">
            <v>2647</v>
          </cell>
          <cell r="B608" t="str">
            <v>Prop 1/8" med indvendig 6kt.</v>
          </cell>
          <cell r="C608" t="str">
            <v>Plug 1/8" w. inner hex.</v>
          </cell>
          <cell r="D608">
            <v>3.9</v>
          </cell>
          <cell r="E608">
            <v>0.52419354838709675</v>
          </cell>
        </row>
        <row r="609">
          <cell r="A609">
            <v>2656</v>
          </cell>
          <cell r="B609" t="str">
            <v>Holder for filt</v>
          </cell>
          <cell r="C609" t="str">
            <v>Holder for felt seal</v>
          </cell>
          <cell r="D609">
            <v>292</v>
          </cell>
          <cell r="E609">
            <v>39.247311827956985</v>
          </cell>
        </row>
        <row r="610">
          <cell r="A610">
            <v>2658</v>
          </cell>
          <cell r="B610" t="str">
            <v>Bøsning f. rulleaksel i forplade M30</v>
          </cell>
          <cell r="C610" t="str">
            <v>Bushing f. rollershaft / frontplate M30</v>
          </cell>
          <cell r="D610">
            <v>1336</v>
          </cell>
          <cell r="E610">
            <v>179.56989247311827</v>
          </cell>
        </row>
        <row r="611">
          <cell r="A611">
            <v>2663</v>
          </cell>
          <cell r="B611" t="str">
            <v>Filtring 6 x 10 x 185 Ø50</v>
          </cell>
          <cell r="C611" t="str">
            <v>Filt seal  6 x 10 x185</v>
          </cell>
          <cell r="D611">
            <v>38</v>
          </cell>
          <cell r="E611">
            <v>5.10752688172043</v>
          </cell>
        </row>
        <row r="612">
          <cell r="A612">
            <v>2678</v>
          </cell>
          <cell r="B612" t="str">
            <v>Cyl. kærvskrue M5 x 65 DIN 89</v>
          </cell>
          <cell r="C612" t="str">
            <v>Cyl slotted screw M5X65 DIN89</v>
          </cell>
          <cell r="D612">
            <v>6.9</v>
          </cell>
          <cell r="E612">
            <v>0.92741935483870963</v>
          </cell>
        </row>
        <row r="613">
          <cell r="A613">
            <v>2681</v>
          </cell>
          <cell r="B613" t="str">
            <v>Aksel Ø12x33  2xlåsering AISI 303</v>
          </cell>
          <cell r="C613" t="str">
            <v>Shaft Ø12 x 33 2 x lockring AISI 303</v>
          </cell>
          <cell r="D613">
            <v>13.8</v>
          </cell>
          <cell r="E613">
            <v>1.8548387096774193</v>
          </cell>
        </row>
        <row r="614">
          <cell r="A614">
            <v>2687</v>
          </cell>
          <cell r="B614" t="str">
            <v>Facetskive Ø10 FZB DIN125B (for 3 kW motor)</v>
          </cell>
          <cell r="C614" t="str">
            <v>Washer Ø10 FZB DIN125B (for 3 kW motor)</v>
          </cell>
          <cell r="D614">
            <v>0.3</v>
          </cell>
          <cell r="E614">
            <v>4.0322580645161289E-2</v>
          </cell>
        </row>
        <row r="615">
          <cell r="A615">
            <v>2688</v>
          </cell>
          <cell r="B615" t="str">
            <v>Facetskive</v>
          </cell>
          <cell r="C615" t="str">
            <v>Washer</v>
          </cell>
          <cell r="D615">
            <v>0.5</v>
          </cell>
          <cell r="E615">
            <v>6.7204301075268813E-2</v>
          </cell>
        </row>
        <row r="616">
          <cell r="A616">
            <v>2688</v>
          </cell>
          <cell r="B616" t="str">
            <v>Facetskive Ø12 FZB DIN125B (for 5,5 kW motor)</v>
          </cell>
          <cell r="C616" t="str">
            <v>Washer Ø12 FZB DIN125B (for 5,5 kW motor)</v>
          </cell>
          <cell r="D616">
            <v>0.5</v>
          </cell>
          <cell r="E616">
            <v>6.7204301075268813E-2</v>
          </cell>
        </row>
        <row r="617">
          <cell r="A617">
            <v>2689</v>
          </cell>
          <cell r="B617" t="str">
            <v>6-kt. Skrue M12 x 40 DIN 933</v>
          </cell>
          <cell r="C617" t="str">
            <v>Hex screw M12 x 40 DIN 933</v>
          </cell>
          <cell r="D617">
            <v>2</v>
          </cell>
          <cell r="E617">
            <v>0.26881720430107525</v>
          </cell>
        </row>
        <row r="618">
          <cell r="A618">
            <v>2694</v>
          </cell>
          <cell r="B618" t="str">
            <v>Gavl</v>
          </cell>
          <cell r="C618" t="str">
            <v>Gable</v>
          </cell>
          <cell r="D618">
            <v>2105</v>
          </cell>
          <cell r="E618">
            <v>282.93010752688173</v>
          </cell>
        </row>
        <row r="619">
          <cell r="A619">
            <v>2695</v>
          </cell>
          <cell r="B619" t="str">
            <v>Gavl for motorende</v>
          </cell>
          <cell r="C619" t="str">
            <v>Gable for motor end</v>
          </cell>
          <cell r="D619">
            <v>2345</v>
          </cell>
          <cell r="E619">
            <v>315.18817204301075</v>
          </cell>
        </row>
        <row r="620">
          <cell r="A620">
            <v>2696</v>
          </cell>
          <cell r="B620" t="str">
            <v>Snegletrug Ø260 L=1400</v>
          </cell>
          <cell r="C620" t="str">
            <v>Screw trough Ø260 L=1400</v>
          </cell>
          <cell r="D620">
            <v>17800</v>
          </cell>
          <cell r="E620">
            <v>2392.4731182795699</v>
          </cell>
        </row>
        <row r="621">
          <cell r="A621">
            <v>2697</v>
          </cell>
          <cell r="B621" t="str">
            <v>Snegletrug Ø180 L=1000</v>
          </cell>
          <cell r="C621" t="str">
            <v>Screw trough Ø180 L=1000</v>
          </cell>
          <cell r="D621">
            <v>19700</v>
          </cell>
          <cell r="E621">
            <v>2647.8494623655911</v>
          </cell>
        </row>
        <row r="622">
          <cell r="A622">
            <v>2699</v>
          </cell>
          <cell r="B622" t="str">
            <v>Feder AB 10 x 8 x 40 DS96</v>
          </cell>
          <cell r="C622" t="str">
            <v>Parallel key AB 10 x 8 x 40 DS96</v>
          </cell>
          <cell r="D622">
            <v>5.5</v>
          </cell>
          <cell r="E622">
            <v>0.739247311827957</v>
          </cell>
        </row>
        <row r="623">
          <cell r="A623">
            <v>2700</v>
          </cell>
          <cell r="B623" t="str">
            <v>Gavl for motorende</v>
          </cell>
          <cell r="C623" t="str">
            <v>Gable for motor end</v>
          </cell>
          <cell r="D623">
            <v>2405</v>
          </cell>
          <cell r="E623">
            <v>323.25268817204301</v>
          </cell>
        </row>
        <row r="624">
          <cell r="A624">
            <v>2701</v>
          </cell>
          <cell r="B624" t="str">
            <v>Gavl</v>
          </cell>
          <cell r="C624" t="str">
            <v>Gable</v>
          </cell>
          <cell r="D624">
            <v>1750</v>
          </cell>
          <cell r="E624">
            <v>235.21505376344084</v>
          </cell>
        </row>
        <row r="625">
          <cell r="A625">
            <v>2708</v>
          </cell>
          <cell r="B625" t="str">
            <v>Feder AB 12 x 8 x 40 DS96</v>
          </cell>
          <cell r="C625" t="str">
            <v>Parallel key AB 12 x 8 x 40 DS96</v>
          </cell>
          <cell r="D625">
            <v>5.9</v>
          </cell>
          <cell r="E625">
            <v>0.793010752688172</v>
          </cell>
        </row>
        <row r="626">
          <cell r="A626">
            <v>2711</v>
          </cell>
          <cell r="B626" t="str">
            <v>Afstandsrør for flangeleje CMUCF 208</v>
          </cell>
          <cell r="C626" t="str">
            <v>Distance pipe for flangebearing CMUCF 208</v>
          </cell>
          <cell r="D626">
            <v>110</v>
          </cell>
          <cell r="E626">
            <v>14.784946236559138</v>
          </cell>
        </row>
        <row r="627">
          <cell r="A627">
            <v>2712</v>
          </cell>
          <cell r="B627" t="str">
            <v>Snegl Ø170 L=1000,</v>
          </cell>
          <cell r="C627" t="str">
            <v xml:space="preserve">Screw Ø170 L=1000, </v>
          </cell>
          <cell r="D627">
            <v>5550</v>
          </cell>
          <cell r="E627">
            <v>745.96774193548379</v>
          </cell>
        </row>
        <row r="628">
          <cell r="A628">
            <v>2725</v>
          </cell>
          <cell r="B628" t="str">
            <v>Filtring 6 x 10 x 135 Ø30</v>
          </cell>
          <cell r="C628" t="str">
            <v>Felt ring 6 x 10 x 135 Ø30</v>
          </cell>
          <cell r="D628">
            <v>18</v>
          </cell>
          <cell r="E628">
            <v>2.4193548387096775</v>
          </cell>
        </row>
        <row r="629">
          <cell r="A629">
            <v>2733</v>
          </cell>
          <cell r="B629" t="str">
            <v>6-kt. Skrue M10 x 40 8.8 FZB D933</v>
          </cell>
          <cell r="C629" t="str">
            <v>Hex screw M10 x 40 8.8 FZB D933</v>
          </cell>
          <cell r="D629">
            <v>1.5</v>
          </cell>
          <cell r="E629">
            <v>0.20161290322580644</v>
          </cell>
        </row>
        <row r="630">
          <cell r="A630">
            <v>2734</v>
          </cell>
          <cell r="B630" t="str">
            <v>Feder AB 8x7x40 DS96</v>
          </cell>
          <cell r="C630" t="str">
            <v>Parallel key AB 8 x 7 x 40 DS96</v>
          </cell>
          <cell r="D630">
            <v>5.3</v>
          </cell>
          <cell r="E630">
            <v>0.71236559139784938</v>
          </cell>
        </row>
        <row r="631">
          <cell r="A631">
            <v>2742</v>
          </cell>
          <cell r="B631" t="str">
            <v>Snegl Ø150 L=775, incl. pos. 31</v>
          </cell>
          <cell r="C631" t="str">
            <v>Screw Ø150 L=775, incl. item 31</v>
          </cell>
          <cell r="D631">
            <v>5500</v>
          </cell>
          <cell r="E631">
            <v>739.24731182795699</v>
          </cell>
        </row>
        <row r="632">
          <cell r="A632">
            <v>2747</v>
          </cell>
          <cell r="B632" t="str">
            <v>Pinolskrue M6 x 8 A2 DIN 916</v>
          </cell>
          <cell r="C632" t="str">
            <v>Centre screw M6 x 8 A2 DIN 916</v>
          </cell>
          <cell r="D632">
            <v>0.6</v>
          </cell>
          <cell r="E632">
            <v>8.0645161290322578E-2</v>
          </cell>
        </row>
        <row r="633">
          <cell r="A633">
            <v>2749</v>
          </cell>
          <cell r="B633" t="str">
            <v>Sporkugleleje 6001 2SR</v>
          </cell>
          <cell r="C633" t="str">
            <v>Step ball bearing 6001 2SR</v>
          </cell>
          <cell r="D633">
            <v>31</v>
          </cell>
          <cell r="E633">
            <v>4.1666666666666661</v>
          </cell>
        </row>
        <row r="634">
          <cell r="A634">
            <v>2750</v>
          </cell>
          <cell r="B634" t="str">
            <v>Cyl. Skrue M6x45</v>
          </cell>
          <cell r="C634" t="str">
            <v>Cyl. Screw M6x45</v>
          </cell>
          <cell r="D634">
            <v>0.8</v>
          </cell>
          <cell r="E634">
            <v>0.10752688172043011</v>
          </cell>
        </row>
        <row r="635">
          <cell r="A635">
            <v>2753</v>
          </cell>
          <cell r="B635" t="str">
            <v>6-kt. Skrue M8 x 30 sort D933</v>
          </cell>
          <cell r="C635" t="str">
            <v>Hex screw M8 x 30 D933</v>
          </cell>
          <cell r="D635">
            <v>0.4</v>
          </cell>
          <cell r="E635">
            <v>5.3763440860215055E-2</v>
          </cell>
        </row>
        <row r="636">
          <cell r="A636">
            <v>2756</v>
          </cell>
          <cell r="B636" t="str">
            <v>Møtrik M4</v>
          </cell>
          <cell r="C636" t="str">
            <v>Nut M4</v>
          </cell>
          <cell r="D636">
            <v>0.1</v>
          </cell>
          <cell r="E636">
            <v>1.3440860215053764E-2</v>
          </cell>
        </row>
        <row r="637">
          <cell r="A637">
            <v>2760</v>
          </cell>
          <cell r="B637" t="str">
            <v>Mikroswitch ZCK-M1</v>
          </cell>
          <cell r="C637" t="str">
            <v>Micro switch ZCK-M1</v>
          </cell>
          <cell r="D637">
            <v>323</v>
          </cell>
          <cell r="E637">
            <v>43.413978494623656</v>
          </cell>
        </row>
        <row r="638">
          <cell r="A638">
            <v>2762</v>
          </cell>
          <cell r="B638" t="str">
            <v>Potentiometer LWH-150</v>
          </cell>
          <cell r="C638" t="str">
            <v>Potentiometer LWH-150</v>
          </cell>
          <cell r="D638">
            <v>4017</v>
          </cell>
          <cell r="E638">
            <v>539.91935483870964</v>
          </cell>
        </row>
        <row r="639">
          <cell r="A639">
            <v>2764</v>
          </cell>
          <cell r="B639" t="str">
            <v>Cyl. Hovedet kærvskrue M3x10</v>
          </cell>
          <cell r="C639" t="str">
            <v>Cyl. Headed slotted screw M3 x 10</v>
          </cell>
          <cell r="D639">
            <v>0.1</v>
          </cell>
          <cell r="E639">
            <v>1.3440860215053764E-2</v>
          </cell>
        </row>
        <row r="640">
          <cell r="A640">
            <v>2767</v>
          </cell>
          <cell r="B640" t="str">
            <v>Møtrik PG16</v>
          </cell>
          <cell r="C640" t="str">
            <v>Nut PG 16</v>
          </cell>
          <cell r="D640">
            <v>5.2</v>
          </cell>
          <cell r="E640">
            <v>0.69892473118279563</v>
          </cell>
        </row>
        <row r="641">
          <cell r="A641">
            <v>2768</v>
          </cell>
          <cell r="B641" t="str">
            <v>Forskruning PG16</v>
          </cell>
          <cell r="C641" t="str">
            <v>Screwed connection PG 16</v>
          </cell>
          <cell r="D641">
            <v>34</v>
          </cell>
          <cell r="E641">
            <v>4.5698924731182791</v>
          </cell>
        </row>
        <row r="642">
          <cell r="A642">
            <v>2769</v>
          </cell>
          <cell r="B642" t="str">
            <v>Cyl. skrue M6 x 35  A 2 DIN912</v>
          </cell>
          <cell r="C642" t="str">
            <v>Cyl. screw M6 X 35 A2 DIN912</v>
          </cell>
          <cell r="D642">
            <v>1.2</v>
          </cell>
          <cell r="E642">
            <v>0.16129032258064516</v>
          </cell>
        </row>
        <row r="643">
          <cell r="A643">
            <v>2773</v>
          </cell>
          <cell r="B643" t="str">
            <v>Betjeningshoved ZCK-D05</v>
          </cell>
          <cell r="C643" t="str">
            <v>Control head XCK-D05</v>
          </cell>
          <cell r="D643">
            <v>127</v>
          </cell>
          <cell r="E643">
            <v>17.06989247311828</v>
          </cell>
        </row>
        <row r="644">
          <cell r="A644">
            <v>2774</v>
          </cell>
          <cell r="B644" t="str">
            <v>Arm ZCK-Y41</v>
          </cell>
          <cell r="C644" t="str">
            <v>Arm ZCK-Y41</v>
          </cell>
          <cell r="D644">
            <v>58</v>
          </cell>
          <cell r="E644">
            <v>7.7956989247311821</v>
          </cell>
        </row>
        <row r="645">
          <cell r="A645">
            <v>2775</v>
          </cell>
          <cell r="B645" t="str">
            <v>6-kt skrue M6x15</v>
          </cell>
          <cell r="C645" t="str">
            <v>Hexagon screw M6 x 15</v>
          </cell>
          <cell r="D645">
            <v>0.3</v>
          </cell>
          <cell r="E645">
            <v>4.0322580645161289E-2</v>
          </cell>
        </row>
        <row r="646">
          <cell r="A646">
            <v>2779</v>
          </cell>
          <cell r="B646" t="str">
            <v>Microswitch XCK-M110</v>
          </cell>
          <cell r="C646" t="str">
            <v>Micro switch XCK-M110</v>
          </cell>
          <cell r="D646">
            <v>248</v>
          </cell>
          <cell r="E646">
            <v>33.333333333333329</v>
          </cell>
        </row>
        <row r="647">
          <cell r="A647">
            <v>2785</v>
          </cell>
          <cell r="B647" t="str">
            <v>Niveaukontrol komplet</v>
          </cell>
          <cell r="C647" t="str">
            <v>Level control complete</v>
          </cell>
          <cell r="D647">
            <v>13250</v>
          </cell>
          <cell r="E647">
            <v>1780.9139784946235</v>
          </cell>
        </row>
        <row r="648">
          <cell r="A648">
            <v>2791</v>
          </cell>
          <cell r="B648" t="str">
            <v>Møtrik M6</v>
          </cell>
          <cell r="C648" t="str">
            <v>Nut M6</v>
          </cell>
          <cell r="D648">
            <v>0.3</v>
          </cell>
          <cell r="E648">
            <v>4.0322580645161289E-2</v>
          </cell>
        </row>
        <row r="649">
          <cell r="A649">
            <v>2815</v>
          </cell>
          <cell r="B649" t="str">
            <v>Tætningskrave</v>
          </cell>
          <cell r="C649" t="str">
            <v>Seal collar</v>
          </cell>
          <cell r="D649">
            <v>1261</v>
          </cell>
          <cell r="E649">
            <v>169.48924731182794</v>
          </cell>
        </row>
        <row r="650">
          <cell r="A650">
            <v>2846</v>
          </cell>
          <cell r="B650" t="str">
            <v>6-kt. Skrue M20 x 50 DIN 933</v>
          </cell>
          <cell r="C650" t="str">
            <v>Hex screw M20 x 50 DIN 933</v>
          </cell>
          <cell r="D650">
            <v>7.4</v>
          </cell>
          <cell r="E650">
            <v>0.9946236559139785</v>
          </cell>
        </row>
        <row r="651">
          <cell r="A651">
            <v>2861</v>
          </cell>
          <cell r="B651" t="str">
            <v>Smuldskraber, smududløb</v>
          </cell>
          <cell r="C651" t="str">
            <v xml:space="preserve">Dust scraper, dust outlet     </v>
          </cell>
          <cell r="D651">
            <v>2846</v>
          </cell>
          <cell r="E651">
            <v>382.52688172043008</v>
          </cell>
        </row>
        <row r="652">
          <cell r="A652">
            <v>2862</v>
          </cell>
          <cell r="B652" t="str">
            <v>6 Kt skrue M 8 x 20   A2 DIN 933</v>
          </cell>
          <cell r="C652" t="str">
            <v>Hex screw M 8 x20  A2  DIN 933</v>
          </cell>
          <cell r="D652">
            <v>1.2</v>
          </cell>
          <cell r="E652">
            <v>0.16129032258064516</v>
          </cell>
        </row>
        <row r="653">
          <cell r="A653">
            <v>2863</v>
          </cell>
          <cell r="B653" t="str">
            <v>Holder for skærmplade</v>
          </cell>
          <cell r="C653" t="str">
            <v>holder for screen plate</v>
          </cell>
          <cell r="D653">
            <v>148</v>
          </cell>
          <cell r="E653">
            <v>19.892473118279568</v>
          </cell>
        </row>
        <row r="654">
          <cell r="A654">
            <v>2866</v>
          </cell>
          <cell r="B654" t="str">
            <v>Låsemøtrik M8 A2</v>
          </cell>
          <cell r="C654" t="str">
            <v>Lock nut M8 A2</v>
          </cell>
          <cell r="D654">
            <v>1</v>
          </cell>
          <cell r="E654">
            <v>0.13440860215053763</v>
          </cell>
        </row>
        <row r="655">
          <cell r="A655">
            <v>2879</v>
          </cell>
          <cell r="B655" t="str">
            <v>6-kt. Skrue M12 x 35 A2 DIN 933</v>
          </cell>
          <cell r="C655" t="str">
            <v>Hex screw M12 x 35 A2 DIN 933</v>
          </cell>
          <cell r="D655">
            <v>3.1</v>
          </cell>
          <cell r="E655">
            <v>0.41666666666666663</v>
          </cell>
        </row>
        <row r="656">
          <cell r="A656">
            <v>2882</v>
          </cell>
          <cell r="B656" t="str">
            <v>Låsemøtrik M12 A2</v>
          </cell>
          <cell r="C656" t="str">
            <v>Lock nut M12 A2</v>
          </cell>
          <cell r="D656">
            <v>3.2</v>
          </cell>
          <cell r="E656">
            <v>0.43010752688172044</v>
          </cell>
        </row>
        <row r="657">
          <cell r="A657">
            <v>2883</v>
          </cell>
          <cell r="B657" t="str">
            <v>Remskærm for venstre bagmonteret</v>
          </cell>
          <cell r="C657" t="str">
            <v>Belt screen left</v>
          </cell>
          <cell r="D657">
            <v>6890</v>
          </cell>
          <cell r="E657">
            <v>926.07526881720423</v>
          </cell>
        </row>
        <row r="658">
          <cell r="A658">
            <v>2887</v>
          </cell>
          <cell r="B658" t="str">
            <v xml:space="preserve">Cyl kærvskrue M6X16 4.8  DIN84 </v>
          </cell>
          <cell r="C658" t="str">
            <v>Slotted screw M6x16 4.8 DIN84</v>
          </cell>
          <cell r="D658">
            <v>0.4</v>
          </cell>
          <cell r="E658">
            <v>5.3763440860215055E-2</v>
          </cell>
        </row>
        <row r="659">
          <cell r="A659">
            <v>2888</v>
          </cell>
          <cell r="B659" t="str">
            <v>Cyl. Skrue M6 x 40 8.8 DIN 912</v>
          </cell>
          <cell r="C659" t="str">
            <v>Cyl. screw M 6X016 8.8  DIN912</v>
          </cell>
          <cell r="D659">
            <v>0.5</v>
          </cell>
          <cell r="E659">
            <v>6.7204301075268813E-2</v>
          </cell>
        </row>
        <row r="660">
          <cell r="A660">
            <v>2923</v>
          </cell>
          <cell r="B660" t="str">
            <v>6-kt. Skrue M16 x 40 DIN 933</v>
          </cell>
          <cell r="C660" t="str">
            <v>Hex screw M16 x 40 DIN 933</v>
          </cell>
          <cell r="D660">
            <v>4</v>
          </cell>
          <cell r="E660">
            <v>0.5376344086021505</v>
          </cell>
        </row>
        <row r="661">
          <cell r="A661">
            <v>2927</v>
          </cell>
          <cell r="B661" t="str">
            <v>Strammeskinne L1340</v>
          </cell>
          <cell r="C661" t="str">
            <v>Tightening rail L = 1340</v>
          </cell>
          <cell r="D661">
            <v>477</v>
          </cell>
          <cell r="E661">
            <v>64.112903225806448</v>
          </cell>
        </row>
        <row r="662">
          <cell r="A662">
            <v>2929</v>
          </cell>
          <cell r="B662" t="str">
            <v>Modhold for strammeskinne</v>
          </cell>
          <cell r="C662" t="str">
            <v>Counter hold</v>
          </cell>
          <cell r="D662">
            <v>85</v>
          </cell>
          <cell r="E662">
            <v>11.424731182795698</v>
          </cell>
        </row>
        <row r="663">
          <cell r="A663">
            <v>2930</v>
          </cell>
          <cell r="B663" t="str">
            <v>Modhold for M24 x B=610 motorbolte</v>
          </cell>
          <cell r="C663" t="str">
            <v>Holder-up for M24 x B=610 motorbolts</v>
          </cell>
          <cell r="D663">
            <v>217</v>
          </cell>
          <cell r="E663">
            <v>29.166666666666664</v>
          </cell>
        </row>
        <row r="664">
          <cell r="A664">
            <v>2931</v>
          </cell>
          <cell r="B664" t="str">
            <v>Stilleskrue for remstramning</v>
          </cell>
          <cell r="C664" t="str">
            <v>Adjustment srew for belt tensioning</v>
          </cell>
          <cell r="D664">
            <v>231</v>
          </cell>
          <cell r="E664">
            <v>31.048387096774192</v>
          </cell>
        </row>
        <row r="665">
          <cell r="A665">
            <v>2933</v>
          </cell>
          <cell r="B665" t="str">
            <v>6-kt. Skrue M30 x 90 DIN 931</v>
          </cell>
          <cell r="C665" t="str">
            <v>Hex screw M30 x 90 DIN 931</v>
          </cell>
          <cell r="D665">
            <v>48</v>
          </cell>
          <cell r="E665">
            <v>6.4516129032258061</v>
          </cell>
        </row>
        <row r="666">
          <cell r="A666">
            <v>2937</v>
          </cell>
          <cell r="B666" t="str">
            <v>V-ring V70A Nitril</v>
          </cell>
          <cell r="C666" t="str">
            <v>V-ring V70A Nitril</v>
          </cell>
          <cell r="D666">
            <v>6.4</v>
          </cell>
          <cell r="E666">
            <v>0.86021505376344087</v>
          </cell>
        </row>
        <row r="667">
          <cell r="A667">
            <v>2938</v>
          </cell>
          <cell r="B667" t="str">
            <v>Flangeleje UCF214 Ø70, komplet med leje</v>
          </cell>
          <cell r="C667" t="str">
            <v>Flange UCF214 Ø70 compl. W. bearing</v>
          </cell>
          <cell r="D667">
            <v>689</v>
          </cell>
          <cell r="E667">
            <v>92.607526881720432</v>
          </cell>
        </row>
        <row r="668">
          <cell r="A668">
            <v>2939</v>
          </cell>
          <cell r="B668" t="str">
            <v>Møtrik M8x20 8.8 FZB D933</v>
          </cell>
          <cell r="C668" t="str">
            <v>Nut M8x20 8.8 FZB D933</v>
          </cell>
          <cell r="D668">
            <v>0.2</v>
          </cell>
          <cell r="E668">
            <v>2.6881720430107527E-2</v>
          </cell>
        </row>
        <row r="669">
          <cell r="A669">
            <v>2958</v>
          </cell>
          <cell r="B669" t="str">
            <v>Tandremskive 72 H 200 TL2517</v>
          </cell>
          <cell r="C669" t="str">
            <v>Pulley 72 H 200 TL2517</v>
          </cell>
          <cell r="D669">
            <v>785</v>
          </cell>
          <cell r="E669">
            <v>105.51075268817203</v>
          </cell>
        </row>
        <row r="670">
          <cell r="A670">
            <v>2960</v>
          </cell>
          <cell r="B670" t="str">
            <v xml:space="preserve">Tandremskive 22 H 200 TL1610 </v>
          </cell>
          <cell r="C670" t="str">
            <v xml:space="preserve">Pulley 22 H 200 TL1610 </v>
          </cell>
          <cell r="D670">
            <v>223</v>
          </cell>
          <cell r="E670">
            <v>29.973118279569892</v>
          </cell>
        </row>
        <row r="671">
          <cell r="A671">
            <v>2961</v>
          </cell>
          <cell r="B671" t="str">
            <v>Spændeelement TL 1610 - Ø28</v>
          </cell>
          <cell r="C671" t="str">
            <v>Shaft adapter, taper-lock TL 1610 - Ø28</v>
          </cell>
          <cell r="D671">
            <v>32</v>
          </cell>
          <cell r="E671">
            <v>4.301075268817204</v>
          </cell>
        </row>
        <row r="672">
          <cell r="A672">
            <v>2964</v>
          </cell>
          <cell r="B672" t="str">
            <v>Remskærm for indføringssnegl PM30</v>
          </cell>
          <cell r="C672" t="str">
            <v>Belt screen for inlet screw PM30</v>
          </cell>
          <cell r="D672">
            <v>6478</v>
          </cell>
          <cell r="E672">
            <v>870.69892473118273</v>
          </cell>
        </row>
        <row r="673">
          <cell r="A673">
            <v>2967</v>
          </cell>
          <cell r="B673" t="str">
            <v>V-ring V85S NBR70</v>
          </cell>
          <cell r="C673" t="str">
            <v>V-ring V85S NBR70</v>
          </cell>
          <cell r="D673">
            <v>7.4</v>
          </cell>
          <cell r="E673">
            <v>0.9946236559139785</v>
          </cell>
        </row>
        <row r="674">
          <cell r="A674">
            <v>2968</v>
          </cell>
          <cell r="B674" t="str">
            <v>Forsegling for indføringssnegl</v>
          </cell>
          <cell r="C674" t="str">
            <v>Sealring for feed screw</v>
          </cell>
          <cell r="D674">
            <v>866</v>
          </cell>
          <cell r="E674">
            <v>116.39784946236558</v>
          </cell>
        </row>
        <row r="675">
          <cell r="A675">
            <v>2969</v>
          </cell>
          <cell r="B675" t="str">
            <v>Filtring 10 x 10 x 250  ø70 aksel</v>
          </cell>
          <cell r="C675" t="str">
            <v>Filt seal 10 x 10 x 250  ø70 shaft</v>
          </cell>
          <cell r="D675">
            <v>38</v>
          </cell>
          <cell r="E675">
            <v>5.10752688172043</v>
          </cell>
        </row>
        <row r="676">
          <cell r="A676">
            <v>2972</v>
          </cell>
          <cell r="B676" t="str">
            <v xml:space="preserve">Filtring 6X10X330 </v>
          </cell>
          <cell r="C676" t="str">
            <v>Felt ring 6X10X330</v>
          </cell>
          <cell r="D676">
            <v>27</v>
          </cell>
          <cell r="E676">
            <v>3.629032258064516</v>
          </cell>
        </row>
        <row r="677">
          <cell r="A677">
            <v>2983</v>
          </cell>
          <cell r="B677" t="str">
            <v>Møtrik M10 A2 DIN 934</v>
          </cell>
          <cell r="C677" t="str">
            <v>Nut M10 A2 DIN 934</v>
          </cell>
          <cell r="D677">
            <v>1.4</v>
          </cell>
          <cell r="E677">
            <v>0.18817204301075266</v>
          </cell>
        </row>
        <row r="678">
          <cell r="A678">
            <v>2984</v>
          </cell>
          <cell r="B678" t="str">
            <v>6-kt skrue M10x25 A2 DIN931</v>
          </cell>
          <cell r="C678" t="str">
            <v>Hexagon screw M10 x 25</v>
          </cell>
          <cell r="D678">
            <v>0.1</v>
          </cell>
          <cell r="E678">
            <v>1.3440860215053764E-2</v>
          </cell>
        </row>
        <row r="679">
          <cell r="A679">
            <v>4020</v>
          </cell>
          <cell r="B679" t="str">
            <v>Cylindrisk rulleleje NU 1048</v>
          </cell>
          <cell r="C679" t="str">
            <v>Cylindrical roller bearing NU 1048</v>
          </cell>
          <cell r="D679">
            <v>6938</v>
          </cell>
          <cell r="E679">
            <v>932.52688172043008</v>
          </cell>
        </row>
        <row r="680">
          <cell r="A680">
            <v>4029</v>
          </cell>
          <cell r="B680" t="str">
            <v>Topdæksel.</v>
          </cell>
          <cell r="C680" t="str">
            <v>Top cover</v>
          </cell>
          <cell r="D680">
            <v>3074</v>
          </cell>
          <cell r="E680">
            <v>413.17204301075265</v>
          </cell>
        </row>
        <row r="681">
          <cell r="A681">
            <v>4030</v>
          </cell>
          <cell r="B681" t="str">
            <v>Pakning for top af gearbox M30</v>
          </cell>
          <cell r="C681" t="str">
            <v>Packing for top of gear box M30</v>
          </cell>
          <cell r="D681">
            <v>350</v>
          </cell>
          <cell r="E681">
            <v>47.043010752688168</v>
          </cell>
        </row>
        <row r="682">
          <cell r="A682">
            <v>4031</v>
          </cell>
          <cell r="B682" t="str">
            <v>6-kt. Skrue M12 x 20 8.8 FZB DIN 933</v>
          </cell>
          <cell r="C682" t="str">
            <v>Hex screw M12 x 20 8.8 FZB DIN 933</v>
          </cell>
          <cell r="D682">
            <v>1.8</v>
          </cell>
          <cell r="E682">
            <v>0.24193548387096772</v>
          </cell>
        </row>
        <row r="683">
          <cell r="A683">
            <v>4031</v>
          </cell>
          <cell r="B683" t="str">
            <v>Sekskantskrue</v>
          </cell>
          <cell r="C683" t="str">
            <v>Hexagon bolt</v>
          </cell>
          <cell r="D683">
            <v>1.9</v>
          </cell>
          <cell r="E683">
            <v>0.2553763440860215</v>
          </cell>
        </row>
        <row r="684">
          <cell r="A684">
            <v>4032</v>
          </cell>
          <cell r="B684" t="str">
            <v xml:space="preserve">Hovedaksel med fælg og 1" prop M30 </v>
          </cell>
          <cell r="C684" t="str">
            <v>Mainshaft with rim and 1" plug</v>
          </cell>
          <cell r="D684">
            <v>132500</v>
          </cell>
          <cell r="E684">
            <v>17809.139784946237</v>
          </cell>
        </row>
        <row r="685">
          <cell r="A685">
            <v>4033</v>
          </cell>
          <cell r="B685" t="str">
            <v>Aftræksring for hovedtandhjul M30</v>
          </cell>
          <cell r="C685" t="str">
            <v>Jacking ring for main gear wheel</v>
          </cell>
          <cell r="D685">
            <v>4005</v>
          </cell>
          <cell r="E685">
            <v>538.30645161290317</v>
          </cell>
        </row>
        <row r="686">
          <cell r="A686">
            <v>4035</v>
          </cell>
          <cell r="B686" t="str">
            <v>Slidring tætningsring, bag M30</v>
          </cell>
          <cell r="C686" t="str">
            <v>Wearring for proofing ring, rear M30</v>
          </cell>
          <cell r="D686">
            <v>2968</v>
          </cell>
          <cell r="E686">
            <v>398.92473118279565</v>
          </cell>
        </row>
        <row r="687">
          <cell r="A687">
            <v>4036</v>
          </cell>
          <cell r="B687" t="str">
            <v>Hovedlejehus M30</v>
          </cell>
          <cell r="C687" t="str">
            <v>Main bearing housing M30</v>
          </cell>
          <cell r="D687">
            <v>17093</v>
          </cell>
          <cell r="E687">
            <v>2297.4462365591398</v>
          </cell>
        </row>
        <row r="688">
          <cell r="A688">
            <v>4037</v>
          </cell>
          <cell r="B688" t="str">
            <v>Spændeskive Ø20 A2 HB200</v>
          </cell>
          <cell r="C688" t="str">
            <v>Washer Ø20 A2 HB200</v>
          </cell>
          <cell r="D688">
            <v>6.4</v>
          </cell>
          <cell r="E688">
            <v>0.86021505376344087</v>
          </cell>
        </row>
        <row r="689">
          <cell r="A689">
            <v>4038</v>
          </cell>
          <cell r="B689" t="str">
            <v>Cyl. Skrue M20 x 40 A2 DIN 912</v>
          </cell>
          <cell r="C689" t="str">
            <v>Cyl. Screw M20 x 40 A2 DIN 912</v>
          </cell>
          <cell r="D689">
            <v>30</v>
          </cell>
          <cell r="E689">
            <v>4.032258064516129</v>
          </cell>
        </row>
        <row r="690">
          <cell r="A690">
            <v>4039</v>
          </cell>
          <cell r="B690" t="str">
            <v>Dæksel for hovedlejeskål M30</v>
          </cell>
          <cell r="C690" t="str">
            <v>Cover f. main bearing bush M30</v>
          </cell>
          <cell r="D690">
            <v>6215</v>
          </cell>
          <cell r="E690">
            <v>835.34946236559131</v>
          </cell>
        </row>
        <row r="691">
          <cell r="A691">
            <v>4040</v>
          </cell>
          <cell r="B691" t="str">
            <v>O-ring Ø530,0 x Ø3,00 Nitril</v>
          </cell>
          <cell r="C691" t="str">
            <v>O-ring Ø530,0 x Ø3,00 Nitril</v>
          </cell>
          <cell r="D691">
            <v>164</v>
          </cell>
          <cell r="E691">
            <v>22.043010752688172</v>
          </cell>
        </row>
        <row r="692">
          <cell r="A692">
            <v>4041</v>
          </cell>
          <cell r="B692" t="str">
            <v>Strammespindel, Kort</v>
          </cell>
          <cell r="C692" t="str">
            <v>Rension spindel, Short</v>
          </cell>
          <cell r="D692">
            <v>159</v>
          </cell>
          <cell r="E692">
            <v>21.370967741935484</v>
          </cell>
        </row>
        <row r="693">
          <cell r="A693">
            <v>4043</v>
          </cell>
          <cell r="B693" t="str">
            <v>Dæksel for lejehus Ø65</v>
          </cell>
          <cell r="C693" t="str">
            <v>Cover for bearing housing Ø65</v>
          </cell>
          <cell r="D693">
            <v>371</v>
          </cell>
          <cell r="E693">
            <v>49.865591397849457</v>
          </cell>
        </row>
        <row r="694">
          <cell r="A694">
            <v>4044</v>
          </cell>
          <cell r="B694" t="str">
            <v>Dæksel for lejehus</v>
          </cell>
          <cell r="C694" t="str">
            <v>Cover for bearing housing</v>
          </cell>
          <cell r="D694">
            <v>239</v>
          </cell>
          <cell r="E694">
            <v>32.123655913978496</v>
          </cell>
        </row>
        <row r="695">
          <cell r="A695">
            <v>4046</v>
          </cell>
          <cell r="B695" t="str">
            <v>Lejehus</v>
          </cell>
          <cell r="C695" t="str">
            <v>Bearing bousing</v>
          </cell>
          <cell r="D695">
            <v>795</v>
          </cell>
          <cell r="E695">
            <v>106.85483870967741</v>
          </cell>
        </row>
        <row r="696">
          <cell r="A696">
            <v>4047</v>
          </cell>
          <cell r="B696" t="str">
            <v>Aksel 1-4 lag, L=1905</v>
          </cell>
          <cell r="C696" t="str">
            <v>xhaft 1-4 layer, L=1905</v>
          </cell>
          <cell r="D696">
            <v>4441</v>
          </cell>
          <cell r="E696">
            <v>596.9086021505376</v>
          </cell>
        </row>
        <row r="697">
          <cell r="A697">
            <v>4048</v>
          </cell>
          <cell r="B697" t="str">
            <v>Drivaksel Ø65 L1978</v>
          </cell>
          <cell r="C697" t="str">
            <v>Drive shaft Ø65 L1978</v>
          </cell>
          <cell r="D697">
            <v>7950</v>
          </cell>
          <cell r="E697">
            <v>1068.5483870967741</v>
          </cell>
        </row>
        <row r="698">
          <cell r="A698">
            <v>4049</v>
          </cell>
          <cell r="B698" t="str">
            <v>Drivaksel type 1 Ø55 L=1947</v>
          </cell>
          <cell r="C698" t="str">
            <v>Drive shaft typer 1 Ø55 L1947</v>
          </cell>
          <cell r="D698">
            <v>4770</v>
          </cell>
          <cell r="E698">
            <v>641.12903225806451</v>
          </cell>
        </row>
        <row r="699">
          <cell r="A699">
            <v>4050</v>
          </cell>
          <cell r="B699" t="str">
            <v>Drevaksel type 2</v>
          </cell>
          <cell r="C699" t="str">
            <v xml:space="preserve">Driven shaft type 2   </v>
          </cell>
          <cell r="D699">
            <v>5565</v>
          </cell>
          <cell r="E699">
            <v>747.98387096774195</v>
          </cell>
        </row>
        <row r="700">
          <cell r="A700">
            <v>4056</v>
          </cell>
          <cell r="B700" t="str">
            <v>Lejehus Ø65</v>
          </cell>
          <cell r="C700" t="str">
            <v>Bearing housing Ø65</v>
          </cell>
          <cell r="D700">
            <v>3710</v>
          </cell>
          <cell r="E700">
            <v>498.6559139784946</v>
          </cell>
        </row>
        <row r="701">
          <cell r="A701">
            <v>4061</v>
          </cell>
          <cell r="B701" t="str">
            <v>Seegerring I 100x3</v>
          </cell>
          <cell r="C701" t="str">
            <v>Circlip 1 100 x 3</v>
          </cell>
          <cell r="D701">
            <v>15.9</v>
          </cell>
          <cell r="E701">
            <v>2.1370967741935485</v>
          </cell>
        </row>
        <row r="702">
          <cell r="A702">
            <v>4062</v>
          </cell>
          <cell r="B702" t="str">
            <v>Seegerring U 55x2</v>
          </cell>
          <cell r="C702" t="str">
            <v>Circlip U 55 x 2</v>
          </cell>
          <cell r="D702">
            <v>6.4</v>
          </cell>
          <cell r="E702">
            <v>0.86021505376344087</v>
          </cell>
        </row>
        <row r="703">
          <cell r="A703">
            <v>4063</v>
          </cell>
          <cell r="B703" t="str">
            <v>lLeje 6211 2 RSR</v>
          </cell>
          <cell r="C703" t="str">
            <v>Bearing 6211 2 RSR</v>
          </cell>
          <cell r="D703">
            <v>159</v>
          </cell>
          <cell r="E703">
            <v>21.370967741935484</v>
          </cell>
        </row>
        <row r="704">
          <cell r="A704">
            <v>4064</v>
          </cell>
          <cell r="B704" t="str">
            <v>Svampegummi</v>
          </cell>
          <cell r="C704" t="str">
            <v>Sponge rubber</v>
          </cell>
          <cell r="D704">
            <v>85</v>
          </cell>
          <cell r="E704">
            <v>11.424731182795698</v>
          </cell>
        </row>
        <row r="705">
          <cell r="A705">
            <v>4066</v>
          </cell>
          <cell r="B705" t="str">
            <v>Klemprofil m/30 mm løbe L=840</v>
          </cell>
          <cell r="C705" t="str">
            <v>Clamp profile with 30 mm lip L840</v>
          </cell>
          <cell r="D705">
            <v>69</v>
          </cell>
          <cell r="E705">
            <v>9.2741935483870961</v>
          </cell>
        </row>
        <row r="706">
          <cell r="A706">
            <v>4091</v>
          </cell>
          <cell r="B706" t="str">
            <v>6-kt. Skrue M16 x 40 A2 DIN 931</v>
          </cell>
          <cell r="C706" t="str">
            <v>Hex screw M16 x 40 A2 DIN 931</v>
          </cell>
          <cell r="D706">
            <v>6.4</v>
          </cell>
          <cell r="E706">
            <v>0.86021505376344087</v>
          </cell>
        </row>
        <row r="707">
          <cell r="A707">
            <v>4094</v>
          </cell>
          <cell r="B707" t="str">
            <v>Slidring invendig tætning M30</v>
          </cell>
          <cell r="C707" t="str">
            <v>Wearring for inner proofing M30</v>
          </cell>
          <cell r="D707">
            <v>3180</v>
          </cell>
          <cell r="E707">
            <v>427.41935483870964</v>
          </cell>
        </row>
        <row r="708">
          <cell r="A708">
            <v>4103</v>
          </cell>
          <cell r="B708" t="str">
            <v>Transportørkædehjul Ø65</v>
          </cell>
          <cell r="C708" t="str">
            <v>Conveyor chain wheel Ø65</v>
          </cell>
          <cell r="D708">
            <v>4685</v>
          </cell>
          <cell r="E708">
            <v>629.70430107526875</v>
          </cell>
        </row>
        <row r="709">
          <cell r="A709">
            <v>4106</v>
          </cell>
          <cell r="B709" t="str">
            <v>Spændeplade Ø65</v>
          </cell>
          <cell r="C709" t="str">
            <v>Tension plate Ø65</v>
          </cell>
          <cell r="D709">
            <v>795</v>
          </cell>
          <cell r="E709">
            <v>106.85483870967741</v>
          </cell>
        </row>
        <row r="710">
          <cell r="A710">
            <v>4107</v>
          </cell>
          <cell r="B710" t="str">
            <v>Bagplade</v>
          </cell>
          <cell r="C710" t="str">
            <v>Rear plate</v>
          </cell>
          <cell r="D710">
            <v>239</v>
          </cell>
          <cell r="E710">
            <v>32.123655913978496</v>
          </cell>
        </row>
        <row r="711">
          <cell r="A711">
            <v>4114</v>
          </cell>
          <cell r="B711" t="str">
            <v>Tværstiver</v>
          </cell>
          <cell r="C711" t="str">
            <v>Stifinder inside</v>
          </cell>
          <cell r="D711">
            <v>1325</v>
          </cell>
          <cell r="E711">
            <v>178.09139784946237</v>
          </cell>
        </row>
        <row r="712">
          <cell r="A712">
            <v>4115</v>
          </cell>
          <cell r="B712" t="str">
            <v>Spændeliste gardin udløb H500</v>
          </cell>
          <cell r="C712" t="str">
            <v>Tension list curtain outlet H500</v>
          </cell>
          <cell r="D712">
            <v>127</v>
          </cell>
          <cell r="E712">
            <v>17.06989247311828</v>
          </cell>
        </row>
        <row r="713">
          <cell r="A713">
            <v>4120</v>
          </cell>
          <cell r="B713" t="str">
            <v>Gummigardin, indløb 2 H500 (køler)</v>
          </cell>
          <cell r="C713" t="str">
            <v xml:space="preserve">Rubber curtain, inlet 2 </v>
          </cell>
          <cell r="D713">
            <v>890</v>
          </cell>
          <cell r="E713">
            <v>119.62365591397848</v>
          </cell>
        </row>
        <row r="714">
          <cell r="A714">
            <v>4132</v>
          </cell>
          <cell r="B714" t="str">
            <v>Spændliste f/gardin indløb 2</v>
          </cell>
          <cell r="C714" t="str">
            <v>Retaining strip, curtain, inlet 2</v>
          </cell>
          <cell r="D714">
            <v>1219</v>
          </cell>
          <cell r="E714">
            <v>163.84408602150538</v>
          </cell>
        </row>
        <row r="715">
          <cell r="A715">
            <v>4143</v>
          </cell>
          <cell r="B715" t="str">
            <v>6-kt. Skrue M10 x 20 DIN 933 A2</v>
          </cell>
          <cell r="C715" t="str">
            <v>Hex screw M10 x 20 DIN 933 A2</v>
          </cell>
          <cell r="D715">
            <v>1.9</v>
          </cell>
          <cell r="E715">
            <v>0.2553763440860215</v>
          </cell>
        </row>
        <row r="716">
          <cell r="A716">
            <v>4145</v>
          </cell>
          <cell r="B716" t="str">
            <v>6-kt. Skrue M12 x 50 A2 DIN 933</v>
          </cell>
          <cell r="C716" t="str">
            <v>Hex screw M12 x 50 A2 DIN 933</v>
          </cell>
          <cell r="D716">
            <v>3.4</v>
          </cell>
          <cell r="E716">
            <v>0.45698924731182794</v>
          </cell>
        </row>
        <row r="717">
          <cell r="A717">
            <v>4146</v>
          </cell>
          <cell r="B717" t="str">
            <v>Låsermøtrik M10</v>
          </cell>
          <cell r="C717" t="str">
            <v>Lock nut M10</v>
          </cell>
          <cell r="D717">
            <v>2.1</v>
          </cell>
          <cell r="E717">
            <v>0.282258064516129</v>
          </cell>
        </row>
        <row r="718">
          <cell r="A718">
            <v>4147</v>
          </cell>
          <cell r="B718" t="str">
            <v>Seegerring U 60x2</v>
          </cell>
          <cell r="C718" t="str">
            <v>Circlip 2 112 x 4</v>
          </cell>
          <cell r="D718">
            <v>37</v>
          </cell>
          <cell r="E718">
            <v>4.9731182795698921</v>
          </cell>
        </row>
        <row r="719">
          <cell r="A719">
            <v>4148</v>
          </cell>
          <cell r="B719" t="str">
            <v>Låsering U60 x 2 DIN 471</v>
          </cell>
          <cell r="C719" t="str">
            <v>Lock ring U60 x 2 DIN 471</v>
          </cell>
          <cell r="D719">
            <v>7.4</v>
          </cell>
          <cell r="E719">
            <v>0.9946236559139785</v>
          </cell>
        </row>
        <row r="720">
          <cell r="A720">
            <v>4149</v>
          </cell>
          <cell r="B720" t="str">
            <v>Leje 6212 2 RSR</v>
          </cell>
          <cell r="C720" t="str">
            <v>Bearing 6212 2 RSR</v>
          </cell>
          <cell r="D720">
            <v>313</v>
          </cell>
          <cell r="E720">
            <v>42.06989247311828</v>
          </cell>
        </row>
        <row r="721">
          <cell r="A721">
            <v>4150</v>
          </cell>
          <cell r="B721" t="str">
            <v>Cyl skrue M12x20 12.9 DIN912</v>
          </cell>
          <cell r="C721" t="str">
            <v>Round headed screw M12x20 12.9 DIN912</v>
          </cell>
          <cell r="D721">
            <v>3.7</v>
          </cell>
          <cell r="E721">
            <v>0.49731182795698925</v>
          </cell>
        </row>
        <row r="722">
          <cell r="A722">
            <v>4163</v>
          </cell>
          <cell r="B722" t="str">
            <v>Drivkædehjul 1 1/4", z=15, Ø55</v>
          </cell>
          <cell r="C722" t="str">
            <v xml:space="preserve">Chain wheel  Ø55 1-1/4", Z=15    </v>
          </cell>
          <cell r="D722">
            <v>1696</v>
          </cell>
          <cell r="E722">
            <v>227.95698924731181</v>
          </cell>
        </row>
        <row r="723">
          <cell r="A723">
            <v>4165</v>
          </cell>
          <cell r="B723" t="str">
            <v>Drivkædehjul 1 1/4", z=15, Ø75</v>
          </cell>
          <cell r="C723" t="str">
            <v xml:space="preserve">Chain wheel Ø75 1-1/4", Z=15       </v>
          </cell>
          <cell r="D723">
            <v>1696</v>
          </cell>
          <cell r="E723">
            <v>227.95698924731181</v>
          </cell>
        </row>
        <row r="724">
          <cell r="A724">
            <v>4169</v>
          </cell>
          <cell r="B724" t="str">
            <v>Drivkædehjul 1" Z=15 UDB Ø65 SK63</v>
          </cell>
          <cell r="C724" t="str">
            <v>Chain wheel 1" Z=15 UDB Ø65 SK63</v>
          </cell>
          <cell r="D724">
            <v>795</v>
          </cell>
          <cell r="E724">
            <v>106.85483870967741</v>
          </cell>
        </row>
        <row r="725">
          <cell r="A725">
            <v>4171</v>
          </cell>
          <cell r="B725" t="str">
            <v>Kædehjul type 2</v>
          </cell>
          <cell r="C725" t="str">
            <v>Chain wheel type 2</v>
          </cell>
          <cell r="D725">
            <v>2523</v>
          </cell>
          <cell r="E725">
            <v>339.11290322580641</v>
          </cell>
        </row>
        <row r="726">
          <cell r="A726">
            <v>4172</v>
          </cell>
          <cell r="B726" t="str">
            <v>Kædehjul type 1 1" Z=38 UDB Ø55</v>
          </cell>
          <cell r="C726" t="str">
            <v>Chain wheel type 1 1" Z=38 UDB Ø55</v>
          </cell>
          <cell r="D726">
            <v>1251</v>
          </cell>
          <cell r="E726">
            <v>168.14516129032256</v>
          </cell>
        </row>
        <row r="727">
          <cell r="A727">
            <v>4173</v>
          </cell>
          <cell r="B727" t="str">
            <v>Strammehjul 1" Z=15 UDB Ø72</v>
          </cell>
          <cell r="C727" t="str">
            <v>Tightening wheel 1" Z=15 UDB Ø72</v>
          </cell>
          <cell r="D727">
            <v>276</v>
          </cell>
          <cell r="E727">
            <v>37.096774193548384</v>
          </cell>
        </row>
        <row r="728">
          <cell r="A728">
            <v>4178</v>
          </cell>
          <cell r="B728" t="str">
            <v>Afstandsring, L=42</v>
          </cell>
          <cell r="C728" t="str">
            <v>Distance ring , L=42</v>
          </cell>
          <cell r="D728">
            <v>106</v>
          </cell>
          <cell r="E728">
            <v>14.247311827956988</v>
          </cell>
        </row>
        <row r="729">
          <cell r="A729">
            <v>4179</v>
          </cell>
          <cell r="B729" t="str">
            <v>Afstandsring L=11,5 Ø55</v>
          </cell>
          <cell r="C729" t="str">
            <v>Distance ring L 11.5 Ø55</v>
          </cell>
          <cell r="D729">
            <v>106</v>
          </cell>
          <cell r="E729">
            <v>14.247311827956988</v>
          </cell>
        </row>
        <row r="730">
          <cell r="A730">
            <v>4180</v>
          </cell>
          <cell r="B730" t="str">
            <v>Kædestrammer type 3 L275</v>
          </cell>
          <cell r="C730" t="str">
            <v>Chain tensioner type 3 L2754</v>
          </cell>
          <cell r="D730">
            <v>1611</v>
          </cell>
          <cell r="E730">
            <v>216.53225806451613</v>
          </cell>
        </row>
        <row r="731">
          <cell r="A731">
            <v>4181</v>
          </cell>
          <cell r="B731" t="str">
            <v>Kædestrammer, type 2 L=175</v>
          </cell>
          <cell r="C731" t="str">
            <v xml:space="preserve">Chain tightener, Type 2 L=175 </v>
          </cell>
          <cell r="D731">
            <v>1749</v>
          </cell>
          <cell r="E731">
            <v>235.08064516129031</v>
          </cell>
        </row>
        <row r="732">
          <cell r="A732">
            <v>4182</v>
          </cell>
          <cell r="B732" t="str">
            <v>Kædestrammer L350</v>
          </cell>
          <cell r="C732" t="str">
            <v>Chain tensioner L350</v>
          </cell>
          <cell r="D732">
            <v>1436</v>
          </cell>
          <cell r="E732">
            <v>193.01075268817203</v>
          </cell>
        </row>
        <row r="733">
          <cell r="A733">
            <v>4195</v>
          </cell>
          <cell r="B733" t="str">
            <v>Konsol for kædestram motorpl</v>
          </cell>
          <cell r="C733" t="str">
            <v>Console for chain tensioner motor plate</v>
          </cell>
          <cell r="D733">
            <v>159</v>
          </cell>
          <cell r="E733">
            <v>21.370967741935484</v>
          </cell>
        </row>
        <row r="734">
          <cell r="A734">
            <v>4198</v>
          </cell>
          <cell r="B734" t="str">
            <v>Rullekæde 1"x17 á 2,1m</v>
          </cell>
          <cell r="C734" t="str">
            <v>Transmission chain 1" x 17 each 2.1 m</v>
          </cell>
          <cell r="D734">
            <v>111</v>
          </cell>
          <cell r="E734">
            <v>14.919354838709676</v>
          </cell>
        </row>
        <row r="735">
          <cell r="A735">
            <v>4199</v>
          </cell>
          <cell r="B735" t="str">
            <v>Fjederskive Ø8 FZB DIN 127B</v>
          </cell>
          <cell r="C735" t="str">
            <v>Spring disc M8 FZB DIN 127B</v>
          </cell>
          <cell r="D735">
            <v>0.3</v>
          </cell>
          <cell r="E735">
            <v>4.0322580645161289E-2</v>
          </cell>
        </row>
        <row r="736">
          <cell r="A736">
            <v>4207</v>
          </cell>
          <cell r="B736" t="str">
            <v>Skotforskruning 90gr 2xØ6 skærering</v>
          </cell>
          <cell r="C736" t="str">
            <v>Door union 90gr 2xØ6 cutting ring</v>
          </cell>
          <cell r="D736">
            <v>71</v>
          </cell>
          <cell r="E736">
            <v>9.543010752688172</v>
          </cell>
        </row>
        <row r="737">
          <cell r="A737">
            <v>4208</v>
          </cell>
          <cell r="B737" t="str">
            <v>Flangemøtrik M30</v>
          </cell>
          <cell r="C737" t="str">
            <v>Flange nut M30</v>
          </cell>
          <cell r="D737">
            <v>152</v>
          </cell>
          <cell r="E737">
            <v>20.43010752688172</v>
          </cell>
        </row>
        <row r="738">
          <cell r="A738">
            <v>4213</v>
          </cell>
          <cell r="B738" t="str">
            <v>Nippel 1/8" RG/ø6 skærering lige</v>
          </cell>
          <cell r="C738" t="str">
            <v>Nipple 1/8" BSP/ø8 straight cutting FZ</v>
          </cell>
          <cell r="D738">
            <v>19.100000000000001</v>
          </cell>
          <cell r="E738">
            <v>2.567204301075269</v>
          </cell>
        </row>
        <row r="739">
          <cell r="A739">
            <v>4214</v>
          </cell>
          <cell r="B739" t="str">
            <v>Bøsning f. rulleaksel for rulleholderaksel M30</v>
          </cell>
          <cell r="C739" t="str">
            <v>Bushing f. rollershaft M30</v>
          </cell>
          <cell r="D739">
            <v>523</v>
          </cell>
          <cell r="E739">
            <v>70.295698924731184</v>
          </cell>
        </row>
        <row r="740">
          <cell r="A740">
            <v>4218</v>
          </cell>
          <cell r="B740" t="str">
            <v>Slidring for hovedaksel L=35 M30</v>
          </cell>
          <cell r="C740" t="str">
            <v>Wearring for main shaft L=35 M30</v>
          </cell>
          <cell r="D740">
            <v>3180</v>
          </cell>
          <cell r="E740">
            <v>427.41935483870964</v>
          </cell>
        </row>
        <row r="741">
          <cell r="A741">
            <v>4219</v>
          </cell>
          <cell r="B741" t="str">
            <v>Låsemøtrik for hovedtandhjul M30</v>
          </cell>
          <cell r="C741" t="str">
            <v>Locknut for mainbearing wheel m30</v>
          </cell>
          <cell r="D741">
            <v>2521</v>
          </cell>
          <cell r="E741">
            <v>338.84408602150535</v>
          </cell>
        </row>
        <row r="742">
          <cell r="A742">
            <v>4220</v>
          </cell>
          <cell r="B742" t="str">
            <v>Lås for ringmøtrik hovedleje M30</v>
          </cell>
          <cell r="C742" t="str">
            <v>Lock for ring nut, mainbearing M30</v>
          </cell>
          <cell r="D742">
            <v>265</v>
          </cell>
          <cell r="E742">
            <v>35.618279569892472</v>
          </cell>
        </row>
        <row r="743">
          <cell r="A743">
            <v>4224</v>
          </cell>
          <cell r="B743" t="str">
            <v>6-kt. Skrue M16 x 50 DIN 933</v>
          </cell>
          <cell r="C743" t="str">
            <v>Hex screw M16 x 50 DIN 933</v>
          </cell>
          <cell r="D743">
            <v>4.5999999999999996</v>
          </cell>
          <cell r="E743">
            <v>0.61827956989247301</v>
          </cell>
        </row>
        <row r="744">
          <cell r="A744">
            <v>4227</v>
          </cell>
          <cell r="B744" t="str">
            <v>Nippel 1/8" BSP/ø8 skærerin lige FZ</v>
          </cell>
          <cell r="C744" t="str">
            <v>Nipple 1/8" BSP/ø8 straight cutting FZ</v>
          </cell>
          <cell r="D744">
            <v>23</v>
          </cell>
          <cell r="E744">
            <v>3.0913978494623655</v>
          </cell>
        </row>
        <row r="745">
          <cell r="A745">
            <v>4228</v>
          </cell>
          <cell r="B745" t="str">
            <v>O-ring Ø229,3 x Ø5,7 Nitril</v>
          </cell>
          <cell r="C745" t="str">
            <v>O-ring Ø229,3 x Ø5,7 Nitril</v>
          </cell>
          <cell r="D745">
            <v>14.3</v>
          </cell>
          <cell r="E745">
            <v>1.9220430107526882</v>
          </cell>
        </row>
        <row r="746">
          <cell r="A746">
            <v>4230</v>
          </cell>
          <cell r="B746" t="str">
            <v xml:space="preserve">Lejehus  </v>
          </cell>
          <cell r="C746" t="str">
            <v>Bearinghouse</v>
          </cell>
          <cell r="D746">
            <v>5745</v>
          </cell>
          <cell r="E746">
            <v>772.17741935483866</v>
          </cell>
        </row>
        <row r="747">
          <cell r="A747">
            <v>4231</v>
          </cell>
          <cell r="B747" t="str">
            <v>Afstandsring B=70 mellemaksel</v>
          </cell>
          <cell r="C747" t="str">
            <v>Distance ring B=70</v>
          </cell>
          <cell r="D747">
            <v>1109</v>
          </cell>
          <cell r="E747">
            <v>149.05913978494624</v>
          </cell>
        </row>
        <row r="748">
          <cell r="A748">
            <v>4232</v>
          </cell>
          <cell r="B748" t="str">
            <v>Tandhjul - Lille</v>
          </cell>
          <cell r="C748" t="str">
            <v>Gear wheel</v>
          </cell>
          <cell r="D748">
            <v>23214</v>
          </cell>
          <cell r="E748">
            <v>3120.1612903225805</v>
          </cell>
        </row>
        <row r="749">
          <cell r="A749">
            <v>4233</v>
          </cell>
          <cell r="B749" t="str">
            <v>Afstandsring B=30 mellemaksel</v>
          </cell>
          <cell r="C749" t="str">
            <v>Distance ring B=30</v>
          </cell>
          <cell r="D749">
            <v>413</v>
          </cell>
          <cell r="E749">
            <v>55.51075268817204</v>
          </cell>
        </row>
        <row r="750">
          <cell r="A750">
            <v>4234</v>
          </cell>
          <cell r="B750" t="str">
            <v>Tandhjul - Stor.</v>
          </cell>
          <cell r="C750" t="str">
            <v>Gear wheel</v>
          </cell>
          <cell r="D750">
            <v>35722</v>
          </cell>
          <cell r="E750">
            <v>4801.3440860215051</v>
          </cell>
        </row>
        <row r="751">
          <cell r="A751">
            <v>4235</v>
          </cell>
          <cell r="B751" t="str">
            <v>Mellemaksel M30/M900</v>
          </cell>
          <cell r="C751" t="str">
            <v>Intermidiate shaft M30/M900</v>
          </cell>
          <cell r="D751">
            <v>9540</v>
          </cell>
          <cell r="E751">
            <v>1282.258064516129</v>
          </cell>
        </row>
        <row r="752">
          <cell r="A752">
            <v>4236</v>
          </cell>
          <cell r="B752" t="str">
            <v>Hydraulisk rør ø8 x 1,5</v>
          </cell>
          <cell r="C752" t="str">
            <v>Hydraulic pipe ø8 x 1,5</v>
          </cell>
          <cell r="D752">
            <v>30</v>
          </cell>
          <cell r="E752">
            <v>4.032258064516129</v>
          </cell>
        </row>
        <row r="753">
          <cell r="A753">
            <v>4242</v>
          </cell>
          <cell r="B753" t="str">
            <v>6-kt. Skrue M20 x 35 8.8 sort</v>
          </cell>
          <cell r="C753" t="str">
            <v>Hex screw M20 x 35 8.8 sort</v>
          </cell>
          <cell r="D753">
            <v>7.4</v>
          </cell>
          <cell r="E753">
            <v>0.9946236559139785</v>
          </cell>
        </row>
        <row r="754">
          <cell r="A754">
            <v>4244</v>
          </cell>
          <cell r="B754" t="str">
            <v>Cyl. Skrue M20 x 50 8.8 DIN 912</v>
          </cell>
          <cell r="C754" t="str">
            <v>Cyl. Screw M20 x 50 8.8 DIN 912</v>
          </cell>
          <cell r="D754">
            <v>11.7</v>
          </cell>
          <cell r="E754">
            <v>1.57258064516129</v>
          </cell>
        </row>
        <row r="755">
          <cell r="A755">
            <v>4250</v>
          </cell>
          <cell r="B755" t="str">
            <v xml:space="preserve">Rulleholderaksel komplet M30 </v>
          </cell>
          <cell r="C755" t="str">
            <v>Roller main shaft complete M30</v>
          </cell>
          <cell r="D755">
            <v>72080</v>
          </cell>
          <cell r="E755">
            <v>9688.1720430107525</v>
          </cell>
        </row>
        <row r="756">
          <cell r="A756">
            <v>4252</v>
          </cell>
          <cell r="B756" t="str">
            <v>Låseblik MB 30</v>
          </cell>
          <cell r="C756" t="str">
            <v>Lock washer MB 30</v>
          </cell>
          <cell r="D756">
            <v>24</v>
          </cell>
          <cell r="E756">
            <v>3.225806451612903</v>
          </cell>
        </row>
        <row r="757">
          <cell r="A757">
            <v>4253</v>
          </cell>
          <cell r="B757" t="str">
            <v>Kniv, lang rulleholder/hovedaksel M30</v>
          </cell>
          <cell r="C757" t="str">
            <v>Knife, long, roller/mainshaft M30</v>
          </cell>
          <cell r="D757">
            <v>201</v>
          </cell>
          <cell r="E757">
            <v>27.016129032258064</v>
          </cell>
        </row>
        <row r="758">
          <cell r="A758">
            <v>4254</v>
          </cell>
          <cell r="B758" t="str">
            <v>Spændeskive M30, hærdet</v>
          </cell>
          <cell r="C758" t="str">
            <v>Washer M30 hardened</v>
          </cell>
          <cell r="D758">
            <v>12.7</v>
          </cell>
          <cell r="E758">
            <v>1.7069892473118278</v>
          </cell>
        </row>
        <row r="759">
          <cell r="A759">
            <v>4255</v>
          </cell>
          <cell r="B759" t="str">
            <v>Pakning for dæksel</v>
          </cell>
          <cell r="C759" t="str">
            <v>Packing for cover</v>
          </cell>
          <cell r="D759">
            <v>61</v>
          </cell>
          <cell r="E759">
            <v>8.198924731182796</v>
          </cell>
        </row>
        <row r="760">
          <cell r="A760">
            <v>4256</v>
          </cell>
          <cell r="B760" t="str">
            <v>O-ring ø144,30 x 5,70 NITRIL</v>
          </cell>
          <cell r="C760" t="str">
            <v>O-ring ø144,30 x 5,70 NITRIL</v>
          </cell>
          <cell r="D760">
            <v>17</v>
          </cell>
          <cell r="E760">
            <v>2.2849462365591395</v>
          </cell>
        </row>
        <row r="761">
          <cell r="A761">
            <v>4257</v>
          </cell>
          <cell r="B761" t="str">
            <v>Tætning Ø320xØ360x20 Viton</v>
          </cell>
          <cell r="C761" t="str">
            <v>Seal Ø320 x Ø360 x 20 Viton</v>
          </cell>
          <cell r="D761">
            <v>790</v>
          </cell>
          <cell r="E761">
            <v>106.18279569892472</v>
          </cell>
        </row>
        <row r="762">
          <cell r="A762">
            <v>4258</v>
          </cell>
          <cell r="B762" t="str">
            <v>Møtrik, rulleholderaksel M30</v>
          </cell>
          <cell r="C762" t="str">
            <v>Nut, roller main shaft M30</v>
          </cell>
          <cell r="D762">
            <v>1767</v>
          </cell>
          <cell r="E762">
            <v>237.5</v>
          </cell>
        </row>
        <row r="763">
          <cell r="A763">
            <v>4259</v>
          </cell>
          <cell r="B763" t="str">
            <v>Cyl. Skrue M20 x 60 8.8 DIN 912</v>
          </cell>
          <cell r="C763" t="str">
            <v>Cyl. Screw M20 x 60 8.8 DIN 912</v>
          </cell>
          <cell r="D763">
            <v>12.7</v>
          </cell>
          <cell r="E763">
            <v>1.7069892473118278</v>
          </cell>
        </row>
        <row r="764">
          <cell r="A764">
            <v>4260</v>
          </cell>
          <cell r="B764" t="str">
            <v>Konisk stift Ø12 x 85</v>
          </cell>
          <cell r="C764" t="str">
            <v>Conical pin Ø12x85</v>
          </cell>
          <cell r="D764">
            <v>20</v>
          </cell>
          <cell r="E764">
            <v>2.6881720430107525</v>
          </cell>
        </row>
        <row r="765">
          <cell r="A765">
            <v>4261</v>
          </cell>
          <cell r="B765" t="str">
            <v>Afstandsring</v>
          </cell>
          <cell r="C765" t="str">
            <v>Distancering</v>
          </cell>
          <cell r="D765">
            <v>58</v>
          </cell>
          <cell r="E765">
            <v>7.7956989247311821</v>
          </cell>
        </row>
        <row r="766">
          <cell r="A766">
            <v>4262</v>
          </cell>
          <cell r="B766" t="str">
            <v>Lejeskål, bag M30</v>
          </cell>
          <cell r="C766" t="str">
            <v>Bearing housing, back M30</v>
          </cell>
          <cell r="D766">
            <v>13780</v>
          </cell>
          <cell r="E766">
            <v>1852.1505376344085</v>
          </cell>
        </row>
        <row r="767">
          <cell r="A767">
            <v>4263</v>
          </cell>
          <cell r="B767" t="str">
            <v>Hovedtandhjul M30</v>
          </cell>
          <cell r="C767" t="str">
            <v>Main gear toothed  M30</v>
          </cell>
          <cell r="D767">
            <v>60420</v>
          </cell>
          <cell r="E767">
            <v>8120.967741935483</v>
          </cell>
        </row>
        <row r="768">
          <cell r="A768">
            <v>4264</v>
          </cell>
          <cell r="B768" t="str">
            <v>Ring for tætningsring M30</v>
          </cell>
          <cell r="C768" t="str">
            <v>Ring for tightening ring M30</v>
          </cell>
          <cell r="D768">
            <v>6890</v>
          </cell>
          <cell r="E768">
            <v>926.07526881720423</v>
          </cell>
        </row>
        <row r="769">
          <cell r="A769">
            <v>4268</v>
          </cell>
          <cell r="B769" t="str">
            <v>Gevindstang M16x300</v>
          </cell>
          <cell r="C769" t="str">
            <v>Threaded rod M16x300</v>
          </cell>
          <cell r="D769">
            <v>42</v>
          </cell>
          <cell r="E769">
            <v>5.6451612903225801</v>
          </cell>
        </row>
        <row r="770">
          <cell r="A770">
            <v>4269</v>
          </cell>
          <cell r="B770" t="str">
            <v>Møtrik M16 DIN 934-8 FZB</v>
          </cell>
          <cell r="C770" t="str">
            <v>Nut M16 DIN 934-8 FZB</v>
          </cell>
          <cell r="D770">
            <v>1.1000000000000001</v>
          </cell>
          <cell r="E770">
            <v>0.14784946236559141</v>
          </cell>
        </row>
        <row r="771">
          <cell r="A771">
            <v>4308</v>
          </cell>
          <cell r="B771" t="str">
            <v>Tallerkenfjeder 31,5x16,3x1,5</v>
          </cell>
          <cell r="C771" t="str">
            <v>Disc spring 31,5 x 16,3 x 1,5</v>
          </cell>
          <cell r="D771">
            <v>7.2</v>
          </cell>
          <cell r="E771">
            <v>0.96774193548387089</v>
          </cell>
        </row>
        <row r="772">
          <cell r="A772">
            <v>4309</v>
          </cell>
          <cell r="B772" t="str">
            <v>Gummigardin, indløb 2 H500 (tørre)</v>
          </cell>
          <cell r="C772" t="str">
            <v xml:space="preserve">Rubber curtain , inlet 2 </v>
          </cell>
          <cell r="D772">
            <v>3975</v>
          </cell>
          <cell r="E772">
            <v>534.27419354838707</v>
          </cell>
        </row>
        <row r="773">
          <cell r="A773">
            <v>4312</v>
          </cell>
          <cell r="B773" t="str">
            <v>Pinolskrue M8 x 20 A2 DIN916</v>
          </cell>
          <cell r="C773" t="str">
            <v>Pointed screw M8 x 20 A2 DIN916</v>
          </cell>
          <cell r="D773">
            <v>4</v>
          </cell>
          <cell r="E773">
            <v>0.5376344086021505</v>
          </cell>
        </row>
        <row r="774">
          <cell r="A774">
            <v>4316</v>
          </cell>
          <cell r="B774" t="str">
            <v>O-ring Ø059,0 x Ø3,00 Viton</v>
          </cell>
          <cell r="C774" t="str">
            <v>O-ring Ø059,0 x Ø3,00 Viton</v>
          </cell>
          <cell r="D774">
            <v>7.4</v>
          </cell>
          <cell r="E774">
            <v>0.9946236559139785</v>
          </cell>
        </row>
        <row r="775">
          <cell r="A775">
            <v>4318</v>
          </cell>
          <cell r="B775" t="str">
            <v>Knivblad Stanley EX6xx-9xx</v>
          </cell>
          <cell r="C775" t="str">
            <v>Knife blade Stanley EX6xx-9xx</v>
          </cell>
          <cell r="D775">
            <v>2.7</v>
          </cell>
          <cell r="E775">
            <v>0.36290322580645162</v>
          </cell>
        </row>
        <row r="776">
          <cell r="A776">
            <v>4324</v>
          </cell>
          <cell r="B776" t="str">
            <v>Aksel Ø35x173</v>
          </cell>
          <cell r="C776" t="str">
            <v>Shaft Ø35 x 173</v>
          </cell>
          <cell r="D776">
            <v>200</v>
          </cell>
          <cell r="E776">
            <v>26.881720430107524</v>
          </cell>
        </row>
        <row r="777">
          <cell r="A777">
            <v>4327</v>
          </cell>
          <cell r="B777" t="str">
            <v>Låsespindel, kort</v>
          </cell>
          <cell r="C777" t="str">
            <v>Lock spindle, short</v>
          </cell>
          <cell r="D777">
            <v>943</v>
          </cell>
          <cell r="E777">
            <v>126.74731182795698</v>
          </cell>
        </row>
        <row r="778">
          <cell r="A778">
            <v>4328</v>
          </cell>
          <cell r="B778" t="str">
            <v>Hængsel, kort M30</v>
          </cell>
          <cell r="C778" t="str">
            <v>Hinge, short M30</v>
          </cell>
          <cell r="D778">
            <v>1500</v>
          </cell>
          <cell r="E778">
            <v>201.61290322580643</v>
          </cell>
        </row>
        <row r="779">
          <cell r="A779">
            <v>4329</v>
          </cell>
          <cell r="B779" t="str">
            <v>Fod for oliepumpe</v>
          </cell>
          <cell r="C779" t="str">
            <v>Foot for oilpump</v>
          </cell>
          <cell r="D779">
            <v>636</v>
          </cell>
          <cell r="E779">
            <v>85.483870967741936</v>
          </cell>
        </row>
        <row r="780">
          <cell r="A780">
            <v>4330</v>
          </cell>
          <cell r="B780" t="str">
            <v>Holder/stålbørstetætning B420</v>
          </cell>
          <cell r="C780" t="str">
            <v>Holder / steelbrush proofing B420</v>
          </cell>
          <cell r="D780">
            <v>2290</v>
          </cell>
          <cell r="E780">
            <v>307.79569892473114</v>
          </cell>
        </row>
        <row r="781">
          <cell r="A781">
            <v>4332</v>
          </cell>
          <cell r="B781" t="str">
            <v>Hydraulikslange Ø6 L=1040, lige</v>
          </cell>
          <cell r="C781" t="str">
            <v>Hydraulic hose Ø6 L=1040 straight</v>
          </cell>
          <cell r="D781">
            <v>159</v>
          </cell>
          <cell r="E781">
            <v>21.370967741935484</v>
          </cell>
        </row>
        <row r="782">
          <cell r="A782">
            <v>4337</v>
          </cell>
          <cell r="B782" t="str">
            <v>(Erstattet af 513755) Ø-stål Ø12 st37</v>
          </cell>
          <cell r="C782" t="str">
            <v>(Replaced by 513755) Steel bar Ø12 st37</v>
          </cell>
          <cell r="D782" t="str">
            <v>replaced</v>
          </cell>
          <cell r="E782" t="str">
            <v>replaced</v>
          </cell>
        </row>
        <row r="783">
          <cell r="A783">
            <v>4347</v>
          </cell>
          <cell r="B783" t="str">
            <v>Øjebolt for løft M20 galv.</v>
          </cell>
          <cell r="C783" t="str">
            <v>Eye bolt for lift M20 galv</v>
          </cell>
          <cell r="D783">
            <v>25</v>
          </cell>
          <cell r="E783">
            <v>3.3602150537634405</v>
          </cell>
        </row>
        <row r="784">
          <cell r="A784">
            <v>4348</v>
          </cell>
          <cell r="B784" t="str">
            <v>Borebøsning A28 x 35</v>
          </cell>
          <cell r="C784" t="str">
            <v>Bushing A28 x 35</v>
          </cell>
          <cell r="D784">
            <v>488</v>
          </cell>
          <cell r="E784">
            <v>65.591397849462368</v>
          </cell>
        </row>
        <row r="785">
          <cell r="A785">
            <v>4355</v>
          </cell>
          <cell r="B785" t="str">
            <v>Cyl. Skrue M8x30 8.8 DIN912</v>
          </cell>
          <cell r="C785" t="str">
            <v>Cyl screw M8 x 30 8.8 DIN912</v>
          </cell>
          <cell r="D785">
            <v>0.8</v>
          </cell>
          <cell r="E785">
            <v>0.10752688172043011</v>
          </cell>
        </row>
        <row r="786">
          <cell r="A786">
            <v>4357</v>
          </cell>
          <cell r="B786" t="str">
            <v>Tætningsring A Ø070 x Ø090 x 10 NB</v>
          </cell>
          <cell r="C786" t="str">
            <v>Sealing ring A Ø070 x Ø090 x 10 NB</v>
          </cell>
          <cell r="D786">
            <v>15.9</v>
          </cell>
          <cell r="E786">
            <v>2.1370967741935485</v>
          </cell>
        </row>
        <row r="787">
          <cell r="A787">
            <v>4361</v>
          </cell>
          <cell r="B787" t="str">
            <v>Møtrik M5 A2 DIN 933</v>
          </cell>
          <cell r="C787" t="str">
            <v>Nut M5 A2 DIN 933</v>
          </cell>
          <cell r="D787">
            <v>0.3</v>
          </cell>
          <cell r="E787">
            <v>4.0322580645161289E-2</v>
          </cell>
        </row>
        <row r="788">
          <cell r="A788">
            <v>4366</v>
          </cell>
          <cell r="B788" t="str">
            <v>Hydraulisk rør ø28 x 2  sort</v>
          </cell>
          <cell r="C788" t="str">
            <v xml:space="preserve">Hydraulic pipe ø28 x 2 </v>
          </cell>
          <cell r="D788">
            <v>42</v>
          </cell>
          <cell r="E788">
            <v>5.6451612903225801</v>
          </cell>
        </row>
        <row r="789">
          <cell r="A789">
            <v>4367</v>
          </cell>
          <cell r="B789" t="str">
            <v>Cyl. Skrue M10 x 25 A2 DIN 912</v>
          </cell>
          <cell r="C789" t="str">
            <v>Cyl. Screw M10 x 25 A2 DIN 912</v>
          </cell>
          <cell r="D789">
            <v>2.4</v>
          </cell>
          <cell r="E789">
            <v>0.32258064516129031</v>
          </cell>
        </row>
        <row r="790">
          <cell r="A790">
            <v>4368</v>
          </cell>
          <cell r="B790" t="str">
            <v>Sektion for fordæksel for mellemaksel M30</v>
          </cell>
          <cell r="C790" t="str">
            <v>Section for frontcover for shaft M30</v>
          </cell>
          <cell r="D790">
            <v>1756</v>
          </cell>
          <cell r="E790">
            <v>236.02150537634407</v>
          </cell>
        </row>
        <row r="791">
          <cell r="A791">
            <v>4372</v>
          </cell>
          <cell r="B791" t="str">
            <v>U-skrue M6 x 20 FZB DIN 7991</v>
          </cell>
          <cell r="C791" t="str">
            <v>Counter sunk screw M6 x 20 FZB DIN 7991</v>
          </cell>
          <cell r="D791">
            <v>1</v>
          </cell>
          <cell r="E791">
            <v>0.13440860215053763</v>
          </cell>
        </row>
        <row r="792">
          <cell r="A792">
            <v>4373</v>
          </cell>
          <cell r="B792" t="str">
            <v>Pinolskrue M10 x 16 14.9</v>
          </cell>
          <cell r="C792" t="str">
            <v>Centre screw M10 x 16 14.9</v>
          </cell>
          <cell r="D792">
            <v>1.3</v>
          </cell>
          <cell r="E792">
            <v>0.17473118279569891</v>
          </cell>
        </row>
        <row r="793">
          <cell r="A793">
            <v>4377</v>
          </cell>
          <cell r="B793" t="str">
            <v>Låsemøtrik for hovedleje M30</v>
          </cell>
          <cell r="C793" t="str">
            <v>Locknut for mainbearing m30</v>
          </cell>
          <cell r="D793">
            <v>1825</v>
          </cell>
          <cell r="E793">
            <v>245.29569892473117</v>
          </cell>
        </row>
        <row r="794">
          <cell r="A794">
            <v>4378</v>
          </cell>
          <cell r="B794" t="str">
            <v>Ringmøtrik for hovedleje M30</v>
          </cell>
          <cell r="C794" t="str">
            <v>Ring nut for mainbearing M30</v>
          </cell>
          <cell r="D794">
            <v>3415</v>
          </cell>
          <cell r="E794">
            <v>459.00537634408602</v>
          </cell>
        </row>
        <row r="795">
          <cell r="A795">
            <v>4381</v>
          </cell>
          <cell r="B795" t="str">
            <v>Afstandsring , L=12</v>
          </cell>
          <cell r="C795" t="str">
            <v>Distance ring, L=12</v>
          </cell>
          <cell r="D795">
            <v>58</v>
          </cell>
          <cell r="E795">
            <v>7.7956989247311821</v>
          </cell>
        </row>
        <row r="796">
          <cell r="A796">
            <v>4382</v>
          </cell>
          <cell r="B796" t="str">
            <v>Strammehjul 1 1/4" Z11</v>
          </cell>
          <cell r="C796" t="str">
            <v>Tension wheel 1 1/4" Z11</v>
          </cell>
          <cell r="D796">
            <v>1855</v>
          </cell>
          <cell r="E796">
            <v>249.3279569892473</v>
          </cell>
        </row>
        <row r="797">
          <cell r="A797">
            <v>4385</v>
          </cell>
          <cell r="B797" t="str">
            <v>Sporkugleleje 6306 2RSR</v>
          </cell>
          <cell r="C797" t="str">
            <v>Step ball bearing 6306 2RSR</v>
          </cell>
          <cell r="D797">
            <v>58</v>
          </cell>
          <cell r="E797">
            <v>7.7956989247311821</v>
          </cell>
        </row>
        <row r="798">
          <cell r="A798">
            <v>4386</v>
          </cell>
          <cell r="B798" t="str">
            <v>Arm for Rosta Fjederlem L=175</v>
          </cell>
          <cell r="C798" t="str">
            <v>Arm f Rosta bearing 6306 2RSR</v>
          </cell>
          <cell r="D798">
            <v>281</v>
          </cell>
          <cell r="E798">
            <v>37.768817204301072</v>
          </cell>
        </row>
        <row r="799">
          <cell r="A799">
            <v>4387</v>
          </cell>
          <cell r="B799" t="str">
            <v>Fjederelement DK-A27x100</v>
          </cell>
          <cell r="C799" t="str">
            <v>Spring element DK-A27 x 100</v>
          </cell>
          <cell r="D799">
            <v>387</v>
          </cell>
          <cell r="E799">
            <v>52.016129032258064</v>
          </cell>
        </row>
        <row r="800">
          <cell r="A800">
            <v>4388</v>
          </cell>
          <cell r="B800" t="str">
            <v>Monteringsbesæag for Rosta DK-A</v>
          </cell>
          <cell r="C800" t="str">
            <v>Mounting hinge for Rosta DK-A</v>
          </cell>
          <cell r="D800">
            <v>159</v>
          </cell>
          <cell r="E800">
            <v>21.370967741935484</v>
          </cell>
        </row>
        <row r="801">
          <cell r="A801">
            <v>4390</v>
          </cell>
          <cell r="B801" t="str">
            <v>Drivkæde 1 1/4" x 19</v>
          </cell>
          <cell r="C801" t="str">
            <v>Transmission chain 1 1/4" x 19</v>
          </cell>
          <cell r="D801">
            <v>313</v>
          </cell>
          <cell r="E801">
            <v>42.06989247311828</v>
          </cell>
        </row>
        <row r="802">
          <cell r="A802">
            <v>4391</v>
          </cell>
          <cell r="B802" t="str">
            <v>Samleled rullekæde 1"x17</v>
          </cell>
          <cell r="C802" t="str">
            <v>Joint link transmission chain 1" x 17</v>
          </cell>
          <cell r="D802">
            <v>24</v>
          </cell>
          <cell r="E802">
            <v>3.225806451612903</v>
          </cell>
        </row>
        <row r="803">
          <cell r="A803">
            <v>4392</v>
          </cell>
          <cell r="B803" t="str">
            <v>Samleled 1 1/4" x 19</v>
          </cell>
          <cell r="C803" t="str">
            <v>Joint link 1 1/4" Z30 Ø60</v>
          </cell>
          <cell r="D803">
            <v>20</v>
          </cell>
          <cell r="E803">
            <v>2.6881720430107525</v>
          </cell>
        </row>
        <row r="804">
          <cell r="A804">
            <v>4393</v>
          </cell>
          <cell r="B804" t="str">
            <v>Rørstift Ø10 x 30</v>
          </cell>
          <cell r="C804" t="str">
            <v>Tub. pin Ø10 x 30</v>
          </cell>
          <cell r="D804">
            <v>17</v>
          </cell>
          <cell r="E804">
            <v>2.2849462365591395</v>
          </cell>
        </row>
        <row r="805">
          <cell r="A805">
            <v>4394</v>
          </cell>
          <cell r="B805" t="str">
            <v>Kædehjul type 2 1 1/4" Z30 Ø60</v>
          </cell>
          <cell r="C805" t="str">
            <v>Chain wheel type 2, 1 1/4" Z30 Ø60</v>
          </cell>
          <cell r="D805">
            <v>3169</v>
          </cell>
          <cell r="E805">
            <v>425.94086021505376</v>
          </cell>
        </row>
        <row r="806">
          <cell r="A806">
            <v>4395</v>
          </cell>
          <cell r="B806" t="str">
            <v>Kædehjul type 1 1 1/4" Z30 Ø60</v>
          </cell>
          <cell r="C806" t="str">
            <v>Chain wheel type 1, 1 1/4" Z30 Ø60</v>
          </cell>
          <cell r="D806">
            <v>1855</v>
          </cell>
          <cell r="E806">
            <v>249.3279569892473</v>
          </cell>
        </row>
        <row r="807">
          <cell r="A807">
            <v>4399</v>
          </cell>
          <cell r="B807" t="str">
            <v>Cyl. Skrue M8 x 20 A2 DIN 912</v>
          </cell>
          <cell r="C807" t="str">
            <v>Cyl. Screw M8 x 20 A2 DIN 912</v>
          </cell>
          <cell r="D807">
            <v>1.6</v>
          </cell>
          <cell r="E807">
            <v>0.21505376344086022</v>
          </cell>
        </row>
        <row r="808">
          <cell r="A808">
            <v>4405</v>
          </cell>
          <cell r="B808" t="str">
            <v>Rørstift Ø10 x 20 DIN 1480</v>
          </cell>
          <cell r="C808" t="str">
            <v>Tub pin Ø10 x 20 DIN 1480</v>
          </cell>
          <cell r="D808">
            <v>2.1</v>
          </cell>
          <cell r="E808">
            <v>0.282258064516129</v>
          </cell>
        </row>
        <row r="809">
          <cell r="A809">
            <v>4406</v>
          </cell>
          <cell r="B809" t="str">
            <v>Gevindstang M12 DIN925  L = 135</v>
          </cell>
          <cell r="C809" t="str">
            <v>Threaded rod M12 DIN925  L = 135</v>
          </cell>
          <cell r="D809">
            <v>29</v>
          </cell>
          <cell r="E809">
            <v>3.897849462365591</v>
          </cell>
        </row>
        <row r="810">
          <cell r="A810">
            <v>4412</v>
          </cell>
          <cell r="B810" t="str">
            <v>6-kt. Skrue M16 x 60 8.8 sort</v>
          </cell>
          <cell r="C810" t="str">
            <v>Hex screw M16 x 60 8.8 sort</v>
          </cell>
          <cell r="D810">
            <v>4.7</v>
          </cell>
          <cell r="E810">
            <v>0.63172043010752688</v>
          </cell>
        </row>
        <row r="811">
          <cell r="A811">
            <v>4413</v>
          </cell>
          <cell r="B811" t="str">
            <v>Eye bolt M16  FZB  DIN 580</v>
          </cell>
          <cell r="C811" t="str">
            <v>Eye bolt M16 FZB DIN580</v>
          </cell>
          <cell r="D811">
            <v>34</v>
          </cell>
          <cell r="E811">
            <v>4.5698924731182791</v>
          </cell>
        </row>
        <row r="812">
          <cell r="A812">
            <v>4415</v>
          </cell>
          <cell r="B812" t="str">
            <v>Facetskive Ø24 DIN125B</v>
          </cell>
          <cell r="C812" t="str">
            <v>Washer Ø24 DIN 125 B</v>
          </cell>
          <cell r="D812">
            <v>4</v>
          </cell>
          <cell r="E812">
            <v>0.5376344086021505</v>
          </cell>
        </row>
        <row r="813">
          <cell r="A813">
            <v>4416</v>
          </cell>
          <cell r="B813" t="str">
            <v>Cyl. Skrue M6 x 10 8.8</v>
          </cell>
          <cell r="C813" t="str">
            <v>Cyl. Screw M6 x 10 8.8</v>
          </cell>
          <cell r="D813">
            <v>0.4</v>
          </cell>
          <cell r="E813">
            <v>5.3763440860215055E-2</v>
          </cell>
        </row>
        <row r="814">
          <cell r="A814">
            <v>4419</v>
          </cell>
          <cell r="B814" t="str">
            <v>Gearmotor 0,12 kW</v>
          </cell>
          <cell r="C814" t="str">
            <v>Gear motor 0,12 kW</v>
          </cell>
          <cell r="D814">
            <v>2417</v>
          </cell>
          <cell r="E814">
            <v>324.86559139784947</v>
          </cell>
        </row>
        <row r="815">
          <cell r="A815">
            <v>4420</v>
          </cell>
          <cell r="B815" t="str">
            <v>Flangeleje UCF 205</v>
          </cell>
          <cell r="C815" t="str">
            <v>Flange  UCF 205</v>
          </cell>
          <cell r="D815">
            <v>101</v>
          </cell>
          <cell r="E815">
            <v>13.5752688172043</v>
          </cell>
        </row>
        <row r="816">
          <cell r="A816">
            <v>4421</v>
          </cell>
          <cell r="B816" t="str">
            <v>Sporkugleleje 6305-2RS1</v>
          </cell>
          <cell r="C816" t="str">
            <v>Bearing 6305-2RS1</v>
          </cell>
          <cell r="D816">
            <v>45</v>
          </cell>
          <cell r="E816">
            <v>6.0483870967741931</v>
          </cell>
        </row>
        <row r="817">
          <cell r="A817">
            <v>4427</v>
          </cell>
          <cell r="B817" t="str">
            <v>Drivtandhjul</v>
          </cell>
          <cell r="C817" t="str">
            <v>Drive igear wheel</v>
          </cell>
          <cell r="D817">
            <v>2508</v>
          </cell>
          <cell r="E817">
            <v>337.09677419354836</v>
          </cell>
        </row>
        <row r="818">
          <cell r="A818">
            <v>4428</v>
          </cell>
          <cell r="B818" t="str">
            <v>Hjulkonsol</v>
          </cell>
          <cell r="C818" t="str">
            <v>Wheel console</v>
          </cell>
          <cell r="D818">
            <v>2014</v>
          </cell>
          <cell r="E818">
            <v>270.69892473118279</v>
          </cell>
        </row>
        <row r="819">
          <cell r="A819">
            <v>4429</v>
          </cell>
          <cell r="B819" t="str">
            <v>Hjulkonsol drev</v>
          </cell>
          <cell r="C819" t="str">
            <v>Wheel console, drive</v>
          </cell>
          <cell r="D819">
            <v>2968</v>
          </cell>
          <cell r="E819">
            <v>398.92473118279565</v>
          </cell>
        </row>
        <row r="820">
          <cell r="A820">
            <v>4437</v>
          </cell>
          <cell r="B820" t="str">
            <v>Aksel Ø30x70  2xlåsering CK 45 h6</v>
          </cell>
          <cell r="C820" t="str">
            <v>Shaft Ø30 x 70 2 x lockring CK 45 H6</v>
          </cell>
          <cell r="D820">
            <v>127</v>
          </cell>
          <cell r="E820">
            <v>17.06989247311828</v>
          </cell>
        </row>
        <row r="821">
          <cell r="A821">
            <v>4438</v>
          </cell>
          <cell r="B821" t="str">
            <v>Facetskive Ø24 FZB DIN125B</v>
          </cell>
          <cell r="C821" t="str">
            <v>Washer Ø24 FZB DIN125B</v>
          </cell>
          <cell r="D821">
            <v>2.4</v>
          </cell>
          <cell r="E821">
            <v>0.32258064516129031</v>
          </cell>
        </row>
        <row r="822">
          <cell r="A822">
            <v>4439</v>
          </cell>
          <cell r="B822" t="str">
            <v>Cyl. Skrue M24 x 110 12.9</v>
          </cell>
          <cell r="C822" t="str">
            <v>Cyl. Screw M24 x 110 12.9</v>
          </cell>
          <cell r="D822">
            <v>37</v>
          </cell>
          <cell r="E822">
            <v>4.9731182795698921</v>
          </cell>
        </row>
        <row r="823">
          <cell r="A823">
            <v>4440</v>
          </cell>
          <cell r="B823" t="str">
            <v>6-kt. Skrue M30 x 130 8.8 sort</v>
          </cell>
          <cell r="C823" t="str">
            <v xml:space="preserve">Hex screw M30 x 130 8.8 </v>
          </cell>
          <cell r="D823">
            <v>52</v>
          </cell>
          <cell r="E823">
            <v>6.989247311827957</v>
          </cell>
        </row>
        <row r="824">
          <cell r="A824">
            <v>4441</v>
          </cell>
          <cell r="B824" t="str">
            <v>Hoved for spindel</v>
          </cell>
          <cell r="C824" t="str">
            <v>Head for spindle</v>
          </cell>
          <cell r="D824">
            <v>553</v>
          </cell>
          <cell r="E824">
            <v>74.327956989247312</v>
          </cell>
        </row>
        <row r="825">
          <cell r="A825">
            <v>4442</v>
          </cell>
          <cell r="B825" t="str">
            <v>Spindel linksgev., rullejustering M30</v>
          </cell>
          <cell r="C825" t="str">
            <v>Stem for roller adustment M30</v>
          </cell>
          <cell r="D825">
            <v>484</v>
          </cell>
          <cell r="E825">
            <v>65.053763440860209</v>
          </cell>
        </row>
        <row r="826">
          <cell r="A826">
            <v>4443</v>
          </cell>
          <cell r="B826" t="str">
            <v>Justeringsspindel</v>
          </cell>
          <cell r="C826" t="str">
            <v>Adjusting spindle</v>
          </cell>
          <cell r="D826">
            <v>939</v>
          </cell>
          <cell r="E826">
            <v>126.20967741935483</v>
          </cell>
        </row>
        <row r="827">
          <cell r="A827">
            <v>4444</v>
          </cell>
          <cell r="B827" t="str">
            <v>Foring for momentarm, messing</v>
          </cell>
          <cell r="C827" t="str">
            <v>Bushing for overload arm, brass</v>
          </cell>
          <cell r="D827">
            <v>126</v>
          </cell>
          <cell r="E827">
            <v>16.93548387096774</v>
          </cell>
        </row>
        <row r="828">
          <cell r="A828">
            <v>4446</v>
          </cell>
          <cell r="B828" t="str">
            <v>Justermøtrik, sikkerhedskobling</v>
          </cell>
          <cell r="C828" t="str">
            <v>Adjusting nut for safety coupling</v>
          </cell>
          <cell r="D828">
            <v>600</v>
          </cell>
          <cell r="E828">
            <v>80.645161290322577</v>
          </cell>
        </row>
        <row r="829">
          <cell r="A829">
            <v>4447</v>
          </cell>
          <cell r="B829" t="str">
            <v>Sikringsbolt, sikkerhedskobling M30</v>
          </cell>
          <cell r="C829" t="str">
            <v>Safety bolt, safety coupling M30</v>
          </cell>
          <cell r="D829">
            <v>241</v>
          </cell>
          <cell r="E829">
            <v>32.392473118279568</v>
          </cell>
        </row>
        <row r="830">
          <cell r="A830">
            <v>4448</v>
          </cell>
          <cell r="B830" t="str">
            <v>Gaffelhængsel, sikkerhedskobling</v>
          </cell>
          <cell r="C830" t="str">
            <v>Forked fitting, safety coupling</v>
          </cell>
          <cell r="D830">
            <v>1237</v>
          </cell>
          <cell r="E830">
            <v>166.26344086021504</v>
          </cell>
        </row>
        <row r="831">
          <cell r="A831">
            <v>4452</v>
          </cell>
          <cell r="B831" t="str">
            <v>Krydshåndtag M10 x 30</v>
          </cell>
          <cell r="C831" t="str">
            <v>Cross handle M10 x 30</v>
          </cell>
          <cell r="D831">
            <v>20</v>
          </cell>
          <cell r="E831">
            <v>2.6881720430107525</v>
          </cell>
        </row>
        <row r="832">
          <cell r="A832">
            <v>4453</v>
          </cell>
          <cell r="B832" t="str">
            <v>Inspektionsdæksel forplade M30</v>
          </cell>
          <cell r="C832" t="str">
            <v>Inspection cover frontplate M30</v>
          </cell>
          <cell r="D832">
            <v>1531</v>
          </cell>
          <cell r="E832">
            <v>205.77956989247312</v>
          </cell>
        </row>
        <row r="833">
          <cell r="A833">
            <v>4460</v>
          </cell>
          <cell r="B833" t="str">
            <v>Sfærisk rulleleje 23976</v>
          </cell>
          <cell r="C833" t="str">
            <v>Spherical roller bearing 23976</v>
          </cell>
          <cell r="D833">
            <v>18974</v>
          </cell>
          <cell r="E833">
            <v>2550.2688172043008</v>
          </cell>
        </row>
        <row r="834">
          <cell r="A834">
            <v>4462</v>
          </cell>
          <cell r="B834" t="str">
            <v>Facetskive Ø42 DIN 125B</v>
          </cell>
          <cell r="C834" t="str">
            <v>Washer Ø42 DIN 125B</v>
          </cell>
          <cell r="D834">
            <v>25</v>
          </cell>
          <cell r="E834">
            <v>3.3602150537634405</v>
          </cell>
        </row>
        <row r="835">
          <cell r="A835">
            <v>4463</v>
          </cell>
          <cell r="B835" t="str">
            <v>Fjederring U35 x 1,5</v>
          </cell>
          <cell r="C835" t="str">
            <v>Spring ring U35 x 1,5</v>
          </cell>
          <cell r="D835">
            <v>2.2000000000000002</v>
          </cell>
          <cell r="E835">
            <v>0.29569892473118281</v>
          </cell>
        </row>
        <row r="836">
          <cell r="A836">
            <v>4463</v>
          </cell>
          <cell r="B836" t="str">
            <v>Låsering</v>
          </cell>
          <cell r="C836" t="str">
            <v>Locking ring</v>
          </cell>
          <cell r="D836">
            <v>1.6</v>
          </cell>
          <cell r="E836">
            <v>0.21505376344086022</v>
          </cell>
        </row>
        <row r="837">
          <cell r="A837">
            <v>4466</v>
          </cell>
          <cell r="B837" t="str">
            <v>Momentarm, sikkerhedskobling M30</v>
          </cell>
          <cell r="C837" t="str">
            <v>Torque arm for safety coupling M30</v>
          </cell>
          <cell r="D837">
            <v>6836</v>
          </cell>
          <cell r="E837">
            <v>918.81720430107521</v>
          </cell>
        </row>
        <row r="838">
          <cell r="A838">
            <v>4482</v>
          </cell>
          <cell r="B838" t="str">
            <v>U- skrue M12 x020  DIN 7991  10,9</v>
          </cell>
          <cell r="C838" t="str">
            <v>Counter sunk screw M12x20 DIN7991 10,9</v>
          </cell>
          <cell r="D838">
            <v>5.6</v>
          </cell>
          <cell r="E838">
            <v>0.75268817204301064</v>
          </cell>
        </row>
        <row r="839">
          <cell r="A839">
            <v>4483</v>
          </cell>
          <cell r="B839" t="str">
            <v>O-ring Ø009,19 x Ø2,62 Nitril</v>
          </cell>
          <cell r="C839" t="str">
            <v>O-ring Ø009,19 x Ø2,62 Nitril</v>
          </cell>
          <cell r="D839">
            <v>1.3</v>
          </cell>
          <cell r="E839">
            <v>0.17473118279569891</v>
          </cell>
        </row>
        <row r="840">
          <cell r="A840">
            <v>4485</v>
          </cell>
          <cell r="B840" t="str">
            <v>Cyl. Skrue M8 x 20 8.8 DIN 911</v>
          </cell>
          <cell r="C840" t="str">
            <v>Cyl. Screw M8 x 20 8.8 DIN 911</v>
          </cell>
          <cell r="D840">
            <v>0.7</v>
          </cell>
          <cell r="E840">
            <v>9.408602150537633E-2</v>
          </cell>
        </row>
        <row r="841">
          <cell r="A841">
            <v>4486</v>
          </cell>
          <cell r="B841" t="str">
            <v>Thermometer 0-160 for rulle</v>
          </cell>
          <cell r="C841" t="str">
            <v>Thermometer 0-160 for roller</v>
          </cell>
          <cell r="D841">
            <v>254</v>
          </cell>
          <cell r="E841">
            <v>34.13978494623656</v>
          </cell>
        </row>
        <row r="842">
          <cell r="A842">
            <v>4487</v>
          </cell>
          <cell r="B842" t="str">
            <v>Tætningskrave</v>
          </cell>
          <cell r="C842" t="str">
            <v>Seal collar</v>
          </cell>
          <cell r="D842">
            <v>769</v>
          </cell>
          <cell r="E842">
            <v>103.36021505376344</v>
          </cell>
        </row>
        <row r="843">
          <cell r="A843">
            <v>4489</v>
          </cell>
          <cell r="B843" t="str">
            <v>Afstandsring Hovedleje M30</v>
          </cell>
          <cell r="C843" t="str">
            <v>Distance ring M30</v>
          </cell>
          <cell r="D843">
            <v>2120</v>
          </cell>
          <cell r="E843">
            <v>284.94623655913978</v>
          </cell>
        </row>
        <row r="844">
          <cell r="A844">
            <v>4490</v>
          </cell>
          <cell r="B844" t="str">
            <v>Rulleholderaksel</v>
          </cell>
          <cell r="C844" t="str">
            <v>Roller main shaft</v>
          </cell>
          <cell r="D844">
            <v>19080</v>
          </cell>
          <cell r="E844">
            <v>2564.516129032258</v>
          </cell>
        </row>
        <row r="845">
          <cell r="A845">
            <v>4491</v>
          </cell>
          <cell r="B845" t="str">
            <v>Afstandsring ø178xø152 x 4 M30</v>
          </cell>
          <cell r="C845" t="str">
            <v>Distance ring ø178xø152 x 4 M30</v>
          </cell>
          <cell r="D845">
            <v>171</v>
          </cell>
          <cell r="E845">
            <v>22.983870967741936</v>
          </cell>
        </row>
        <row r="846">
          <cell r="A846">
            <v>4492</v>
          </cell>
          <cell r="B846" t="str">
            <v>Afstandsring ø270xø245 x 4 M30</v>
          </cell>
          <cell r="C846" t="str">
            <v>Distance ring ø270xø245 x 4 M30</v>
          </cell>
          <cell r="D846">
            <v>201</v>
          </cell>
          <cell r="E846">
            <v>27.016129032258064</v>
          </cell>
        </row>
        <row r="847">
          <cell r="A847">
            <v>4496</v>
          </cell>
          <cell r="B847" t="str">
            <v>Forplade komplet</v>
          </cell>
          <cell r="C847" t="str">
            <v>Front plate, complete</v>
          </cell>
          <cell r="D847">
            <v>2438</v>
          </cell>
          <cell r="E847">
            <v>327.68817204301075</v>
          </cell>
        </row>
        <row r="848">
          <cell r="A848">
            <v>4511</v>
          </cell>
          <cell r="B848" t="str">
            <v>Gearmotor 0,18kW, 24 o/min</v>
          </cell>
          <cell r="C848" t="str">
            <v>Gearmotor 0,18 kW, 24 rpm</v>
          </cell>
          <cell r="D848">
            <v>4452</v>
          </cell>
          <cell r="E848">
            <v>598.38709677419354</v>
          </cell>
        </row>
        <row r="849">
          <cell r="A849">
            <v>4512</v>
          </cell>
          <cell r="B849" t="str">
            <v>Plejlstang</v>
          </cell>
          <cell r="C849" t="str">
            <v>Connecting rod</v>
          </cell>
          <cell r="D849">
            <v>1007</v>
          </cell>
          <cell r="E849">
            <v>135.34946236559139</v>
          </cell>
        </row>
        <row r="850">
          <cell r="A850">
            <v>4513</v>
          </cell>
          <cell r="B850" t="str">
            <v>Tap</v>
          </cell>
          <cell r="C850" t="str">
            <v>Pin</v>
          </cell>
          <cell r="D850">
            <v>265</v>
          </cell>
          <cell r="E850">
            <v>35.618279569892472</v>
          </cell>
        </row>
        <row r="851">
          <cell r="A851">
            <v>4515</v>
          </cell>
          <cell r="B851" t="str">
            <v>Fordelerplade</v>
          </cell>
          <cell r="C851" t="str">
            <v>Deflector plate</v>
          </cell>
          <cell r="D851">
            <v>4929</v>
          </cell>
          <cell r="E851">
            <v>662.5</v>
          </cell>
        </row>
        <row r="852">
          <cell r="A852">
            <v>4516</v>
          </cell>
          <cell r="B852" t="str">
            <v>Arm for godsfordeler</v>
          </cell>
          <cell r="C852" t="str">
            <v>Arm for deflector</v>
          </cell>
          <cell r="D852">
            <v>6042</v>
          </cell>
          <cell r="E852">
            <v>812.0967741935483</v>
          </cell>
        </row>
        <row r="853">
          <cell r="A853">
            <v>4517</v>
          </cell>
          <cell r="B853" t="str">
            <v>Krumtap</v>
          </cell>
          <cell r="C853" t="str">
            <v>Crank</v>
          </cell>
          <cell r="D853">
            <v>1749</v>
          </cell>
          <cell r="E853">
            <v>235.08064516129031</v>
          </cell>
        </row>
        <row r="854">
          <cell r="A854">
            <v>4522</v>
          </cell>
          <cell r="B854" t="str">
            <v>Ledhoved</v>
          </cell>
          <cell r="C854" t="str">
            <v>Link head</v>
          </cell>
          <cell r="D854">
            <v>196</v>
          </cell>
          <cell r="E854">
            <v>26.344086021505376</v>
          </cell>
        </row>
        <row r="855">
          <cell r="A855">
            <v>4527</v>
          </cell>
          <cell r="B855" t="str">
            <v>Kædedrew uden sikring 1 lag</v>
          </cell>
          <cell r="C855" t="str">
            <v xml:space="preserve">CHAIN DRIVE </v>
          </cell>
          <cell r="D855">
            <v>1537</v>
          </cell>
          <cell r="E855">
            <v>206.58602150537632</v>
          </cell>
        </row>
        <row r="856">
          <cell r="A856">
            <v>4528</v>
          </cell>
          <cell r="B856" t="str">
            <v>Kædedrev uden sikring 2 lag</v>
          </cell>
          <cell r="C856" t="str">
            <v xml:space="preserve">CHAIN DRIVE </v>
          </cell>
          <cell r="D856">
            <v>2533</v>
          </cell>
          <cell r="E856">
            <v>340.45698924731181</v>
          </cell>
        </row>
        <row r="857">
          <cell r="A857">
            <v>4533</v>
          </cell>
          <cell r="B857" t="str">
            <v>Pinolskrue M8 x 16 14.9 DIN916</v>
          </cell>
          <cell r="C857" t="str">
            <v>Centre screw M8 x 16 14.9 DIN916</v>
          </cell>
          <cell r="D857">
            <v>1</v>
          </cell>
          <cell r="E857">
            <v>0.13440860215053763</v>
          </cell>
        </row>
        <row r="858">
          <cell r="A858">
            <v>4534</v>
          </cell>
          <cell r="B858" t="str">
            <v>Pinolskrue M10 x 16 14.9</v>
          </cell>
          <cell r="C858" t="str">
            <v>Centre screw M10 x 16 14.9</v>
          </cell>
          <cell r="D858">
            <v>1.6</v>
          </cell>
          <cell r="E858">
            <v>0.21505376344086022</v>
          </cell>
        </row>
        <row r="859">
          <cell r="A859">
            <v>4536</v>
          </cell>
          <cell r="B859" t="str">
            <v>(Erstattet af 513267) Møtrik M12 A2 DIN 934</v>
          </cell>
          <cell r="C859" t="str">
            <v>(Replaced by 513267) Nut M12 A2 DIN 934</v>
          </cell>
          <cell r="D859" t="str">
            <v>replaced</v>
          </cell>
          <cell r="E859" t="str">
            <v>replaced</v>
          </cell>
        </row>
        <row r="860">
          <cell r="A860">
            <v>4539</v>
          </cell>
          <cell r="B860" t="str">
            <v>Pinolskrue M8 x 20 A2</v>
          </cell>
          <cell r="C860" t="str">
            <v>Centre screw M8 x 20 A2</v>
          </cell>
          <cell r="D860">
            <v>1.8</v>
          </cell>
          <cell r="E860">
            <v>0.24193548387096772</v>
          </cell>
        </row>
        <row r="861">
          <cell r="A861">
            <v>4540</v>
          </cell>
          <cell r="B861" t="str">
            <v>Labyrint tætning</v>
          </cell>
          <cell r="C861" t="str">
            <v>Labyrinth packing</v>
          </cell>
          <cell r="D861">
            <v>3470</v>
          </cell>
          <cell r="E861">
            <v>466.39784946236557</v>
          </cell>
        </row>
        <row r="862">
          <cell r="A862">
            <v>4541</v>
          </cell>
          <cell r="B862" t="str">
            <v>Lejehus bagerst</v>
          </cell>
          <cell r="C862" t="str">
            <v>Bearing housing rear</v>
          </cell>
          <cell r="D862">
            <v>9211</v>
          </cell>
          <cell r="E862">
            <v>1238.0376344086021</v>
          </cell>
        </row>
        <row r="863">
          <cell r="A863">
            <v>4543</v>
          </cell>
          <cell r="B863" t="str">
            <v>Lejehus</v>
          </cell>
          <cell r="C863" t="str">
            <v>Bearing housing</v>
          </cell>
          <cell r="D863">
            <v>1961</v>
          </cell>
          <cell r="E863">
            <v>263.57526881720429</v>
          </cell>
        </row>
        <row r="864">
          <cell r="A864">
            <v>4549</v>
          </cell>
          <cell r="B864" t="str">
            <v>6-kt. Skrue M20 x 160 DIN 933</v>
          </cell>
          <cell r="C864" t="str">
            <v>Hex screw M20 x 160 DIN 933</v>
          </cell>
          <cell r="D864">
            <v>33</v>
          </cell>
          <cell r="E864">
            <v>4.435483870967742</v>
          </cell>
        </row>
        <row r="865">
          <cell r="A865">
            <v>4552</v>
          </cell>
          <cell r="B865" t="str">
            <v xml:space="preserve">Kilerem SPB 1900 </v>
          </cell>
          <cell r="C865" t="str">
            <v>V-belt SPB 1900</v>
          </cell>
          <cell r="D865">
            <v>95</v>
          </cell>
          <cell r="E865">
            <v>12.768817204301074</v>
          </cell>
        </row>
        <row r="866">
          <cell r="A866">
            <v>4553</v>
          </cell>
          <cell r="B866" t="str">
            <v>Spændelement TL 3535, Ø70</v>
          </cell>
          <cell r="C866" t="str">
            <v>Taper bush TL 3535, Ø70</v>
          </cell>
          <cell r="D866">
            <v>175</v>
          </cell>
          <cell r="E866">
            <v>23.521505376344084</v>
          </cell>
        </row>
        <row r="867">
          <cell r="A867">
            <v>4557</v>
          </cell>
          <cell r="B867" t="str">
            <v xml:space="preserve">Bremsekaliber komplet, incl. pos. (1) - (4) </v>
          </cell>
          <cell r="C867" t="str">
            <v xml:space="preserve">Brake caliber complete, incl. item (1) - (4) </v>
          </cell>
          <cell r="D867">
            <v>2724</v>
          </cell>
          <cell r="E867">
            <v>366.12903225806451</v>
          </cell>
        </row>
        <row r="868">
          <cell r="A868">
            <v>4562</v>
          </cell>
          <cell r="B868" t="str">
            <v>6-kt. Skrue M10 x 20 8.8</v>
          </cell>
          <cell r="C868" t="str">
            <v>Hex screw M10 x 20 8.8</v>
          </cell>
          <cell r="D868">
            <v>1</v>
          </cell>
          <cell r="E868">
            <v>0.13440860215053763</v>
          </cell>
        </row>
        <row r="869">
          <cell r="A869">
            <v>4563</v>
          </cell>
          <cell r="B869" t="str">
            <v>Wireskive SR 100</v>
          </cell>
          <cell r="C869" t="str">
            <v>Wire disc SR100</v>
          </cell>
          <cell r="D869">
            <v>418</v>
          </cell>
          <cell r="E869">
            <v>56.182795698924728</v>
          </cell>
        </row>
        <row r="870">
          <cell r="A870">
            <v>4564</v>
          </cell>
          <cell r="B870" t="str">
            <v>Wirestrop Ø6</v>
          </cell>
          <cell r="C870" t="str">
            <v>Cablestop for crane</v>
          </cell>
          <cell r="D870">
            <v>102</v>
          </cell>
          <cell r="E870">
            <v>13.709677419354838</v>
          </cell>
        </row>
        <row r="871">
          <cell r="A871">
            <v>4569</v>
          </cell>
          <cell r="B871" t="str">
            <v>6-kt. Skrue M12 x 50 8.8 DIN 931</v>
          </cell>
          <cell r="C871" t="str">
            <v>Hex screw M12 x 50 8.8 DIN 931</v>
          </cell>
          <cell r="D871">
            <v>2.2000000000000002</v>
          </cell>
          <cell r="E871">
            <v>0.29569892473118281</v>
          </cell>
        </row>
        <row r="872">
          <cell r="A872">
            <v>4578</v>
          </cell>
          <cell r="B872" t="str">
            <v>Cyl. Skrue M12 x 35 for mellemlæg DIN 912</v>
          </cell>
          <cell r="C872" t="str">
            <v>Cyl. Screw M12 x 35 for intimidiate layer DIN 912</v>
          </cell>
          <cell r="D872">
            <v>1.1000000000000001</v>
          </cell>
          <cell r="E872">
            <v>0.14784946236559141</v>
          </cell>
        </row>
        <row r="873">
          <cell r="A873">
            <v>4579</v>
          </cell>
          <cell r="B873" t="str">
            <v>U-skrue M8 x 16 A2 DIN7991</v>
          </cell>
          <cell r="C873" t="str">
            <v>Counter sunk screw M8 x 16 A2 DIN7991</v>
          </cell>
          <cell r="D873">
            <v>1.9</v>
          </cell>
          <cell r="E873">
            <v>0.2553763440860215</v>
          </cell>
        </row>
        <row r="874">
          <cell r="A874">
            <v>4589</v>
          </cell>
          <cell r="B874" t="str">
            <v>6-kt. Skrue M6 x 16 A2 DIN933</v>
          </cell>
          <cell r="C874" t="str">
            <v>Hex screw M6 x 16 A2 DIN933</v>
          </cell>
          <cell r="D874">
            <v>0.5</v>
          </cell>
          <cell r="E874">
            <v>6.7204301075268813E-2</v>
          </cell>
        </row>
        <row r="875">
          <cell r="A875">
            <v>4590</v>
          </cell>
          <cell r="B875" t="str">
            <v>Låsemøtrik M16 A2 DIN985</v>
          </cell>
          <cell r="C875" t="str">
            <v>Lock nut M16 A2 DIN985</v>
          </cell>
          <cell r="D875">
            <v>7.4</v>
          </cell>
          <cell r="E875">
            <v>0.9946236559139785</v>
          </cell>
        </row>
        <row r="876">
          <cell r="A876">
            <v>4591</v>
          </cell>
          <cell r="B876" t="str">
            <v>Låsering U20x1,2</v>
          </cell>
          <cell r="C876" t="str">
            <v>Lock ring U20 x 1,2</v>
          </cell>
          <cell r="D876">
            <v>2.1</v>
          </cell>
          <cell r="E876">
            <v>0.282258064516129</v>
          </cell>
        </row>
        <row r="877">
          <cell r="A877">
            <v>4593</v>
          </cell>
          <cell r="B877" t="str">
            <v>Feder AB 8x7x30</v>
          </cell>
          <cell r="C877" t="str">
            <v>Paralell key AB 8 x 7 30</v>
          </cell>
          <cell r="D877">
            <v>6.4</v>
          </cell>
          <cell r="E877">
            <v>0.86021505376344087</v>
          </cell>
        </row>
        <row r="878">
          <cell r="A878">
            <v>4595</v>
          </cell>
          <cell r="B878" t="str">
            <v>Fjederskive Ø20 DIN 127 B</v>
          </cell>
          <cell r="C878" t="str">
            <v>Spring disc Ø20 DIN 127 B</v>
          </cell>
          <cell r="D878">
            <v>1.6</v>
          </cell>
          <cell r="E878">
            <v>0.21505376344086022</v>
          </cell>
        </row>
        <row r="879">
          <cell r="A879">
            <v>4596</v>
          </cell>
          <cell r="B879" t="str">
            <v>Kontramøtrik M20x1,5</v>
          </cell>
          <cell r="C879" t="str">
            <v>Counter nut M20 x 1,5</v>
          </cell>
          <cell r="D879">
            <v>2.1</v>
          </cell>
          <cell r="E879">
            <v>0.282258064516129</v>
          </cell>
        </row>
        <row r="880">
          <cell r="A880">
            <v>4597</v>
          </cell>
          <cell r="B880" t="str">
            <v>Pinolskrue M12 x 16 14.9 DIN 916</v>
          </cell>
          <cell r="C880" t="str">
            <v>Centre screw M12 x 16 14.9 DIN 916</v>
          </cell>
          <cell r="D880">
            <v>2.1</v>
          </cell>
          <cell r="E880">
            <v>0.282258064516129</v>
          </cell>
        </row>
        <row r="881">
          <cell r="A881">
            <v>4598</v>
          </cell>
          <cell r="B881" t="str">
            <v>Tætningsring 100 x 75 x 12</v>
          </cell>
          <cell r="C881" t="str">
            <v>Oil Seal, 100x75x12</v>
          </cell>
          <cell r="D881">
            <v>117</v>
          </cell>
          <cell r="E881">
            <v>15.725806451612902</v>
          </cell>
        </row>
        <row r="882">
          <cell r="A882">
            <v>4599</v>
          </cell>
          <cell r="B882" t="str">
            <v>U-skrue M5 x 016  DIN  7991 8,8</v>
          </cell>
          <cell r="C882" t="str">
            <v xml:space="preserve">Counter sunk screw M5 x 16  DIN7991 </v>
          </cell>
          <cell r="D882">
            <v>0.8</v>
          </cell>
          <cell r="E882">
            <v>0.10752688172043011</v>
          </cell>
        </row>
        <row r="883">
          <cell r="A883">
            <v>4601</v>
          </cell>
          <cell r="B883" t="str">
            <v>Aftræksring</v>
          </cell>
          <cell r="C883" t="str">
            <v>Pull-off ring</v>
          </cell>
          <cell r="D883">
            <v>546</v>
          </cell>
          <cell r="E883">
            <v>73.387096774193552</v>
          </cell>
        </row>
        <row r="884">
          <cell r="A884">
            <v>4602</v>
          </cell>
          <cell r="B884" t="str">
            <v>Hovedtandhjul komplet</v>
          </cell>
          <cell r="C884" t="str">
            <v>Main gear wheel complete</v>
          </cell>
          <cell r="D884">
            <v>70490</v>
          </cell>
          <cell r="E884">
            <v>9474.4623655913965</v>
          </cell>
        </row>
        <row r="885">
          <cell r="A885">
            <v>4603</v>
          </cell>
          <cell r="B885" t="str">
            <v>Tætningsskål for hovedleje</v>
          </cell>
          <cell r="C885" t="str">
            <v>Seal housing for main bearing</v>
          </cell>
          <cell r="D885">
            <v>7356</v>
          </cell>
          <cell r="E885">
            <v>988.70967741935476</v>
          </cell>
        </row>
        <row r="886">
          <cell r="A886">
            <v>4604</v>
          </cell>
          <cell r="B886" t="str">
            <v>Nav for bremseskive</v>
          </cell>
          <cell r="C886" t="str">
            <v>Hub for brake disc</v>
          </cell>
          <cell r="D886">
            <v>7367</v>
          </cell>
          <cell r="E886">
            <v>990.1881720430107</v>
          </cell>
        </row>
        <row r="887">
          <cell r="A887">
            <v>4610</v>
          </cell>
          <cell r="B887" t="str">
            <v>Indløbstragt</v>
          </cell>
          <cell r="C887" t="str">
            <v>Inlet duct</v>
          </cell>
          <cell r="D887">
            <v>25970</v>
          </cell>
          <cell r="E887">
            <v>3490.5913978494623</v>
          </cell>
        </row>
        <row r="888">
          <cell r="A888">
            <v>4611</v>
          </cell>
          <cell r="B888" t="str">
            <v>Afstrygerkniv</v>
          </cell>
          <cell r="C888" t="str">
            <v>Scraper knife</v>
          </cell>
          <cell r="D888">
            <v>541</v>
          </cell>
          <cell r="E888">
            <v>72.715053763440849</v>
          </cell>
        </row>
        <row r="889">
          <cell r="A889">
            <v>4612</v>
          </cell>
          <cell r="B889" t="str">
            <v>Holder F/Afstrygerkniv</v>
          </cell>
          <cell r="C889" t="str">
            <v>Holder for scraber knife</v>
          </cell>
          <cell r="D889">
            <v>1023</v>
          </cell>
          <cell r="E889">
            <v>137.5</v>
          </cell>
        </row>
        <row r="890">
          <cell r="A890">
            <v>4613</v>
          </cell>
          <cell r="B890" t="str">
            <v>Cyl. Skrue M12 x 35 DIN912</v>
          </cell>
          <cell r="C890" t="str">
            <v>Cyl. Screw M12 x 35 DIN912</v>
          </cell>
          <cell r="D890">
            <v>3.3</v>
          </cell>
          <cell r="E890">
            <v>0.44354838709677413</v>
          </cell>
        </row>
        <row r="891">
          <cell r="A891">
            <v>4614</v>
          </cell>
          <cell r="B891" t="str">
            <v>Hovedlejeskål</v>
          </cell>
          <cell r="C891" t="str">
            <v>Main bearing housing</v>
          </cell>
          <cell r="D891">
            <v>13250</v>
          </cell>
          <cell r="E891">
            <v>1780.9139784946235</v>
          </cell>
        </row>
        <row r="892">
          <cell r="A892">
            <v>4615</v>
          </cell>
          <cell r="B892" t="str">
            <v>Forplade komplet incl. pos. 720 - 721</v>
          </cell>
          <cell r="C892" t="str">
            <v>Frontplate completeincl. Item 720-721</v>
          </cell>
          <cell r="D892">
            <v>6625</v>
          </cell>
          <cell r="E892">
            <v>890.45698924731175</v>
          </cell>
        </row>
        <row r="893">
          <cell r="A893">
            <v>4618</v>
          </cell>
          <cell r="B893" t="str">
            <v>Bolt for rulleaksel</v>
          </cell>
          <cell r="C893" t="str">
            <v>Stay bolt for roller shaft</v>
          </cell>
          <cell r="D893">
            <v>954</v>
          </cell>
          <cell r="E893">
            <v>128.2258064516129</v>
          </cell>
        </row>
        <row r="894">
          <cell r="A894">
            <v>4619</v>
          </cell>
          <cell r="B894" t="str">
            <v>Spændeskive for rulle</v>
          </cell>
          <cell r="C894" t="str">
            <v>Washer for roller</v>
          </cell>
          <cell r="D894">
            <v>371</v>
          </cell>
          <cell r="E894">
            <v>49.865591397849457</v>
          </cell>
        </row>
        <row r="895">
          <cell r="A895">
            <v>4627</v>
          </cell>
          <cell r="B895" t="str">
            <v>Cyl. skrue  M16 x 50 DIN 912</v>
          </cell>
          <cell r="C895" t="str">
            <v>Cyl. screw M16 x 50 DIN 912</v>
          </cell>
          <cell r="D895">
            <v>5</v>
          </cell>
          <cell r="E895">
            <v>0.67204301075268813</v>
          </cell>
        </row>
        <row r="896">
          <cell r="A896">
            <v>4636</v>
          </cell>
          <cell r="B896" t="str">
            <v>Gummidæksel  M6pillekammer</v>
          </cell>
          <cell r="C896" t="str">
            <v>Rubber cover for M 6 Pellets chamber</v>
          </cell>
          <cell r="D896">
            <v>95</v>
          </cell>
          <cell r="E896">
            <v>12.768817204301074</v>
          </cell>
        </row>
        <row r="897">
          <cell r="A897">
            <v>4637</v>
          </cell>
          <cell r="B897" t="str">
            <v>Pillekammer, højre hængslet, kompl.</v>
          </cell>
          <cell r="C897" t="str">
            <v>Pellet chamber, right hinged, compl.</v>
          </cell>
          <cell r="D897">
            <v>68900</v>
          </cell>
          <cell r="E897">
            <v>9260.7526881720423</v>
          </cell>
        </row>
        <row r="898">
          <cell r="A898">
            <v>4640</v>
          </cell>
          <cell r="B898" t="str">
            <v>Håndtag</v>
          </cell>
          <cell r="C898" t="str">
            <v>Handle</v>
          </cell>
          <cell r="D898">
            <v>572</v>
          </cell>
          <cell r="E898">
            <v>76.881720430107521</v>
          </cell>
        </row>
        <row r="899">
          <cell r="A899">
            <v>4650</v>
          </cell>
          <cell r="B899" t="str">
            <v>Feder AB20x12x150 DS96</v>
          </cell>
          <cell r="C899" t="str">
            <v>Paralell key AB 20x12x150 DS 96</v>
          </cell>
          <cell r="D899">
            <v>31</v>
          </cell>
          <cell r="E899">
            <v>4.1666666666666661</v>
          </cell>
        </row>
        <row r="900">
          <cell r="A900">
            <v>4655</v>
          </cell>
          <cell r="B900" t="str">
            <v>Sikringskobling yderpart. M6</v>
          </cell>
          <cell r="C900" t="str">
            <v>Safety Coupling M6 outer part</v>
          </cell>
          <cell r="D900">
            <v>6042</v>
          </cell>
          <cell r="E900">
            <v>812.0967741935483</v>
          </cell>
        </row>
        <row r="901">
          <cell r="A901">
            <v>4656</v>
          </cell>
          <cell r="B901" t="str">
            <v>Stålbøsning.</v>
          </cell>
          <cell r="C901" t="str">
            <v>Steel Sleeve</v>
          </cell>
          <cell r="D901">
            <v>461</v>
          </cell>
          <cell r="E901">
            <v>61.962365591397848</v>
          </cell>
        </row>
        <row r="902">
          <cell r="A902">
            <v>4658</v>
          </cell>
          <cell r="B902" t="str">
            <v>Mellemlægsskive</v>
          </cell>
          <cell r="C902" t="str">
            <v>Intermediate disc</v>
          </cell>
          <cell r="D902">
            <v>191</v>
          </cell>
          <cell r="E902">
            <v>25.672043010752688</v>
          </cell>
        </row>
        <row r="903">
          <cell r="A903">
            <v>4666</v>
          </cell>
          <cell r="B903" t="str">
            <v>U skrue M6 x 12</v>
          </cell>
          <cell r="C903" t="str">
            <v>Countersunk screw M6 x 12</v>
          </cell>
          <cell r="D903">
            <v>0.5</v>
          </cell>
          <cell r="E903">
            <v>6.7204301075268813E-2</v>
          </cell>
        </row>
        <row r="904">
          <cell r="A904">
            <v>4670</v>
          </cell>
          <cell r="B904" t="str">
            <v>Tap for hængsel</v>
          </cell>
          <cell r="C904" t="str">
            <v>Pin for hinge</v>
          </cell>
          <cell r="D904">
            <v>583</v>
          </cell>
          <cell r="E904">
            <v>78.36021505376344</v>
          </cell>
        </row>
        <row r="905">
          <cell r="A905">
            <v>4671</v>
          </cell>
          <cell r="B905" t="str">
            <v>Spindel for rullejustering</v>
          </cell>
          <cell r="C905" t="str">
            <v>Spindle for roller adjustment</v>
          </cell>
          <cell r="D905">
            <v>758</v>
          </cell>
          <cell r="E905">
            <v>101.88172043010752</v>
          </cell>
        </row>
        <row r="906">
          <cell r="A906">
            <v>4674</v>
          </cell>
          <cell r="B906" t="str">
            <v>Hængsel for pillekammer</v>
          </cell>
          <cell r="C906" t="str">
            <v>Hinge for pellet chamber</v>
          </cell>
          <cell r="D906">
            <v>1113</v>
          </cell>
          <cell r="E906">
            <v>149.59677419354838</v>
          </cell>
        </row>
        <row r="907">
          <cell r="A907">
            <v>4678</v>
          </cell>
          <cell r="B907" t="str">
            <v>Hovedaksel komplet incl. pos. 602 - 611</v>
          </cell>
          <cell r="C907" t="str">
            <v>Main shaft complete incl. item 602 - 611</v>
          </cell>
          <cell r="D907">
            <v>76850</v>
          </cell>
          <cell r="E907">
            <v>10329.301075268817</v>
          </cell>
        </row>
        <row r="908">
          <cell r="A908">
            <v>4683</v>
          </cell>
          <cell r="B908" t="str">
            <v>Skive</v>
          </cell>
          <cell r="C908" t="str">
            <v>Washer</v>
          </cell>
          <cell r="D908">
            <v>12.7</v>
          </cell>
          <cell r="E908">
            <v>1.7069892473118278</v>
          </cell>
        </row>
        <row r="909">
          <cell r="A909">
            <v>4684</v>
          </cell>
          <cell r="B909" t="str">
            <v>Pakningssæt.</v>
          </cell>
          <cell r="C909" t="str">
            <v>Set of packings</v>
          </cell>
          <cell r="D909">
            <v>1148</v>
          </cell>
          <cell r="E909">
            <v>154.30107526881719</v>
          </cell>
        </row>
        <row r="910">
          <cell r="A910">
            <v>4694</v>
          </cell>
          <cell r="B910" t="str">
            <v>6-kt. Skrue M12 x 20 A2 DIN 933</v>
          </cell>
          <cell r="C910" t="str">
            <v>Hex screw M12 x 20 A2 DIN 933</v>
          </cell>
          <cell r="D910">
            <v>2.4</v>
          </cell>
          <cell r="E910">
            <v>0.32258064516129031</v>
          </cell>
        </row>
        <row r="911">
          <cell r="A911">
            <v>4701</v>
          </cell>
          <cell r="B911" t="str">
            <v>Indløbstrakt komplet</v>
          </cell>
          <cell r="C911" t="str">
            <v>Inlet duct complete</v>
          </cell>
          <cell r="D911">
            <v>40810</v>
          </cell>
          <cell r="E911">
            <v>5485.2150537634407</v>
          </cell>
        </row>
        <row r="912">
          <cell r="A912">
            <v>4703</v>
          </cell>
          <cell r="B912" t="str">
            <v>Møtrik M8 A2 DIN 934</v>
          </cell>
          <cell r="C912" t="str">
            <v>Nut M8 A2 DIN 934</v>
          </cell>
          <cell r="D912">
            <v>0.6</v>
          </cell>
          <cell r="E912">
            <v>8.0645161290322578E-2</v>
          </cell>
        </row>
        <row r="913">
          <cell r="A913">
            <v>4721</v>
          </cell>
          <cell r="B913" t="str">
            <v>U-skrue M10 x 16</v>
          </cell>
          <cell r="C913" t="str">
            <v>Countersunk screw M10 x 16</v>
          </cell>
          <cell r="D913">
            <v>4.8</v>
          </cell>
          <cell r="E913">
            <v>0.64516129032258063</v>
          </cell>
        </row>
        <row r="914">
          <cell r="A914">
            <v>4724</v>
          </cell>
          <cell r="B914" t="str">
            <v>Møtrik M10 8 DIN 934</v>
          </cell>
          <cell r="C914" t="str">
            <v>Nut M10 8 DIN 934</v>
          </cell>
          <cell r="D914">
            <v>0.4</v>
          </cell>
          <cell r="E914">
            <v>5.3763440860215055E-2</v>
          </cell>
        </row>
        <row r="915">
          <cell r="A915">
            <v>4724</v>
          </cell>
          <cell r="B915" t="str">
            <v>Møtrik M10 DIN 934-8 FZB</v>
          </cell>
          <cell r="C915" t="str">
            <v>Nut M10 DIN 934-8 FZB</v>
          </cell>
          <cell r="D915">
            <v>0.4</v>
          </cell>
          <cell r="E915">
            <v>5.3763440860215055E-2</v>
          </cell>
        </row>
        <row r="916">
          <cell r="A916">
            <v>4734</v>
          </cell>
          <cell r="B916" t="str">
            <v>Pinolskrue M6 x 8  14.9</v>
          </cell>
          <cell r="C916" t="str">
            <v>Centre screw M6 x 8  14.9</v>
          </cell>
          <cell r="D916">
            <v>0.6</v>
          </cell>
          <cell r="E916">
            <v>8.0645161290322578E-2</v>
          </cell>
        </row>
        <row r="917">
          <cell r="A917">
            <v>4735</v>
          </cell>
          <cell r="B917" t="str">
            <v>Fjederskive Ø8 A2 DIN 127B</v>
          </cell>
          <cell r="C917" t="str">
            <v>Spring disc Ø8 A2 DIN 127B</v>
          </cell>
          <cell r="D917">
            <v>0.2</v>
          </cell>
          <cell r="E917">
            <v>2.6881720430107527E-2</v>
          </cell>
        </row>
        <row r="918">
          <cell r="A918">
            <v>4747</v>
          </cell>
          <cell r="B918" t="str">
            <v>Låsemøtrik M6 A2 DIN 985</v>
          </cell>
          <cell r="C918" t="str">
            <v>Lock nut M6 A2 DIN 985</v>
          </cell>
          <cell r="D918">
            <v>0.6</v>
          </cell>
          <cell r="E918">
            <v>8.0645161290322578E-2</v>
          </cell>
        </row>
        <row r="919">
          <cell r="A919">
            <v>4748</v>
          </cell>
          <cell r="B919" t="str">
            <v>Fjederskive Ø6</v>
          </cell>
          <cell r="C919" t="str">
            <v>Spring disc Ø6</v>
          </cell>
          <cell r="D919">
            <v>0.2</v>
          </cell>
          <cell r="E919">
            <v>2.6881720430107527E-2</v>
          </cell>
        </row>
        <row r="920">
          <cell r="A920">
            <v>4765</v>
          </cell>
          <cell r="B920" t="str">
            <v>Aftræksring</v>
          </cell>
          <cell r="C920" t="str">
            <v>Pull-off ring</v>
          </cell>
          <cell r="D920">
            <v>371</v>
          </cell>
          <cell r="E920">
            <v>49.865591397849457</v>
          </cell>
        </row>
        <row r="921">
          <cell r="A921">
            <v>4766</v>
          </cell>
          <cell r="B921" t="str">
            <v>Slidring</v>
          </cell>
          <cell r="C921" t="str">
            <v>Wear ring</v>
          </cell>
          <cell r="D921">
            <v>2067</v>
          </cell>
          <cell r="E921">
            <v>277.82258064516128</v>
          </cell>
        </row>
        <row r="922">
          <cell r="A922">
            <v>4767</v>
          </cell>
          <cell r="B922" t="str">
            <v>Afstandsring</v>
          </cell>
          <cell r="C922" t="str">
            <v>Distance ring</v>
          </cell>
          <cell r="D922">
            <v>472</v>
          </cell>
          <cell r="E922">
            <v>63.44086021505376</v>
          </cell>
        </row>
        <row r="923">
          <cell r="A923">
            <v>4768</v>
          </cell>
          <cell r="B923" t="str">
            <v>Lejehus for drivaksel, lukket</v>
          </cell>
          <cell r="C923" t="str">
            <v>Bearing housing for drive shaft, closed</v>
          </cell>
          <cell r="D923">
            <v>5035</v>
          </cell>
          <cell r="E923">
            <v>676.74731182795699</v>
          </cell>
        </row>
        <row r="924">
          <cell r="A924">
            <v>4769</v>
          </cell>
          <cell r="B924" t="str">
            <v>Dæksel for lukket lejehus</v>
          </cell>
          <cell r="C924" t="str">
            <v>Cover for closed bearing housing</v>
          </cell>
          <cell r="D924">
            <v>488</v>
          </cell>
          <cell r="E924">
            <v>65.591397849462368</v>
          </cell>
        </row>
        <row r="925">
          <cell r="A925">
            <v>4771</v>
          </cell>
          <cell r="B925" t="str">
            <v>Dæksel for åbent lejehus</v>
          </cell>
          <cell r="C925" t="str">
            <v>Cover for open bearing housing</v>
          </cell>
          <cell r="D925">
            <v>1505</v>
          </cell>
          <cell r="E925">
            <v>202.28494623655914</v>
          </cell>
        </row>
        <row r="926">
          <cell r="A926">
            <v>4772</v>
          </cell>
          <cell r="B926" t="str">
            <v>Bagplade for pillekammer AISI 304</v>
          </cell>
          <cell r="C926" t="str">
            <v>Rear plate f/pellet chamber AISI 304</v>
          </cell>
          <cell r="D926">
            <v>2724</v>
          </cell>
          <cell r="E926">
            <v>366.12903225806451</v>
          </cell>
        </row>
        <row r="927">
          <cell r="A927">
            <v>4773</v>
          </cell>
          <cell r="B927" t="str">
            <v>Holder for fedtfordelerblok</v>
          </cell>
          <cell r="C927" t="str">
            <v>Holder for grease distributor block</v>
          </cell>
          <cell r="D927">
            <v>170</v>
          </cell>
          <cell r="E927">
            <v>22.849462365591396</v>
          </cell>
        </row>
        <row r="928">
          <cell r="A928">
            <v>4774</v>
          </cell>
          <cell r="B928" t="str">
            <v>Spændeplade for afstrygerkniv</v>
          </cell>
          <cell r="C928" t="str">
            <v>Bracket for scraper knife</v>
          </cell>
          <cell r="D928">
            <v>64</v>
          </cell>
          <cell r="E928">
            <v>8.6021505376344081</v>
          </cell>
        </row>
        <row r="929">
          <cell r="A929">
            <v>4775</v>
          </cell>
          <cell r="B929" t="str">
            <v>Konsol for betjeningsboks</v>
          </cell>
          <cell r="C929" t="str">
            <v>Console for control box</v>
          </cell>
          <cell r="D929">
            <v>583</v>
          </cell>
          <cell r="E929">
            <v>78.36021505376344</v>
          </cell>
        </row>
        <row r="930">
          <cell r="A930">
            <v>4780</v>
          </cell>
          <cell r="B930" t="str">
            <v>O-ring Ø85 x 5,33</v>
          </cell>
          <cell r="C930" t="str">
            <v>O-ring Ø85 x 5,33</v>
          </cell>
          <cell r="D930">
            <v>12.7</v>
          </cell>
          <cell r="E930">
            <v>1.7069892473118278</v>
          </cell>
        </row>
        <row r="931">
          <cell r="A931">
            <v>4785</v>
          </cell>
          <cell r="B931" t="str">
            <v>Ring for labyrinttætning</v>
          </cell>
          <cell r="C931" t="str">
            <v>Ring for labyrinth seal</v>
          </cell>
          <cell r="D931">
            <v>3339</v>
          </cell>
          <cell r="E931">
            <v>448.79032258064512</v>
          </cell>
        </row>
        <row r="932">
          <cell r="A932">
            <v>4786</v>
          </cell>
          <cell r="B932" t="str">
            <v>Slidring</v>
          </cell>
          <cell r="C932" t="str">
            <v>Wear ring</v>
          </cell>
          <cell r="D932">
            <v>9010</v>
          </cell>
          <cell r="E932">
            <v>1211.0215053763441</v>
          </cell>
        </row>
        <row r="933">
          <cell r="A933">
            <v>4787</v>
          </cell>
          <cell r="B933" t="str">
            <v>Låsemøtrik for hovedleje</v>
          </cell>
          <cell r="C933" t="str">
            <v>Lock nut for main bearing</v>
          </cell>
          <cell r="D933">
            <v>3975</v>
          </cell>
          <cell r="E933">
            <v>534.27419354838707</v>
          </cell>
        </row>
        <row r="934">
          <cell r="A934">
            <v>4788</v>
          </cell>
          <cell r="B934" t="str">
            <v>Feder A 50 x 28 x 150</v>
          </cell>
          <cell r="C934" t="str">
            <v>Parallel key A 50 x 28 x 150</v>
          </cell>
          <cell r="D934">
            <v>114</v>
          </cell>
          <cell r="E934">
            <v>15.32258064516129</v>
          </cell>
        </row>
        <row r="935">
          <cell r="A935">
            <v>4790</v>
          </cell>
          <cell r="B935" t="str">
            <v>Låsemøtrik for hovedtandhjul</v>
          </cell>
          <cell r="C935" t="str">
            <v>Lock nut for main gear wheel</v>
          </cell>
          <cell r="D935">
            <v>3021</v>
          </cell>
          <cell r="E935">
            <v>406.04838709677415</v>
          </cell>
        </row>
        <row r="936">
          <cell r="A936">
            <v>4791</v>
          </cell>
          <cell r="B936" t="str">
            <v>Slidring</v>
          </cell>
          <cell r="C936" t="str">
            <v>Wear ring</v>
          </cell>
          <cell r="D936">
            <v>3021</v>
          </cell>
          <cell r="E936">
            <v>406.04838709677415</v>
          </cell>
        </row>
        <row r="937">
          <cell r="A937">
            <v>4792</v>
          </cell>
          <cell r="B937" t="str">
            <v>Støttering for hovedaksel</v>
          </cell>
          <cell r="C937" t="str">
            <v>Support ring for main shaft</v>
          </cell>
          <cell r="D937">
            <v>1537</v>
          </cell>
          <cell r="E937">
            <v>206.58602150537632</v>
          </cell>
        </row>
        <row r="938">
          <cell r="A938">
            <v>4793</v>
          </cell>
          <cell r="B938" t="str">
            <v>Låseplade for kniv</v>
          </cell>
          <cell r="C938" t="str">
            <v>Lock plate for knife</v>
          </cell>
          <cell r="D938">
            <v>32</v>
          </cell>
          <cell r="E938">
            <v>4.301075268817204</v>
          </cell>
        </row>
        <row r="939">
          <cell r="A939">
            <v>4797</v>
          </cell>
          <cell r="B939" t="str">
            <v>O-ring Ø47 x 5,33</v>
          </cell>
          <cell r="C939" t="str">
            <v>O-ring Ø47 x 5,33</v>
          </cell>
          <cell r="D939">
            <v>12.7</v>
          </cell>
          <cell r="E939">
            <v>1.7069892473118278</v>
          </cell>
        </row>
        <row r="940">
          <cell r="A940">
            <v>4805</v>
          </cell>
          <cell r="B940" t="str">
            <v>Møtrik M20 DIN 934</v>
          </cell>
          <cell r="C940" t="str">
            <v>Nut M20 DIN 934</v>
          </cell>
          <cell r="D940">
            <v>2.2999999999999998</v>
          </cell>
          <cell r="E940">
            <v>0.30913978494623651</v>
          </cell>
        </row>
        <row r="941">
          <cell r="A941">
            <v>4817</v>
          </cell>
          <cell r="B941" t="str">
            <v>Bøsning for rulleaksel</v>
          </cell>
          <cell r="C941" t="str">
            <v>Bushing for roller shaft</v>
          </cell>
          <cell r="D941">
            <v>1844</v>
          </cell>
          <cell r="E941">
            <v>247.84946236559139</v>
          </cell>
        </row>
        <row r="942">
          <cell r="A942">
            <v>4818</v>
          </cell>
          <cell r="B942" t="str">
            <v>Dæksel for, f/rulleholderaksel</v>
          </cell>
          <cell r="C942" t="str">
            <v>Cover front, f/roller main shaft</v>
          </cell>
          <cell r="D942">
            <v>371</v>
          </cell>
          <cell r="E942">
            <v>49.865591397849457</v>
          </cell>
        </row>
        <row r="943">
          <cell r="A943">
            <v>4819</v>
          </cell>
          <cell r="B943" t="str">
            <v>Dæksel bag, f/rulleholderaksel</v>
          </cell>
          <cell r="C943" t="str">
            <v>Cover rear, f/roller main shaft</v>
          </cell>
          <cell r="D943">
            <v>424</v>
          </cell>
          <cell r="E943">
            <v>56.989247311827953</v>
          </cell>
        </row>
        <row r="944">
          <cell r="A944">
            <v>4820</v>
          </cell>
          <cell r="B944" t="str">
            <v>Tætningsring</v>
          </cell>
          <cell r="C944" t="str">
            <v>Oil seal</v>
          </cell>
          <cell r="D944">
            <v>1219</v>
          </cell>
          <cell r="E944">
            <v>163.84408602150538</v>
          </cell>
        </row>
        <row r="945">
          <cell r="A945">
            <v>4821</v>
          </cell>
          <cell r="B945" t="str">
            <v>Slid ring</v>
          </cell>
          <cell r="C945" t="str">
            <v>Wear ring</v>
          </cell>
          <cell r="D945">
            <v>2385</v>
          </cell>
          <cell r="E945">
            <v>320.56451612903226</v>
          </cell>
        </row>
        <row r="946">
          <cell r="A946">
            <v>4822</v>
          </cell>
          <cell r="B946" t="str">
            <v>Slidbøsning for rulleholderaksel</v>
          </cell>
          <cell r="C946" t="str">
            <v>Wear bushing for roller main shaft</v>
          </cell>
          <cell r="D946">
            <v>4081</v>
          </cell>
          <cell r="E946">
            <v>548.52150537634407</v>
          </cell>
        </row>
        <row r="947">
          <cell r="A947">
            <v>4824</v>
          </cell>
          <cell r="B947" t="str">
            <v>Hydraulikslange m. lige stutse Ø6 x 800</v>
          </cell>
          <cell r="C947" t="str">
            <v>Hydraulic hose w. straight sockets Ø6 x 800</v>
          </cell>
          <cell r="D947">
            <v>207</v>
          </cell>
          <cell r="E947">
            <v>27.822580645161288</v>
          </cell>
        </row>
        <row r="948">
          <cell r="A948">
            <v>4825</v>
          </cell>
          <cell r="B948" t="str">
            <v>Hydraulikslange m. lige stutse Ø6 x 955</v>
          </cell>
          <cell r="C948" t="str">
            <v>Hydraulic hose w. straight sockets Ø6 x 955</v>
          </cell>
          <cell r="D948">
            <v>217</v>
          </cell>
          <cell r="E948">
            <v>29.166666666666664</v>
          </cell>
        </row>
        <row r="949">
          <cell r="A949">
            <v>4826</v>
          </cell>
          <cell r="B949" t="str">
            <v>Justeringsring for rulleholderaksel</v>
          </cell>
          <cell r="C949" t="str">
            <v>Adjustment ring for roller main shaft</v>
          </cell>
          <cell r="D949">
            <v>1537</v>
          </cell>
          <cell r="E949">
            <v>206.58602150537632</v>
          </cell>
        </row>
        <row r="950">
          <cell r="A950">
            <v>4833</v>
          </cell>
          <cell r="B950" t="str">
            <v>Holder for knivskaft</v>
          </cell>
          <cell r="C950" t="str">
            <v>Holder for knife handle</v>
          </cell>
          <cell r="D950">
            <v>1325</v>
          </cell>
          <cell r="E950">
            <v>178.09139784946237</v>
          </cell>
        </row>
        <row r="951">
          <cell r="A951">
            <v>4844</v>
          </cell>
          <cell r="B951" t="str">
            <v>U-skrue M10 x 25 DIN 7991 A2</v>
          </cell>
          <cell r="C951" t="str">
            <v>Counter sunk screw M10 x 25 DIN 7991 A2</v>
          </cell>
          <cell r="D951">
            <v>2.7</v>
          </cell>
          <cell r="E951">
            <v>0.36290322580645162</v>
          </cell>
        </row>
        <row r="952">
          <cell r="A952">
            <v>4849</v>
          </cell>
          <cell r="B952" t="str">
            <v>Tap for rullejustering</v>
          </cell>
          <cell r="C952" t="str">
            <v>Pin for roller adjustment</v>
          </cell>
          <cell r="D952">
            <v>220</v>
          </cell>
          <cell r="E952">
            <v>29.569892473118276</v>
          </cell>
        </row>
        <row r="953">
          <cell r="A953">
            <v>4850</v>
          </cell>
          <cell r="B953" t="str">
            <v>Justermøtrik M24</v>
          </cell>
          <cell r="C953" t="str">
            <v>Adjusting nut m24</v>
          </cell>
          <cell r="D953">
            <v>323</v>
          </cell>
          <cell r="E953">
            <v>43.413978494623656</v>
          </cell>
        </row>
        <row r="954">
          <cell r="A954">
            <v>4914</v>
          </cell>
          <cell r="B954" t="str">
            <v>Cyl. Skrue M16 x 40 A2 DIN912</v>
          </cell>
          <cell r="C954" t="str">
            <v>Cyl. Screw M16 x 40 A2 DIN912</v>
          </cell>
          <cell r="D954">
            <v>4.2</v>
          </cell>
          <cell r="E954">
            <v>0.56451612903225801</v>
          </cell>
        </row>
        <row r="955">
          <cell r="A955">
            <v>4916</v>
          </cell>
          <cell r="B955" t="str">
            <v>Kølerlamel, pl. 1,5 mm perf. Ø3 AISI 304</v>
          </cell>
          <cell r="C955" t="str">
            <v xml:space="preserve">Tray sheet 1,5 MM, perforation Ø3,0 MM, AISI 304             </v>
          </cell>
          <cell r="D955">
            <v>663</v>
          </cell>
          <cell r="E955">
            <v>89.112903225806448</v>
          </cell>
        </row>
        <row r="956">
          <cell r="A956">
            <v>4917</v>
          </cell>
          <cell r="B956" t="str">
            <v>Kølerlamel, pl. 1,5 mm u/perf., galvaniseret</v>
          </cell>
          <cell r="C956" t="str">
            <v xml:space="preserve">Tray, sheet 1,5 MM, without perforation, galvanized                 </v>
          </cell>
          <cell r="D956">
            <v>329</v>
          </cell>
          <cell r="E956">
            <v>44.22043010752688</v>
          </cell>
        </row>
        <row r="957">
          <cell r="A957">
            <v>4949</v>
          </cell>
          <cell r="B957" t="str">
            <v>Tætningsring Ø250 x Ø280 x 15 Viton</v>
          </cell>
          <cell r="C957" t="str">
            <v>Sealing ring Ø250 x Ø280 x 15 Viton</v>
          </cell>
          <cell r="D957">
            <v>795</v>
          </cell>
          <cell r="E957">
            <v>106.85483870967741</v>
          </cell>
        </row>
        <row r="958">
          <cell r="A958">
            <v>4950</v>
          </cell>
          <cell r="B958" t="str">
            <v>Gevindformende 6-kt skrue</v>
          </cell>
          <cell r="C958" t="str">
            <v xml:space="preserve">Hexagon-headed screw M6 X 12 </v>
          </cell>
          <cell r="D958">
            <v>1.6</v>
          </cell>
          <cell r="E958">
            <v>0.21505376344086022</v>
          </cell>
        </row>
        <row r="959">
          <cell r="A959">
            <v>4956</v>
          </cell>
          <cell r="B959" t="str">
            <v>U-skrue M12 x 30 10.9</v>
          </cell>
          <cell r="C959" t="str">
            <v>Counter sunk screw M12 x 30 10.9</v>
          </cell>
          <cell r="D959">
            <v>3.7</v>
          </cell>
          <cell r="E959">
            <v>0.49731182795698925</v>
          </cell>
        </row>
        <row r="960">
          <cell r="A960">
            <v>4958</v>
          </cell>
          <cell r="B960" t="str">
            <v>Feder</v>
          </cell>
          <cell r="C960" t="str">
            <v>Parallel Key</v>
          </cell>
          <cell r="D960">
            <v>10.6</v>
          </cell>
          <cell r="E960">
            <v>1.4247311827956988</v>
          </cell>
        </row>
        <row r="961">
          <cell r="A961">
            <v>4959</v>
          </cell>
          <cell r="B961" t="str">
            <v>Bolt M20x70 f matricespændering</v>
          </cell>
          <cell r="C961" t="str">
            <v>Mbolt M20x70 f lock ring die</v>
          </cell>
          <cell r="D961">
            <v>15.9</v>
          </cell>
          <cell r="E961">
            <v>2.1370967741935485</v>
          </cell>
        </row>
        <row r="962">
          <cell r="A962">
            <v>4961</v>
          </cell>
          <cell r="B962" t="str">
            <v>Facetskive Ø33 FZB DIN125B</v>
          </cell>
          <cell r="C962" t="str">
            <v>Washer Ø33 DIN 125 B</v>
          </cell>
          <cell r="D962">
            <v>5.3</v>
          </cell>
          <cell r="E962">
            <v>0.71236559139784938</v>
          </cell>
        </row>
        <row r="963">
          <cell r="A963">
            <v>4962</v>
          </cell>
          <cell r="B963" t="str">
            <v>Nippelmuffe 1/8" RG udv. 1/8" RG indv</v>
          </cell>
          <cell r="C963" t="str">
            <v>Nipple sleeve 1/8” outer-1/8” inner</v>
          </cell>
          <cell r="D963">
            <v>22</v>
          </cell>
          <cell r="E963">
            <v>2.956989247311828</v>
          </cell>
        </row>
        <row r="964">
          <cell r="A964">
            <v>4963</v>
          </cell>
          <cell r="B964" t="str">
            <v>6-kt. Skrue M16 x 45 A2 DIN 933</v>
          </cell>
          <cell r="C964" t="str">
            <v>Hex screw M16 x 45 A2 DIN 933</v>
          </cell>
          <cell r="D964">
            <v>8.5</v>
          </cell>
          <cell r="E964">
            <v>1.1424731182795698</v>
          </cell>
        </row>
        <row r="965">
          <cell r="A965">
            <v>4968</v>
          </cell>
          <cell r="B965" t="str">
            <v>Pakningssæt</v>
          </cell>
          <cell r="C965" t="str">
            <v>Set of packings</v>
          </cell>
          <cell r="D965">
            <v>795</v>
          </cell>
          <cell r="E965">
            <v>106.85483870967741</v>
          </cell>
        </row>
        <row r="966">
          <cell r="A966">
            <v>4975</v>
          </cell>
          <cell r="B966" t="str">
            <v xml:space="preserve">Rør 3/8"Ø    ST00 </v>
          </cell>
          <cell r="C966" t="str">
            <v xml:space="preserve">Pipe 3/8  </v>
          </cell>
          <cell r="D966">
            <v>28.5</v>
          </cell>
          <cell r="E966">
            <v>3.8306451612903225</v>
          </cell>
        </row>
        <row r="967">
          <cell r="A967">
            <v>4979</v>
          </cell>
          <cell r="B967" t="str">
            <v>Nippelrør ¼” x 20 mm</v>
          </cell>
          <cell r="C967" t="str">
            <v>Nipple pipe ¼” x 20 mm</v>
          </cell>
          <cell r="D967">
            <v>10.1</v>
          </cell>
          <cell r="E967">
            <v>1.35752688172043</v>
          </cell>
        </row>
        <row r="968">
          <cell r="A968">
            <v>4981</v>
          </cell>
          <cell r="B968" t="str">
            <v>Slutmuffe 3/8" (f. olie)</v>
          </cell>
          <cell r="C968" t="str">
            <v>Screw cap 3/8" (f. oil)</v>
          </cell>
          <cell r="D968">
            <v>22</v>
          </cell>
          <cell r="E968">
            <v>2.956989247311828</v>
          </cell>
        </row>
        <row r="969">
          <cell r="A969">
            <v>4988</v>
          </cell>
          <cell r="B969" t="str">
            <v>Ventil Kuglevent. DN006 LEGRIS 3-vejs</v>
          </cell>
          <cell r="C969" t="str">
            <v>Spherical valve DN006 LEGRIS 3-way</v>
          </cell>
          <cell r="D969">
            <v>493</v>
          </cell>
          <cell r="E969">
            <v>66.263440860215056</v>
          </cell>
        </row>
        <row r="970">
          <cell r="A970">
            <v>5001</v>
          </cell>
          <cell r="B970" t="str">
            <v>Kileremskive SPZ2 Ø80 TL1210</v>
          </cell>
          <cell r="C970" t="str">
            <v>V-belt pulley SPZ2 Ø80 TL1210</v>
          </cell>
          <cell r="D970">
            <v>52</v>
          </cell>
          <cell r="E970">
            <v>6.989247311827957</v>
          </cell>
        </row>
        <row r="971">
          <cell r="A971">
            <v>5004</v>
          </cell>
          <cell r="B971" t="str">
            <v>Spændeelement TL 1210 Ø024</v>
          </cell>
          <cell r="C971" t="str">
            <v>Shaft adapter, taper-lock TL 1210 Ø024</v>
          </cell>
          <cell r="D971">
            <v>22</v>
          </cell>
          <cell r="E971">
            <v>2.956989247311828</v>
          </cell>
        </row>
        <row r="972">
          <cell r="A972">
            <v>5005</v>
          </cell>
          <cell r="B972" t="str">
            <v>Kniv</v>
          </cell>
          <cell r="C972" t="str">
            <v>Knife.</v>
          </cell>
          <cell r="D972">
            <v>424</v>
          </cell>
          <cell r="E972">
            <v>56.989247311827953</v>
          </cell>
        </row>
        <row r="973">
          <cell r="A973">
            <v>5007</v>
          </cell>
          <cell r="B973" t="str">
            <v>Skive</v>
          </cell>
          <cell r="C973" t="str">
            <v>Washer</v>
          </cell>
          <cell r="D973">
            <v>371</v>
          </cell>
          <cell r="E973">
            <v>49.865591397849457</v>
          </cell>
        </row>
        <row r="974">
          <cell r="A974">
            <v>5010</v>
          </cell>
          <cell r="B974" t="str">
            <v>Pillekammer</v>
          </cell>
          <cell r="C974" t="str">
            <v>Pellet Chamber</v>
          </cell>
          <cell r="D974">
            <v>17596</v>
          </cell>
          <cell r="E974">
            <v>2365.0537634408602</v>
          </cell>
        </row>
        <row r="975">
          <cell r="A975">
            <v>5011</v>
          </cell>
          <cell r="B975" t="str">
            <v>Kniv</v>
          </cell>
          <cell r="C975" t="str">
            <v>Knife</v>
          </cell>
          <cell r="D975">
            <v>345</v>
          </cell>
          <cell r="E975">
            <v>46.37096774193548</v>
          </cell>
        </row>
        <row r="976">
          <cell r="A976">
            <v>5014</v>
          </cell>
          <cell r="B976" t="str">
            <v>Stop for micro switch</v>
          </cell>
          <cell r="C976" t="str">
            <v>Stop for Micro Switch</v>
          </cell>
          <cell r="D976">
            <v>17</v>
          </cell>
          <cell r="E976">
            <v>2.2849462365591395</v>
          </cell>
        </row>
        <row r="977">
          <cell r="A977">
            <v>5017</v>
          </cell>
          <cell r="B977" t="str">
            <v>Lejedæksel, åben</v>
          </cell>
          <cell r="C977" t="str">
            <v>Bearing Cover, open</v>
          </cell>
          <cell r="D977">
            <v>1415</v>
          </cell>
          <cell r="E977">
            <v>190.18817204301075</v>
          </cell>
        </row>
        <row r="978">
          <cell r="A978">
            <v>5018</v>
          </cell>
          <cell r="B978" t="str">
            <v>Rulleaksel</v>
          </cell>
          <cell r="C978" t="str">
            <v>Roller shaft</v>
          </cell>
          <cell r="D978">
            <v>1590</v>
          </cell>
          <cell r="E978">
            <v>213.70967741935482</v>
          </cell>
        </row>
        <row r="979">
          <cell r="A979">
            <v>5019</v>
          </cell>
          <cell r="B979" t="str">
            <v>Fjederskive M8 DIN 127B</v>
          </cell>
          <cell r="C979" t="str">
            <v>Spring washer M8 DIN 127B</v>
          </cell>
          <cell r="D979">
            <v>0.8</v>
          </cell>
          <cell r="E979">
            <v>0.10752688172043011</v>
          </cell>
        </row>
        <row r="980">
          <cell r="A980">
            <v>5026</v>
          </cell>
          <cell r="B980" t="str">
            <v>V-ring V500 A</v>
          </cell>
          <cell r="C980" t="str">
            <v>V-ring V500 A</v>
          </cell>
          <cell r="D980">
            <v>1007</v>
          </cell>
          <cell r="E980">
            <v>135.34946236559139</v>
          </cell>
        </row>
        <row r="981">
          <cell r="A981">
            <v>5032</v>
          </cell>
          <cell r="B981" t="str">
            <v>Omløbermøtrik</v>
          </cell>
          <cell r="C981" t="str">
            <v xml:space="preserve">Nut </v>
          </cell>
          <cell r="D981">
            <v>578</v>
          </cell>
          <cell r="E981">
            <v>77.688172043010752</v>
          </cell>
        </row>
        <row r="982">
          <cell r="A982">
            <v>5033</v>
          </cell>
          <cell r="B982" t="str">
            <v>Snegl Ø140 materialeindføring EX17</v>
          </cell>
          <cell r="C982" t="str">
            <v>Screw Ø140 material inlet EX17</v>
          </cell>
          <cell r="D982">
            <v>7378</v>
          </cell>
          <cell r="E982">
            <v>991.66666666666663</v>
          </cell>
        </row>
        <row r="983">
          <cell r="A983">
            <v>5034</v>
          </cell>
          <cell r="B983" t="str">
            <v>Snegletrug materialeindføring</v>
          </cell>
          <cell r="C983" t="str">
            <v>Screw through for material inlet</v>
          </cell>
          <cell r="D983">
            <v>8616</v>
          </cell>
          <cell r="E983">
            <v>1158.0645161290322</v>
          </cell>
        </row>
        <row r="984">
          <cell r="A984">
            <v>5036</v>
          </cell>
          <cell r="B984" t="str">
            <v>Holdeplade tætningsring</v>
          </cell>
          <cell r="C984" t="str">
            <v>Plate for V-ring</v>
          </cell>
          <cell r="D984">
            <v>700</v>
          </cell>
          <cell r="E984">
            <v>94.086021505376337</v>
          </cell>
        </row>
        <row r="985">
          <cell r="A985">
            <v>5037</v>
          </cell>
          <cell r="B985" t="str">
            <v>Bølgeskive ZW42x52 SKF</v>
          </cell>
          <cell r="C985" t="str">
            <v>Corrugated washer</v>
          </cell>
          <cell r="D985">
            <v>7.4</v>
          </cell>
          <cell r="E985">
            <v>0.9946236559139785</v>
          </cell>
        </row>
        <row r="986">
          <cell r="A986">
            <v>5044</v>
          </cell>
          <cell r="B986" t="str">
            <v>Pakning F/Sidegear</v>
          </cell>
          <cell r="C986" t="str">
            <v>Packing</v>
          </cell>
          <cell r="D986">
            <v>265</v>
          </cell>
          <cell r="E986">
            <v>35.618279569892472</v>
          </cell>
        </row>
        <row r="987">
          <cell r="A987">
            <v>5046</v>
          </cell>
          <cell r="B987" t="str">
            <v>Sikringskobling yderparet (kompl)</v>
          </cell>
          <cell r="C987" t="str">
            <v>M2/M5 safety coupling outer part</v>
          </cell>
          <cell r="D987">
            <v>6286</v>
          </cell>
          <cell r="E987">
            <v>844.89247311827955</v>
          </cell>
        </row>
        <row r="988">
          <cell r="A988">
            <v>5048</v>
          </cell>
          <cell r="B988" t="str">
            <v>Møtrik M42 DIN934</v>
          </cell>
          <cell r="C988" t="str">
            <v>Nut M42 DIN934</v>
          </cell>
          <cell r="D988">
            <v>39</v>
          </cell>
          <cell r="E988">
            <v>5.2419354838709671</v>
          </cell>
        </row>
        <row r="989">
          <cell r="A989">
            <v>5053</v>
          </cell>
          <cell r="B989" t="str">
            <v>Møtrik</v>
          </cell>
          <cell r="C989" t="str">
            <v>Nut.</v>
          </cell>
          <cell r="D989">
            <v>477</v>
          </cell>
          <cell r="E989">
            <v>64.112903225806448</v>
          </cell>
        </row>
        <row r="990">
          <cell r="A990">
            <v>5055</v>
          </cell>
          <cell r="B990" t="str">
            <v>Stopring</v>
          </cell>
          <cell r="C990" t="str">
            <v>Stop Ring.</v>
          </cell>
          <cell r="D990">
            <v>1219</v>
          </cell>
          <cell r="E990">
            <v>163.84408602150538</v>
          </cell>
        </row>
        <row r="991">
          <cell r="A991">
            <v>5059</v>
          </cell>
          <cell r="B991" t="str">
            <v>Hovedlejeskål</v>
          </cell>
          <cell r="C991" t="str">
            <v>Main Bearing Bush.</v>
          </cell>
          <cell r="D991">
            <v>1866</v>
          </cell>
          <cell r="E991">
            <v>250.8064516129032</v>
          </cell>
        </row>
        <row r="992">
          <cell r="A992">
            <v>5060</v>
          </cell>
          <cell r="B992" t="str">
            <v>Hovedaksel</v>
          </cell>
          <cell r="C992" t="str">
            <v>Main Shaft</v>
          </cell>
          <cell r="D992">
            <v>21306</v>
          </cell>
          <cell r="E992">
            <v>2863.7096774193546</v>
          </cell>
        </row>
        <row r="993">
          <cell r="A993">
            <v>5061</v>
          </cell>
          <cell r="B993" t="str">
            <v>Dæksel</v>
          </cell>
          <cell r="C993" t="str">
            <v>Cover.</v>
          </cell>
          <cell r="D993">
            <v>1325</v>
          </cell>
          <cell r="E993">
            <v>178.09139784946237</v>
          </cell>
        </row>
        <row r="994">
          <cell r="A994">
            <v>5063</v>
          </cell>
          <cell r="B994" t="str">
            <v xml:space="preserve">Skaft flst f kniv kompl     M2  </v>
          </cell>
          <cell r="C994" t="str">
            <v>Flat iron knife shaft complete M2</v>
          </cell>
          <cell r="D994">
            <v>2968</v>
          </cell>
          <cell r="E994">
            <v>398.92473118279565</v>
          </cell>
        </row>
        <row r="995">
          <cell r="A995">
            <v>5065</v>
          </cell>
          <cell r="B995" t="str">
            <v>Støttesøjle</v>
          </cell>
          <cell r="C995" t="str">
            <v>Supporting pillar</v>
          </cell>
          <cell r="D995">
            <v>1982</v>
          </cell>
          <cell r="E995">
            <v>266.39784946236557</v>
          </cell>
        </row>
        <row r="996">
          <cell r="A996">
            <v>5069</v>
          </cell>
          <cell r="B996" t="str">
            <v>Rulleholderaksel, Komplet.</v>
          </cell>
          <cell r="C996" t="str">
            <v>Rollermainshaft</v>
          </cell>
          <cell r="D996">
            <v>82998</v>
          </cell>
          <cell r="E996">
            <v>11155.645161290322</v>
          </cell>
        </row>
        <row r="997">
          <cell r="A997">
            <v>5070</v>
          </cell>
          <cell r="B997" t="str">
            <v>Cyl. Skrue M12 x 50 8.8</v>
          </cell>
          <cell r="C997" t="str">
            <v>Cyl. Screw M12 x 50 8.8</v>
          </cell>
          <cell r="D997">
            <v>2.4</v>
          </cell>
          <cell r="E997">
            <v>0.32258064516129031</v>
          </cell>
        </row>
        <row r="998">
          <cell r="A998">
            <v>5072</v>
          </cell>
          <cell r="B998" t="str">
            <v>Afstandsring</v>
          </cell>
          <cell r="C998" t="str">
            <v>Distance ring</v>
          </cell>
          <cell r="D998">
            <v>164</v>
          </cell>
          <cell r="E998">
            <v>22.043010752688172</v>
          </cell>
        </row>
        <row r="999">
          <cell r="A999">
            <v>5074</v>
          </cell>
          <cell r="B999" t="str">
            <v>6-kant skrue M8 x 20 A2 DIN 931</v>
          </cell>
          <cell r="C999" t="str">
            <v>Hexagon screw M8 x 20 A2 DIN 931</v>
          </cell>
          <cell r="D999">
            <v>1.2</v>
          </cell>
          <cell r="E999">
            <v>0.16129032258064516</v>
          </cell>
        </row>
        <row r="1000">
          <cell r="A1000">
            <v>5077</v>
          </cell>
          <cell r="B1000" t="str">
            <v>6-kt. Skrue M5 x 10 A2 DIN933</v>
          </cell>
          <cell r="C1000" t="str">
            <v>Hex screw M5 x 10 A2 DIN933</v>
          </cell>
          <cell r="D1000">
            <v>0.4</v>
          </cell>
          <cell r="E1000">
            <v>5.3763440860215055E-2</v>
          </cell>
        </row>
        <row r="1001">
          <cell r="A1001">
            <v>5078</v>
          </cell>
          <cell r="B1001" t="str">
            <v>6-kt. Skrue M10 x 30 FZB DIN933 (for 3 kW motor)</v>
          </cell>
          <cell r="C1001" t="str">
            <v>Hex screw M10 x 30 FZB DIN933 (for 3 kW motor)</v>
          </cell>
          <cell r="D1001">
            <v>1.3</v>
          </cell>
          <cell r="E1001">
            <v>0.17473118279569891</v>
          </cell>
        </row>
        <row r="1002">
          <cell r="A1002">
            <v>5084</v>
          </cell>
          <cell r="B1002" t="str">
            <v>Møtrik M16 A2 DIN 933</v>
          </cell>
          <cell r="C1002" t="str">
            <v>Nut M16 A2 DIN 933</v>
          </cell>
          <cell r="D1002">
            <v>3.1</v>
          </cell>
          <cell r="E1002">
            <v>0.41666666666666663</v>
          </cell>
        </row>
        <row r="1003">
          <cell r="A1003">
            <v>5088</v>
          </cell>
          <cell r="B1003" t="str">
            <v>Cyl. Skrue M8 x 25 A2 DIN 912</v>
          </cell>
          <cell r="C1003" t="str">
            <v>Cyl. screw M8 x 25 A2 DIN912</v>
          </cell>
          <cell r="D1003">
            <v>1.6</v>
          </cell>
          <cell r="E1003">
            <v>0.21505376344086022</v>
          </cell>
        </row>
        <row r="1004">
          <cell r="A1004">
            <v>5091</v>
          </cell>
          <cell r="B1004" t="str">
            <v>Pt100 føler l=100 (anvendes til CM12K)</v>
          </cell>
          <cell r="C1004" t="str">
            <v>Pt100 sensor l=100 (used for CM12K)</v>
          </cell>
          <cell r="D1004">
            <v>1007</v>
          </cell>
          <cell r="E1004">
            <v>135.34946236559139</v>
          </cell>
        </row>
        <row r="1005">
          <cell r="A1005">
            <v>5097</v>
          </cell>
          <cell r="B1005" t="str">
            <v>Labyrintring</v>
          </cell>
          <cell r="C1005" t="str">
            <v>Labyrinth disc</v>
          </cell>
          <cell r="D1005">
            <v>196</v>
          </cell>
          <cell r="E1005">
            <v>26.344086021505376</v>
          </cell>
        </row>
        <row r="1006">
          <cell r="A1006">
            <v>5098</v>
          </cell>
          <cell r="B1006" t="str">
            <v>6-kt. Skrue M5 x 30 DIN 931</v>
          </cell>
          <cell r="C1006" t="str">
            <v>Hex screw M5 x 30 DIN 931</v>
          </cell>
          <cell r="D1006">
            <v>0.7</v>
          </cell>
          <cell r="E1006">
            <v>9.408602150537633E-2</v>
          </cell>
        </row>
        <row r="1007">
          <cell r="A1007">
            <v>5103</v>
          </cell>
          <cell r="B1007" t="str">
            <v>Smuldskraber, S-lamel</v>
          </cell>
          <cell r="C1007" t="str">
            <v>Dust scraper, s-tray</v>
          </cell>
          <cell r="D1007">
            <v>1749</v>
          </cell>
          <cell r="E1007">
            <v>235.08064516129031</v>
          </cell>
        </row>
        <row r="1008">
          <cell r="A1008">
            <v>5106</v>
          </cell>
          <cell r="B1008" t="str">
            <v>6kt. Skrue M20 x 40 DIN933</v>
          </cell>
          <cell r="C1008" t="str">
            <v>Hex screw M20 x 40 DIN933</v>
          </cell>
          <cell r="D1008">
            <v>11.7</v>
          </cell>
          <cell r="E1008">
            <v>1.57258064516129</v>
          </cell>
        </row>
        <row r="1009">
          <cell r="A1009">
            <v>5119</v>
          </cell>
          <cell r="B1009" t="str">
            <v>Rør 3/4" Ø26,9x2,65 galv. 0,34M</v>
          </cell>
          <cell r="C1009" t="str">
            <v>Pipe 3/4" Ø26,9x2,65 galv. 0,34M</v>
          </cell>
          <cell r="D1009">
            <v>32</v>
          </cell>
          <cell r="E1009">
            <v>4.301075268817204</v>
          </cell>
        </row>
        <row r="1010">
          <cell r="A1010">
            <v>5121</v>
          </cell>
          <cell r="B1010" t="str">
            <v>Sokkel materialeindføring</v>
          </cell>
          <cell r="C1010" t="str">
            <v xml:space="preserve"> </v>
          </cell>
          <cell r="D1010">
            <v>1721</v>
          </cell>
          <cell r="E1010">
            <v>231.31720430107526</v>
          </cell>
        </row>
        <row r="1011">
          <cell r="A1011">
            <v>5123</v>
          </cell>
          <cell r="B1011" t="str">
            <v>6-kt. Skrue M8 x 16 A2 DIN 933</v>
          </cell>
          <cell r="C1011" t="str">
            <v>Hex screw M8 x 16 A2 DIN 933</v>
          </cell>
          <cell r="D1011">
            <v>1.1000000000000001</v>
          </cell>
          <cell r="E1011">
            <v>0.14784946236559141</v>
          </cell>
        </row>
        <row r="1012">
          <cell r="A1012">
            <v>5124</v>
          </cell>
          <cell r="B1012" t="str">
            <v>Kontramøtrik 1" RG</v>
          </cell>
          <cell r="C1012" t="str">
            <v>Counter nut 1" RG</v>
          </cell>
          <cell r="D1012">
            <v>22</v>
          </cell>
          <cell r="E1012">
            <v>2.956989247311828</v>
          </cell>
        </row>
        <row r="1013">
          <cell r="A1013">
            <v>5129</v>
          </cell>
          <cell r="B1013" t="str">
            <v>Ventil Oliereguleringsvent. 3/4"  EX17</v>
          </cell>
          <cell r="C1013" t="str">
            <v>Oilregulating valve 3/4"  EX17</v>
          </cell>
          <cell r="D1013">
            <v>655</v>
          </cell>
          <cell r="E1013">
            <v>88.037634408602145</v>
          </cell>
        </row>
        <row r="1014">
          <cell r="A1014">
            <v>5131</v>
          </cell>
          <cell r="B1014" t="str">
            <v>Vinkel ½” BSPT</v>
          </cell>
          <cell r="C1014" t="str">
            <v>Street elbow ½” BSPT</v>
          </cell>
          <cell r="D1014">
            <v>16.399999999999999</v>
          </cell>
          <cell r="E1014">
            <v>2.204301075268817</v>
          </cell>
        </row>
        <row r="1015">
          <cell r="A1015">
            <v>5132</v>
          </cell>
          <cell r="B1015" t="str">
            <v>Vinkel 90gr 3/4"</v>
          </cell>
          <cell r="C1015" t="str">
            <v>Angle 90degr. 3/4"</v>
          </cell>
          <cell r="D1015">
            <v>18</v>
          </cell>
          <cell r="E1015">
            <v>2.4193548387096775</v>
          </cell>
        </row>
        <row r="1016">
          <cell r="A1016">
            <v>5138</v>
          </cell>
          <cell r="B1016" t="str">
            <v>Gear for IKKE remtrukken Extruder, Nord 7,5:1 SK 102 F-W</v>
          </cell>
          <cell r="C1016" t="str">
            <v>Gear for (NOT belt driven) extruder, North 7,5:1 SK 102 F-W</v>
          </cell>
          <cell r="D1016">
            <v>95930</v>
          </cell>
          <cell r="E1016">
            <v>12893.817204301075</v>
          </cell>
        </row>
        <row r="1017">
          <cell r="A1017">
            <v>5155</v>
          </cell>
          <cell r="B1017" t="str">
            <v>Afstandsring for løbekat matricekran</v>
          </cell>
          <cell r="C1017" t="str">
            <v>Distance ring</v>
          </cell>
          <cell r="D1017">
            <v>102</v>
          </cell>
          <cell r="E1017">
            <v>13.709677419354838</v>
          </cell>
        </row>
        <row r="1018">
          <cell r="A1018">
            <v>5157</v>
          </cell>
          <cell r="B1018" t="str">
            <v>Wire for matricekran</v>
          </cell>
          <cell r="C1018" t="str">
            <v>Wire for Die crane</v>
          </cell>
          <cell r="D1018">
            <v>155</v>
          </cell>
          <cell r="E1018">
            <v>20.833333333333332</v>
          </cell>
        </row>
        <row r="1019">
          <cell r="A1019">
            <v>5159</v>
          </cell>
          <cell r="B1019" t="str">
            <v>6-kt. skrue M16 x 30 DIN 933</v>
          </cell>
          <cell r="C1019" t="str">
            <v>Hexagon screw M16 x 30 DIN 933</v>
          </cell>
          <cell r="D1019">
            <v>2.7</v>
          </cell>
          <cell r="E1019">
            <v>0.36290322580645162</v>
          </cell>
        </row>
        <row r="1020">
          <cell r="A1020">
            <v>5163</v>
          </cell>
          <cell r="B1020" t="str">
            <v>Møtrik M30 DIN 934 A2</v>
          </cell>
          <cell r="C1020" t="str">
            <v>Nut M30  DIN 934 A2</v>
          </cell>
          <cell r="D1020">
            <v>26</v>
          </cell>
          <cell r="E1020">
            <v>3.4946236559139785</v>
          </cell>
        </row>
        <row r="1021">
          <cell r="A1021">
            <v>5168</v>
          </cell>
          <cell r="B1021" t="str">
            <v>Cyl. skrue M5 x 16 DIN 912</v>
          </cell>
          <cell r="C1021" t="str">
            <v>Cyl. screw M5 x 16 DIN 912</v>
          </cell>
          <cell r="D1021">
            <v>0.5</v>
          </cell>
          <cell r="E1021">
            <v>6.7204301075268813E-2</v>
          </cell>
        </row>
        <row r="1022">
          <cell r="A1022">
            <v>5169</v>
          </cell>
          <cell r="B1022" t="str">
            <v>Cyl. skrue M20 x 35 DIN 912</v>
          </cell>
          <cell r="C1022" t="str">
            <v>Cyl. screw M20 x 35 DIN 912</v>
          </cell>
          <cell r="D1022">
            <v>18</v>
          </cell>
          <cell r="E1022">
            <v>2.4193548387096775</v>
          </cell>
        </row>
        <row r="1023">
          <cell r="A1023">
            <v>5170</v>
          </cell>
          <cell r="B1023" t="str">
            <v>6-kt. Skrue M20 x 45 A2 DIN 933</v>
          </cell>
          <cell r="C1023" t="str">
            <v>Hex screw M20 x 45 A2 DIN 933</v>
          </cell>
          <cell r="D1023">
            <v>12.7</v>
          </cell>
          <cell r="E1023">
            <v>1.7069892473118278</v>
          </cell>
        </row>
        <row r="1024">
          <cell r="A1024">
            <v>5171</v>
          </cell>
          <cell r="B1024" t="str">
            <v>Fjederskive Ø20 FZM DIN 127 B</v>
          </cell>
          <cell r="C1024" t="str">
            <v>Spring disc Ø20 FZM DIN 127 B</v>
          </cell>
          <cell r="D1024">
            <v>1.6</v>
          </cell>
          <cell r="E1024">
            <v>0.21505376344086022</v>
          </cell>
        </row>
        <row r="1025">
          <cell r="A1025">
            <v>5172</v>
          </cell>
          <cell r="B1025" t="str">
            <v>O-ring Ø505,0 x Ø5,70 Nitril</v>
          </cell>
          <cell r="C1025" t="str">
            <v>O-ring Ø505,03 x Ø5,70 Nitril</v>
          </cell>
          <cell r="D1025">
            <v>125</v>
          </cell>
          <cell r="E1025">
            <v>16.801075268817204</v>
          </cell>
        </row>
        <row r="1026">
          <cell r="A1026">
            <v>5173</v>
          </cell>
          <cell r="B1026" t="str">
            <v>Cyl. skrue M16 x 30 DIN 912 A2</v>
          </cell>
          <cell r="C1026" t="str">
            <v>Cyl. screw M16 x 30 DIN 912 A2</v>
          </cell>
          <cell r="D1026">
            <v>12.7</v>
          </cell>
          <cell r="E1026">
            <v>1.7069892473118278</v>
          </cell>
        </row>
        <row r="1027">
          <cell r="A1027">
            <v>5174</v>
          </cell>
          <cell r="B1027" t="str">
            <v>Nippel M10x1/Ø6 skr lige, aut. smøring</v>
          </cell>
          <cell r="C1027" t="str">
            <v>Nipple M10x1/Ø6 straight cutting, aut. greasing</v>
          </cell>
          <cell r="D1027">
            <v>20</v>
          </cell>
          <cell r="E1027">
            <v>2.6881720430107525</v>
          </cell>
        </row>
        <row r="1028">
          <cell r="A1028">
            <v>5178</v>
          </cell>
          <cell r="B1028" t="str">
            <v>Hydraulikrør Ø6 x 1, sort</v>
          </cell>
          <cell r="C1028" t="str">
            <v>Pipe  ø 6 x 1</v>
          </cell>
          <cell r="D1028">
            <v>20</v>
          </cell>
          <cell r="E1028">
            <v>2.6881720430107525</v>
          </cell>
        </row>
        <row r="1029">
          <cell r="A1029">
            <v>5179</v>
          </cell>
          <cell r="B1029" t="str">
            <v>Rør Ø10 x 1,5 L=370</v>
          </cell>
          <cell r="C1029" t="str">
            <v>Pipe Ø10 x 1,5 L=370</v>
          </cell>
          <cell r="D1029">
            <v>30</v>
          </cell>
          <cell r="E1029">
            <v>4.032258064516129</v>
          </cell>
        </row>
        <row r="1030">
          <cell r="A1030">
            <v>5182</v>
          </cell>
          <cell r="B1030" t="str">
            <v>6-kt. skrue M8 x 40 DIN 931 A2</v>
          </cell>
          <cell r="C1030" t="str">
            <v>Hex screw M8 x 40 DIN 931 A2</v>
          </cell>
          <cell r="D1030">
            <v>1.6</v>
          </cell>
          <cell r="E1030">
            <v>0.21505376344086022</v>
          </cell>
        </row>
        <row r="1031">
          <cell r="A1031">
            <v>5184</v>
          </cell>
          <cell r="B1031" t="str">
            <v>Lejerør for hængselplader</v>
          </cell>
          <cell r="C1031" t="str">
            <v>Bearing for hinge plates</v>
          </cell>
          <cell r="D1031">
            <v>1087</v>
          </cell>
          <cell r="E1031">
            <v>146.1021505376344</v>
          </cell>
        </row>
        <row r="1032">
          <cell r="A1032">
            <v>5199</v>
          </cell>
          <cell r="B1032" t="str">
            <v>Låsemøtrik M20 galv. DIN 985</v>
          </cell>
          <cell r="C1032" t="str">
            <v>Lock nut M20 galv. DIN 985</v>
          </cell>
          <cell r="D1032">
            <v>4.2</v>
          </cell>
          <cell r="E1032">
            <v>0.56451612903225801</v>
          </cell>
        </row>
        <row r="1033">
          <cell r="A1033">
            <v>5201</v>
          </cell>
          <cell r="B1033" t="str">
            <v>Rørstift Ø 10 x 80  DIN 1481</v>
          </cell>
          <cell r="C1033" t="str">
            <v>Pipe pin Ø10 x 80 DIN1481</v>
          </cell>
          <cell r="D1033">
            <v>3.9</v>
          </cell>
          <cell r="E1033">
            <v>0.52419354838709675</v>
          </cell>
        </row>
        <row r="1034">
          <cell r="A1034">
            <v>5207</v>
          </cell>
          <cell r="B1034" t="str">
            <v>Møtrik M16</v>
          </cell>
          <cell r="C1034" t="str">
            <v>Nut M16</v>
          </cell>
          <cell r="D1034">
            <v>1.8</v>
          </cell>
          <cell r="E1034">
            <v>0.24193548387096772</v>
          </cell>
        </row>
        <row r="1035">
          <cell r="A1035">
            <v>5209</v>
          </cell>
          <cell r="B1035" t="str">
            <v>Spændeliste, lang , for tætning</v>
          </cell>
          <cell r="C1035" t="str">
            <v>Tension list, long, for sealing</v>
          </cell>
          <cell r="D1035">
            <v>159</v>
          </cell>
          <cell r="E1035">
            <v>21.370967741935484</v>
          </cell>
        </row>
        <row r="1036">
          <cell r="A1036">
            <v>5216</v>
          </cell>
          <cell r="B1036" t="str">
            <v>Kuglehane 3/4" Ballofix m/kærv</v>
          </cell>
          <cell r="C1036" t="str">
            <v>Ball valve 3/4" Ballofix with slot</v>
          </cell>
          <cell r="D1036">
            <v>172</v>
          </cell>
          <cell r="E1036">
            <v>23.118279569892472</v>
          </cell>
        </row>
        <row r="1037">
          <cell r="A1037">
            <v>5219</v>
          </cell>
          <cell r="B1037" t="str">
            <v xml:space="preserve">Ventil Kuglevent. 020 EGO223 Luft 220V </v>
          </cell>
          <cell r="C1037" t="str">
            <v xml:space="preserve">Spherical valve 020 EGO223 air 220V </v>
          </cell>
          <cell r="D1037">
            <v>3225</v>
          </cell>
          <cell r="E1037">
            <v>433.46774193548384</v>
          </cell>
        </row>
        <row r="1038">
          <cell r="A1038">
            <v>5220</v>
          </cell>
          <cell r="B1038" t="str">
            <v>Ventil Kontravent. 3/4"RG CNB290</v>
          </cell>
          <cell r="C1038" t="str">
            <v>Check valve 3/4"RG CNB290</v>
          </cell>
          <cell r="D1038">
            <v>114</v>
          </cell>
          <cell r="E1038">
            <v>15.32258064516129</v>
          </cell>
        </row>
        <row r="1039">
          <cell r="A1039">
            <v>5221</v>
          </cell>
          <cell r="B1039" t="str">
            <v>Vandtank for Extruder</v>
          </cell>
          <cell r="C1039" t="str">
            <v>Water tank for Extruder</v>
          </cell>
          <cell r="D1039">
            <v>8919</v>
          </cell>
          <cell r="E1039">
            <v>1198.7903225806451</v>
          </cell>
        </row>
        <row r="1040">
          <cell r="A1040">
            <v>5222</v>
          </cell>
          <cell r="B1040" t="str">
            <v>Vinkel 90gr 3/4" ind-ud galv.</v>
          </cell>
          <cell r="C1040" t="str">
            <v>Angle 90degr. 3/4" inner/outer galvanized.</v>
          </cell>
          <cell r="D1040">
            <v>19.100000000000001</v>
          </cell>
          <cell r="E1040">
            <v>2.567204301075269</v>
          </cell>
        </row>
        <row r="1041">
          <cell r="A1041">
            <v>5229</v>
          </cell>
          <cell r="B1041" t="str">
            <v>Feder.</v>
          </cell>
          <cell r="C1041" t="str">
            <v>Parallel Key</v>
          </cell>
          <cell r="D1041">
            <v>82</v>
          </cell>
          <cell r="E1041">
            <v>11.021505376344086</v>
          </cell>
        </row>
        <row r="1042">
          <cell r="A1042">
            <v>5249</v>
          </cell>
          <cell r="B1042" t="str">
            <v>Ventil Kuglevent. 3/4" Type 3388 MES</v>
          </cell>
          <cell r="C1042" t="str">
            <v>Ball valve 3/4" Type 3388 MES f/oildrain</v>
          </cell>
          <cell r="D1042">
            <v>61</v>
          </cell>
          <cell r="E1042">
            <v>8.198924731182796</v>
          </cell>
        </row>
        <row r="1043">
          <cell r="A1043">
            <v>5250</v>
          </cell>
          <cell r="B1043" t="str">
            <v>Sugesi 1320-125MY 3/4"</v>
          </cell>
          <cell r="C1043" t="str">
            <v>Filter for watertank 1320-125MY 3/4"</v>
          </cell>
          <cell r="D1043">
            <v>206</v>
          </cell>
          <cell r="E1043">
            <v>27.688172043010752</v>
          </cell>
        </row>
        <row r="1044">
          <cell r="A1044">
            <v>5254</v>
          </cell>
          <cell r="B1044" t="str">
            <v>Cyl. skrue M6 x 40 A2 DIN912</v>
          </cell>
          <cell r="C1044" t="str">
            <v>Cyl. screw M6 x 40 A2 DIN912</v>
          </cell>
          <cell r="D1044">
            <v>1.6</v>
          </cell>
          <cell r="E1044">
            <v>0.21505376344086022</v>
          </cell>
        </row>
        <row r="1045">
          <cell r="A1045">
            <v>5256</v>
          </cell>
          <cell r="B1045" t="str">
            <v>Cyl. Skrue M12 x 35 for mellemlæg</v>
          </cell>
          <cell r="C1045" t="str">
            <v>Cyl. Screw M12 x 35 for intimidiate layer</v>
          </cell>
          <cell r="D1045">
            <v>2</v>
          </cell>
          <cell r="E1045">
            <v>0.26881720430107525</v>
          </cell>
        </row>
        <row r="1046">
          <cell r="A1046">
            <v>5259</v>
          </cell>
          <cell r="B1046" t="str">
            <v>Cyl. Skrue M10 x 25 DIN 912</v>
          </cell>
          <cell r="C1046" t="str">
            <v>Cyl. Screw M10 x 25 DIN 912</v>
          </cell>
          <cell r="D1046">
            <v>1.6</v>
          </cell>
          <cell r="E1046">
            <v>0.21505376344086022</v>
          </cell>
        </row>
        <row r="1047">
          <cell r="A1047">
            <v>5260</v>
          </cell>
          <cell r="B1047" t="str">
            <v>Fjederskive Ø12 DIN 127 B</v>
          </cell>
          <cell r="C1047" t="str">
            <v>Spring disc Ø12 DIN 127 B</v>
          </cell>
          <cell r="D1047">
            <v>0.5</v>
          </cell>
          <cell r="E1047">
            <v>6.7204301075268813E-2</v>
          </cell>
        </row>
        <row r="1048">
          <cell r="A1048">
            <v>5261</v>
          </cell>
          <cell r="B1048" t="str">
            <v xml:space="preserve">Planskive Ø8 </v>
          </cell>
          <cell r="C1048" t="str">
            <v>Plain washer Ø8</v>
          </cell>
          <cell r="D1048">
            <v>0.5</v>
          </cell>
          <cell r="E1048">
            <v>6.7204301075268813E-2</v>
          </cell>
        </row>
        <row r="1049">
          <cell r="A1049">
            <v>5264</v>
          </cell>
          <cell r="B1049" t="str">
            <v>Møtrik f/rulleholderaksel</v>
          </cell>
          <cell r="C1049" t="str">
            <v>Nut for Roller Mainshaft</v>
          </cell>
          <cell r="D1049">
            <v>17</v>
          </cell>
          <cell r="E1049">
            <v>2.2849462365591395</v>
          </cell>
        </row>
        <row r="1050">
          <cell r="A1050">
            <v>5266</v>
          </cell>
          <cell r="B1050" t="str">
            <v>6-kt. skrue M16 x 30 A2 DIN 933</v>
          </cell>
          <cell r="C1050" t="str">
            <v>Hex screw M16 x 30  A2 FZB D933</v>
          </cell>
          <cell r="D1050">
            <v>6.9</v>
          </cell>
          <cell r="E1050">
            <v>0.92741935483870963</v>
          </cell>
        </row>
        <row r="1051">
          <cell r="A1051">
            <v>5267</v>
          </cell>
          <cell r="B1051" t="str">
            <v>Fjederskive Ø12 A2 DIN 127B</v>
          </cell>
          <cell r="C1051" t="str">
            <v>Spring disc Ø12 A2 DIN 127B</v>
          </cell>
          <cell r="D1051">
            <v>0.6</v>
          </cell>
          <cell r="E1051">
            <v>8.0645161290322578E-2</v>
          </cell>
        </row>
        <row r="1052">
          <cell r="A1052">
            <v>5273</v>
          </cell>
          <cell r="B1052" t="str">
            <v>Pinolskrue M10 x 12 A2</v>
          </cell>
          <cell r="C1052" t="str">
            <v>Centre screw M10 x 12 A2</v>
          </cell>
          <cell r="D1052">
            <v>1.9</v>
          </cell>
          <cell r="E1052">
            <v>0.2553763440860215</v>
          </cell>
        </row>
        <row r="1053">
          <cell r="A1053">
            <v>5291</v>
          </cell>
          <cell r="B1053" t="str">
            <v>Feder</v>
          </cell>
          <cell r="C1053" t="str">
            <v>Parallel Key</v>
          </cell>
          <cell r="D1053">
            <v>11.7</v>
          </cell>
          <cell r="E1053">
            <v>1.57258064516129</v>
          </cell>
        </row>
        <row r="1054">
          <cell r="A1054">
            <v>5293</v>
          </cell>
          <cell r="B1054" t="str">
            <v>Tætmomg 20x25 silicone, varmebestandig</v>
          </cell>
          <cell r="C1054" t="str">
            <v>Tightening 20x25 silicone , heat resistant</v>
          </cell>
          <cell r="D1054">
            <v>101</v>
          </cell>
          <cell r="E1054">
            <v>13.5752688172043</v>
          </cell>
        </row>
        <row r="1055">
          <cell r="A1055">
            <v>5296</v>
          </cell>
          <cell r="B1055" t="str">
            <v>Hydraulik-slange Ø6x1090</v>
          </cell>
          <cell r="C1055" t="str">
            <v>Hydraulic tube Ø6x1090</v>
          </cell>
          <cell r="D1055">
            <v>170</v>
          </cell>
          <cell r="E1055">
            <v>22.849462365591396</v>
          </cell>
        </row>
        <row r="1056">
          <cell r="A1056">
            <v>5311</v>
          </cell>
          <cell r="B1056" t="str">
            <v>Stift Ø12 x 32</v>
          </cell>
          <cell r="C1056" t="str">
            <v>Pin Ø12 x 32</v>
          </cell>
          <cell r="D1056">
            <v>13.8</v>
          </cell>
          <cell r="E1056">
            <v>1.8548387096774193</v>
          </cell>
        </row>
        <row r="1057">
          <cell r="A1057">
            <v>5335</v>
          </cell>
          <cell r="B1057" t="str">
            <v>Motorplade CM6 / CM5K</v>
          </cell>
          <cell r="C1057" t="str">
            <v>Motor plate</v>
          </cell>
          <cell r="D1057">
            <v>504</v>
          </cell>
          <cell r="E1057">
            <v>67.741935483870961</v>
          </cell>
        </row>
        <row r="1058">
          <cell r="A1058">
            <v>5343</v>
          </cell>
          <cell r="B1058" t="str">
            <v>Kileremskive SPA4, TL 1610,Ø100 CM6</v>
          </cell>
          <cell r="C1058" t="str">
            <v>V-belt pulley SPA 4, TL 1610</v>
          </cell>
          <cell r="D1058">
            <v>133</v>
          </cell>
          <cell r="E1058">
            <v>17.876344086021504</v>
          </cell>
        </row>
        <row r="1059">
          <cell r="A1059">
            <v>5344</v>
          </cell>
          <cell r="B1059" t="str">
            <v>Spændelement TL1615, Ø38</v>
          </cell>
          <cell r="C1059" t="str">
            <v>Taper bush TL1615, Ø38</v>
          </cell>
          <cell r="D1059">
            <v>34</v>
          </cell>
          <cell r="E1059">
            <v>4.5698924731182791</v>
          </cell>
        </row>
        <row r="1060">
          <cell r="A1060">
            <v>5348</v>
          </cell>
          <cell r="B1060" t="str">
            <v>6-kt. Skrue M12 x 30 DIN 933</v>
          </cell>
          <cell r="C1060" t="str">
            <v>Hex screw M12 x 30 DIN 933</v>
          </cell>
          <cell r="D1060">
            <v>3.6</v>
          </cell>
          <cell r="E1060">
            <v>0.48387096774193544</v>
          </cell>
        </row>
        <row r="1061">
          <cell r="A1061">
            <v>5350</v>
          </cell>
          <cell r="B1061" t="str">
            <v>Øjebolt M16x170 DIN444</v>
          </cell>
          <cell r="C1061" t="str">
            <v>Eye bolt M16 x 170 DIN444</v>
          </cell>
          <cell r="D1061">
            <v>42</v>
          </cell>
          <cell r="E1061">
            <v>5.6451612903225801</v>
          </cell>
        </row>
        <row r="1062">
          <cell r="A1062">
            <v>5358</v>
          </cell>
          <cell r="B1062" t="str">
            <v>Fordelerrør CM6/CM5K</v>
          </cell>
          <cell r="C1062" t="str">
            <v>Distribution pipe  CM 6 / CM 5K12</v>
          </cell>
          <cell r="D1062">
            <v>5406</v>
          </cell>
          <cell r="E1062">
            <v>726.61290322580646</v>
          </cell>
        </row>
        <row r="1063">
          <cell r="A1063">
            <v>5374</v>
          </cell>
          <cell r="B1063" t="str">
            <v>Hovedtandhjul.</v>
          </cell>
          <cell r="C1063" t="str">
            <v>Toothed wheel</v>
          </cell>
          <cell r="D1063">
            <v>61162</v>
          </cell>
          <cell r="E1063">
            <v>8220.6989247311831</v>
          </cell>
        </row>
        <row r="1064">
          <cell r="A1064">
            <v>5375</v>
          </cell>
          <cell r="B1064" t="str">
            <v>Slidring f/matrice.</v>
          </cell>
          <cell r="C1064" t="str">
            <v>wear ring for die</v>
          </cell>
          <cell r="D1064">
            <v>4505</v>
          </cell>
          <cell r="E1064">
            <v>605.51075268817203</v>
          </cell>
        </row>
        <row r="1065">
          <cell r="A1065">
            <v>5377</v>
          </cell>
          <cell r="B1065" t="str">
            <v>Låsemøtrik f/tandhjul</v>
          </cell>
          <cell r="C1065" t="str">
            <v>Locknut for gear wheel</v>
          </cell>
          <cell r="D1065">
            <v>4028</v>
          </cell>
          <cell r="E1065">
            <v>541.39784946236557</v>
          </cell>
        </row>
        <row r="1066">
          <cell r="A1066">
            <v>5379</v>
          </cell>
          <cell r="B1066" t="str">
            <v>Hovedaksel, Komplet.</v>
          </cell>
          <cell r="C1066" t="str">
            <v>Main shaft, complete</v>
          </cell>
          <cell r="D1066">
            <v>117130</v>
          </cell>
          <cell r="E1066">
            <v>15743.279569892473</v>
          </cell>
        </row>
        <row r="1067">
          <cell r="A1067">
            <v>5380</v>
          </cell>
          <cell r="B1067" t="str">
            <v>Cyl. Kærvskrue M6 x 8 4.8 DIN 84</v>
          </cell>
          <cell r="C1067" t="str">
            <v>Cyl. Slotted Screv M6 x 8 4.8 DIN 84</v>
          </cell>
          <cell r="D1067">
            <v>0.5</v>
          </cell>
          <cell r="E1067">
            <v>6.7204301075268813E-2</v>
          </cell>
        </row>
        <row r="1068">
          <cell r="A1068">
            <v>5387</v>
          </cell>
          <cell r="B1068" t="str">
            <v>Melasseventil komplet, incl. pos. 39-45</v>
          </cell>
          <cell r="C1068" t="str">
            <v>Molasses valve complete, incl. item 39-45</v>
          </cell>
          <cell r="D1068">
            <v>2915</v>
          </cell>
          <cell r="E1068">
            <v>391.80107526881716</v>
          </cell>
        </row>
        <row r="1069">
          <cell r="A1069">
            <v>5388</v>
          </cell>
          <cell r="B1069" t="str">
            <v>Ventil Manifoldvent. M79</v>
          </cell>
          <cell r="C1069" t="str">
            <v>Manifold valve M79</v>
          </cell>
          <cell r="D1069">
            <v>1058</v>
          </cell>
          <cell r="E1069">
            <v>142.2043010752688</v>
          </cell>
        </row>
        <row r="1070">
          <cell r="A1070">
            <v>5389</v>
          </cell>
          <cell r="B1070" t="str">
            <v>Fordelerrør for damp, venstre</v>
          </cell>
          <cell r="C1070" t="str">
            <v>Distributor pipe for steam, left</v>
          </cell>
          <cell r="D1070">
            <v>9275</v>
          </cell>
          <cell r="E1070">
            <v>1246.6397849462364</v>
          </cell>
        </row>
        <row r="1071">
          <cell r="A1071">
            <v>5399</v>
          </cell>
          <cell r="B1071" t="str">
            <v>Skraber, komplet, incl. pos. 21</v>
          </cell>
          <cell r="C1071" t="str">
            <v>Scraper, complete, incl. item 21</v>
          </cell>
          <cell r="D1071">
            <v>359</v>
          </cell>
          <cell r="E1071">
            <v>48.252688172043008</v>
          </cell>
        </row>
        <row r="1072">
          <cell r="A1072">
            <v>5400</v>
          </cell>
          <cell r="B1072" t="str">
            <v>Remskærm</v>
          </cell>
          <cell r="C1072" t="str">
            <v>Belt guard</v>
          </cell>
          <cell r="D1072">
            <v>3127</v>
          </cell>
          <cell r="E1072">
            <v>420.29569892473114</v>
          </cell>
        </row>
        <row r="1073">
          <cell r="A1073">
            <v>5404</v>
          </cell>
          <cell r="B1073" t="str">
            <v>Fordæksel</v>
          </cell>
          <cell r="C1073" t="str">
            <v>Front cover</v>
          </cell>
          <cell r="D1073">
            <v>6201</v>
          </cell>
          <cell r="E1073">
            <v>833.46774193548379</v>
          </cell>
        </row>
        <row r="1074">
          <cell r="A1074">
            <v>5405</v>
          </cell>
          <cell r="B1074" t="str">
            <v>Blandeaksel, komplet</v>
          </cell>
          <cell r="C1074" t="str">
            <v>Mixing shaft, complete</v>
          </cell>
          <cell r="D1074">
            <v>26924</v>
          </cell>
          <cell r="E1074">
            <v>3618.817204301075</v>
          </cell>
        </row>
        <row r="1075">
          <cell r="A1075">
            <v>5408</v>
          </cell>
          <cell r="B1075" t="str">
            <v>Løftebøjle for ruller</v>
          </cell>
          <cell r="C1075" t="str">
            <v>Lift rack for rolls</v>
          </cell>
          <cell r="D1075">
            <v>1219</v>
          </cell>
          <cell r="E1075">
            <v>163.84408602150538</v>
          </cell>
        </row>
        <row r="1076">
          <cell r="A1076">
            <v>5439</v>
          </cell>
          <cell r="B1076" t="str">
            <v>Teer 3/4"-  3/4"-  3/4"</v>
          </cell>
          <cell r="C1076" t="str">
            <v>Teer 3/4"-  3/4"-  3/4"</v>
          </cell>
          <cell r="D1076">
            <v>25</v>
          </cell>
          <cell r="E1076">
            <v>3.3602150537634405</v>
          </cell>
        </row>
        <row r="1077">
          <cell r="A1077">
            <v>5442</v>
          </cell>
          <cell r="B1077" t="str">
            <v>Hus for chassis metal Hana tap</v>
          </cell>
          <cell r="C1077" t="str">
            <v>Housing for chassis metal Hana tap</v>
          </cell>
          <cell r="D1077">
            <v>69</v>
          </cell>
          <cell r="E1077">
            <v>9.2741935483870961</v>
          </cell>
        </row>
        <row r="1078">
          <cell r="A1078">
            <v>5443</v>
          </cell>
          <cell r="B1078" t="str">
            <v>Prop for skruetilslutning Hana</v>
          </cell>
          <cell r="C1078" t="str">
            <v>Plug for screw connection Hana</v>
          </cell>
          <cell r="D1078">
            <v>88</v>
          </cell>
          <cell r="E1078">
            <v>11.827956989247312</v>
          </cell>
        </row>
        <row r="1079">
          <cell r="A1079">
            <v>5444</v>
          </cell>
          <cell r="B1079" t="str">
            <v>Tilslutningsboks El 80x82x50</v>
          </cell>
          <cell r="C1079" t="str">
            <v>Junction box El 80x82x50</v>
          </cell>
          <cell r="D1079">
            <v>129</v>
          </cell>
          <cell r="E1079">
            <v>17.338709677419352</v>
          </cell>
        </row>
        <row r="1080">
          <cell r="A1080">
            <v>5467</v>
          </cell>
          <cell r="B1080" t="str">
            <v>6-kt. Skrue M16 x 40 FZB DIN 933</v>
          </cell>
          <cell r="C1080" t="str">
            <v>Hex screw M16 x 40 FZB DIN 933</v>
          </cell>
          <cell r="D1080">
            <v>3.9</v>
          </cell>
          <cell r="E1080">
            <v>0.52419354838709675</v>
          </cell>
        </row>
        <row r="1081">
          <cell r="A1081">
            <v>5469</v>
          </cell>
          <cell r="B1081" t="str">
            <v>6-kt. Skrue M20 x 60 8.8 FZB D932</v>
          </cell>
          <cell r="C1081" t="str">
            <v>Hex screw M20 x 60 8.8 FZB D932</v>
          </cell>
          <cell r="D1081">
            <v>9.5</v>
          </cell>
          <cell r="E1081">
            <v>1.2768817204301075</v>
          </cell>
        </row>
        <row r="1082">
          <cell r="A1082">
            <v>5470</v>
          </cell>
          <cell r="B1082" t="str">
            <v>6-kt. Skrue M12 x 45 FZB DIN 932</v>
          </cell>
          <cell r="C1082" t="str">
            <v>Hex screw M12 x 45 FZB DIN 932</v>
          </cell>
          <cell r="D1082">
            <v>2.1</v>
          </cell>
          <cell r="E1082">
            <v>0.282258064516129</v>
          </cell>
        </row>
        <row r="1083">
          <cell r="A1083">
            <v>5473</v>
          </cell>
          <cell r="B1083" t="str">
            <v>Hydraulikslange 3/4" 700 90G/lige omløber</v>
          </cell>
          <cell r="C1083" t="str">
            <v>Hydraulic hose 3/4" L=700 90degr./straight circulation</v>
          </cell>
          <cell r="D1083">
            <v>281</v>
          </cell>
          <cell r="E1083">
            <v>37.768817204301072</v>
          </cell>
        </row>
        <row r="1084">
          <cell r="A1084">
            <v>5478</v>
          </cell>
          <cell r="B1084" t="str">
            <v>Brystnippel 1" RG &amp; 3/4" RG</v>
          </cell>
          <cell r="C1084" t="str">
            <v>Nipple 1" RG &amp; 3/4" RG</v>
          </cell>
          <cell r="D1084">
            <v>37</v>
          </cell>
          <cell r="E1084">
            <v>4.9731182795698921</v>
          </cell>
        </row>
        <row r="1085">
          <cell r="A1085">
            <v>5480</v>
          </cell>
          <cell r="B1085" t="str">
            <v>Spændelement TL 1610 Ø35</v>
          </cell>
          <cell r="C1085" t="str">
            <v>Shaft adapter TL 1610 Ø35</v>
          </cell>
          <cell r="D1085">
            <v>55</v>
          </cell>
          <cell r="E1085">
            <v>7.3924731182795691</v>
          </cell>
        </row>
        <row r="1086">
          <cell r="A1086">
            <v>5496</v>
          </cell>
          <cell r="B1086" t="str">
            <v>Akselmøtrik KM27 M135x2</v>
          </cell>
          <cell r="C1086" t="str">
            <v>Nut for shaft KM27 M135x2</v>
          </cell>
          <cell r="D1086">
            <v>206</v>
          </cell>
          <cell r="E1086">
            <v>27.688172043010752</v>
          </cell>
        </row>
        <row r="1087">
          <cell r="A1087">
            <v>5497</v>
          </cell>
          <cell r="B1087" t="str">
            <v>Låseplade MB27</v>
          </cell>
          <cell r="C1087" t="str">
            <v>Lock plate MB27</v>
          </cell>
          <cell r="D1087">
            <v>46</v>
          </cell>
          <cell r="E1087">
            <v>6.182795698924731</v>
          </cell>
        </row>
        <row r="1088">
          <cell r="A1088">
            <v>5498</v>
          </cell>
          <cell r="B1088" t="str">
            <v>Bagkegle</v>
          </cell>
          <cell r="C1088" t="str">
            <v>Rear cone</v>
          </cell>
          <cell r="D1088">
            <v>34450</v>
          </cell>
          <cell r="E1088">
            <v>4630.3763440860212</v>
          </cell>
        </row>
        <row r="1089">
          <cell r="A1089">
            <v>5503</v>
          </cell>
          <cell r="B1089" t="str">
            <v>Filttætning 12 X 16.</v>
          </cell>
          <cell r="C1089" t="str">
            <v>Felt joint 12x16</v>
          </cell>
          <cell r="D1089">
            <v>366</v>
          </cell>
          <cell r="E1089">
            <v>49.193548387096769</v>
          </cell>
        </row>
        <row r="1090">
          <cell r="A1090">
            <v>5504</v>
          </cell>
          <cell r="B1090" t="str">
            <v>Hængseltap</v>
          </cell>
          <cell r="C1090" t="str">
            <v>Pivot</v>
          </cell>
          <cell r="D1090">
            <v>186</v>
          </cell>
          <cell r="E1090">
            <v>25</v>
          </cell>
        </row>
        <row r="1091">
          <cell r="A1091">
            <v>5537</v>
          </cell>
          <cell r="B1091" t="str">
            <v>Pinolskrue M8 x 12 DIN 916</v>
          </cell>
          <cell r="C1091" t="str">
            <v>Pointed screw M8 x 12 DIN 916</v>
          </cell>
          <cell r="D1091">
            <v>0.7</v>
          </cell>
          <cell r="E1091">
            <v>9.408602150537633E-2</v>
          </cell>
        </row>
        <row r="1092">
          <cell r="A1092">
            <v>5538</v>
          </cell>
          <cell r="B1092" t="str">
            <v>Smøreslange med 1 banjo</v>
          </cell>
          <cell r="C1092" t="str">
            <v>Oil tube with 1 banjo</v>
          </cell>
          <cell r="D1092">
            <v>201</v>
          </cell>
          <cell r="E1092">
            <v>27.016129032258064</v>
          </cell>
        </row>
        <row r="1093">
          <cell r="A1093">
            <v>5548</v>
          </cell>
          <cell r="B1093" t="str">
            <v>Bolt for spændering</v>
          </cell>
          <cell r="C1093" t="str">
            <v>Bolt for tension ring</v>
          </cell>
          <cell r="D1093">
            <v>165</v>
          </cell>
          <cell r="E1093">
            <v>22.177419354838708</v>
          </cell>
        </row>
        <row r="1094">
          <cell r="A1094">
            <v>5548</v>
          </cell>
          <cell r="B1094" t="str">
            <v>Spændebolt for spændering</v>
          </cell>
          <cell r="C1094" t="str">
            <v>Fixing bolt for tightening ring</v>
          </cell>
          <cell r="D1094">
            <v>165</v>
          </cell>
          <cell r="E1094">
            <v>22.177419354838708</v>
          </cell>
        </row>
        <row r="1095">
          <cell r="A1095">
            <v>5550</v>
          </cell>
          <cell r="B1095" t="str">
            <v>Cyl. kærvskrue M4 x 10 DIN 84 A</v>
          </cell>
          <cell r="C1095" t="str">
            <v>Cyl. Screv M4 x 10 DIN 84 A</v>
          </cell>
          <cell r="D1095">
            <v>0.2</v>
          </cell>
          <cell r="E1095">
            <v>2.6881720430107527E-2</v>
          </cell>
        </row>
        <row r="1096">
          <cell r="A1096">
            <v>5552</v>
          </cell>
          <cell r="B1096" t="str">
            <v>Fjederskive Ø30 FZB DIN 7980</v>
          </cell>
          <cell r="C1096" t="str">
            <v>Spring disc Ø30 FZB DIN 798</v>
          </cell>
          <cell r="D1096">
            <v>6.4</v>
          </cell>
          <cell r="E1096">
            <v>0.86021505376344087</v>
          </cell>
        </row>
        <row r="1097">
          <cell r="A1097">
            <v>5554</v>
          </cell>
          <cell r="B1097" t="str">
            <v>Tap for matricekran</v>
          </cell>
          <cell r="C1097" t="str">
            <v>Spindle for Die crane</v>
          </cell>
          <cell r="D1097">
            <v>116</v>
          </cell>
          <cell r="E1097">
            <v>15.591397849462364</v>
          </cell>
        </row>
        <row r="1098">
          <cell r="A1098">
            <v>5565</v>
          </cell>
          <cell r="B1098" t="str">
            <v>Taperbøsning TL 2517, Ø50</v>
          </cell>
          <cell r="C1098" t="str">
            <v>Taper bush TL 2517, Ø50</v>
          </cell>
          <cell r="D1098">
            <v>74</v>
          </cell>
          <cell r="E1098">
            <v>9.9462365591397841</v>
          </cell>
        </row>
        <row r="1099">
          <cell r="A1099">
            <v>5572</v>
          </cell>
          <cell r="B1099" t="str">
            <v>Spændeelement TL4040 Ø95</v>
          </cell>
          <cell r="C1099" t="str">
            <v>Clamping element TL4040 Ø95</v>
          </cell>
          <cell r="D1099">
            <v>223</v>
          </cell>
          <cell r="E1099">
            <v>29.973118279569892</v>
          </cell>
        </row>
        <row r="1100">
          <cell r="A1100">
            <v>5584</v>
          </cell>
          <cell r="B1100" t="str">
            <v xml:space="preserve">Kilerem SPB 2680 </v>
          </cell>
          <cell r="C1100" t="str">
            <v>V-belt SPB 2680</v>
          </cell>
          <cell r="D1100">
            <v>139</v>
          </cell>
          <cell r="E1100">
            <v>18.682795698924732</v>
          </cell>
        </row>
        <row r="1101">
          <cell r="A1101">
            <v>5586</v>
          </cell>
          <cell r="B1101" t="str">
            <v>Afstrygerkniv.</v>
          </cell>
          <cell r="C1101" t="str">
            <v>Scraper knife</v>
          </cell>
          <cell r="D1101">
            <v>1256</v>
          </cell>
          <cell r="E1101">
            <v>168.81720430107526</v>
          </cell>
        </row>
        <row r="1102">
          <cell r="A1102">
            <v>5607</v>
          </cell>
          <cell r="B1102" t="str">
            <v>Hovedaksel</v>
          </cell>
          <cell r="C1102" t="str">
            <v>Main shaft</v>
          </cell>
          <cell r="D1102">
            <v>21730</v>
          </cell>
          <cell r="E1102">
            <v>2920.6989247311826</v>
          </cell>
        </row>
        <row r="1103">
          <cell r="A1103">
            <v>5608</v>
          </cell>
          <cell r="B1103" t="str">
            <v>Hovedlejeskål</v>
          </cell>
          <cell r="C1103" t="str">
            <v>Main bearing cap</v>
          </cell>
          <cell r="D1103">
            <v>3074</v>
          </cell>
          <cell r="E1103">
            <v>413.17204301075265</v>
          </cell>
        </row>
        <row r="1104">
          <cell r="A1104">
            <v>5609</v>
          </cell>
          <cell r="B1104" t="str">
            <v>Dæksel for hovedlejeskål</v>
          </cell>
          <cell r="C1104" t="str">
            <v>Main bearing cap cover</v>
          </cell>
          <cell r="D1104">
            <v>1590</v>
          </cell>
          <cell r="E1104">
            <v>213.70967741935482</v>
          </cell>
        </row>
        <row r="1105">
          <cell r="A1105">
            <v>5610</v>
          </cell>
          <cell r="B1105" t="str">
            <v>Sikringskobling komplet  M 2</v>
          </cell>
          <cell r="C1105" t="str">
            <v>Safety clutch complete</v>
          </cell>
          <cell r="D1105">
            <v>9307</v>
          </cell>
          <cell r="E1105">
            <v>1250.9408602150536</v>
          </cell>
        </row>
        <row r="1106">
          <cell r="A1106">
            <v>5611</v>
          </cell>
          <cell r="B1106" t="str">
            <v>Dæksel for sikringskobling</v>
          </cell>
          <cell r="C1106" t="str">
            <v>Safety clutch cover</v>
          </cell>
          <cell r="D1106">
            <v>1378</v>
          </cell>
          <cell r="E1106">
            <v>185.21505376344086</v>
          </cell>
        </row>
        <row r="1107">
          <cell r="A1107">
            <v>5613</v>
          </cell>
          <cell r="B1107" t="str">
            <v>Vinkel 90gr ø6 skærering galv.</v>
          </cell>
          <cell r="C1107" t="str">
            <v>Angle 90degr. ø6 cutting ring galvamized</v>
          </cell>
          <cell r="D1107">
            <v>40</v>
          </cell>
          <cell r="E1107">
            <v>5.376344086021505</v>
          </cell>
        </row>
        <row r="1108">
          <cell r="A1108">
            <v>5614</v>
          </cell>
          <cell r="B1108" t="str">
            <v>Vinkel 90° Ø6</v>
          </cell>
          <cell r="C1108" t="str">
            <v>Angle 90° Ø6</v>
          </cell>
          <cell r="D1108">
            <v>111</v>
          </cell>
          <cell r="E1108">
            <v>14.919354838709676</v>
          </cell>
        </row>
        <row r="1109">
          <cell r="A1109">
            <v>5624</v>
          </cell>
          <cell r="B1109" t="str">
            <v>Tandhjul</v>
          </cell>
          <cell r="C1109" t="str">
            <v>Gear wheel</v>
          </cell>
          <cell r="D1109">
            <v>13886</v>
          </cell>
          <cell r="E1109">
            <v>1866.3978494623655</v>
          </cell>
        </row>
        <row r="1110">
          <cell r="A1110">
            <v>5626</v>
          </cell>
          <cell r="B1110" t="str">
            <v>Lejehus for sidegear</v>
          </cell>
          <cell r="C1110" t="str">
            <v>Bering housing for side gear.</v>
          </cell>
          <cell r="D1110">
            <v>3678</v>
          </cell>
          <cell r="E1110">
            <v>494.35483870967738</v>
          </cell>
        </row>
        <row r="1111">
          <cell r="A1111">
            <v>5627</v>
          </cell>
          <cell r="B1111" t="str">
            <v>Lejedæksel, Æben</v>
          </cell>
          <cell r="C1111" t="str">
            <v>Bearinghouse</v>
          </cell>
          <cell r="D1111">
            <v>4685</v>
          </cell>
          <cell r="E1111">
            <v>629.70430107526875</v>
          </cell>
        </row>
        <row r="1112">
          <cell r="A1112">
            <v>5627</v>
          </cell>
          <cell r="B1112" t="str">
            <v>Lejehus åben for sidegear</v>
          </cell>
          <cell r="C1112" t="str">
            <v>Bearing housing open for side gear</v>
          </cell>
          <cell r="D1112">
            <v>5533</v>
          </cell>
          <cell r="E1112">
            <v>743.68279569892468</v>
          </cell>
        </row>
        <row r="1113">
          <cell r="A1113">
            <v>5629</v>
          </cell>
          <cell r="B1113" t="str">
            <v>Komponentsæt Lincoln, aut. Smøring</v>
          </cell>
          <cell r="C1113" t="str">
            <v>Set of components Lincoln automatic greasing</v>
          </cell>
          <cell r="D1113">
            <v>3440</v>
          </cell>
          <cell r="E1113">
            <v>462.36559139784941</v>
          </cell>
        </row>
        <row r="1114">
          <cell r="A1114">
            <v>5633</v>
          </cell>
          <cell r="B1114" t="str">
            <v>Nippel 1" BSP/Ø28 x 2  sort</v>
          </cell>
          <cell r="C1114" t="str">
            <v xml:space="preserve">Nipple 1" BSP/Ø28 x 2 </v>
          </cell>
          <cell r="D1114">
            <v>90</v>
          </cell>
          <cell r="E1114">
            <v>12.096774193548386</v>
          </cell>
        </row>
        <row r="1115">
          <cell r="A1115">
            <v>5634</v>
          </cell>
          <cell r="B1115" t="str">
            <v>Nippel 1" RG/Ø28 FZB</v>
          </cell>
          <cell r="C1115" t="str">
            <v>Nipple 1" RG/Ø28 FZB</v>
          </cell>
          <cell r="D1115">
            <v>122</v>
          </cell>
          <cell r="E1115">
            <v>16.397849462365592</v>
          </cell>
        </row>
        <row r="1116">
          <cell r="A1116">
            <v>5635</v>
          </cell>
          <cell r="B1116" t="str">
            <v>Skotforskruning 90gr ø28 skærering</v>
          </cell>
          <cell r="C1116" t="str">
            <v>Door union 90gr ø28 cutting ring</v>
          </cell>
          <cell r="D1116">
            <v>339</v>
          </cell>
          <cell r="E1116">
            <v>45.564516129032256</v>
          </cell>
        </row>
        <row r="1117">
          <cell r="A1117">
            <v>5636</v>
          </cell>
          <cell r="B1117" t="str">
            <v>Skotforskruning lige ø28 skærering</v>
          </cell>
          <cell r="C1117" t="str">
            <v>Door union lige ø28 cutting ring</v>
          </cell>
          <cell r="D1117">
            <v>210</v>
          </cell>
          <cell r="E1117">
            <v>28.2258064516129</v>
          </cell>
        </row>
        <row r="1118">
          <cell r="A1118">
            <v>5637</v>
          </cell>
          <cell r="B1118" t="str">
            <v>T-stykke x ø 28 skærering</v>
          </cell>
          <cell r="C1118" t="str">
            <v xml:space="preserve">Elbow x Ø28 cutting ring </v>
          </cell>
          <cell r="D1118">
            <v>280</v>
          </cell>
          <cell r="E1118">
            <v>37.634408602150536</v>
          </cell>
        </row>
        <row r="1119">
          <cell r="A1119">
            <v>5638</v>
          </cell>
          <cell r="B1119" t="str">
            <v>T/2 x ø28 skærering &amp; ø28 lige FZB</v>
          </cell>
          <cell r="C1119" t="str">
            <v xml:space="preserve">T/2 ø28 cuttingring &amp; ø28 straight FZB </v>
          </cell>
          <cell r="D1119">
            <v>334</v>
          </cell>
          <cell r="E1119">
            <v>44.892473118279568</v>
          </cell>
        </row>
        <row r="1120">
          <cell r="A1120">
            <v>5639</v>
          </cell>
          <cell r="B1120" t="str">
            <v xml:space="preserve">Reduktion ø28/ø12 skærering lige </v>
          </cell>
          <cell r="C1120" t="str">
            <v>Reduction ø28/ø12 cutting ring straight</v>
          </cell>
          <cell r="D1120">
            <v>133</v>
          </cell>
          <cell r="E1120">
            <v>17.876344086021504</v>
          </cell>
        </row>
        <row r="1121">
          <cell r="A1121">
            <v>5640</v>
          </cell>
          <cell r="B1121" t="str">
            <v xml:space="preserve">Reduktion ø28/ø12 skærering lige </v>
          </cell>
          <cell r="C1121" t="str">
            <v>Reduction ø28/ø12 cutting ring straight</v>
          </cell>
          <cell r="D1121">
            <v>90</v>
          </cell>
          <cell r="E1121">
            <v>12.096774193548386</v>
          </cell>
        </row>
        <row r="1122">
          <cell r="A1122">
            <v>5641</v>
          </cell>
          <cell r="B1122" t="str">
            <v>Reduktion ø12/ø8 skærering lige</v>
          </cell>
          <cell r="C1122" t="str">
            <v>Reduction ø12/ø8 cutting ring straight</v>
          </cell>
          <cell r="D1122">
            <v>32</v>
          </cell>
          <cell r="E1122">
            <v>4.301075268817204</v>
          </cell>
        </row>
        <row r="1123">
          <cell r="A1123">
            <v>5644</v>
          </cell>
          <cell r="B1123" t="str">
            <v>Magnetbeslag B 312</v>
          </cell>
          <cell r="C1123" t="str">
            <v>Magnet fitting B=312</v>
          </cell>
          <cell r="D1123">
            <v>583</v>
          </cell>
          <cell r="E1123">
            <v>78.36021505376344</v>
          </cell>
        </row>
        <row r="1124">
          <cell r="A1124">
            <v>5645</v>
          </cell>
          <cell r="B1124" t="str">
            <v>6-kt. Skrue M24 x 75 8.8 sort D931</v>
          </cell>
          <cell r="C1124" t="str">
            <v>Hex screw M24 x 75 8.8 D931</v>
          </cell>
          <cell r="D1124">
            <v>14.8</v>
          </cell>
          <cell r="E1124">
            <v>1.989247311827957</v>
          </cell>
        </row>
        <row r="1125">
          <cell r="A1125">
            <v>5648</v>
          </cell>
          <cell r="B1125" t="str">
            <v>Erstattet af 62574</v>
          </cell>
          <cell r="C1125" t="str">
            <v>Replaced by 052674</v>
          </cell>
          <cell r="D1125" t="str">
            <v>replaced</v>
          </cell>
          <cell r="E1125" t="e">
            <v>#VALUE!</v>
          </cell>
        </row>
        <row r="1126">
          <cell r="A1126">
            <v>5649</v>
          </cell>
          <cell r="B1126" t="str">
            <v>Hydraulikpumpeenhed.</v>
          </cell>
          <cell r="C1126" t="str">
            <v>Pump with motor</v>
          </cell>
          <cell r="D1126">
            <v>14098</v>
          </cell>
          <cell r="E1126">
            <v>1894.8924731182794</v>
          </cell>
        </row>
        <row r="1127">
          <cell r="A1127">
            <v>5650</v>
          </cell>
          <cell r="B1127" t="str">
            <v>Trykswitch 0,2-6 bar EIH-H90</v>
          </cell>
          <cell r="C1127" t="str">
            <v>Pressure control 0,2-6 bar EIH-H90</v>
          </cell>
          <cell r="D1127">
            <v>1630</v>
          </cell>
          <cell r="E1127">
            <v>219.08602150537632</v>
          </cell>
        </row>
        <row r="1128">
          <cell r="A1128">
            <v>5651</v>
          </cell>
          <cell r="B1128" t="str">
            <v>Manometer 0-16 bar 1/4"</v>
          </cell>
          <cell r="C1128" t="str">
            <v>Manometer 0-16 bar 1/4"</v>
          </cell>
          <cell r="D1128">
            <v>170</v>
          </cell>
          <cell r="E1128">
            <v>22.849462365591396</v>
          </cell>
        </row>
        <row r="1129">
          <cell r="A1129">
            <v>5652</v>
          </cell>
          <cell r="B1129" t="str">
            <v>Hydraulisk rør ø22 x 1,5 sort</v>
          </cell>
          <cell r="C1129" t="str">
            <v>Hydraulic pipe ø22 x 1,5</v>
          </cell>
          <cell r="D1129">
            <v>32</v>
          </cell>
          <cell r="E1129">
            <v>4.301075268817204</v>
          </cell>
        </row>
        <row r="1130">
          <cell r="A1130">
            <v>5655</v>
          </cell>
          <cell r="B1130" t="str">
            <v>Nippelmuffe 3/4" U - 1" I galv.</v>
          </cell>
          <cell r="C1130" t="str">
            <v>Nipple sleeve 3/4" U - 1" I galv.</v>
          </cell>
          <cell r="D1130">
            <v>83</v>
          </cell>
          <cell r="E1130">
            <v>11.155913978494622</v>
          </cell>
        </row>
        <row r="1131">
          <cell r="A1131">
            <v>5656</v>
          </cell>
          <cell r="B1131" t="str">
            <v>T/2 x ø8 skærering &amp; ø8 lige FZB</v>
          </cell>
          <cell r="C1131" t="str">
            <v>T/2 x ø8 cuttingring &amp; ø8 straight FZB</v>
          </cell>
          <cell r="D1131">
            <v>60</v>
          </cell>
          <cell r="E1131">
            <v>8.064516129032258</v>
          </cell>
        </row>
        <row r="1132">
          <cell r="A1132">
            <v>5657</v>
          </cell>
          <cell r="B1132" t="str">
            <v>Vinkel 90gr ø8 skærering 1/8" BSPT</v>
          </cell>
          <cell r="C1132" t="str">
            <v>Angle 90degr. ø8 cutting ring 1/8" BSPT</v>
          </cell>
          <cell r="D1132">
            <v>38</v>
          </cell>
          <cell r="E1132">
            <v>5.10752688172043</v>
          </cell>
        </row>
        <row r="1133">
          <cell r="A1133">
            <v>5658</v>
          </cell>
          <cell r="B1133" t="str">
            <v>Reduktion ø22/ø12 skærering</v>
          </cell>
          <cell r="C1133" t="str">
            <v>Reduction ø22/ø12 cutting ring</v>
          </cell>
          <cell r="D1133">
            <v>69</v>
          </cell>
          <cell r="E1133">
            <v>9.2741935483870961</v>
          </cell>
        </row>
        <row r="1134">
          <cell r="A1134">
            <v>5659</v>
          </cell>
          <cell r="B1134" t="str">
            <v>T-stykke x ø 22 skærering FZB</v>
          </cell>
          <cell r="C1134" t="str">
            <v>Elbow x Ø22 cutting ring FZB</v>
          </cell>
          <cell r="D1134">
            <v>173</v>
          </cell>
          <cell r="E1134">
            <v>23.252688172043008</v>
          </cell>
        </row>
        <row r="1135">
          <cell r="A1135">
            <v>5668</v>
          </cell>
          <cell r="B1135" t="str">
            <v>Cyl. skrue M12 x 60 DIN 912 8.8</v>
          </cell>
          <cell r="C1135" t="str">
            <v>Cyl. Screw M12 x 60 DIN 912 8.8</v>
          </cell>
          <cell r="D1135">
            <v>7.4</v>
          </cell>
          <cell r="E1135">
            <v>0.9946236559139785</v>
          </cell>
        </row>
        <row r="1136">
          <cell r="A1136">
            <v>5671</v>
          </cell>
          <cell r="B1136" t="str">
            <v>Blænde 4 mm</v>
          </cell>
          <cell r="C1136" t="str">
            <v>Dazzle 4mm</v>
          </cell>
          <cell r="D1136">
            <v>300</v>
          </cell>
          <cell r="E1136">
            <v>40.322580645161288</v>
          </cell>
        </row>
        <row r="1137">
          <cell r="A1137">
            <v>5672</v>
          </cell>
          <cell r="B1137" t="str">
            <v>Pinolskrue M10 x 10 14.9 DIN 916</v>
          </cell>
          <cell r="C1137" t="str">
            <v>Centre screw M10 x 10 14.9 DIN 916</v>
          </cell>
          <cell r="D1137">
            <v>1.5</v>
          </cell>
          <cell r="E1137">
            <v>0.20161290322580644</v>
          </cell>
        </row>
        <row r="1138">
          <cell r="A1138">
            <v>5674</v>
          </cell>
          <cell r="B1138" t="str">
            <v xml:space="preserve">Skive for rulle laske   </v>
          </cell>
          <cell r="C1138" t="str">
            <v>Roller washer, butt</v>
          </cell>
          <cell r="D1138">
            <v>163</v>
          </cell>
          <cell r="E1138">
            <v>21.908602150537632</v>
          </cell>
        </row>
        <row r="1139">
          <cell r="A1139">
            <v>5683</v>
          </cell>
          <cell r="B1139" t="str">
            <v>Stilleskrue</v>
          </cell>
          <cell r="C1139" t="str">
            <v>Regulating screw</v>
          </cell>
          <cell r="D1139">
            <v>550</v>
          </cell>
          <cell r="E1139">
            <v>73.924731182795696</v>
          </cell>
        </row>
        <row r="1140">
          <cell r="A1140">
            <v>5684</v>
          </cell>
          <cell r="B1140" t="str">
            <v>6-kt. Skrue M16 x 35 FZB DIN 933</v>
          </cell>
          <cell r="C1140" t="str">
            <v>Hex screw M16 x 35 FZB DIN 933</v>
          </cell>
          <cell r="D1140">
            <v>3.7</v>
          </cell>
          <cell r="E1140">
            <v>0.49731182795698925</v>
          </cell>
        </row>
        <row r="1141">
          <cell r="A1141">
            <v>5685</v>
          </cell>
          <cell r="B1141" t="str">
            <v>Spændering f fødekonus  M2</v>
          </cell>
          <cell r="C1141" t="str">
            <v>Feeder cone clamping ringe</v>
          </cell>
          <cell r="D1141">
            <v>3498</v>
          </cell>
          <cell r="E1141">
            <v>470.16129032258061</v>
          </cell>
        </row>
        <row r="1142">
          <cell r="A1142">
            <v>5686</v>
          </cell>
          <cell r="B1142" t="str">
            <v xml:space="preserve">Pillekammer H&amp;V hængslet </v>
          </cell>
          <cell r="C1142" t="str">
            <v>Pellet chamber R&amp;L hinged</v>
          </cell>
          <cell r="D1142">
            <v>18020</v>
          </cell>
          <cell r="E1142">
            <v>2422.0430107526881</v>
          </cell>
        </row>
        <row r="1143">
          <cell r="A1143">
            <v>5687</v>
          </cell>
          <cell r="B1143" t="str">
            <v xml:space="preserve">Hængselstyr </v>
          </cell>
          <cell r="C1143" t="str">
            <v>Hinge guide</v>
          </cell>
          <cell r="D1143">
            <v>1622</v>
          </cell>
          <cell r="E1143">
            <v>218.01075268817203</v>
          </cell>
        </row>
        <row r="1144">
          <cell r="A1144">
            <v>5688</v>
          </cell>
          <cell r="B1144" t="str">
            <v>Facetskive Ø16 A2 DIN125A</v>
          </cell>
          <cell r="C1144" t="str">
            <v>Washer Ø16 A2 DIN125A</v>
          </cell>
          <cell r="D1144">
            <v>1.1000000000000001</v>
          </cell>
          <cell r="E1144">
            <v>0.14784946236559141</v>
          </cell>
        </row>
        <row r="1145">
          <cell r="A1145">
            <v>5689</v>
          </cell>
          <cell r="B1145" t="str">
            <v>Indløbstragt</v>
          </cell>
          <cell r="C1145" t="str">
            <v>Inlet funnel</v>
          </cell>
          <cell r="D1145">
            <v>5512</v>
          </cell>
          <cell r="E1145">
            <v>740.86021505376345</v>
          </cell>
        </row>
        <row r="1146">
          <cell r="A1146">
            <v>5691</v>
          </cell>
          <cell r="B1146" t="str">
            <v>Cyl. Skrue M20x20</v>
          </cell>
          <cell r="C1146" t="str">
            <v>Cyl. Screw M12x20</v>
          </cell>
          <cell r="D1146">
            <v>6.4</v>
          </cell>
          <cell r="E1146">
            <v>0.86021505376344087</v>
          </cell>
        </row>
        <row r="1147">
          <cell r="A1147">
            <v>5692</v>
          </cell>
          <cell r="B1147" t="str">
            <v>Induktivføler DJ5G 8,2V DC</v>
          </cell>
          <cell r="C1147" t="str">
            <v>Inductive sensor DJ5G 8,2V DC</v>
          </cell>
          <cell r="D1147">
            <v>244</v>
          </cell>
          <cell r="E1147">
            <v>32.795698924731184</v>
          </cell>
        </row>
        <row r="1148">
          <cell r="A1148">
            <v>5693</v>
          </cell>
          <cell r="B1148" t="str">
            <v xml:space="preserve">Holder f hastighedsvagt </v>
          </cell>
          <cell r="C1148" t="str">
            <v>Speed guard fitting</v>
          </cell>
          <cell r="D1148">
            <v>101</v>
          </cell>
          <cell r="E1148">
            <v>13.5752688172043</v>
          </cell>
        </row>
        <row r="1149">
          <cell r="A1149">
            <v>5694</v>
          </cell>
          <cell r="B1149" t="str">
            <v>Marinedåse med låg</v>
          </cell>
          <cell r="C1149" t="str">
            <v>Connection box with cover</v>
          </cell>
          <cell r="D1149">
            <v>64</v>
          </cell>
          <cell r="E1149">
            <v>8.6021505376344081</v>
          </cell>
        </row>
        <row r="1150">
          <cell r="A1150">
            <v>5695</v>
          </cell>
          <cell r="B1150" t="str">
            <v>Holder for godsfordeler</v>
          </cell>
          <cell r="C1150" t="str">
            <v>Deflector fitting</v>
          </cell>
          <cell r="D1150">
            <v>753</v>
          </cell>
          <cell r="E1150">
            <v>101.20967741935483</v>
          </cell>
        </row>
        <row r="1151">
          <cell r="A1151">
            <v>5696</v>
          </cell>
          <cell r="B1151" t="str">
            <v>Gevindbøsning</v>
          </cell>
          <cell r="C1151" t="str">
            <v>Threaded bushing</v>
          </cell>
          <cell r="D1151">
            <v>572</v>
          </cell>
          <cell r="E1151">
            <v>76.881720430107521</v>
          </cell>
        </row>
        <row r="1152">
          <cell r="A1152">
            <v>5707</v>
          </cell>
          <cell r="B1152" t="str">
            <v>Topmøtrik M20 DIN1587</v>
          </cell>
          <cell r="C1152" t="str">
            <v>Top nut M20 DIN1587</v>
          </cell>
          <cell r="D1152">
            <v>45</v>
          </cell>
          <cell r="E1152">
            <v>6.0483870967741931</v>
          </cell>
        </row>
        <row r="1153">
          <cell r="A1153">
            <v>5709</v>
          </cell>
          <cell r="B1153" t="str">
            <v>6-kt. Skrue M16 x 140 FZB DIN 933</v>
          </cell>
          <cell r="C1153" t="str">
            <v>Hex screw M16 x 140 FZB DIN 933</v>
          </cell>
          <cell r="D1153">
            <v>20</v>
          </cell>
          <cell r="E1153">
            <v>2.6881720430107525</v>
          </cell>
        </row>
        <row r="1154">
          <cell r="A1154">
            <v>5719</v>
          </cell>
          <cell r="B1154" t="str">
            <v>Nippel 1/8" RG/Ø6 skærering</v>
          </cell>
          <cell r="C1154" t="str">
            <v>Nipple 1/8" RG/ø6  cutting FZ</v>
          </cell>
          <cell r="D1154">
            <v>23</v>
          </cell>
          <cell r="E1154">
            <v>3.0913978494623655</v>
          </cell>
        </row>
        <row r="1155">
          <cell r="A1155">
            <v>5722</v>
          </cell>
          <cell r="B1155" t="str">
            <v>Endedæksel, Venstre</v>
          </cell>
          <cell r="C1155" t="str">
            <v>End cover, left thread</v>
          </cell>
          <cell r="D1155">
            <v>450</v>
          </cell>
          <cell r="E1155">
            <v>60.483870967741929</v>
          </cell>
        </row>
        <row r="1156">
          <cell r="A1156">
            <v>5723</v>
          </cell>
          <cell r="B1156" t="str">
            <v>Endedæksel, Højre</v>
          </cell>
          <cell r="C1156" t="str">
            <v>End cover, right thread</v>
          </cell>
          <cell r="D1156">
            <v>350</v>
          </cell>
          <cell r="E1156">
            <v>47.043010752688168</v>
          </cell>
        </row>
        <row r="1157">
          <cell r="A1157">
            <v>5730</v>
          </cell>
          <cell r="B1157" t="str">
            <v>cyl skrue M8X10 8.8 DIN 912</v>
          </cell>
          <cell r="C1157" t="str">
            <v>Screw M8X10 8.8 DIN 912</v>
          </cell>
          <cell r="D1157">
            <v>1.1000000000000001</v>
          </cell>
          <cell r="E1157">
            <v>0.14784946236559141</v>
          </cell>
        </row>
        <row r="1158">
          <cell r="A1158">
            <v>5744</v>
          </cell>
          <cell r="B1158" t="str">
            <v>Omløber 6 mm</v>
          </cell>
          <cell r="C1158" t="str">
            <v>Union 6mm</v>
          </cell>
          <cell r="D1158">
            <v>4.8</v>
          </cell>
          <cell r="E1158">
            <v>0.64516129032258063</v>
          </cell>
        </row>
        <row r="1159">
          <cell r="A1159">
            <v>5746</v>
          </cell>
          <cell r="B1159" t="str">
            <v>T/3 x Ø6 FZB</v>
          </cell>
          <cell r="C1159" t="str">
            <v>T/3 x Ø6 FZB</v>
          </cell>
          <cell r="D1159">
            <v>48</v>
          </cell>
          <cell r="E1159">
            <v>6.4516129032258061</v>
          </cell>
        </row>
        <row r="1160">
          <cell r="A1160">
            <v>5746</v>
          </cell>
          <cell r="B1160" t="str">
            <v xml:space="preserve">T-indskruning ø6 x ø6x ø6 </v>
          </cell>
          <cell r="C1160" t="str">
            <v xml:space="preserve">T - nipple </v>
          </cell>
          <cell r="D1160">
            <v>48</v>
          </cell>
          <cell r="E1160">
            <v>6.4516129032258061</v>
          </cell>
        </row>
        <row r="1161">
          <cell r="A1161">
            <v>5749</v>
          </cell>
          <cell r="B1161" t="str">
            <v>Nippel 1/4"/Ø6 skærering lige</v>
          </cell>
          <cell r="C1161" t="str">
            <v>Nipple 1/4" RG/Ø6 cut. ring</v>
          </cell>
          <cell r="D1161">
            <v>30</v>
          </cell>
          <cell r="E1161">
            <v>4.032258064516129</v>
          </cell>
        </row>
        <row r="1162">
          <cell r="A1162">
            <v>5751</v>
          </cell>
          <cell r="B1162" t="str">
            <v>6-kt. Skrue M12 x 45 A2 DIN 933</v>
          </cell>
          <cell r="C1162" t="str">
            <v>Hex screw M12 x 45 A2 DIN 933</v>
          </cell>
          <cell r="D1162">
            <v>3.7</v>
          </cell>
          <cell r="E1162">
            <v>0.49731182795698925</v>
          </cell>
        </row>
        <row r="1163">
          <cell r="A1163">
            <v>5753</v>
          </cell>
          <cell r="B1163" t="str">
            <v>Ventilkegle for melasse</v>
          </cell>
          <cell r="C1163" t="str">
            <v>Valve cone for molasses</v>
          </cell>
          <cell r="D1163">
            <v>557</v>
          </cell>
          <cell r="E1163">
            <v>74.865591397849457</v>
          </cell>
        </row>
        <row r="1164">
          <cell r="A1164">
            <v>5754</v>
          </cell>
          <cell r="B1164" t="str">
            <v>Justerhåndtak</v>
          </cell>
          <cell r="C1164" t="str">
            <v>Adjustment handle</v>
          </cell>
          <cell r="D1164">
            <v>117</v>
          </cell>
          <cell r="E1164">
            <v>15.725806451612902</v>
          </cell>
        </row>
        <row r="1165">
          <cell r="A1165">
            <v>5755</v>
          </cell>
          <cell r="B1165" t="str">
            <v>Ventilkegle</v>
          </cell>
          <cell r="C1165" t="str">
            <v>Valve cone</v>
          </cell>
          <cell r="D1165">
            <v>445</v>
          </cell>
          <cell r="E1165">
            <v>59.811827956989241</v>
          </cell>
        </row>
        <row r="1166">
          <cell r="A1166">
            <v>5756</v>
          </cell>
          <cell r="B1166" t="str">
            <v>Union 2x1" RG</v>
          </cell>
          <cell r="C1166" t="str">
            <v>Union  2"  x 1"   RG</v>
          </cell>
          <cell r="D1166">
            <v>45</v>
          </cell>
          <cell r="E1166">
            <v>6.0483870967741931</v>
          </cell>
        </row>
        <row r="1167">
          <cell r="A1167">
            <v>5757</v>
          </cell>
          <cell r="B1167" t="str">
            <v>Kontramøtrik 3/8" RG</v>
          </cell>
          <cell r="C1167" t="str">
            <v>Counter nut 3/4" RG</v>
          </cell>
          <cell r="D1167">
            <v>27</v>
          </cell>
          <cell r="E1167">
            <v>3.629032258064516</v>
          </cell>
        </row>
        <row r="1168">
          <cell r="A1168">
            <v>5758</v>
          </cell>
          <cell r="B1168" t="str">
            <v>O-ring Ø2,62xØ17,86</v>
          </cell>
          <cell r="C1168" t="str">
            <v>O-ring Ø2,62xØ17,86</v>
          </cell>
          <cell r="D1168">
            <v>2.9</v>
          </cell>
          <cell r="E1168">
            <v>0.38978494623655913</v>
          </cell>
        </row>
        <row r="1169">
          <cell r="A1169">
            <v>5759</v>
          </cell>
          <cell r="B1169" t="str">
            <v>Kobberskive Ø72/Ø60 x 2</v>
          </cell>
          <cell r="C1169" t="str">
            <v>Cobber washer  ø 72/ø60 x 2</v>
          </cell>
          <cell r="D1169">
            <v>25</v>
          </cell>
          <cell r="E1169">
            <v>3.3602150537634405</v>
          </cell>
        </row>
        <row r="1170">
          <cell r="A1170">
            <v>5760</v>
          </cell>
          <cell r="B1170" t="str">
            <v>Nippelmuffe ½" U-3/8" I</v>
          </cell>
          <cell r="C1170" t="str">
            <v>Nipple sleeve 1/2” outer- 3/8” inner</v>
          </cell>
          <cell r="D1170">
            <v>11.7</v>
          </cell>
          <cell r="E1170">
            <v>1.57258064516129</v>
          </cell>
        </row>
        <row r="1171">
          <cell r="A1171">
            <v>5761</v>
          </cell>
          <cell r="B1171" t="str">
            <v>Skærering 6 mm messing</v>
          </cell>
          <cell r="C1171" t="str">
            <v>Cutting ring 6mm brass</v>
          </cell>
          <cell r="D1171">
            <v>3.7</v>
          </cell>
          <cell r="E1171">
            <v>0.49731182795698925</v>
          </cell>
        </row>
        <row r="1172">
          <cell r="A1172">
            <v>5762</v>
          </cell>
          <cell r="B1172" t="str">
            <v>Reduktionsnippel 3/4"-½"</v>
          </cell>
          <cell r="C1172" t="str">
            <v>Reduction ø3/4 - 1/2 "</v>
          </cell>
          <cell r="D1172">
            <v>14.6</v>
          </cell>
          <cell r="E1172">
            <v>1.9623655913978493</v>
          </cell>
        </row>
        <row r="1173">
          <cell r="A1173">
            <v>5763</v>
          </cell>
          <cell r="B1173" t="str">
            <v>Drejeled ½"-3/4"</v>
          </cell>
          <cell r="C1173" t="str">
            <v>Swivel link ½"-3/4"</v>
          </cell>
          <cell r="D1173">
            <v>716</v>
          </cell>
          <cell r="E1173">
            <v>96.236559139784944</v>
          </cell>
        </row>
        <row r="1174">
          <cell r="A1174">
            <v>5767</v>
          </cell>
          <cell r="B1174" t="str">
            <v>Cyl. skrue M8 x 40 A2 DIN912</v>
          </cell>
          <cell r="C1174" t="str">
            <v>Cyl. screw M8 x 40 A2 DIN912</v>
          </cell>
          <cell r="D1174">
            <v>3.6</v>
          </cell>
          <cell r="E1174">
            <v>0.48387096774193544</v>
          </cell>
        </row>
        <row r="1175">
          <cell r="A1175">
            <v>5791</v>
          </cell>
          <cell r="B1175" t="str">
            <v>Sikringsbolt</v>
          </cell>
          <cell r="C1175" t="str">
            <v>Shear pin</v>
          </cell>
          <cell r="D1175">
            <v>45</v>
          </cell>
          <cell r="E1175">
            <v>6.0483870967741931</v>
          </cell>
        </row>
        <row r="1176">
          <cell r="A1176">
            <v>5834</v>
          </cell>
          <cell r="B1176" t="str">
            <v>Tap M30x200  8.8</v>
          </cell>
          <cell r="C1176" t="str">
            <v>Spindle M30x200 8.8</v>
          </cell>
          <cell r="D1176">
            <v>135</v>
          </cell>
          <cell r="E1176">
            <v>18.14516129032258</v>
          </cell>
        </row>
        <row r="1177">
          <cell r="A1177">
            <v>5866</v>
          </cell>
          <cell r="B1177" t="str">
            <v>Skærm sikringskobling M30</v>
          </cell>
          <cell r="C1177" t="str">
            <v>Screen for safety coupling PM30</v>
          </cell>
          <cell r="D1177">
            <v>1060</v>
          </cell>
          <cell r="E1177">
            <v>142.47311827956989</v>
          </cell>
        </row>
        <row r="1178">
          <cell r="A1178">
            <v>5867</v>
          </cell>
          <cell r="B1178" t="str">
            <v>6-kt. Skrue M10 x 16 8.8 FZB D933</v>
          </cell>
          <cell r="C1178" t="str">
            <v>Hex screw M10 x 16 8.8 FZB D933</v>
          </cell>
          <cell r="D1178">
            <v>1.2</v>
          </cell>
          <cell r="E1178">
            <v>0.16129032258064516</v>
          </cell>
        </row>
        <row r="1179">
          <cell r="A1179">
            <v>5873</v>
          </cell>
          <cell r="B1179" t="str">
            <v>Svejsebøsning værk matriceaftr.</v>
          </cell>
          <cell r="C1179" t="str">
            <v>Welding bushing, die puller tool</v>
          </cell>
          <cell r="D1179">
            <v>127</v>
          </cell>
          <cell r="E1179">
            <v>17.06989247311828</v>
          </cell>
        </row>
        <row r="1180">
          <cell r="A1180">
            <v>5885</v>
          </cell>
          <cell r="B1180" t="str">
            <v>6-kt. Skrue M16 x 80 FZB DIN 933</v>
          </cell>
          <cell r="C1180" t="str">
            <v>Hex screw M16 x 80 FZB DIN 933</v>
          </cell>
          <cell r="D1180">
            <v>6.9</v>
          </cell>
          <cell r="E1180">
            <v>0.92741935483870963</v>
          </cell>
        </row>
        <row r="1181">
          <cell r="A1181">
            <v>5887</v>
          </cell>
          <cell r="B1181" t="str">
            <v>Dysestyr for fedtcoating</v>
          </cell>
          <cell r="C1181" t="str">
            <v>Guide for nozzle</v>
          </cell>
          <cell r="D1181">
            <v>382</v>
          </cell>
          <cell r="E1181">
            <v>51.344086021505376</v>
          </cell>
        </row>
        <row r="1182">
          <cell r="A1182">
            <v>5888</v>
          </cell>
          <cell r="B1182" t="str">
            <v>Holder for VeeJet dyse</v>
          </cell>
          <cell r="C1182" t="str">
            <v>Holder for nozzle</v>
          </cell>
          <cell r="D1182">
            <v>445</v>
          </cell>
          <cell r="E1182">
            <v>59.811827956989241</v>
          </cell>
        </row>
        <row r="1183">
          <cell r="A1183">
            <v>5889</v>
          </cell>
          <cell r="B1183" t="str">
            <v>Bolt for dysestyr</v>
          </cell>
          <cell r="C1183" t="str">
            <v>Bolt for nozzle</v>
          </cell>
          <cell r="D1183">
            <v>69</v>
          </cell>
          <cell r="E1183">
            <v>9.2741935483870961</v>
          </cell>
        </row>
        <row r="1184">
          <cell r="A1184">
            <v>5895</v>
          </cell>
          <cell r="B1184" t="str">
            <v>Dyse VeeJet VV 316SS 8010</v>
          </cell>
          <cell r="C1184" t="str">
            <v>Nozzle    VeeJet VV 316SS 8010</v>
          </cell>
          <cell r="D1184">
            <v>148</v>
          </cell>
          <cell r="E1184">
            <v>19.892473118279568</v>
          </cell>
        </row>
        <row r="1185">
          <cell r="A1185">
            <v>5896</v>
          </cell>
          <cell r="B1185" t="str">
            <v>Dyse VeeJet VV 316SS 8015</v>
          </cell>
          <cell r="C1185" t="str">
            <v>Nozzle    VeeJet VV 316SS 8015</v>
          </cell>
          <cell r="D1185">
            <v>148</v>
          </cell>
          <cell r="E1185">
            <v>19.892473118279568</v>
          </cell>
        </row>
        <row r="1186">
          <cell r="A1186">
            <v>5904</v>
          </cell>
          <cell r="B1186" t="str">
            <v>Løbekat komplet</v>
          </cell>
          <cell r="C1186" t="str">
            <v>Travelling trolley complete i</v>
          </cell>
          <cell r="D1186">
            <v>11130</v>
          </cell>
          <cell r="E1186">
            <v>1495.9677419354839</v>
          </cell>
        </row>
        <row r="1187">
          <cell r="A1187">
            <v>5906</v>
          </cell>
          <cell r="B1187" t="str">
            <v>Aksel</v>
          </cell>
          <cell r="C1187" t="str">
            <v>Shaft</v>
          </cell>
          <cell r="D1187">
            <v>117</v>
          </cell>
          <cell r="E1187">
            <v>15.725806451612902</v>
          </cell>
        </row>
        <row r="1188">
          <cell r="A1188">
            <v>5907</v>
          </cell>
          <cell r="B1188" t="str">
            <v>Aksel</v>
          </cell>
          <cell r="C1188" t="str">
            <v>Shaft</v>
          </cell>
          <cell r="D1188">
            <v>48</v>
          </cell>
          <cell r="E1188">
            <v>6.4516129032258061</v>
          </cell>
        </row>
        <row r="1189">
          <cell r="A1189">
            <v>5908</v>
          </cell>
          <cell r="B1189" t="str">
            <v>Bøsning</v>
          </cell>
          <cell r="C1189" t="str">
            <v>Bushing</v>
          </cell>
          <cell r="D1189">
            <v>42</v>
          </cell>
          <cell r="E1189">
            <v>5.6451612903225801</v>
          </cell>
        </row>
        <row r="1190">
          <cell r="A1190">
            <v>5909</v>
          </cell>
          <cell r="B1190" t="str">
            <v>Bøsning</v>
          </cell>
          <cell r="C1190" t="str">
            <v>Bushing</v>
          </cell>
          <cell r="D1190">
            <v>52</v>
          </cell>
          <cell r="E1190">
            <v>6.989247311827957</v>
          </cell>
        </row>
        <row r="1191">
          <cell r="A1191">
            <v>5910</v>
          </cell>
          <cell r="B1191" t="str">
            <v>Afstandsring</v>
          </cell>
          <cell r="C1191" t="str">
            <v>Distance ring</v>
          </cell>
          <cell r="D1191">
            <v>186</v>
          </cell>
          <cell r="E1191">
            <v>25</v>
          </cell>
        </row>
        <row r="1192">
          <cell r="A1192">
            <v>5911</v>
          </cell>
          <cell r="B1192" t="str">
            <v>Aksel</v>
          </cell>
          <cell r="C1192" t="str">
            <v>Shaft</v>
          </cell>
          <cell r="D1192">
            <v>80</v>
          </cell>
          <cell r="E1192">
            <v>10.75268817204301</v>
          </cell>
        </row>
        <row r="1193">
          <cell r="A1193">
            <v>5912</v>
          </cell>
          <cell r="B1193" t="str">
            <v>Pt100 føler l=150</v>
          </cell>
          <cell r="C1193" t="str">
            <v>Pt100 sensor l=150</v>
          </cell>
          <cell r="D1193">
            <v>1155</v>
          </cell>
          <cell r="E1193">
            <v>155.24193548387095</v>
          </cell>
        </row>
        <row r="1194">
          <cell r="A1194">
            <v>5915</v>
          </cell>
          <cell r="B1194" t="str">
            <v>Leje UC 210 - Ø50</v>
          </cell>
          <cell r="C1194" t="str">
            <v>Bearing UC210 - Ø50</v>
          </cell>
          <cell r="D1194">
            <v>192</v>
          </cell>
          <cell r="E1194">
            <v>25.806451612903224</v>
          </cell>
        </row>
        <row r="1195">
          <cell r="A1195">
            <v>5921</v>
          </cell>
          <cell r="B1195" t="str">
            <v>Bolt M10 x 80</v>
          </cell>
          <cell r="C1195" t="str">
            <v>Bolt M10 x 80.</v>
          </cell>
          <cell r="D1195">
            <v>15.9</v>
          </cell>
          <cell r="E1195">
            <v>2.1370967741935485</v>
          </cell>
        </row>
        <row r="1196">
          <cell r="A1196">
            <v>5948</v>
          </cell>
          <cell r="B1196" t="str">
            <v>Filtring 6 x 10 x 214</v>
          </cell>
          <cell r="C1196" t="str">
            <v>Filt seal  6 x 10 x 214</v>
          </cell>
          <cell r="D1196">
            <v>30</v>
          </cell>
          <cell r="E1196">
            <v>4.032258064516129</v>
          </cell>
        </row>
        <row r="1197">
          <cell r="A1197">
            <v>5952</v>
          </cell>
          <cell r="B1197" t="str">
            <v>Styretap ø28 med 1/4" RG indv.</v>
          </cell>
          <cell r="C1197" t="str">
            <v>Guide pin ø28 with 1/4" RG inner</v>
          </cell>
          <cell r="D1197">
            <v>85</v>
          </cell>
          <cell r="E1197">
            <v>11.424731182795698</v>
          </cell>
        </row>
        <row r="1198">
          <cell r="A1198">
            <v>5953</v>
          </cell>
          <cell r="B1198" t="str">
            <v>Styretap ø28 med 3/8" RG indv.</v>
          </cell>
          <cell r="C1198" t="str">
            <v>Guide pin ø28 with 3/8" RG inner</v>
          </cell>
          <cell r="D1198">
            <v>105</v>
          </cell>
          <cell r="E1198">
            <v>14.11290322580645</v>
          </cell>
        </row>
        <row r="1199">
          <cell r="A1199">
            <v>5959</v>
          </cell>
          <cell r="B1199" t="str">
            <v>Fjederskive Ø8 FZB DIN 7980</v>
          </cell>
          <cell r="C1199" t="str">
            <v>Spring washer Ø8 FZB DIN 7980</v>
          </cell>
          <cell r="D1199">
            <v>0.2</v>
          </cell>
          <cell r="E1199">
            <v>2.6881720430107527E-2</v>
          </cell>
        </row>
        <row r="1200">
          <cell r="A1200">
            <v>5976</v>
          </cell>
          <cell r="B1200" t="str">
            <v>Brystnippel 1/4" RG / 1/8" RG</v>
          </cell>
          <cell r="C1200" t="str">
            <v>Hexagon nipple 1/4" RG / 1/8" RG</v>
          </cell>
          <cell r="D1200">
            <v>12.7</v>
          </cell>
          <cell r="E1200">
            <v>1.7069892473118278</v>
          </cell>
        </row>
        <row r="1201">
          <cell r="A1201">
            <v>5981</v>
          </cell>
          <cell r="B1201" t="str">
            <v>Lynkobling, 1/4" han</v>
          </cell>
          <cell r="C1201" t="str">
            <v>Snap coupling, 1/4" male</v>
          </cell>
          <cell r="D1201">
            <v>59</v>
          </cell>
          <cell r="E1201">
            <v>7.93010752688172</v>
          </cell>
        </row>
        <row r="1202">
          <cell r="A1202">
            <v>5982</v>
          </cell>
          <cell r="B1202" t="str">
            <v>Lynkobling, 1/4" hun</v>
          </cell>
          <cell r="C1202" t="str">
            <v>Snap coupling, 1/4" fem.</v>
          </cell>
          <cell r="D1202">
            <v>122</v>
          </cell>
          <cell r="E1202">
            <v>16.397849462365592</v>
          </cell>
        </row>
        <row r="1203">
          <cell r="A1203">
            <v>5983</v>
          </cell>
          <cell r="B1203" t="str">
            <v>Luftkynkobling 1/4 " han</v>
          </cell>
          <cell r="C1203" t="str">
            <v>Snap coupling, 1/4" male</v>
          </cell>
          <cell r="D1203">
            <v>69</v>
          </cell>
          <cell r="E1203">
            <v>9.2741935483870961</v>
          </cell>
        </row>
        <row r="1204">
          <cell r="A1204">
            <v>5984</v>
          </cell>
          <cell r="B1204" t="str">
            <v>Luftlynkobling 1/4 "</v>
          </cell>
          <cell r="C1204" t="str">
            <v>Snap coupling, 1/4"</v>
          </cell>
          <cell r="D1204">
            <v>249</v>
          </cell>
          <cell r="E1204">
            <v>33.467741935483872</v>
          </cell>
        </row>
        <row r="1205">
          <cell r="A1205">
            <v>5985</v>
          </cell>
          <cell r="B1205" t="str">
            <v>Hydraulikslange Ø6 250 bar</v>
          </cell>
          <cell r="C1205" t="str">
            <v>Hydraulic hose Ø6 250 bar</v>
          </cell>
          <cell r="D1205">
            <v>37</v>
          </cell>
          <cell r="E1205">
            <v>4.9731182795698921</v>
          </cell>
        </row>
        <row r="1206">
          <cell r="A1206">
            <v>5985</v>
          </cell>
          <cell r="B1206" t="str">
            <v>Højtryksslange Ø6, 250 bar, L = 1250</v>
          </cell>
          <cell r="C1206" t="str">
            <v>Pressure hose Ø6, 250 bar, L = 1250</v>
          </cell>
          <cell r="D1206">
            <v>24</v>
          </cell>
          <cell r="E1206">
            <v>3.225806451612903</v>
          </cell>
        </row>
        <row r="1207">
          <cell r="A1207">
            <v>5986</v>
          </cell>
          <cell r="B1207" t="str">
            <v xml:space="preserve">Ventil 1/8 " parker </v>
          </cell>
          <cell r="C1207" t="str">
            <v>Valve 1/8</v>
          </cell>
          <cell r="D1207">
            <v>223</v>
          </cell>
          <cell r="E1207">
            <v>29.973118279569892</v>
          </cell>
        </row>
        <row r="1208">
          <cell r="A1208">
            <v>5987</v>
          </cell>
          <cell r="B1208" t="str">
            <v>Ligeforskruning Parker P6F-ASMB146</v>
          </cell>
          <cell r="C1208" t="str">
            <v>Straight screw closure Parker P6F-ASMB146</v>
          </cell>
          <cell r="D1208">
            <v>22</v>
          </cell>
          <cell r="E1208">
            <v>2.956989247311828</v>
          </cell>
        </row>
        <row r="1209">
          <cell r="A1209">
            <v>5987</v>
          </cell>
          <cell r="B1209" t="str">
            <v>Nippel 1/8" UKREG</v>
          </cell>
          <cell r="C1209" t="str">
            <v>Nipple 1/8" UKREG</v>
          </cell>
          <cell r="D1209">
            <v>22</v>
          </cell>
          <cell r="E1209">
            <v>2.956989247311828</v>
          </cell>
        </row>
        <row r="1210">
          <cell r="A1210">
            <v>5988</v>
          </cell>
          <cell r="B1210" t="str">
            <v>Motor AEG FLA 1,5 kW 1400 o/min.</v>
          </cell>
          <cell r="C1210" t="str">
            <v>Motor AEG FLA 1,5 kW 1400 o/min.</v>
          </cell>
          <cell r="D1210">
            <v>1590</v>
          </cell>
          <cell r="E1210">
            <v>213.70967741935482</v>
          </cell>
        </row>
        <row r="1211">
          <cell r="A1211">
            <v>5997</v>
          </cell>
          <cell r="B1211" t="str">
            <v>Skærering 6 mm stål</v>
          </cell>
          <cell r="C1211" t="str">
            <v>Cutting ring 6mm steel</v>
          </cell>
          <cell r="D1211">
            <v>3.4</v>
          </cell>
          <cell r="E1211">
            <v>0.45698924731182794</v>
          </cell>
        </row>
        <row r="1212">
          <cell r="A1212">
            <v>6003</v>
          </cell>
          <cell r="B1212" t="str">
            <v>Hydraulisk pumpe Vikers GPA2-10</v>
          </cell>
          <cell r="C1212" t="str">
            <v>Hydraulic pump Vikers GPA2-10</v>
          </cell>
          <cell r="D1212">
            <v>6858</v>
          </cell>
          <cell r="E1212">
            <v>921.77419354838707</v>
          </cell>
        </row>
        <row r="1213">
          <cell r="A1213">
            <v>6004</v>
          </cell>
          <cell r="B1213" t="str">
            <v>Flange / fordpumpe / 1,5 kW motor</v>
          </cell>
          <cell r="C1213" t="str">
            <v>Flange footpump / 1,5 kW motor</v>
          </cell>
          <cell r="D1213">
            <v>838</v>
          </cell>
          <cell r="E1213">
            <v>112.63440860215053</v>
          </cell>
        </row>
        <row r="1214">
          <cell r="A1214">
            <v>6005</v>
          </cell>
          <cell r="B1214" t="str">
            <v>Kobling / Vikers pumpe ø20/ø24</v>
          </cell>
          <cell r="C1214" t="str">
            <v>Coupling / Vikers pump ø20/ø24</v>
          </cell>
          <cell r="D1214">
            <v>488</v>
          </cell>
          <cell r="E1214">
            <v>65.591397849462368</v>
          </cell>
        </row>
        <row r="1215">
          <cell r="A1215">
            <v>6051</v>
          </cell>
          <cell r="B1215" t="str">
            <v>6kt. skrue M5 x 40 DIN933</v>
          </cell>
          <cell r="C1215" t="str">
            <v>Hex. Screw M5 x 40 DIN 933</v>
          </cell>
          <cell r="D1215">
            <v>0.6</v>
          </cell>
          <cell r="E1215">
            <v>8.0645161290322578E-2</v>
          </cell>
        </row>
        <row r="1216">
          <cell r="A1216">
            <v>6052</v>
          </cell>
          <cell r="B1216" t="str">
            <v>Møtrik M5 FZB DIN934</v>
          </cell>
          <cell r="C1216" t="str">
            <v>Nut M5 FZB DIN934</v>
          </cell>
          <cell r="D1216">
            <v>0.1</v>
          </cell>
          <cell r="E1216">
            <v>1.3440860215053764E-2</v>
          </cell>
        </row>
        <row r="1217">
          <cell r="A1217">
            <v>6062</v>
          </cell>
          <cell r="B1217" t="str">
            <v>Styretap pillekammer/gearbox, lang M30</v>
          </cell>
          <cell r="C1217" t="str">
            <v>Guide pin for pellet chamber/gearbox, long M30</v>
          </cell>
          <cell r="D1217">
            <v>1454</v>
          </cell>
          <cell r="E1217">
            <v>195.4301075268817</v>
          </cell>
        </row>
        <row r="1218">
          <cell r="A1218">
            <v>6067</v>
          </cell>
          <cell r="B1218" t="str">
            <v>Højtryksslange</v>
          </cell>
          <cell r="C1218" t="str">
            <v xml:space="preserve">High presure Grease pipe </v>
          </cell>
          <cell r="D1218">
            <v>223</v>
          </cell>
          <cell r="E1218">
            <v>29.973118279569892</v>
          </cell>
        </row>
        <row r="1219">
          <cell r="A1219">
            <v>6081</v>
          </cell>
          <cell r="B1219" t="str">
            <v>Fedtpumpe PP15 komplet incl. pos. 3 - 7</v>
          </cell>
          <cell r="C1219" t="str">
            <v>Grease pump PP 15 compl,</v>
          </cell>
          <cell r="D1219">
            <v>11130</v>
          </cell>
          <cell r="E1219">
            <v>1495.9677419354839</v>
          </cell>
        </row>
        <row r="1220">
          <cell r="A1220">
            <v>6082</v>
          </cell>
          <cell r="B1220" t="str">
            <v>Afluftningsventil</v>
          </cell>
          <cell r="C1220" t="str">
            <v>Air blend screw for Quicklub</v>
          </cell>
          <cell r="D1220">
            <v>27</v>
          </cell>
          <cell r="E1220">
            <v>3.629032258064516</v>
          </cell>
        </row>
        <row r="1221">
          <cell r="A1221">
            <v>6085</v>
          </cell>
          <cell r="B1221" t="str">
            <v>Kobberrør 6 mm</v>
          </cell>
          <cell r="C1221" t="str">
            <v>Copper pipe 6mm</v>
          </cell>
          <cell r="D1221">
            <v>33</v>
          </cell>
          <cell r="E1221">
            <v>4.435483870967742</v>
          </cell>
        </row>
        <row r="1222">
          <cell r="A1222">
            <v>6086</v>
          </cell>
          <cell r="B1222" t="str">
            <v>Vinkel 45° 1/8" RG</v>
          </cell>
          <cell r="C1222" t="str">
            <v>Angle 45° 1/8" RG</v>
          </cell>
          <cell r="D1222">
            <v>61</v>
          </cell>
          <cell r="E1222">
            <v>8.198924731182796</v>
          </cell>
        </row>
        <row r="1223">
          <cell r="A1223">
            <v>6088</v>
          </cell>
          <cell r="B1223" t="str">
            <v>Tommelder for fedtpumpe</v>
          </cell>
          <cell r="C1223" t="str">
            <v>Empty indicator for grease pump</v>
          </cell>
          <cell r="D1223">
            <v>408</v>
          </cell>
          <cell r="E1223">
            <v>54.838709677419352</v>
          </cell>
        </row>
        <row r="1224">
          <cell r="A1224">
            <v>6089</v>
          </cell>
          <cell r="B1224" t="str">
            <v>Ventil, kontraventil 6 mm</v>
          </cell>
          <cell r="C1224" t="str">
            <v>non return valve 6mm</v>
          </cell>
          <cell r="D1224">
            <v>21</v>
          </cell>
          <cell r="E1224">
            <v>2.82258064516129</v>
          </cell>
        </row>
        <row r="1225">
          <cell r="A1225">
            <v>6090</v>
          </cell>
          <cell r="B1225" t="str">
            <v>Anslag for tommelder</v>
          </cell>
          <cell r="C1225" t="str">
            <v>Arm for empty sensor</v>
          </cell>
          <cell r="D1225">
            <v>87</v>
          </cell>
          <cell r="E1225">
            <v>11.693548387096774</v>
          </cell>
        </row>
        <row r="1226">
          <cell r="A1226">
            <v>6093</v>
          </cell>
          <cell r="B1226" t="str">
            <v>Timer 220 V</v>
          </cell>
          <cell r="C1226" t="str">
            <v>Timer 220 V</v>
          </cell>
          <cell r="D1226">
            <v>1055</v>
          </cell>
          <cell r="E1226">
            <v>141.80107526881719</v>
          </cell>
        </row>
        <row r="1227">
          <cell r="A1227">
            <v>6094</v>
          </cell>
          <cell r="B1227" t="str">
            <v>Magnetventil 220 Vac 50 Hz</v>
          </cell>
          <cell r="C1227" t="str">
            <v xml:space="preserve">Solenoid valve 1/8 " 220 Vac  50 Hz </v>
          </cell>
          <cell r="D1227">
            <v>615</v>
          </cell>
          <cell r="E1227">
            <v>82.661290322580641</v>
          </cell>
        </row>
        <row r="1228">
          <cell r="A1228">
            <v>6095</v>
          </cell>
          <cell r="B1228" t="str">
            <v>Stempel</v>
          </cell>
          <cell r="C1228" t="str">
            <v xml:space="preserve">PISTON 504-30342-1 LINC HEL  </v>
          </cell>
          <cell r="D1228">
            <v>525</v>
          </cell>
          <cell r="E1228">
            <v>70.564516129032256</v>
          </cell>
        </row>
        <row r="1229">
          <cell r="A1229">
            <v>6096</v>
          </cell>
          <cell r="B1229" t="str">
            <v>O-ring Ø6</v>
          </cell>
          <cell r="C1229" t="str">
            <v>O-ring ø 6 x 2 Viton</v>
          </cell>
          <cell r="D1229">
            <v>2.7</v>
          </cell>
          <cell r="E1229">
            <v>0.36290322580645162</v>
          </cell>
        </row>
        <row r="1230">
          <cell r="A1230">
            <v>6097</v>
          </cell>
          <cell r="B1230" t="str">
            <v>O-ring Ø8</v>
          </cell>
          <cell r="C1230" t="str">
            <v>O-ring ø8</v>
          </cell>
          <cell r="D1230">
            <v>32</v>
          </cell>
          <cell r="E1230">
            <v>4.301075268817204</v>
          </cell>
        </row>
        <row r="1231">
          <cell r="A1231">
            <v>6106</v>
          </cell>
          <cell r="B1231" t="str">
            <v>Nippelmuffe 1/4" RG udv./1/8" RG indv.</v>
          </cell>
          <cell r="C1231" t="str">
            <v>Nipple sleeve 1/4” outer-1/8” inner</v>
          </cell>
          <cell r="D1231">
            <v>19.600000000000001</v>
          </cell>
          <cell r="E1231">
            <v>2.6344086021505375</v>
          </cell>
        </row>
        <row r="1232">
          <cell r="A1232">
            <v>6154</v>
          </cell>
          <cell r="B1232" t="str">
            <v>O-ring Ø75,7 x 3,53</v>
          </cell>
          <cell r="C1232" t="str">
            <v>O-ring ø75,7xØ3,53</v>
          </cell>
          <cell r="D1232">
            <v>10.1</v>
          </cell>
          <cell r="E1232">
            <v>1.35752688172043</v>
          </cell>
        </row>
        <row r="1233">
          <cell r="A1233">
            <v>6157</v>
          </cell>
          <cell r="B1233" t="str">
            <v>Facetskive 1 1/4" FZB</v>
          </cell>
          <cell r="C1233" t="str">
            <v>Washer  1 1/4" FZB</v>
          </cell>
          <cell r="D1233">
            <v>6.4</v>
          </cell>
          <cell r="E1233">
            <v>0.86021505376344087</v>
          </cell>
        </row>
        <row r="1234">
          <cell r="A1234">
            <v>6177</v>
          </cell>
          <cell r="B1234" t="str">
            <v>Slange</v>
          </cell>
          <cell r="C1234" t="str">
            <v xml:space="preserve">Hose </v>
          </cell>
          <cell r="D1234">
            <v>117</v>
          </cell>
          <cell r="E1234">
            <v>15.725806451612902</v>
          </cell>
        </row>
        <row r="1235">
          <cell r="A1235">
            <v>6206</v>
          </cell>
          <cell r="B1235" t="str">
            <v>Rep. kit CAT Pumpe stempler</v>
          </cell>
          <cell r="C1235" t="str">
            <v>Repair  kit CAT pumpe Pistons.</v>
          </cell>
          <cell r="D1235">
            <v>2565</v>
          </cell>
          <cell r="E1235">
            <v>344.75806451612902</v>
          </cell>
        </row>
        <row r="1236">
          <cell r="A1236">
            <v>6215</v>
          </cell>
          <cell r="B1236" t="str">
            <v>Stålkugle Ø19mm f flowmåler</v>
          </cell>
          <cell r="C1236" t="str">
            <v>Steel ball Ø19mm for flowmeter</v>
          </cell>
          <cell r="D1236">
            <v>20</v>
          </cell>
          <cell r="E1236">
            <v>2.6881720430107525</v>
          </cell>
        </row>
        <row r="1237">
          <cell r="A1237">
            <v>6240</v>
          </cell>
          <cell r="B1237" t="str">
            <v>Leje UC214 f/lejeflange</v>
          </cell>
          <cell r="C1237" t="str">
            <v>Bearing UC214 f/bearingflange</v>
          </cell>
          <cell r="D1237">
            <v>455</v>
          </cell>
          <cell r="E1237">
            <v>61.155913978494624</v>
          </cell>
        </row>
        <row r="1238">
          <cell r="A1238">
            <v>6242</v>
          </cell>
          <cell r="B1238" t="str">
            <v>Hus for trykmåler EX</v>
          </cell>
          <cell r="C1238" t="str">
            <v>Housing for pressure measuring</v>
          </cell>
          <cell r="D1238">
            <v>453</v>
          </cell>
          <cell r="E1238">
            <v>60.887096774193544</v>
          </cell>
        </row>
        <row r="1239">
          <cell r="A1239">
            <v>6243</v>
          </cell>
          <cell r="B1239" t="str">
            <v>Prop for trykmåler EX17</v>
          </cell>
          <cell r="C1239" t="str">
            <v>Plug for pressure meassurer EX17</v>
          </cell>
          <cell r="D1239">
            <v>52</v>
          </cell>
          <cell r="E1239">
            <v>6.989247311827957</v>
          </cell>
        </row>
        <row r="1240">
          <cell r="A1240">
            <v>6251</v>
          </cell>
          <cell r="B1240" t="str">
            <v>Lukkegreb</v>
          </cell>
          <cell r="C1240" t="str">
            <v>Clamp</v>
          </cell>
          <cell r="D1240">
            <v>403</v>
          </cell>
          <cell r="E1240">
            <v>54.166666666666664</v>
          </cell>
        </row>
        <row r="1241">
          <cell r="A1241">
            <v>6253</v>
          </cell>
          <cell r="B1241" t="str">
            <v>Banjoskrue 1/8"RG Ø10 x 19</v>
          </cell>
          <cell r="C1241" t="str">
            <v>Banjo screw</v>
          </cell>
          <cell r="D1241">
            <v>29</v>
          </cell>
          <cell r="E1241">
            <v>3.897849462365591</v>
          </cell>
        </row>
        <row r="1242">
          <cell r="A1242">
            <v>6291</v>
          </cell>
          <cell r="B1242" t="str">
            <v>Kileremskive SPC 10 – Ø400 TL4545</v>
          </cell>
          <cell r="C1242" t="str">
            <v>V-belt pulley SPC 10 – Ø400 TL4545</v>
          </cell>
          <cell r="D1242">
            <v>6864</v>
          </cell>
          <cell r="E1242">
            <v>922.58064516129025</v>
          </cell>
        </row>
        <row r="1243">
          <cell r="A1243">
            <v>6317</v>
          </cell>
          <cell r="B1243" t="str">
            <v>Kølerlamel, pl. 1,5 mm perf. Ø2, galvaniseret</v>
          </cell>
          <cell r="C1243" t="str">
            <v xml:space="preserve">Tray, sheet 1,5 MM, perforation Ø2,0 MM,galvanized          </v>
          </cell>
          <cell r="D1243">
            <v>276</v>
          </cell>
          <cell r="E1243">
            <v>37.096774193548384</v>
          </cell>
        </row>
        <row r="1244">
          <cell r="A1244">
            <v>6338</v>
          </cell>
          <cell r="B1244" t="str">
            <v>Gavl</v>
          </cell>
          <cell r="C1244" t="str">
            <v>Gable</v>
          </cell>
          <cell r="D1244">
            <v>2095</v>
          </cell>
          <cell r="E1244">
            <v>281.58602150537632</v>
          </cell>
        </row>
        <row r="1245">
          <cell r="A1245">
            <v>6339</v>
          </cell>
          <cell r="B1245" t="str">
            <v>Gavl for motorende</v>
          </cell>
          <cell r="C1245" t="str">
            <v>Gable for motor end</v>
          </cell>
          <cell r="D1245">
            <v>2350</v>
          </cell>
          <cell r="E1245">
            <v>315.8602150537634</v>
          </cell>
        </row>
        <row r="1246">
          <cell r="A1246">
            <v>6340</v>
          </cell>
          <cell r="B1246" t="str">
            <v>Snegl Ø300 l=1400, incl. pos. 31</v>
          </cell>
          <cell r="C1246" t="str">
            <v>Screw Ø300 L=1400, incl. item 31</v>
          </cell>
          <cell r="D1246">
            <v>9500</v>
          </cell>
          <cell r="E1246">
            <v>1276.8817204301074</v>
          </cell>
        </row>
        <row r="1247">
          <cell r="A1247">
            <v>6349</v>
          </cell>
          <cell r="B1247" t="str">
            <v>Cyl skrue M10x075 8,8 DIN912</v>
          </cell>
          <cell r="C1247" t="str">
            <v>Cyl.  Screw M10 x 075  8.8 DIN 9122</v>
          </cell>
          <cell r="D1247">
            <v>5.3</v>
          </cell>
          <cell r="E1247">
            <v>0.71236559139784938</v>
          </cell>
        </row>
        <row r="1248">
          <cell r="A1248">
            <v>6352</v>
          </cell>
          <cell r="B1248" t="str">
            <v>Pakningssæt</v>
          </cell>
          <cell r="C1248" t="str">
            <v>Paper packings, set</v>
          </cell>
          <cell r="D1248">
            <v>302</v>
          </cell>
          <cell r="E1248">
            <v>40.591397849462361</v>
          </cell>
        </row>
        <row r="1249">
          <cell r="A1249">
            <v>6354</v>
          </cell>
          <cell r="B1249" t="str">
            <v>Snegletrug Ø315 l=1400</v>
          </cell>
          <cell r="C1249" t="str">
            <v>Screw trough Ø315 L=1400</v>
          </cell>
          <cell r="D1249">
            <v>19500</v>
          </cell>
          <cell r="E1249">
            <v>2620.9677419354839</v>
          </cell>
        </row>
        <row r="1250">
          <cell r="A1250">
            <v>6356</v>
          </cell>
          <cell r="B1250" t="str">
            <v>6kt. Skue M6 x 10 DIN933</v>
          </cell>
          <cell r="C1250" t="str">
            <v>Hex. Screw M6 x 10 DIN 933</v>
          </cell>
          <cell r="D1250">
            <v>0.4</v>
          </cell>
          <cell r="E1250">
            <v>5.3763440860215055E-2</v>
          </cell>
        </row>
        <row r="1251">
          <cell r="A1251">
            <v>6357</v>
          </cell>
          <cell r="B1251" t="str">
            <v>Pakningssæt for gearboks</v>
          </cell>
          <cell r="C1251" t="str">
            <v>Set of packings for gear box</v>
          </cell>
          <cell r="D1251">
            <v>498</v>
          </cell>
          <cell r="E1251">
            <v>66.935483870967744</v>
          </cell>
        </row>
        <row r="1252">
          <cell r="A1252">
            <v>6369</v>
          </cell>
          <cell r="B1252" t="str">
            <v>6-kt. skrue M6 x 35 A2</v>
          </cell>
          <cell r="C1252" t="str">
            <v>Hex screw M6 x 35 A2</v>
          </cell>
          <cell r="D1252">
            <v>0.6</v>
          </cell>
          <cell r="E1252">
            <v>8.0645161290322578E-2</v>
          </cell>
        </row>
        <row r="1253">
          <cell r="A1253">
            <v>6373</v>
          </cell>
          <cell r="B1253" t="str">
            <v>U skrue M6 x 16 A2  DIN 7991</v>
          </cell>
          <cell r="C1253" t="str">
            <v>U screw M 6 x 16 A2 DIN 7991</v>
          </cell>
          <cell r="D1253">
            <v>1.1000000000000001</v>
          </cell>
          <cell r="E1253">
            <v>0.14784946236559141</v>
          </cell>
        </row>
        <row r="1254">
          <cell r="A1254">
            <v>6393</v>
          </cell>
          <cell r="B1254" t="str">
            <v>1 sæt koblingselementer for LW 210</v>
          </cell>
          <cell r="C1254" t="str">
            <v>1 set of coupling elements f. LW 210</v>
          </cell>
          <cell r="D1254">
            <v>2003</v>
          </cell>
          <cell r="E1254">
            <v>269.22043010752685</v>
          </cell>
        </row>
        <row r="1255">
          <cell r="A1255">
            <v>6394</v>
          </cell>
          <cell r="B1255" t="str">
            <v>Pakninger, sæt</v>
          </cell>
          <cell r="C1255" t="str">
            <v>Packings, set</v>
          </cell>
          <cell r="D1255">
            <v>429</v>
          </cell>
          <cell r="E1255">
            <v>57.661290322580641</v>
          </cell>
        </row>
        <row r="1256">
          <cell r="A1256">
            <v>6405</v>
          </cell>
          <cell r="B1256" t="str">
            <v>Rep. kit CAT Pumpe stempelstang</v>
          </cell>
          <cell r="C1256" t="str">
            <v>Repair  kit CAT pumpe</v>
          </cell>
          <cell r="D1256">
            <v>588</v>
          </cell>
          <cell r="E1256">
            <v>79.032258064516128</v>
          </cell>
        </row>
        <row r="1257">
          <cell r="A1257">
            <v>6406</v>
          </cell>
          <cell r="B1257" t="str">
            <v>Låsemøtrik M56 - ny.</v>
          </cell>
          <cell r="C1257" t="str">
            <v>Lock nut</v>
          </cell>
          <cell r="D1257">
            <v>1108</v>
          </cell>
          <cell r="E1257">
            <v>148.92473118279568</v>
          </cell>
        </row>
        <row r="1258">
          <cell r="A1258">
            <v>6410</v>
          </cell>
          <cell r="B1258" t="str">
            <v>Vinkelhus Han3</v>
          </cell>
          <cell r="C1258" t="str">
            <v>Angle house male 3</v>
          </cell>
          <cell r="D1258">
            <v>59</v>
          </cell>
          <cell r="E1258">
            <v>7.93010752688172</v>
          </cell>
        </row>
        <row r="1259">
          <cell r="A1259">
            <v>6411</v>
          </cell>
          <cell r="B1259" t="str">
            <v>Indsats stik for hus Han3</v>
          </cell>
          <cell r="C1259" t="str">
            <v>Cartridge socket for house Han3</v>
          </cell>
          <cell r="D1259">
            <v>70</v>
          </cell>
          <cell r="E1259">
            <v>9.408602150537634</v>
          </cell>
        </row>
        <row r="1260">
          <cell r="A1260">
            <v>6446</v>
          </cell>
          <cell r="B1260" t="str">
            <v>Cyl. Skrue M24x100 12,9 DIN912</v>
          </cell>
          <cell r="C1260" t="str">
            <v>Cyl. Screw M24 x 100 12,9 DIN 912</v>
          </cell>
          <cell r="D1260">
            <v>37</v>
          </cell>
          <cell r="E1260">
            <v>4.9731182795698921</v>
          </cell>
        </row>
        <row r="1261">
          <cell r="A1261">
            <v>6478</v>
          </cell>
          <cell r="B1261" t="str">
            <v>Nippel 3/8" RG/Ø10 SKR, lige</v>
          </cell>
          <cell r="C1261" t="str">
            <v>Nipple 3/8" RG/Ø10 cut. ring</v>
          </cell>
          <cell r="D1261">
            <v>21</v>
          </cell>
          <cell r="E1261">
            <v>2.82258064516129</v>
          </cell>
        </row>
        <row r="1262">
          <cell r="A1262">
            <v>6501</v>
          </cell>
          <cell r="B1262" t="str">
            <v>Rørstift Ø04 x 20</v>
          </cell>
          <cell r="C1262" t="str">
            <v>Tub pin Ø04 x 20</v>
          </cell>
          <cell r="D1262">
            <v>0.4</v>
          </cell>
          <cell r="E1262">
            <v>5.3763440860215055E-2</v>
          </cell>
        </row>
        <row r="1263">
          <cell r="A1263">
            <v>6527</v>
          </cell>
          <cell r="B1263" t="str">
            <v>Cyl. Skrue M24 x 50 8.8 DIN 912</v>
          </cell>
          <cell r="C1263" t="str">
            <v>Cyl. Screw M24 x 50 8.8 DIN 912</v>
          </cell>
          <cell r="D1263">
            <v>27</v>
          </cell>
          <cell r="E1263">
            <v>3.629032258064516</v>
          </cell>
        </row>
        <row r="1264">
          <cell r="A1264">
            <v>6532</v>
          </cell>
          <cell r="B1264" t="str">
            <v>Bremsebelægning, sæt</v>
          </cell>
          <cell r="C1264" t="str">
            <v>Brake lining, set</v>
          </cell>
          <cell r="D1264">
            <v>583</v>
          </cell>
          <cell r="E1264">
            <v>78.36021505376344</v>
          </cell>
        </row>
        <row r="1265">
          <cell r="A1265">
            <v>6533</v>
          </cell>
          <cell r="B1265" t="str">
            <v>Tallerkenfjeder 28 x 10,2 x 1</v>
          </cell>
          <cell r="C1265" t="str">
            <v>Spring washer 28 x 10,2 x 1</v>
          </cell>
          <cell r="D1265">
            <v>5.3</v>
          </cell>
          <cell r="E1265">
            <v>0.71236559139784938</v>
          </cell>
        </row>
        <row r="1266">
          <cell r="A1266">
            <v>6534</v>
          </cell>
          <cell r="B1266" t="str">
            <v>Låsemøtrik M10 FZB</v>
          </cell>
          <cell r="C1266" t="str">
            <v>Lock nut M10 FZB</v>
          </cell>
          <cell r="D1266">
            <v>0.7</v>
          </cell>
          <cell r="E1266">
            <v>9.408602150537633E-2</v>
          </cell>
        </row>
        <row r="1267">
          <cell r="A1267">
            <v>6564</v>
          </cell>
          <cell r="B1267" t="str">
            <v>Koblingselement  HRC 130</v>
          </cell>
          <cell r="C1267" t="str">
            <v>Coupling Elements.  HRC 130</v>
          </cell>
          <cell r="D1267">
            <v>180</v>
          </cell>
          <cell r="E1267">
            <v>24.193548387096772</v>
          </cell>
        </row>
        <row r="1268">
          <cell r="A1268">
            <v>6569</v>
          </cell>
          <cell r="B1268" t="str">
            <v>Leje UC208 f/lejefl. UCF208 Ø40</v>
          </cell>
          <cell r="C1268" t="str">
            <v>Bearing UC208 f/bearingfl. UCF208 Ø40</v>
          </cell>
          <cell r="D1268">
            <v>152</v>
          </cell>
          <cell r="E1268">
            <v>20.43010752688172</v>
          </cell>
        </row>
        <row r="1269">
          <cell r="A1269">
            <v>6579</v>
          </cell>
          <cell r="B1269" t="str">
            <v>Manometer G63 - 250 kg/cm²</v>
          </cell>
          <cell r="C1269" t="str">
            <v>Pressure gauge G63-250 kg/cm²</v>
          </cell>
          <cell r="D1269">
            <v>281</v>
          </cell>
          <cell r="E1269">
            <v>37.768817204301072</v>
          </cell>
        </row>
        <row r="1270">
          <cell r="A1270">
            <v>6623</v>
          </cell>
          <cell r="B1270" t="str">
            <v>Pakning Ø33 x Ø64 x 4 Termolit</v>
          </cell>
          <cell r="C1270" t="str">
            <v>Packing Ø33 x Ø64 x 4 Termolit</v>
          </cell>
          <cell r="D1270">
            <v>15.9</v>
          </cell>
          <cell r="E1270">
            <v>2.1370967741935485</v>
          </cell>
        </row>
        <row r="1271">
          <cell r="A1271">
            <v>6643</v>
          </cell>
          <cell r="B1271" t="str">
            <v>Smørenippel 1/8" RG 45gr</v>
          </cell>
          <cell r="C1271" t="str">
            <v>Grease nipple 1/8" RG 45degr</v>
          </cell>
          <cell r="D1271">
            <v>5.8</v>
          </cell>
          <cell r="E1271">
            <v>0.77956989247311825</v>
          </cell>
        </row>
        <row r="1272">
          <cell r="A1272">
            <v>6671</v>
          </cell>
          <cell r="B1272" t="str">
            <v>Konsol for doseringsaggregat Ø315/Ø600</v>
          </cell>
          <cell r="C1272" t="str">
            <v>Console for feed screw Ø315/Ø600</v>
          </cell>
          <cell r="D1272">
            <v>710</v>
          </cell>
          <cell r="E1272">
            <v>95.430107526881713</v>
          </cell>
        </row>
        <row r="1273">
          <cell r="A1273">
            <v>6677</v>
          </cell>
          <cell r="B1273" t="str">
            <v>Hydraulikslange m. lige stutse Ø6 x 1500</v>
          </cell>
          <cell r="C1273" t="str">
            <v>Hydraulic hose w. straight sockets Ø6 x 1500</v>
          </cell>
          <cell r="D1273">
            <v>233</v>
          </cell>
          <cell r="E1273">
            <v>31.317204301075268</v>
          </cell>
        </row>
        <row r="1274">
          <cell r="A1274">
            <v>6682</v>
          </cell>
          <cell r="B1274" t="str">
            <v>Spændelement TL 3525, Ø90</v>
          </cell>
          <cell r="C1274" t="str">
            <v>Shaft adapter, taper-lock TL3525 Ø90</v>
          </cell>
          <cell r="D1274">
            <v>154</v>
          </cell>
          <cell r="E1274">
            <v>20.698924731182796</v>
          </cell>
        </row>
        <row r="1275">
          <cell r="A1275">
            <v>6684</v>
          </cell>
          <cell r="B1275" t="str">
            <v>Muffe 1/4"/Ø6 skærering</v>
          </cell>
          <cell r="C1275" t="str">
            <v>Socket 1/4"/Ø6 cutting ring</v>
          </cell>
          <cell r="D1275">
            <v>19.100000000000001</v>
          </cell>
          <cell r="E1275">
            <v>2.567204301075269</v>
          </cell>
        </row>
        <row r="1276">
          <cell r="A1276">
            <v>6691</v>
          </cell>
          <cell r="B1276" t="str">
            <v>Hydraulikslange m. lige stutse Ø6 x 375</v>
          </cell>
          <cell r="C1276" t="str">
            <v>Hydraulic hose w. straight sockets Ø6 x 375</v>
          </cell>
          <cell r="D1276">
            <v>154</v>
          </cell>
          <cell r="E1276">
            <v>20.698924731182796</v>
          </cell>
        </row>
        <row r="1277">
          <cell r="A1277">
            <v>6721</v>
          </cell>
          <cell r="B1277" t="str">
            <v>6-kt. Skrue M30x70 8,8 sort DIN 933</v>
          </cell>
          <cell r="C1277" t="str">
            <v>Hex screw M30 x 70 8,8  DIN 933</v>
          </cell>
          <cell r="D1277">
            <v>37</v>
          </cell>
          <cell r="E1277">
            <v>4.9731182795698921</v>
          </cell>
        </row>
        <row r="1278">
          <cell r="A1278">
            <v>6736</v>
          </cell>
          <cell r="B1278" t="str">
            <v>Kobling HRC 150 komplet, incl. pos. 8</v>
          </cell>
          <cell r="C1278" t="str">
            <v>Coupling HRC 150 complete, incl. item 8</v>
          </cell>
          <cell r="D1278">
            <v>350</v>
          </cell>
          <cell r="E1278">
            <v>47.043010752688168</v>
          </cell>
        </row>
        <row r="1279">
          <cell r="A1279">
            <v>6737</v>
          </cell>
          <cell r="B1279" t="str">
            <v>Spændelement TL 2012 Ø30</v>
          </cell>
          <cell r="C1279" t="str">
            <v>Shaft adapter TL 2012 Ø30</v>
          </cell>
          <cell r="D1279">
            <v>55</v>
          </cell>
          <cell r="E1279">
            <v>7.3924731182795691</v>
          </cell>
        </row>
        <row r="1280">
          <cell r="A1280">
            <v>6738</v>
          </cell>
          <cell r="B1280" t="str">
            <v>Spændeelement TL 2012 Ø040</v>
          </cell>
          <cell r="C1280" t="str">
            <v>Shaft adapter, taper-lock TL 2012 Ø040</v>
          </cell>
          <cell r="D1280">
            <v>38</v>
          </cell>
          <cell r="E1280">
            <v>5.10752688172043</v>
          </cell>
        </row>
        <row r="1281">
          <cell r="A1281">
            <v>6742</v>
          </cell>
          <cell r="B1281" t="str">
            <v>Vinkel 90gr Ø6</v>
          </cell>
          <cell r="C1281" t="str">
            <v>Angle 90degr. Ø6</v>
          </cell>
          <cell r="D1281">
            <v>24</v>
          </cell>
          <cell r="E1281">
            <v>3.225806451612903</v>
          </cell>
        </row>
        <row r="1282">
          <cell r="A1282">
            <v>6746</v>
          </cell>
          <cell r="B1282" t="str">
            <v>Snap kobling 3/8” hun</v>
          </cell>
          <cell r="C1282" t="str">
            <v>Snab coupling 3/8” female</v>
          </cell>
          <cell r="D1282">
            <v>69</v>
          </cell>
          <cell r="E1282">
            <v>9.2741935483870961</v>
          </cell>
        </row>
        <row r="1283">
          <cell r="A1283">
            <v>6747</v>
          </cell>
          <cell r="B1283" t="str">
            <v>Snap kobling 3/8” han</v>
          </cell>
          <cell r="C1283" t="str">
            <v>Snab coupling 3/8” male</v>
          </cell>
          <cell r="D1283">
            <v>20</v>
          </cell>
          <cell r="E1283">
            <v>2.6881720430107525</v>
          </cell>
        </row>
        <row r="1284">
          <cell r="A1284">
            <v>6748</v>
          </cell>
          <cell r="B1284" t="str">
            <v>Spændebånd Ø15-Ø18 O-clips 3/8"</v>
          </cell>
          <cell r="C1284" t="str">
            <v>Clip Ø15-Ø18 O-clips 3/8"</v>
          </cell>
          <cell r="D1284">
            <v>7.4</v>
          </cell>
          <cell r="E1284">
            <v>0.9946236559139785</v>
          </cell>
        </row>
        <row r="1285">
          <cell r="A1285">
            <v>6761</v>
          </cell>
          <cell r="B1285" t="str">
            <v>6-kt. Skrue M12 x 60 8.8 FZB D931</v>
          </cell>
          <cell r="C1285" t="str">
            <v>Hex screw M12 x 60 8.8 FZB D931</v>
          </cell>
          <cell r="D1285">
            <v>2.5</v>
          </cell>
          <cell r="E1285">
            <v>0.33602150537634407</v>
          </cell>
        </row>
        <row r="1286">
          <cell r="A1286">
            <v>6785</v>
          </cell>
          <cell r="B1286" t="str">
            <v>Låsemøtrik M39, incl. pos. 724</v>
          </cell>
          <cell r="C1286" t="str">
            <v>Lock nut M39, incl. item 724</v>
          </cell>
          <cell r="D1286">
            <v>572</v>
          </cell>
          <cell r="E1286">
            <v>76.881720430107521</v>
          </cell>
        </row>
        <row r="1287">
          <cell r="A1287">
            <v>6794</v>
          </cell>
          <cell r="B1287" t="str">
            <v>Blandeaksel CM12</v>
          </cell>
          <cell r="C1287" t="str">
            <v>Mixing shaft</v>
          </cell>
          <cell r="D1287">
            <v>9487</v>
          </cell>
          <cell r="E1287">
            <v>1275.1344086021504</v>
          </cell>
        </row>
        <row r="1288">
          <cell r="A1288">
            <v>6795</v>
          </cell>
          <cell r="B1288" t="str">
            <v>Blandeaksel CM6/CM5K</v>
          </cell>
          <cell r="C1288" t="str">
            <v>Mixing shaft</v>
          </cell>
          <cell r="D1288">
            <v>7367</v>
          </cell>
          <cell r="E1288">
            <v>990.1881720430107</v>
          </cell>
        </row>
        <row r="1289">
          <cell r="A1289">
            <v>6808</v>
          </cell>
          <cell r="B1289" t="str">
            <v>Rørstift Ø10 x 50</v>
          </cell>
          <cell r="C1289" t="str">
            <v>Hollow pin Ø10 x 50</v>
          </cell>
          <cell r="D1289">
            <v>2.4</v>
          </cell>
          <cell r="E1289">
            <v>0.32258064516129031</v>
          </cell>
        </row>
        <row r="1290">
          <cell r="A1290">
            <v>6814</v>
          </cell>
          <cell r="B1290" t="str">
            <v>Spændeelement TL 5050 - Ø100</v>
          </cell>
          <cell r="C1290" t="str">
            <v>Shaft adapter, taper-lock TL5050 Ø100</v>
          </cell>
          <cell r="D1290">
            <v>532</v>
          </cell>
          <cell r="E1290">
            <v>71.505376344086017</v>
          </cell>
        </row>
        <row r="1291">
          <cell r="A1291">
            <v>6865</v>
          </cell>
          <cell r="B1291" t="str">
            <v>Aksel Ø20</v>
          </cell>
          <cell r="C1291" t="str">
            <v>Shaft ø20</v>
          </cell>
          <cell r="D1291">
            <v>254</v>
          </cell>
          <cell r="E1291">
            <v>34.13978494623656</v>
          </cell>
        </row>
        <row r="1292">
          <cell r="A1292">
            <v>6868</v>
          </cell>
          <cell r="B1292" t="str">
            <v>Tyk kniv</v>
          </cell>
          <cell r="C1292" t="str">
            <v>Thick Knife.</v>
          </cell>
          <cell r="D1292">
            <v>466</v>
          </cell>
          <cell r="E1292">
            <v>62.634408602150536</v>
          </cell>
        </row>
        <row r="1293">
          <cell r="A1293">
            <v>6882</v>
          </cell>
          <cell r="B1293" t="str">
            <v>Momentnøgle  KD 3AR</v>
          </cell>
          <cell r="C1293" t="str">
            <v>Torque wrench</v>
          </cell>
          <cell r="D1293">
            <v>1564</v>
          </cell>
          <cell r="E1293">
            <v>210.21505376344084</v>
          </cell>
        </row>
        <row r="1294">
          <cell r="A1294">
            <v>6886</v>
          </cell>
          <cell r="B1294" t="str">
            <v>Skueglas 1"</v>
          </cell>
          <cell r="C1294" t="str">
            <v>Sight glass 1"</v>
          </cell>
          <cell r="D1294">
            <v>59</v>
          </cell>
          <cell r="E1294">
            <v>7.93010752688172</v>
          </cell>
        </row>
        <row r="1295">
          <cell r="A1295">
            <v>6903</v>
          </cell>
          <cell r="B1295" t="str">
            <v>Montering  M2 rulle</v>
          </cell>
          <cell r="C1295" t="str">
            <v>Mounting M2 Roller</v>
          </cell>
          <cell r="D1295">
            <v>315</v>
          </cell>
          <cell r="E1295">
            <v>42.338709677419352</v>
          </cell>
        </row>
        <row r="1296">
          <cell r="A1296">
            <v>6905</v>
          </cell>
          <cell r="B1296" t="str">
            <v>Montering  M5 rulle</v>
          </cell>
          <cell r="C1296" t="str">
            <v>Mounting M5 Roller</v>
          </cell>
          <cell r="D1296">
            <v>315</v>
          </cell>
          <cell r="E1296">
            <v>42.338709677419352</v>
          </cell>
        </row>
        <row r="1297">
          <cell r="A1297">
            <v>6906</v>
          </cell>
          <cell r="B1297" t="str">
            <v>Montering  rulle M6</v>
          </cell>
          <cell r="C1297" t="str">
            <v>Mounting Roller M6</v>
          </cell>
          <cell r="D1297">
            <v>315</v>
          </cell>
          <cell r="E1297">
            <v>42.338709677419352</v>
          </cell>
        </row>
        <row r="1298">
          <cell r="A1298">
            <v>6907</v>
          </cell>
          <cell r="B1298" t="str">
            <v>Montering  rulle PM707</v>
          </cell>
          <cell r="C1298" t="str">
            <v>Mounting Roller PM 707</v>
          </cell>
          <cell r="D1298">
            <v>535</v>
          </cell>
          <cell r="E1298">
            <v>71.908602150537632</v>
          </cell>
        </row>
        <row r="1299">
          <cell r="A1299">
            <v>6912</v>
          </cell>
          <cell r="B1299" t="str">
            <v>Montering  rulle M12</v>
          </cell>
          <cell r="C1299" t="str">
            <v>Mounting Roller M12</v>
          </cell>
          <cell r="D1299">
            <v>315</v>
          </cell>
          <cell r="E1299">
            <v>42.338709677419352</v>
          </cell>
        </row>
        <row r="1300">
          <cell r="A1300">
            <v>6925</v>
          </cell>
          <cell r="B1300" t="str">
            <v>Montering  rulle PM900</v>
          </cell>
          <cell r="C1300" t="str">
            <v>Mounting Roller PM 900</v>
          </cell>
          <cell r="D1300">
            <v>625</v>
          </cell>
          <cell r="E1300">
            <v>84.005376344086017</v>
          </cell>
        </row>
        <row r="1301">
          <cell r="A1301">
            <v>6932</v>
          </cell>
          <cell r="B1301" t="str">
            <v>Montering  M30 rulle</v>
          </cell>
          <cell r="C1301" t="str">
            <v>Mounting M30 Roller</v>
          </cell>
          <cell r="D1301">
            <v>590</v>
          </cell>
          <cell r="E1301">
            <v>79.3010752688172</v>
          </cell>
        </row>
        <row r="1302">
          <cell r="A1302">
            <v>6940</v>
          </cell>
          <cell r="B1302" t="str">
            <v>Aksel.L = 1066 (forlænget udførelse)</v>
          </cell>
          <cell r="C1302" t="str">
            <v>Shaft (extended type</v>
          </cell>
          <cell r="D1302">
            <v>9169</v>
          </cell>
          <cell r="E1302">
            <v>1232.3924731182794</v>
          </cell>
        </row>
        <row r="1303">
          <cell r="A1303">
            <v>6957</v>
          </cell>
          <cell r="B1303" t="str">
            <v>Dæksel for sidegear</v>
          </cell>
          <cell r="C1303" t="str">
            <v>Cover for side gear</v>
          </cell>
          <cell r="D1303">
            <v>700</v>
          </cell>
          <cell r="E1303">
            <v>94.086021505376337</v>
          </cell>
        </row>
        <row r="1304">
          <cell r="A1304">
            <v>6961</v>
          </cell>
          <cell r="B1304" t="str">
            <v>Drivaksel L810</v>
          </cell>
          <cell r="C1304" t="str">
            <v>Driver shaft</v>
          </cell>
          <cell r="D1304">
            <v>9150</v>
          </cell>
          <cell r="E1304">
            <v>1229.8387096774193</v>
          </cell>
        </row>
        <row r="1305">
          <cell r="A1305">
            <v>6964</v>
          </cell>
          <cell r="B1305" t="str">
            <v>Lejedæksel (forlænget udførelse)</v>
          </cell>
          <cell r="C1305" t="str">
            <v>Bearing cover (extended type)</v>
          </cell>
          <cell r="D1305">
            <v>15370</v>
          </cell>
          <cell r="E1305">
            <v>2065.8602150537631</v>
          </cell>
        </row>
        <row r="1306">
          <cell r="A1306">
            <v>6965</v>
          </cell>
          <cell r="B1306" t="str">
            <v>Sfærisk Rulleleje 24026 ES.TVPB.</v>
          </cell>
          <cell r="C1306" t="str">
            <v>Spherical roller bearing 24026 ES.TVPB</v>
          </cell>
          <cell r="D1306">
            <v>2597</v>
          </cell>
          <cell r="E1306">
            <v>349.05913978494624</v>
          </cell>
        </row>
        <row r="1307">
          <cell r="A1307">
            <v>6966</v>
          </cell>
          <cell r="B1307" t="str">
            <v>Pakning lang for sidegear</v>
          </cell>
          <cell r="C1307" t="str">
            <v>Packing long for side gear</v>
          </cell>
          <cell r="D1307">
            <v>87</v>
          </cell>
          <cell r="E1307">
            <v>11.693548387096774</v>
          </cell>
        </row>
        <row r="1308">
          <cell r="A1308">
            <v>6969</v>
          </cell>
          <cell r="B1308" t="str">
            <v>Pakning.</v>
          </cell>
          <cell r="C1308" t="str">
            <v>Packing</v>
          </cell>
          <cell r="D1308">
            <v>133</v>
          </cell>
          <cell r="E1308">
            <v>17.876344086021504</v>
          </cell>
        </row>
        <row r="1309">
          <cell r="A1309">
            <v>6971</v>
          </cell>
          <cell r="B1309" t="str">
            <v>Aftræksring.</v>
          </cell>
          <cell r="C1309" t="str">
            <v>Extraction ring</v>
          </cell>
          <cell r="D1309">
            <v>1299</v>
          </cell>
          <cell r="E1309">
            <v>174.59677419354838</v>
          </cell>
        </row>
        <row r="1310">
          <cell r="A1310">
            <v>6972</v>
          </cell>
          <cell r="B1310" t="str">
            <v>Aftræksring.</v>
          </cell>
          <cell r="C1310" t="str">
            <v>Extraction ring</v>
          </cell>
          <cell r="D1310">
            <v>800</v>
          </cell>
          <cell r="E1310">
            <v>107.5268817204301</v>
          </cell>
        </row>
        <row r="1311">
          <cell r="A1311">
            <v>6973</v>
          </cell>
          <cell r="B1311" t="str">
            <v>Slidring</v>
          </cell>
          <cell r="C1311" t="str">
            <v>Wearing ring</v>
          </cell>
          <cell r="D1311">
            <v>4240</v>
          </cell>
          <cell r="E1311">
            <v>569.89247311827955</v>
          </cell>
        </row>
        <row r="1312">
          <cell r="A1312">
            <v>6974</v>
          </cell>
          <cell r="B1312" t="str">
            <v>Afstandsring</v>
          </cell>
          <cell r="C1312" t="str">
            <v>Distance ring</v>
          </cell>
          <cell r="D1312">
            <v>2968</v>
          </cell>
          <cell r="E1312">
            <v>398.92473118279565</v>
          </cell>
        </row>
        <row r="1313">
          <cell r="A1313">
            <v>6992</v>
          </cell>
          <cell r="B1313" t="str">
            <v>S-lamel, galvaniseret</v>
          </cell>
          <cell r="C1313" t="str">
            <v xml:space="preserve">S-tray galvanized </v>
          </cell>
          <cell r="D1313">
            <v>509</v>
          </cell>
          <cell r="E1313">
            <v>68.413978494623649</v>
          </cell>
        </row>
        <row r="1314">
          <cell r="A1314">
            <v>7012</v>
          </cell>
          <cell r="B1314" t="str">
            <v>Koblingselement</v>
          </cell>
          <cell r="C1314" t="str">
            <v>Coupling element HRC 150</v>
          </cell>
          <cell r="D1314">
            <v>140</v>
          </cell>
          <cell r="E1314">
            <v>18.817204301075268</v>
          </cell>
        </row>
        <row r="1315">
          <cell r="A1315">
            <v>7017</v>
          </cell>
          <cell r="B1315" t="str">
            <v>6-kt skrue M24x80 DIN931</v>
          </cell>
          <cell r="C1315" t="str">
            <v>Hex screw M24 x 80 DIN 931</v>
          </cell>
          <cell r="D1315">
            <v>21</v>
          </cell>
          <cell r="E1315">
            <v>2.82258064516129</v>
          </cell>
        </row>
        <row r="1316">
          <cell r="A1316">
            <v>7020</v>
          </cell>
          <cell r="B1316" t="str">
            <v>Spændering f/fødecylinder,</v>
          </cell>
          <cell r="C1316" t="str">
            <v>Span ring f/feed cylinder</v>
          </cell>
          <cell r="D1316">
            <v>615</v>
          </cell>
          <cell r="E1316">
            <v>82.661290322580641</v>
          </cell>
        </row>
        <row r="1317">
          <cell r="A1317">
            <v>7021</v>
          </cell>
          <cell r="B1317" t="str">
            <v>Ventil Kuglevent. 1/2" KGN V 025.712/2</v>
          </cell>
          <cell r="C1317" t="str">
            <v>Spherical valve 1/2" KGN V 025.712/2</v>
          </cell>
          <cell r="D1317">
            <v>348</v>
          </cell>
          <cell r="E1317">
            <v>46.774193548387096</v>
          </cell>
        </row>
        <row r="1318">
          <cell r="A1318">
            <v>7022</v>
          </cell>
          <cell r="B1318" t="str">
            <v>Brystnippel ½” BSP</v>
          </cell>
          <cell r="C1318" t="str">
            <v>Nipple connector ½” BSP</v>
          </cell>
          <cell r="D1318">
            <v>28</v>
          </cell>
          <cell r="E1318">
            <v>3.7634408602150535</v>
          </cell>
        </row>
        <row r="1319">
          <cell r="A1319">
            <v>7040</v>
          </cell>
          <cell r="B1319" t="str">
            <v>6-kt. Skrue M12 x 35 DIN 933</v>
          </cell>
          <cell r="C1319" t="str">
            <v>Hex screw M12 x 35 DIN 933</v>
          </cell>
          <cell r="D1319">
            <v>1.9</v>
          </cell>
          <cell r="E1319">
            <v>0.2553763440860215</v>
          </cell>
        </row>
        <row r="1320">
          <cell r="A1320">
            <v>7043</v>
          </cell>
          <cell r="B1320" t="str">
            <v>6-kt. Skrue M10 x 25 DIN 933</v>
          </cell>
          <cell r="C1320" t="str">
            <v>Hex screw M10 x 25 DIN 933</v>
          </cell>
          <cell r="D1320">
            <v>1.9</v>
          </cell>
          <cell r="E1320">
            <v>0.2553763440860215</v>
          </cell>
        </row>
        <row r="1321">
          <cell r="A1321">
            <v>7044</v>
          </cell>
          <cell r="B1321" t="str">
            <v>6-kt. Skrue M10 x 30 8.8</v>
          </cell>
          <cell r="C1321" t="str">
            <v>Hex screw M10 x 30 8.8</v>
          </cell>
          <cell r="D1321">
            <v>1.9</v>
          </cell>
          <cell r="E1321">
            <v>0.2553763440860215</v>
          </cell>
        </row>
        <row r="1322">
          <cell r="A1322">
            <v>7045</v>
          </cell>
          <cell r="B1322" t="str">
            <v>6-kt. Skrue M8 x 16 8.8 FZB D933</v>
          </cell>
          <cell r="C1322" t="str">
            <v>Hex screw M8 x 16 8.8 FZB D933</v>
          </cell>
          <cell r="D1322">
            <v>0.6</v>
          </cell>
          <cell r="E1322">
            <v>8.0645161290322578E-2</v>
          </cell>
        </row>
        <row r="1323">
          <cell r="A1323">
            <v>7056</v>
          </cell>
          <cell r="B1323" t="str">
            <v>Cyl. skrue M6 x 20</v>
          </cell>
          <cell r="C1323" t="str">
            <v>Socket head bolt for bushing M6 x 20</v>
          </cell>
          <cell r="D1323">
            <v>1</v>
          </cell>
          <cell r="E1323">
            <v>0.13440860215053763</v>
          </cell>
        </row>
        <row r="1324">
          <cell r="A1324">
            <v>7139</v>
          </cell>
          <cell r="B1324" t="str">
            <v>Dæksel, rulleaksel bag M30-2</v>
          </cell>
          <cell r="C1324" t="str">
            <v>Cover, rollershaft, rear M30-2</v>
          </cell>
          <cell r="D1324">
            <v>876</v>
          </cell>
          <cell r="E1324">
            <v>117.74193548387096</v>
          </cell>
        </row>
        <row r="1325">
          <cell r="A1325">
            <v>7140</v>
          </cell>
          <cell r="B1325" t="str">
            <v>Dæksel, rulleaksel front</v>
          </cell>
          <cell r="C1325" t="str">
            <v>Cover  ,rollershaft, front</v>
          </cell>
          <cell r="D1325">
            <v>710</v>
          </cell>
          <cell r="E1325">
            <v>95.430107526881713</v>
          </cell>
        </row>
        <row r="1326">
          <cell r="A1326">
            <v>7142</v>
          </cell>
          <cell r="B1326" t="str">
            <v>Afstandsring 2 Lejetætn. M30-2</v>
          </cell>
          <cell r="C1326" t="str">
            <v>Distance ring 2</v>
          </cell>
          <cell r="D1326">
            <v>667</v>
          </cell>
          <cell r="E1326">
            <v>89.650537634408593</v>
          </cell>
        </row>
        <row r="1327">
          <cell r="A1327">
            <v>7143</v>
          </cell>
          <cell r="B1327" t="str">
            <v>Afstandsring 1 Lejetætn. M30-2</v>
          </cell>
          <cell r="C1327" t="str">
            <v>Distance ring 1</v>
          </cell>
          <cell r="D1327">
            <v>371</v>
          </cell>
          <cell r="E1327">
            <v>49.865591397849457</v>
          </cell>
        </row>
        <row r="1328">
          <cell r="A1328">
            <v>7157</v>
          </cell>
          <cell r="B1328" t="str">
            <v>Todelt mellemlægsplade</v>
          </cell>
          <cell r="C1328" t="str">
            <v>Duplex shim</v>
          </cell>
          <cell r="D1328">
            <v>416</v>
          </cell>
          <cell r="E1328">
            <v>55.913978494623656</v>
          </cell>
        </row>
        <row r="1329">
          <cell r="A1329">
            <v>7163</v>
          </cell>
          <cell r="B1329" t="str">
            <v>Hængsel, lang M30</v>
          </cell>
          <cell r="C1329" t="str">
            <v>Hinge, long M30</v>
          </cell>
          <cell r="D1329">
            <v>1885</v>
          </cell>
          <cell r="E1329">
            <v>253.36021505376343</v>
          </cell>
        </row>
        <row r="1330">
          <cell r="A1330">
            <v>7216</v>
          </cell>
          <cell r="B1330" t="str">
            <v>Felttætningholder</v>
          </cell>
          <cell r="C1330" t="str">
            <v>Felt seal holder</v>
          </cell>
          <cell r="D1330">
            <v>4388</v>
          </cell>
          <cell r="E1330">
            <v>589.78494623655911</v>
          </cell>
        </row>
        <row r="1331">
          <cell r="A1331">
            <v>7236</v>
          </cell>
          <cell r="B1331" t="str">
            <v>Sfærisk rulleleje 24128</v>
          </cell>
          <cell r="C1331" t="str">
            <v>Spherical roller bearing 24128</v>
          </cell>
          <cell r="D1331">
            <v>2809</v>
          </cell>
          <cell r="E1331">
            <v>377.55376344086022</v>
          </cell>
        </row>
        <row r="1332">
          <cell r="A1332">
            <v>7350</v>
          </cell>
          <cell r="B1332" t="str">
            <v>Fjeder DY70xØ12x180</v>
          </cell>
          <cell r="C1332" t="str">
            <v>Spring DY70xØ12x180</v>
          </cell>
          <cell r="D1332">
            <v>223</v>
          </cell>
          <cell r="E1332">
            <v>29.973118279569892</v>
          </cell>
        </row>
        <row r="1333">
          <cell r="A1333">
            <v>7367</v>
          </cell>
          <cell r="B1333" t="str">
            <v>Kontramøtrik M30 x 2 DIM439B</v>
          </cell>
          <cell r="C1333" t="str">
            <v>Lock nut M30 x 2 DIM439B</v>
          </cell>
          <cell r="D1333">
            <v>34</v>
          </cell>
          <cell r="E1333">
            <v>4.5698924731182791</v>
          </cell>
        </row>
        <row r="1334">
          <cell r="A1334">
            <v>7407</v>
          </cell>
          <cell r="B1334" t="str">
            <v>Dæksel</v>
          </cell>
          <cell r="C1334" t="str">
            <v>Cover</v>
          </cell>
          <cell r="D1334">
            <v>3551</v>
          </cell>
          <cell r="E1334">
            <v>477.28494623655911</v>
          </cell>
        </row>
        <row r="1335">
          <cell r="A1335">
            <v>7431</v>
          </cell>
          <cell r="B1335" t="str">
            <v>Knivblad</v>
          </cell>
          <cell r="C1335" t="str">
            <v>knife blade</v>
          </cell>
          <cell r="D1335">
            <v>445</v>
          </cell>
          <cell r="E1335">
            <v>59.811827956989241</v>
          </cell>
        </row>
        <row r="1336">
          <cell r="A1336">
            <v>7493</v>
          </cell>
          <cell r="B1336" t="str">
            <v>O-ring Ø010,0 x Ø2,30 Nitril</v>
          </cell>
          <cell r="C1336" t="str">
            <v>O-ring Ø010,0 x Ø2,30 Nitril</v>
          </cell>
          <cell r="D1336">
            <v>0.3</v>
          </cell>
          <cell r="E1336">
            <v>4.0322580645161289E-2</v>
          </cell>
        </row>
        <row r="1337">
          <cell r="A1337">
            <v>7529</v>
          </cell>
          <cell r="B1337" t="str">
            <v>Kilerem SPZ 1400</v>
          </cell>
          <cell r="C1337" t="str">
            <v>V-belt SPZ 1400</v>
          </cell>
          <cell r="D1337">
            <v>37</v>
          </cell>
          <cell r="E1337">
            <v>4.9731182795698921</v>
          </cell>
        </row>
        <row r="1338">
          <cell r="A1338">
            <v>7535</v>
          </cell>
          <cell r="B1338" t="str">
            <v>Låsering U40 x 1,75 DIN 471</v>
          </cell>
          <cell r="C1338" t="str">
            <v>Lock ring U40 x 1,75 DIN 471</v>
          </cell>
          <cell r="D1338">
            <v>23</v>
          </cell>
          <cell r="E1338">
            <v>3.0913978494623655</v>
          </cell>
        </row>
        <row r="1339">
          <cell r="A1339">
            <v>7539</v>
          </cell>
          <cell r="B1339" t="str">
            <v>Akselmøtrik KM8</v>
          </cell>
          <cell r="C1339" t="str">
            <v>Nut for shaft KM 8</v>
          </cell>
          <cell r="D1339">
            <v>30</v>
          </cell>
          <cell r="E1339">
            <v>4.032258064516129</v>
          </cell>
        </row>
        <row r="1340">
          <cell r="A1340">
            <v>7566</v>
          </cell>
          <cell r="B1340" t="str">
            <v>Muffe  3/4 RG  Galv</v>
          </cell>
          <cell r="C1340" t="str">
            <v>Socket 3/4 " RG  FZB</v>
          </cell>
          <cell r="D1340">
            <v>19.100000000000001</v>
          </cell>
          <cell r="E1340">
            <v>2.567204301075269</v>
          </cell>
        </row>
        <row r="1341">
          <cell r="A1341">
            <v>7585</v>
          </cell>
          <cell r="B1341" t="str">
            <v>Hydraulikslange ½" RG l=700</v>
          </cell>
          <cell r="C1341" t="str">
            <v>Hydraulic hose ½" RG l=700</v>
          </cell>
          <cell r="D1341">
            <v>154</v>
          </cell>
          <cell r="E1341">
            <v>20.698924731182796</v>
          </cell>
        </row>
        <row r="1342">
          <cell r="A1342">
            <v>7602</v>
          </cell>
          <cell r="B1342" t="str">
            <v>Remskærm for højre bagmonteret</v>
          </cell>
          <cell r="C1342" t="str">
            <v xml:space="preserve">Belt screen Right </v>
          </cell>
          <cell r="D1342">
            <v>6890</v>
          </cell>
          <cell r="E1342">
            <v>926.07526881720423</v>
          </cell>
        </row>
        <row r="1343">
          <cell r="A1343">
            <v>7623</v>
          </cell>
          <cell r="B1343" t="str">
            <v>Låsering U110x4 DIN 471</v>
          </cell>
          <cell r="C1343" t="str">
            <v>Lock ring U 110x4,0  DIN 471</v>
          </cell>
          <cell r="D1343">
            <v>53</v>
          </cell>
          <cell r="E1343">
            <v>7.1236559139784941</v>
          </cell>
        </row>
        <row r="1344">
          <cell r="A1344">
            <v>7629</v>
          </cell>
          <cell r="B1344" t="str">
            <v>V-ring V95A</v>
          </cell>
          <cell r="C1344" t="str">
            <v>V-ring V95A</v>
          </cell>
          <cell r="D1344">
            <v>9</v>
          </cell>
          <cell r="E1344">
            <v>1.2096774193548387</v>
          </cell>
        </row>
        <row r="1345">
          <cell r="A1345">
            <v>7630</v>
          </cell>
          <cell r="B1345" t="str">
            <v>V-ring V 75A</v>
          </cell>
          <cell r="C1345" t="str">
            <v>V-ring V 75A</v>
          </cell>
          <cell r="D1345">
            <v>9</v>
          </cell>
          <cell r="E1345">
            <v>1.2096774193548387</v>
          </cell>
        </row>
        <row r="1346">
          <cell r="A1346">
            <v>7649</v>
          </cell>
          <cell r="B1346" t="str">
            <v>(Erstattet af 000816) Lejehus for m/4 huller for UC208 Ø40</v>
          </cell>
          <cell r="C1346" t="str">
            <v>(Replaced by 000816) Bearing House f. 4 holes UC208 Ø40</v>
          </cell>
          <cell r="D1346" t="str">
            <v>replaced</v>
          </cell>
          <cell r="E1346" t="str">
            <v>replaced</v>
          </cell>
        </row>
        <row r="1347">
          <cell r="A1347">
            <v>7662</v>
          </cell>
          <cell r="B1347" t="str">
            <v xml:space="preserve">Leje Sfærisk rulleleje 22210E/C3  </v>
          </cell>
          <cell r="C1347" t="str">
            <v xml:space="preserve">Bearing 22210E/C3 </v>
          </cell>
          <cell r="D1347">
            <v>366</v>
          </cell>
          <cell r="E1347">
            <v>49.193548387096769</v>
          </cell>
        </row>
        <row r="1348">
          <cell r="A1348">
            <v>7668</v>
          </cell>
          <cell r="B1348" t="str">
            <v>Leje for flangeleje UC216 Ø80</v>
          </cell>
          <cell r="C1348" t="str">
            <v>Bearing for flange bearing UC216 Ø80</v>
          </cell>
          <cell r="D1348">
            <v>562</v>
          </cell>
          <cell r="E1348">
            <v>75.537634408602145</v>
          </cell>
        </row>
        <row r="1349">
          <cell r="A1349">
            <v>7669</v>
          </cell>
          <cell r="B1349" t="str">
            <v>Leje for flangeleje UC207, Ø35</v>
          </cell>
          <cell r="C1349" t="str">
            <v>Bearing for flange bearing UC207, Ø35</v>
          </cell>
          <cell r="D1349">
            <v>75</v>
          </cell>
          <cell r="E1349">
            <v>10.080645161290322</v>
          </cell>
        </row>
        <row r="1350">
          <cell r="A1350">
            <v>7674</v>
          </cell>
          <cell r="B1350" t="str">
            <v>(Erstattet af 000764) Lejehus for m/4 huller for UC210 Ø50</v>
          </cell>
          <cell r="C1350" t="str">
            <v>(Replaced by 000764) Bearing House f. 4 holes UC210 Ø50</v>
          </cell>
          <cell r="D1350" t="str">
            <v>replaced</v>
          </cell>
          <cell r="E1350" t="str">
            <v>replaced</v>
          </cell>
        </row>
        <row r="1351">
          <cell r="A1351">
            <v>7681</v>
          </cell>
          <cell r="B1351" t="str">
            <v>(Erstattet af 002938) Lejehus for m/4 huller for UC214 Ø70</v>
          </cell>
          <cell r="C1351" t="str">
            <v>(Replaced by 002938) Bearing House f. 4 holes UC214 Ø70</v>
          </cell>
          <cell r="D1351" t="str">
            <v>replaced</v>
          </cell>
          <cell r="E1351" t="str">
            <v>replaced</v>
          </cell>
        </row>
        <row r="1352">
          <cell r="A1352">
            <v>7700</v>
          </cell>
          <cell r="B1352" t="str">
            <v>Bremseklods.</v>
          </cell>
          <cell r="C1352" t="str">
            <v>Break hub</v>
          </cell>
          <cell r="D1352">
            <v>302</v>
          </cell>
          <cell r="E1352">
            <v>40.591397849462361</v>
          </cell>
        </row>
        <row r="1353">
          <cell r="A1353">
            <v>7701</v>
          </cell>
          <cell r="B1353" t="str">
            <v>Fjederpins</v>
          </cell>
          <cell r="C1353" t="str">
            <v>Spring pins</v>
          </cell>
          <cell r="D1353">
            <v>233</v>
          </cell>
          <cell r="E1353">
            <v>31.317204301075268</v>
          </cell>
        </row>
        <row r="1354">
          <cell r="A1354">
            <v>7702</v>
          </cell>
          <cell r="B1354" t="str">
            <v>Pakningssæt for bremse</v>
          </cell>
          <cell r="C1354" t="str">
            <v>Set of packings for brake</v>
          </cell>
          <cell r="D1354">
            <v>769</v>
          </cell>
          <cell r="E1354">
            <v>103.36021505376344</v>
          </cell>
        </row>
        <row r="1355">
          <cell r="A1355">
            <v>7728</v>
          </cell>
          <cell r="B1355" t="str">
            <v>Fjederskive Ø6</v>
          </cell>
          <cell r="C1355" t="str">
            <v>Spring disc Ø6</v>
          </cell>
          <cell r="D1355">
            <v>0.1</v>
          </cell>
          <cell r="E1355">
            <v>1.3440860215053764E-2</v>
          </cell>
        </row>
        <row r="1356">
          <cell r="A1356">
            <v>7733</v>
          </cell>
          <cell r="B1356" t="str">
            <v>Kædesamler, forkrøppet 1 1/4"x19</v>
          </cell>
          <cell r="C1356" t="str">
            <v xml:space="preserve">Chain Joint crank, 1-1/4"X 19  </v>
          </cell>
          <cell r="D1356">
            <v>56</v>
          </cell>
          <cell r="E1356">
            <v>7.5268817204301071</v>
          </cell>
        </row>
        <row r="1357">
          <cell r="A1357">
            <v>7740</v>
          </cell>
          <cell r="B1357" t="str">
            <v>Kølerlamel, pl. 2 mm perf. Ø, galvaniseret</v>
          </cell>
          <cell r="C1357" t="str">
            <v xml:space="preserve">Tray, sheet 2,0 MM, perf Ø3, perforation Ø3,0 MM, galvanized                 </v>
          </cell>
          <cell r="D1357">
            <v>350</v>
          </cell>
          <cell r="E1357">
            <v>47.043010752688168</v>
          </cell>
        </row>
        <row r="1358">
          <cell r="A1358">
            <v>7754</v>
          </cell>
          <cell r="B1358" t="str">
            <v>Pakning for tætningsskål</v>
          </cell>
          <cell r="C1358" t="str">
            <v>Packing for sealing ring</v>
          </cell>
          <cell r="D1358">
            <v>233</v>
          </cell>
          <cell r="E1358">
            <v>31.317204301075268</v>
          </cell>
        </row>
        <row r="1359">
          <cell r="A1359">
            <v>7755</v>
          </cell>
          <cell r="B1359" t="str">
            <v>6-kt. Skrue M20x50 A2 DIN 933</v>
          </cell>
          <cell r="C1359" t="str">
            <v>Hex screw M20 x 50  A2 DIN 933</v>
          </cell>
          <cell r="D1359">
            <v>12.5</v>
          </cell>
          <cell r="E1359">
            <v>1.6801075268817203</v>
          </cell>
        </row>
        <row r="1360">
          <cell r="A1360">
            <v>7820</v>
          </cell>
          <cell r="B1360" t="str">
            <v>Reparationssæt for fedtfordeler SSV8-K</v>
          </cell>
          <cell r="C1360" t="str">
            <v>Repairset for grease distributor SSV8-K</v>
          </cell>
          <cell r="D1360">
            <v>94</v>
          </cell>
          <cell r="E1360">
            <v>12.634408602150536</v>
          </cell>
        </row>
        <row r="1361">
          <cell r="A1361">
            <v>7856</v>
          </cell>
          <cell r="B1361" t="str">
            <v>Hydr.slange m/lige stutse Ø6 x 2000</v>
          </cell>
          <cell r="C1361" t="str">
            <v>Hydraulic hose with straight socket Ø6x2000</v>
          </cell>
          <cell r="D1361">
            <v>186</v>
          </cell>
          <cell r="E1361">
            <v>25</v>
          </cell>
        </row>
        <row r="1362">
          <cell r="A1362">
            <v>7858</v>
          </cell>
          <cell r="B1362" t="str">
            <v>Hydraulikslange m. lige stutse Ø6 x 220</v>
          </cell>
          <cell r="C1362" t="str">
            <v>Hydraulic hose w. straight sockets Ø6 x 220</v>
          </cell>
          <cell r="D1362">
            <v>143</v>
          </cell>
          <cell r="E1362">
            <v>19.22043010752688</v>
          </cell>
        </row>
        <row r="1363">
          <cell r="A1363">
            <v>7889</v>
          </cell>
          <cell r="B1363" t="str">
            <v>Rørstift Ø8 x 35</v>
          </cell>
          <cell r="C1363" t="str">
            <v>Hollow pin Ø8 x 35</v>
          </cell>
          <cell r="D1363">
            <v>10.9</v>
          </cell>
          <cell r="E1363">
            <v>1.4650537634408602</v>
          </cell>
        </row>
        <row r="1364">
          <cell r="A1364">
            <v>7936</v>
          </cell>
          <cell r="B1364" t="str">
            <v>Kilerem SPA 1857</v>
          </cell>
          <cell r="C1364" t="str">
            <v>V-belt SPA 1857</v>
          </cell>
          <cell r="D1364">
            <v>80</v>
          </cell>
          <cell r="E1364">
            <v>10.75268817204301</v>
          </cell>
        </row>
        <row r="1365">
          <cell r="A1365">
            <v>7946</v>
          </cell>
          <cell r="B1365" t="str">
            <v>Kileremskive SPZ2 Ø250 TL2012 T4</v>
          </cell>
          <cell r="C1365" t="str">
            <v>V-belt pulley SPZ2 Ø250 TL2012 T4</v>
          </cell>
          <cell r="D1365">
            <v>190</v>
          </cell>
          <cell r="E1365">
            <v>25.537634408602148</v>
          </cell>
        </row>
        <row r="1366">
          <cell r="A1366">
            <v>7965</v>
          </cell>
          <cell r="B1366" t="str">
            <v>Spændelement TL 1610 Ø19</v>
          </cell>
          <cell r="C1366" t="str">
            <v>Shaft adapter TL 1610 Ø19</v>
          </cell>
          <cell r="D1366">
            <v>41</v>
          </cell>
          <cell r="E1366">
            <v>5.510752688172043</v>
          </cell>
        </row>
        <row r="1367">
          <cell r="A1367">
            <v>7968</v>
          </cell>
          <cell r="B1367" t="str">
            <v>Spændeelement TL 4545 Ø105</v>
          </cell>
          <cell r="C1367" t="str">
            <v>Shaft adapter, taper-lock TL45450 Ø105</v>
          </cell>
          <cell r="D1367">
            <v>323</v>
          </cell>
          <cell r="E1367">
            <v>43.413978494623656</v>
          </cell>
        </row>
        <row r="1368">
          <cell r="A1368">
            <v>7989</v>
          </cell>
          <cell r="B1368" t="str">
            <v>Spændelement TL3535, Ø65</v>
          </cell>
          <cell r="C1368" t="str">
            <v>Tension element TL3535, Ø65</v>
          </cell>
          <cell r="D1368">
            <v>159</v>
          </cell>
          <cell r="E1368">
            <v>21.370967741935484</v>
          </cell>
        </row>
        <row r="1369">
          <cell r="A1369">
            <v>7990</v>
          </cell>
          <cell r="B1369" t="str">
            <v>Spændelement TL3535 Ø85</v>
          </cell>
          <cell r="C1369" t="str">
            <v>Shaft adapter, taper-lock TL3535 Ø85</v>
          </cell>
          <cell r="D1369">
            <v>451</v>
          </cell>
          <cell r="E1369">
            <v>60.618279569892472</v>
          </cell>
        </row>
        <row r="1370">
          <cell r="A1370">
            <v>7991</v>
          </cell>
          <cell r="B1370" t="str">
            <v>Spændeelement TL 3535 Ø090</v>
          </cell>
          <cell r="C1370" t="str">
            <v>Shaft adapter, taper-lock TL 3535 Ø090</v>
          </cell>
          <cell r="D1370">
            <v>171</v>
          </cell>
          <cell r="E1370">
            <v>22.983870967741936</v>
          </cell>
        </row>
        <row r="1371">
          <cell r="A1371">
            <v>8000</v>
          </cell>
          <cell r="B1371" t="str">
            <v>Kileremskive SPC 8 Ø400 TL 4545</v>
          </cell>
          <cell r="C1371" t="str">
            <v>V-belt pulley SPC 8 Ø400 TL 4545</v>
          </cell>
          <cell r="D1371">
            <v>2544</v>
          </cell>
          <cell r="E1371">
            <v>341.93548387096774</v>
          </cell>
        </row>
        <row r="1372">
          <cell r="A1372">
            <v>8002</v>
          </cell>
          <cell r="B1372" t="str">
            <v>Skive 1/8" kobber</v>
          </cell>
          <cell r="C1372" t="str">
            <v>Packing for bajno screw</v>
          </cell>
          <cell r="D1372">
            <v>2.7</v>
          </cell>
          <cell r="E1372">
            <v>0.36290322580645162</v>
          </cell>
        </row>
        <row r="1373">
          <cell r="A1373">
            <v>8007</v>
          </cell>
          <cell r="B1373" t="str">
            <v xml:space="preserve">Blandegevind, komplet, H200, </v>
          </cell>
          <cell r="C1373" t="str">
            <v xml:space="preserve">Mixing paddle, complete, H200, </v>
          </cell>
          <cell r="D1373">
            <v>594</v>
          </cell>
          <cell r="E1373">
            <v>79.838709677419345</v>
          </cell>
        </row>
        <row r="1374">
          <cell r="A1374">
            <v>8010</v>
          </cell>
          <cell r="B1374" t="str">
            <v>Spændelement TL 4545 Ø85</v>
          </cell>
          <cell r="C1374" t="str">
            <v>Taper bush TL 4545 Ø85</v>
          </cell>
          <cell r="D1374">
            <v>323</v>
          </cell>
          <cell r="E1374">
            <v>43.413978494623656</v>
          </cell>
        </row>
        <row r="1375">
          <cell r="A1375">
            <v>8012</v>
          </cell>
          <cell r="B1375" t="str">
            <v>Spændeelement TL 4040 Ø099</v>
          </cell>
          <cell r="C1375" t="str">
            <v>Shaft adapter, taper-lock TL 4040 Ø099</v>
          </cell>
          <cell r="D1375">
            <v>219</v>
          </cell>
          <cell r="E1375">
            <v>29.43548387096774</v>
          </cell>
        </row>
        <row r="1376">
          <cell r="A1376">
            <v>8013</v>
          </cell>
          <cell r="B1376" t="str">
            <v>Spændeelement TL 5050 – Ø90</v>
          </cell>
          <cell r="C1376" t="str">
            <v>Shaft adapter, taper-lock TL 5050 – Ø90</v>
          </cell>
          <cell r="D1376">
            <v>219</v>
          </cell>
          <cell r="E1376">
            <v>29.43548387096774</v>
          </cell>
        </row>
        <row r="1377">
          <cell r="A1377">
            <v>8028</v>
          </cell>
          <cell r="B1377" t="str">
            <v>Taperbøsning TL 2012, Ø48</v>
          </cell>
          <cell r="C1377" t="str">
            <v>Taper bush TL 2012, Ø48</v>
          </cell>
          <cell r="D1377">
            <v>42</v>
          </cell>
          <cell r="E1377">
            <v>5.6451612903225801</v>
          </cell>
        </row>
        <row r="1378">
          <cell r="A1378">
            <v>8035</v>
          </cell>
          <cell r="B1378" t="str">
            <v>Spændelement TL2517, Ø35</v>
          </cell>
          <cell r="C1378" t="str">
            <v>Taper bush TL2517, Ø35</v>
          </cell>
          <cell r="D1378">
            <v>50</v>
          </cell>
          <cell r="E1378">
            <v>6.7204301075268811</v>
          </cell>
        </row>
        <row r="1379">
          <cell r="A1379">
            <v>8044</v>
          </cell>
          <cell r="B1379" t="str">
            <v>Taperlock 3020 ø 48</v>
          </cell>
          <cell r="C1379" t="str">
            <v>Taperlock 3020 ø 48</v>
          </cell>
          <cell r="D1379">
            <v>55</v>
          </cell>
          <cell r="E1379">
            <v>7.3924731182795691</v>
          </cell>
        </row>
        <row r="1380">
          <cell r="A1380">
            <v>8045</v>
          </cell>
          <cell r="B1380" t="str">
            <v>Nippelrør 3/4" x 30mm galv.</v>
          </cell>
          <cell r="C1380" t="str">
            <v>Nipple pipe 3/4" x 30mm galv.</v>
          </cell>
          <cell r="D1380">
            <v>8.5</v>
          </cell>
          <cell r="E1380">
            <v>1.1424731182795698</v>
          </cell>
        </row>
        <row r="1381">
          <cell r="A1381">
            <v>8107</v>
          </cell>
          <cell r="B1381" t="str">
            <v>Nippelrør 3/4" x 50mm galv.</v>
          </cell>
          <cell r="C1381" t="str">
            <v>Nipple pipe 3/4" x 50mm galv.</v>
          </cell>
          <cell r="D1381">
            <v>8.5</v>
          </cell>
          <cell r="E1381">
            <v>1.1424731182795698</v>
          </cell>
        </row>
        <row r="1382">
          <cell r="A1382">
            <v>8122</v>
          </cell>
          <cell r="B1382" t="str">
            <v>Nippelrør 3/4" x 60mm galv.</v>
          </cell>
          <cell r="C1382" t="str">
            <v>Nipple pipe 3/4" x 60mm galv.</v>
          </cell>
          <cell r="D1382">
            <v>9.5</v>
          </cell>
          <cell r="E1382">
            <v>1.2768817204301075</v>
          </cell>
        </row>
        <row r="1383">
          <cell r="A1383">
            <v>8126</v>
          </cell>
          <cell r="B1383" t="str">
            <v>Nippelrør 3/4" x 100mm galv.</v>
          </cell>
          <cell r="C1383" t="str">
            <v>Nipple pipe 3/4" x 100mm galv.</v>
          </cell>
          <cell r="D1383">
            <v>12.7</v>
          </cell>
          <cell r="E1383">
            <v>1.7069892473118278</v>
          </cell>
        </row>
        <row r="1384">
          <cell r="A1384">
            <v>8129</v>
          </cell>
          <cell r="B1384" t="str">
            <v>Vinkel 1/8" RG 90°</v>
          </cell>
          <cell r="C1384" t="str">
            <v>Angle 1/8" RG 90°</v>
          </cell>
          <cell r="D1384">
            <v>28</v>
          </cell>
          <cell r="E1384">
            <v>3.7634408602150535</v>
          </cell>
        </row>
        <row r="1385">
          <cell r="A1385">
            <v>8135</v>
          </cell>
          <cell r="B1385" t="str">
            <v>Vinkel 90° 1" RG</v>
          </cell>
          <cell r="C1385" t="str">
            <v>ANGLE 1"  RG</v>
          </cell>
          <cell r="D1385">
            <v>27</v>
          </cell>
          <cell r="E1385">
            <v>3.629032258064516</v>
          </cell>
        </row>
        <row r="1386">
          <cell r="A1386">
            <v>8144</v>
          </cell>
          <cell r="B1386" t="str">
            <v>Øjebolt M12 x 140 DIN 444</v>
          </cell>
          <cell r="C1386" t="str">
            <v>Eye bolt M12 x 140 DIN 444</v>
          </cell>
          <cell r="D1386">
            <v>34</v>
          </cell>
          <cell r="E1386">
            <v>4.5698924731182791</v>
          </cell>
        </row>
        <row r="1387">
          <cell r="A1387">
            <v>8155</v>
          </cell>
          <cell r="B1387" t="str">
            <v>Smørenippel 1/8” RG Lige</v>
          </cell>
          <cell r="C1387" t="str">
            <v>Lubrication nipple 1/8” RG Lige</v>
          </cell>
          <cell r="D1387">
            <v>12.7</v>
          </cell>
          <cell r="E1387">
            <v>1.7069892473118278</v>
          </cell>
        </row>
        <row r="1388">
          <cell r="A1388">
            <v>8166</v>
          </cell>
          <cell r="B1388" t="str">
            <v>Muffe 1/8" RG x 17mm sort DIN 2986</v>
          </cell>
          <cell r="C1388" t="str">
            <v>Socket 1/8" RG x 17mm DIN 2986</v>
          </cell>
          <cell r="D1388">
            <v>4.5</v>
          </cell>
          <cell r="E1388">
            <v>0.60483870967741937</v>
          </cell>
        </row>
        <row r="1389">
          <cell r="A1389">
            <v>8375</v>
          </cell>
          <cell r="B1389" t="str">
            <v>Gearmotor, 1,5 kW, 36 o/min.</v>
          </cell>
          <cell r="C1389" t="str">
            <v>Gearmotor, 1,5 kW, 36 o/min.</v>
          </cell>
          <cell r="D1389">
            <v>10500</v>
          </cell>
          <cell r="E1389">
            <v>1411.2903225806451</v>
          </cell>
        </row>
        <row r="1390">
          <cell r="A1390">
            <v>8413</v>
          </cell>
          <cell r="B1390" t="str">
            <v>Hydr. Slange med lige studse Ø6x470</v>
          </cell>
          <cell r="C1390" t="str">
            <v>Hydraulic hose with straight socket Ø6x470</v>
          </cell>
          <cell r="D1390">
            <v>111</v>
          </cell>
          <cell r="E1390">
            <v>14.919354838709676</v>
          </cell>
        </row>
        <row r="1391">
          <cell r="A1391">
            <v>8414</v>
          </cell>
          <cell r="B1391" t="str">
            <v>Hydr. Slange med lige studse Ø6x470</v>
          </cell>
          <cell r="C1391" t="str">
            <v>Hydraulic hose with straight socket Ø6x470</v>
          </cell>
          <cell r="D1391">
            <v>143</v>
          </cell>
          <cell r="E1391">
            <v>19.22043010752688</v>
          </cell>
        </row>
        <row r="1392">
          <cell r="A1392">
            <v>8416</v>
          </cell>
          <cell r="B1392" t="str">
            <v>Bæreskinne l =996</v>
          </cell>
          <cell r="C1392" t="str">
            <v>Guide rail 1&amp;2 L996 MM</v>
          </cell>
          <cell r="D1392">
            <v>1035</v>
          </cell>
          <cell r="E1392">
            <v>139.11290322580643</v>
          </cell>
        </row>
        <row r="1393">
          <cell r="A1393">
            <v>8419</v>
          </cell>
          <cell r="B1393" t="str">
            <v>Bæreskinne l =1496</v>
          </cell>
          <cell r="C1393" t="str">
            <v>Guide rail 1&amp;2 L1496 MM</v>
          </cell>
          <cell r="D1393">
            <v>1155</v>
          </cell>
          <cell r="E1393">
            <v>155.24193548387095</v>
          </cell>
        </row>
        <row r="1394">
          <cell r="A1394">
            <v>8467</v>
          </cell>
          <cell r="B1394" t="str">
            <v>Cyl. Skrue M20 x 45 8.8 DIN 912</v>
          </cell>
          <cell r="C1394" t="str">
            <v>Cyl. Screw M20 x 45 8.8 DIN 912</v>
          </cell>
          <cell r="D1394">
            <v>8</v>
          </cell>
          <cell r="E1394">
            <v>1.075268817204301</v>
          </cell>
        </row>
        <row r="1395">
          <cell r="A1395">
            <v>8518</v>
          </cell>
          <cell r="B1395" t="str">
            <v>Gearmotor MVF 1,0 kW, 30/60 o/min., 3 x 380 V, 50 Hz, incl. momentarm,</v>
          </cell>
          <cell r="C1395" t="str">
            <v>Gearmotor MVF 1,0 kW, 30/60 rpm, 3 x 380 V, 50 Hz, incl. torque arm</v>
          </cell>
          <cell r="D1395">
            <v>5046</v>
          </cell>
          <cell r="E1395">
            <v>678.22580645161281</v>
          </cell>
        </row>
        <row r="1396">
          <cell r="A1396">
            <v>8519</v>
          </cell>
          <cell r="B1396" t="str">
            <v>6-kt. Skrue M20 x 40 DIN 933</v>
          </cell>
          <cell r="C1396" t="str">
            <v>Hex screw M20 x 40 DIN 933</v>
          </cell>
          <cell r="D1396">
            <v>8.5</v>
          </cell>
          <cell r="E1396">
            <v>1.1424731182795698</v>
          </cell>
        </row>
        <row r="1397">
          <cell r="A1397">
            <v>8631</v>
          </cell>
          <cell r="B1397" t="str">
            <v>Kniv M30</v>
          </cell>
          <cell r="C1397" t="str">
            <v>Knife M30</v>
          </cell>
          <cell r="D1397">
            <v>223</v>
          </cell>
          <cell r="E1397">
            <v>29.973118279569892</v>
          </cell>
        </row>
        <row r="1398">
          <cell r="A1398">
            <v>8673</v>
          </cell>
          <cell r="B1398" t="str">
            <v>Magnetbeslag ved dumping-klap M700-900</v>
          </cell>
          <cell r="C1398" t="str">
            <v>Magnet fitting at dumping clap M700-900</v>
          </cell>
          <cell r="D1398">
            <v>283</v>
          </cell>
          <cell r="E1398">
            <v>38.037634408602152</v>
          </cell>
        </row>
        <row r="1399">
          <cell r="A1399">
            <v>8677</v>
          </cell>
          <cell r="B1399" t="str">
            <v>Cyl. Skrue M12 x 45 A4 DIN 912</v>
          </cell>
          <cell r="C1399" t="str">
            <v>Cyl. Screw M12 x 45 A4 DIN 912</v>
          </cell>
          <cell r="D1399">
            <v>6.4</v>
          </cell>
          <cell r="E1399">
            <v>0.86021505376344087</v>
          </cell>
        </row>
        <row r="1400">
          <cell r="A1400">
            <v>8703</v>
          </cell>
          <cell r="B1400" t="str">
            <v>Indløbstragt m/klap.</v>
          </cell>
          <cell r="C1400" t="str">
            <v>Inlet duct w/hatch</v>
          </cell>
          <cell r="D1400">
            <v>39750</v>
          </cell>
          <cell r="E1400">
            <v>5342.7419354838703</v>
          </cell>
        </row>
        <row r="1401">
          <cell r="A1401">
            <v>8704</v>
          </cell>
          <cell r="B1401" t="str">
            <v>Skærm for indløbstragt med klap M900</v>
          </cell>
          <cell r="C1401" t="str">
            <v>Screen for dump shute with clap M900</v>
          </cell>
          <cell r="D1401">
            <v>2911</v>
          </cell>
          <cell r="E1401">
            <v>391.26344086021504</v>
          </cell>
        </row>
        <row r="1402">
          <cell r="A1402">
            <v>8733</v>
          </cell>
          <cell r="B1402" t="str">
            <v>Håndtag.</v>
          </cell>
          <cell r="C1402" t="str">
            <v>Handle</v>
          </cell>
          <cell r="D1402">
            <v>106</v>
          </cell>
          <cell r="E1402">
            <v>14.247311827956988</v>
          </cell>
        </row>
        <row r="1403">
          <cell r="A1403">
            <v>8744</v>
          </cell>
          <cell r="B1403" t="str">
            <v>Låsemøtrik M12 galv. DIN 985</v>
          </cell>
          <cell r="C1403" t="str">
            <v>Lock nut M12 galv. DIN 985</v>
          </cell>
          <cell r="D1403">
            <v>1</v>
          </cell>
          <cell r="E1403">
            <v>0.13440860215053763</v>
          </cell>
        </row>
        <row r="1404">
          <cell r="A1404">
            <v>8745</v>
          </cell>
          <cell r="B1404" t="str">
            <v>Pinolskrue M10 x 20 14.9 DIN916</v>
          </cell>
          <cell r="C1404" t="str">
            <v>Centre screw M10 x 20 14.9 DIN916</v>
          </cell>
          <cell r="D1404">
            <v>1.5</v>
          </cell>
          <cell r="E1404">
            <v>0.20161290322580644</v>
          </cell>
        </row>
        <row r="1405">
          <cell r="A1405">
            <v>8747</v>
          </cell>
          <cell r="B1405" t="str">
            <v>Prop 3/4" RG galvaniseret</v>
          </cell>
          <cell r="C1405" t="str">
            <v>Plug 3/4" RG galvanized</v>
          </cell>
          <cell r="D1405">
            <v>12.7</v>
          </cell>
          <cell r="E1405">
            <v>1.7069892473118278</v>
          </cell>
        </row>
        <row r="1406">
          <cell r="A1406">
            <v>8748</v>
          </cell>
          <cell r="B1406" t="str">
            <v>Banjo komplet 1/8" Ø6 SKR</v>
          </cell>
          <cell r="C1406" t="str">
            <v xml:space="preserve">Banjo, compl, 1/8" Ø6 SKR </v>
          </cell>
          <cell r="D1406">
            <v>111</v>
          </cell>
          <cell r="E1406">
            <v>14.919354838709676</v>
          </cell>
        </row>
        <row r="1407">
          <cell r="A1407">
            <v>8762</v>
          </cell>
          <cell r="B1407" t="str">
            <v xml:space="preserve"> Aftræksskrue M24 x 100</v>
          </cell>
          <cell r="C1407" t="str">
            <v>Extracting screw M24x100 A2</v>
          </cell>
          <cell r="D1407">
            <v>127</v>
          </cell>
          <cell r="E1407">
            <v>17.06989247311828</v>
          </cell>
        </row>
        <row r="1408">
          <cell r="A1408">
            <v>8766</v>
          </cell>
          <cell r="B1408" t="str">
            <v>Møtrik M36 venstregevind</v>
          </cell>
          <cell r="C1408" t="str">
            <v>Nut M36 left thread</v>
          </cell>
          <cell r="D1408">
            <v>1204</v>
          </cell>
          <cell r="E1408">
            <v>161.8279569892473</v>
          </cell>
        </row>
        <row r="1409">
          <cell r="A1409">
            <v>8778</v>
          </cell>
          <cell r="B1409" t="str">
            <v>Indløbstragt med dumping-klap, komplet, incl. pos. 502-505</v>
          </cell>
          <cell r="C1409" t="str">
            <v xml:space="preserve">Inlet duct with dumping flap, complete, </v>
          </cell>
          <cell r="D1409">
            <v>37524</v>
          </cell>
          <cell r="E1409">
            <v>5043.5483870967737</v>
          </cell>
        </row>
        <row r="1410">
          <cell r="A1410">
            <v>8783</v>
          </cell>
          <cell r="B1410" t="str">
            <v>Luftcylinder PRA 8032 L100</v>
          </cell>
          <cell r="C1410" t="str">
            <v>Air cylinder PRA 8032  L 100</v>
          </cell>
          <cell r="D1410">
            <v>636</v>
          </cell>
          <cell r="E1410">
            <v>85.483870967741936</v>
          </cell>
        </row>
        <row r="1411">
          <cell r="A1411">
            <v>8785</v>
          </cell>
          <cell r="B1411" t="str">
            <v xml:space="preserve">Pillekammer, venstre hængslet, komplet, </v>
          </cell>
          <cell r="C1411" t="str">
            <v xml:space="preserve">Pellet chamber, left hinged, complete, </v>
          </cell>
          <cell r="D1411">
            <v>68900</v>
          </cell>
          <cell r="E1411">
            <v>9260.7526881720423</v>
          </cell>
        </row>
        <row r="1412">
          <cell r="A1412">
            <v>8786</v>
          </cell>
          <cell r="B1412" t="str">
            <v>Kileremskive SPC 8 Ø500 TL 4545</v>
          </cell>
          <cell r="C1412" t="str">
            <v>V-belt pulley SPC 8 Ø500 TL 4545</v>
          </cell>
          <cell r="D1412">
            <v>4028</v>
          </cell>
          <cell r="E1412">
            <v>541.39784946236557</v>
          </cell>
        </row>
        <row r="1413">
          <cell r="A1413">
            <v>8795</v>
          </cell>
          <cell r="B1413" t="str">
            <v>Luftcylinder C52M-63-25-50</v>
          </cell>
          <cell r="C1413" t="str">
            <v>Air cylinder C52M-63-25-50</v>
          </cell>
          <cell r="D1413">
            <v>956</v>
          </cell>
          <cell r="E1413">
            <v>128.49462365591398</v>
          </cell>
        </row>
        <row r="1414">
          <cell r="A1414">
            <v>8809</v>
          </cell>
          <cell r="B1414" t="str">
            <v>Indløbstragt med dumping-klap, komplet, incl. pos. 2-5</v>
          </cell>
          <cell r="C1414" t="str">
            <v>Inlet pipe with dumping hatch</v>
          </cell>
          <cell r="D1414">
            <v>29150</v>
          </cell>
          <cell r="E1414">
            <v>3918.010752688172</v>
          </cell>
        </row>
        <row r="1415">
          <cell r="A1415">
            <v>8817</v>
          </cell>
          <cell r="B1415" t="str">
            <v>Drejebeslag "D" for bagende af Martonair VM 8063</v>
          </cell>
          <cell r="C1415" t="str">
            <v>Pivotal hinge "D" for rear of Martonair VM 8063</v>
          </cell>
          <cell r="D1415">
            <v>90</v>
          </cell>
          <cell r="E1415">
            <v>12.096774193548386</v>
          </cell>
        </row>
        <row r="1416">
          <cell r="A1416">
            <v>8819</v>
          </cell>
          <cell r="B1416" t="str">
            <v>Gaffel og ophæng for C52M</v>
          </cell>
          <cell r="C1416" t="str">
            <v>Fork and hinging for C52M</v>
          </cell>
          <cell r="D1416">
            <v>504</v>
          </cell>
          <cell r="E1416">
            <v>67.741935483870961</v>
          </cell>
        </row>
        <row r="1417">
          <cell r="A1417">
            <v>8820</v>
          </cell>
          <cell r="B1417" t="str">
            <v>6-kt. Skrue M20 x 100 FZB DIN 932</v>
          </cell>
          <cell r="C1417" t="str">
            <v>Hex screw M20 x 100 FZB DIN 932</v>
          </cell>
          <cell r="D1417">
            <v>21</v>
          </cell>
          <cell r="E1417">
            <v>2.82258064516129</v>
          </cell>
        </row>
        <row r="1418">
          <cell r="A1418">
            <v>8821</v>
          </cell>
          <cell r="B1418" t="str">
            <v>Hovedaksel for indvendig stag EX9xx</v>
          </cell>
          <cell r="C1418" t="str">
            <v>Mainshaft for inner stay EX9xx</v>
          </cell>
          <cell r="D1418">
            <v>18550</v>
          </cell>
          <cell r="E1418">
            <v>2493.2795698924729</v>
          </cell>
        </row>
        <row r="1419">
          <cell r="A1419">
            <v>8843</v>
          </cell>
          <cell r="B1419" t="str">
            <v>Cyl. Skrue M24 x 260</v>
          </cell>
          <cell r="C1419" t="str">
            <v>Cyl. Screw M24 x 260</v>
          </cell>
          <cell r="D1419">
            <v>83</v>
          </cell>
          <cell r="E1419">
            <v>11.155913978494622</v>
          </cell>
        </row>
        <row r="1420">
          <cell r="A1420">
            <v>8845</v>
          </cell>
          <cell r="B1420" t="str">
            <v>Drejekonsol for C52M</v>
          </cell>
          <cell r="C1420" t="str">
            <v>Rotating console for C52M</v>
          </cell>
          <cell r="D1420">
            <v>356</v>
          </cell>
          <cell r="E1420">
            <v>47.849462365591393</v>
          </cell>
        </row>
        <row r="1421">
          <cell r="A1421">
            <v>8895</v>
          </cell>
          <cell r="B1421" t="str">
            <v>Fødecylinder m/ribber</v>
          </cell>
          <cell r="C1421" t="str">
            <v>Feed cylinder w/ribs</v>
          </cell>
          <cell r="D1421">
            <v>21200</v>
          </cell>
          <cell r="E1421">
            <v>2849.4623655913979</v>
          </cell>
        </row>
        <row r="1422">
          <cell r="A1422">
            <v>8898</v>
          </cell>
          <cell r="B1422" t="str">
            <v>Gummigardin udløb silicone H700</v>
          </cell>
          <cell r="C1422" t="str">
            <v>Rubber curtain outlet silicone H700</v>
          </cell>
          <cell r="D1422">
            <v>4187</v>
          </cell>
          <cell r="E1422">
            <v>562.76881720430106</v>
          </cell>
        </row>
        <row r="1423">
          <cell r="A1423">
            <v>8900</v>
          </cell>
          <cell r="B1423" t="str">
            <v>Møtrik M24 FZB DIN 934</v>
          </cell>
          <cell r="C1423" t="str">
            <v>Nut M24 FZB DIN 934</v>
          </cell>
          <cell r="D1423">
            <v>4</v>
          </cell>
          <cell r="E1423">
            <v>0.5376344086021505</v>
          </cell>
        </row>
        <row r="1424">
          <cell r="A1424">
            <v>8987</v>
          </cell>
          <cell r="B1424" t="str">
            <v>Gear for IKKE remtrukken Extruder, Nord 5,23:1 SK 102 F-W</v>
          </cell>
          <cell r="C1424" t="str">
            <v xml:space="preserve">Gear for (NOT belt driven) extruder, North 5,23:1 SK 102 F-W </v>
          </cell>
          <cell r="D1424">
            <v>101654</v>
          </cell>
          <cell r="E1424">
            <v>13663.172043010753</v>
          </cell>
        </row>
        <row r="1425">
          <cell r="A1425">
            <v>8988</v>
          </cell>
          <cell r="B1425" t="str">
            <v>Kobling Omega E70 Udboring Ø100/Ø64</v>
          </cell>
          <cell r="C1425" t="str">
            <v>Coupling Omega E70 drilled out Ø100/Ø64</v>
          </cell>
          <cell r="D1425">
            <v>13192</v>
          </cell>
          <cell r="E1425">
            <v>1773.1182795698924</v>
          </cell>
        </row>
        <row r="1426">
          <cell r="A1426">
            <v>11037</v>
          </cell>
          <cell r="B1426" t="str">
            <v>Samleboks 100 x120 x240  ABS</v>
          </cell>
          <cell r="C1426" t="str">
            <v>Connection box 100 x 120 x 240 ABS</v>
          </cell>
          <cell r="D1426">
            <v>371</v>
          </cell>
          <cell r="E1426">
            <v>49.865591397849457</v>
          </cell>
        </row>
        <row r="1427">
          <cell r="A1427">
            <v>11076</v>
          </cell>
          <cell r="B1427" t="str">
            <v>Omdrejningsvagt, 24 VDC</v>
          </cell>
          <cell r="C1427" t="str">
            <v>RPM sensor, 24 VDC</v>
          </cell>
          <cell r="D1427">
            <v>1489</v>
          </cell>
          <cell r="E1427">
            <v>200.13440860215053</v>
          </cell>
        </row>
        <row r="1428">
          <cell r="A1428">
            <v>11136</v>
          </cell>
          <cell r="B1428" t="str">
            <v>Omdrejningsvagt Telemecanique XSA-V12161 220 V AC</v>
          </cell>
          <cell r="C1428" t="str">
            <v>Speed guard Telemecanique XSA-V12161 220 V AC</v>
          </cell>
          <cell r="D1428">
            <v>1489</v>
          </cell>
          <cell r="E1428">
            <v>200.13440860215053</v>
          </cell>
        </row>
        <row r="1429">
          <cell r="A1429">
            <v>11137</v>
          </cell>
          <cell r="B1429" t="str">
            <v>Induktiv føler</v>
          </cell>
          <cell r="C1429" t="str">
            <v>Inductive sensor</v>
          </cell>
          <cell r="D1429">
            <v>2639</v>
          </cell>
          <cell r="E1429">
            <v>354.7043010752688</v>
          </cell>
        </row>
        <row r="1430">
          <cell r="A1430">
            <v>11225</v>
          </cell>
          <cell r="B1430" t="str">
            <v>Omdrejningsvagt Telemecanique XSA-V12171 24 V AC</v>
          </cell>
          <cell r="C1430" t="str">
            <v>Speed guard Telemecanique XSA-V12171 24 V AC</v>
          </cell>
          <cell r="D1430">
            <v>1643</v>
          </cell>
          <cell r="E1430">
            <v>220.83333333333331</v>
          </cell>
        </row>
        <row r="1431">
          <cell r="A1431">
            <v>11284</v>
          </cell>
          <cell r="B1431" t="str">
            <v>Transducer max. 150o C</v>
          </cell>
          <cell r="C1431" t="str">
            <v>Transducer max. 150o C</v>
          </cell>
          <cell r="D1431">
            <v>9434</v>
          </cell>
          <cell r="E1431">
            <v>1268.010752688172</v>
          </cell>
        </row>
        <row r="1432">
          <cell r="A1432">
            <v>11470</v>
          </cell>
          <cell r="B1432" t="str">
            <v>Samleboks  EXT 400 komplet</v>
          </cell>
          <cell r="C1432" t="str">
            <v>Connection box EXT 400 compl.</v>
          </cell>
          <cell r="D1432">
            <v>6996</v>
          </cell>
          <cell r="E1432">
            <v>940.32258064516122</v>
          </cell>
        </row>
        <row r="1433">
          <cell r="A1433">
            <v>11899</v>
          </cell>
          <cell r="B1433" t="str">
            <v>Transducer XPS10</v>
          </cell>
          <cell r="C1433" t="str">
            <v>Transducer XPS10</v>
          </cell>
          <cell r="D1433">
            <v>5830</v>
          </cell>
          <cell r="E1433">
            <v>783.60215053763432</v>
          </cell>
        </row>
        <row r="1434">
          <cell r="A1434">
            <v>12061</v>
          </cell>
          <cell r="B1434" t="str">
            <v>Koblingselement Hadeflex LW 260</v>
          </cell>
          <cell r="C1434" t="str">
            <v>Coupling element for LW 260</v>
          </cell>
          <cell r="D1434">
            <v>225</v>
          </cell>
          <cell r="E1434">
            <v>30.241935483870964</v>
          </cell>
        </row>
        <row r="1435">
          <cell r="A1435">
            <v>12066</v>
          </cell>
          <cell r="B1435" t="str">
            <v>Pakning</v>
          </cell>
          <cell r="C1435" t="str">
            <v>Packing</v>
          </cell>
          <cell r="D1435">
            <v>40</v>
          </cell>
          <cell r="E1435">
            <v>5.376344086021505</v>
          </cell>
        </row>
        <row r="1436">
          <cell r="A1436">
            <v>12090</v>
          </cell>
          <cell r="B1436" t="str">
            <v>Lejeophæng mat. indf. 1,5 kW</v>
          </cell>
          <cell r="C1436" t="str">
            <v>Bearing suspension, material inlet 1,5KW</v>
          </cell>
          <cell r="D1436">
            <v>2699</v>
          </cell>
          <cell r="E1436">
            <v>362.76881720430106</v>
          </cell>
        </row>
        <row r="1437">
          <cell r="A1437">
            <v>12091</v>
          </cell>
          <cell r="B1437" t="str">
            <v>Stålwire galv. Ø3</v>
          </cell>
          <cell r="C1437" t="str">
            <v>Steel wire galvanized Ø3</v>
          </cell>
          <cell r="D1437">
            <v>9.5</v>
          </cell>
          <cell r="E1437">
            <v>1.2768817204301075</v>
          </cell>
        </row>
        <row r="1438">
          <cell r="A1438">
            <v>12098</v>
          </cell>
          <cell r="B1438" t="str">
            <v>Smørenipplel 1/8 RG fladhoved</v>
          </cell>
          <cell r="C1438" t="str">
            <v xml:space="preserve">grease niple </v>
          </cell>
          <cell r="D1438">
            <v>5</v>
          </cell>
          <cell r="E1438">
            <v>0.67204301075268813</v>
          </cell>
        </row>
        <row r="1439">
          <cell r="A1439">
            <v>12099</v>
          </cell>
          <cell r="B1439" t="str">
            <v>Skærm lejehus mat. indfør. 1,5 kW</v>
          </cell>
          <cell r="C1439" t="str">
            <v>Screen for bearing housing, material inlet 1,5 KW</v>
          </cell>
          <cell r="D1439">
            <v>969</v>
          </cell>
          <cell r="E1439">
            <v>130.24193548387098</v>
          </cell>
        </row>
        <row r="1440">
          <cell r="A1440">
            <v>12123</v>
          </cell>
          <cell r="B1440" t="str">
            <v>Skraber, komplet, incl. pos. 21</v>
          </cell>
          <cell r="C1440" t="str">
            <v>Scraper, complete, incl. item 21</v>
          </cell>
          <cell r="D1440">
            <v>678</v>
          </cell>
          <cell r="E1440">
            <v>91.129032258064512</v>
          </cell>
        </row>
        <row r="1441">
          <cell r="A1441">
            <v>12238</v>
          </cell>
          <cell r="B1441" t="str">
            <v>Bøsning Ø30</v>
          </cell>
          <cell r="C1441" t="str">
            <v>Bushing Ø30</v>
          </cell>
          <cell r="D1441">
            <v>265</v>
          </cell>
          <cell r="E1441">
            <v>35.618279569892472</v>
          </cell>
        </row>
        <row r="1442">
          <cell r="A1442">
            <v>12244</v>
          </cell>
          <cell r="B1442" t="str">
            <v>Trykfjeder DY28xØ5x110</v>
          </cell>
          <cell r="C1442" t="str">
            <v>Pressure spring DY28xØ5x110</v>
          </cell>
          <cell r="D1442">
            <v>101</v>
          </cell>
          <cell r="E1442">
            <v>13.5752688172043</v>
          </cell>
        </row>
        <row r="1443">
          <cell r="A1443">
            <v>12250</v>
          </cell>
          <cell r="B1443" t="str">
            <v>Motor AEG fod 1,5 kW, 1400 o/min.</v>
          </cell>
          <cell r="C1443" t="str">
            <v>Motor AEG 1,5 kW, 1400 o/min.</v>
          </cell>
          <cell r="D1443">
            <v>1333</v>
          </cell>
          <cell r="E1443">
            <v>179.16666666666666</v>
          </cell>
        </row>
        <row r="1444">
          <cell r="A1444">
            <v>12252</v>
          </cell>
          <cell r="B1444" t="str">
            <v>Nylonliste 50x5x810</v>
          </cell>
          <cell r="C1444" t="str">
            <v>Nylon list 50x5x810</v>
          </cell>
          <cell r="D1444">
            <v>117</v>
          </cell>
          <cell r="E1444">
            <v>15.725806451612902</v>
          </cell>
        </row>
        <row r="1445">
          <cell r="A1445">
            <v>12284</v>
          </cell>
          <cell r="B1445" t="str">
            <v>Sporkugleleje 6216</v>
          </cell>
          <cell r="C1445" t="str">
            <v>Step ball bearing 6216</v>
          </cell>
          <cell r="D1445">
            <v>270</v>
          </cell>
          <cell r="E1445">
            <v>36.29032258064516</v>
          </cell>
        </row>
        <row r="1446">
          <cell r="A1446">
            <v>12285</v>
          </cell>
          <cell r="B1446" t="str">
            <v>Labyrintring, Ø140x80x4</v>
          </cell>
          <cell r="C1446" t="str">
            <v>Labyrinth ring, Ø140x80x4</v>
          </cell>
          <cell r="D1446">
            <v>117</v>
          </cell>
          <cell r="E1446">
            <v>15.725806451612902</v>
          </cell>
        </row>
        <row r="1447">
          <cell r="A1447">
            <v>12292</v>
          </cell>
          <cell r="B1447" t="str">
            <v>Beslag for mikroswitch M80M</v>
          </cell>
          <cell r="C1447" t="str">
            <v>Fitting for microswitch M80M</v>
          </cell>
          <cell r="D1447">
            <v>216</v>
          </cell>
          <cell r="E1447">
            <v>29.032258064516128</v>
          </cell>
        </row>
        <row r="1448">
          <cell r="A1448">
            <v>12294</v>
          </cell>
          <cell r="B1448" t="str">
            <v>Fjederskive Ø5 DIN 127B</v>
          </cell>
          <cell r="C1448" t="str">
            <v>Spring disc Ø5 DIN 127B</v>
          </cell>
          <cell r="D1448">
            <v>0.1</v>
          </cell>
          <cell r="E1448">
            <v>1.3440860215053764E-2</v>
          </cell>
        </row>
        <row r="1449">
          <cell r="A1449">
            <v>12296</v>
          </cell>
          <cell r="B1449" t="str">
            <v>U-skrue M6x30</v>
          </cell>
          <cell r="C1449" t="str">
            <v>U‑screw M6x30</v>
          </cell>
          <cell r="D1449">
            <v>1.2</v>
          </cell>
          <cell r="E1449">
            <v>0.16129032258064516</v>
          </cell>
        </row>
        <row r="1450">
          <cell r="A1450">
            <v>12308</v>
          </cell>
          <cell r="B1450" t="str">
            <v>PT100 føler HLM 46 ø8</v>
          </cell>
          <cell r="C1450" t="str">
            <v>PT100 sensor HLM 46 ø8</v>
          </cell>
          <cell r="D1450">
            <v>2150</v>
          </cell>
          <cell r="E1450">
            <v>288.97849462365588</v>
          </cell>
        </row>
        <row r="1451">
          <cell r="A1451">
            <v>12309</v>
          </cell>
          <cell r="B1451" t="str">
            <v>Temperaturfølerlomme - kort</v>
          </cell>
          <cell r="C1451" t="str">
            <v>Temperature sensorpocket, short</v>
          </cell>
          <cell r="D1451">
            <v>249</v>
          </cell>
          <cell r="E1451">
            <v>33.467741935483872</v>
          </cell>
        </row>
        <row r="1452">
          <cell r="A1452">
            <v>12310</v>
          </cell>
          <cell r="B1452" t="str">
            <v>Temperaturfølerlomme - lang</v>
          </cell>
          <cell r="C1452" t="str">
            <v>Temperature sensorpocket, long</v>
          </cell>
          <cell r="D1452">
            <v>495</v>
          </cell>
          <cell r="E1452">
            <v>66.532258064516128</v>
          </cell>
        </row>
        <row r="1453">
          <cell r="A1453">
            <v>12311</v>
          </cell>
          <cell r="B1453" t="str">
            <v>Omløber for Bajonetføler</v>
          </cell>
          <cell r="C1453" t="str">
            <v>Union for Bajonet sensor</v>
          </cell>
          <cell r="D1453">
            <v>77</v>
          </cell>
          <cell r="E1453">
            <v>10.349462365591398</v>
          </cell>
        </row>
        <row r="1454">
          <cell r="A1454">
            <v>12312</v>
          </cell>
          <cell r="B1454" t="str">
            <v>Temperaturføler kort</v>
          </cell>
          <cell r="C1454" t="str">
            <v>Temperature sensor, short</v>
          </cell>
          <cell r="D1454">
            <v>3372</v>
          </cell>
          <cell r="E1454">
            <v>453.22580645161287</v>
          </cell>
        </row>
        <row r="1455">
          <cell r="A1455">
            <v>12313</v>
          </cell>
          <cell r="B1455" t="str">
            <v>Temperaturføler lang</v>
          </cell>
          <cell r="C1455" t="str">
            <v>Temperature sensor, long</v>
          </cell>
          <cell r="D1455">
            <v>3510</v>
          </cell>
          <cell r="E1455">
            <v>471.77419354838707</v>
          </cell>
        </row>
        <row r="1456">
          <cell r="A1456">
            <v>12315</v>
          </cell>
          <cell r="B1456" t="str">
            <v>Gevindstang M30x2x375</v>
          </cell>
          <cell r="C1456" t="str">
            <v>Threaded rod M30x2x375</v>
          </cell>
          <cell r="D1456">
            <v>1113</v>
          </cell>
          <cell r="E1456">
            <v>149.59677419354838</v>
          </cell>
        </row>
        <row r="1457">
          <cell r="A1457">
            <v>12390</v>
          </cell>
          <cell r="B1457" t="str">
            <v>Fødecylinder m/ribber.</v>
          </cell>
          <cell r="C1457" t="str">
            <v>Feed cylinder with ribs</v>
          </cell>
          <cell r="D1457">
            <v>17384</v>
          </cell>
          <cell r="E1457">
            <v>2336.5591397849462</v>
          </cell>
        </row>
        <row r="1458">
          <cell r="A1458">
            <v>12409</v>
          </cell>
          <cell r="B1458" t="str">
            <v>Fjeder pins</v>
          </cell>
          <cell r="C1458" t="str">
            <v>Spring pins</v>
          </cell>
          <cell r="D1458">
            <v>170</v>
          </cell>
          <cell r="E1458">
            <v>22.849462365591396</v>
          </cell>
        </row>
        <row r="1459">
          <cell r="A1459">
            <v>12418</v>
          </cell>
          <cell r="B1459" t="str">
            <v>Gummigardin udløb nitril H700</v>
          </cell>
          <cell r="C1459" t="str">
            <v>Rubber curtain outlet nirtill H700</v>
          </cell>
          <cell r="D1459">
            <v>1569</v>
          </cell>
          <cell r="E1459">
            <v>210.88709677419354</v>
          </cell>
        </row>
        <row r="1460">
          <cell r="A1460">
            <v>12422</v>
          </cell>
          <cell r="B1460" t="str">
            <v>Gummigardin drew nitril +100, H700</v>
          </cell>
          <cell r="C1460" t="str">
            <v>Rubber curtain drive nitril +100, H700</v>
          </cell>
          <cell r="D1460">
            <v>1961</v>
          </cell>
          <cell r="E1460">
            <v>263.57526881720429</v>
          </cell>
        </row>
        <row r="1461">
          <cell r="A1461">
            <v>12432</v>
          </cell>
          <cell r="B1461" t="str">
            <v>Tætningsring Ø12xØ28x7</v>
          </cell>
          <cell r="C1461" t="str">
            <v>Sealing ring Ø12 x Ø28 x 7</v>
          </cell>
          <cell r="D1461">
            <v>13.3</v>
          </cell>
          <cell r="E1461">
            <v>1.7876344086021505</v>
          </cell>
        </row>
        <row r="1462">
          <cell r="A1462">
            <v>12437</v>
          </cell>
          <cell r="B1462" t="str">
            <v>Cyl. Skrue M8 x 35 8.8 DIN 912</v>
          </cell>
          <cell r="C1462" t="str">
            <v>Cyl. screw M8 x 35 8.8 DIN 912</v>
          </cell>
          <cell r="D1462">
            <v>0.9</v>
          </cell>
          <cell r="E1462">
            <v>0.12096774193548386</v>
          </cell>
        </row>
        <row r="1463">
          <cell r="A1463">
            <v>12473</v>
          </cell>
          <cell r="B1463" t="str">
            <v>Skala for 1" ventil</v>
          </cell>
          <cell r="C1463" t="str">
            <v>Scale for 1" valve</v>
          </cell>
          <cell r="D1463">
            <v>27</v>
          </cell>
          <cell r="E1463">
            <v>3.629032258064516</v>
          </cell>
        </row>
        <row r="1464">
          <cell r="A1464">
            <v>12478</v>
          </cell>
          <cell r="B1464" t="str">
            <v>Skueglas type 247-4</v>
          </cell>
          <cell r="C1464" t="str">
            <v>Sight glass type 247-4</v>
          </cell>
          <cell r="D1464">
            <v>424</v>
          </cell>
          <cell r="E1464">
            <v>56.989247311827953</v>
          </cell>
        </row>
        <row r="1465">
          <cell r="A1465">
            <v>12518</v>
          </cell>
          <cell r="B1465" t="str">
            <v>Facetskive Ø12 FZB DIN 125A</v>
          </cell>
          <cell r="C1465" t="str">
            <v>Washer Ø12 FZB DIN 125A</v>
          </cell>
          <cell r="D1465">
            <v>0.5</v>
          </cell>
          <cell r="E1465">
            <v>6.7204301075268813E-2</v>
          </cell>
        </row>
        <row r="1466">
          <cell r="A1466">
            <v>12528</v>
          </cell>
          <cell r="B1466" t="str">
            <v>Brystnippel 3/4"NPT &amp; 3/4"RG 60gr KON</v>
          </cell>
          <cell r="C1466" t="str">
            <v>Nipple 3/4"NPT &amp; 3/4"RG 60gr KON</v>
          </cell>
          <cell r="D1466">
            <v>24</v>
          </cell>
          <cell r="E1466">
            <v>3.225806451612903</v>
          </cell>
        </row>
        <row r="1467">
          <cell r="A1467">
            <v>12539</v>
          </cell>
          <cell r="B1467" t="str">
            <v>6-kt. Skrue M16 x 25 DIN 933</v>
          </cell>
          <cell r="C1467" t="str">
            <v>Hex screw M16 x 25 DIN 933</v>
          </cell>
          <cell r="D1467">
            <v>3.6</v>
          </cell>
          <cell r="E1467">
            <v>0.48387096774193544</v>
          </cell>
        </row>
        <row r="1468">
          <cell r="A1468">
            <v>12539</v>
          </cell>
          <cell r="B1468" t="str">
            <v>Sekskantskrue</v>
          </cell>
          <cell r="C1468" t="str">
            <v>Hexagon bolt</v>
          </cell>
          <cell r="D1468">
            <v>3.6</v>
          </cell>
          <cell r="E1468">
            <v>0.48387096774193544</v>
          </cell>
        </row>
        <row r="1469">
          <cell r="A1469">
            <v>12540</v>
          </cell>
          <cell r="B1469" t="str">
            <v>Smørenippel 1/8"</v>
          </cell>
          <cell r="C1469" t="str">
            <v xml:space="preserve">Grease nipple 1/8" RG </v>
          </cell>
          <cell r="D1469">
            <v>19.600000000000001</v>
          </cell>
          <cell r="E1469">
            <v>2.6344086021505375</v>
          </cell>
        </row>
        <row r="1470">
          <cell r="A1470">
            <v>12560</v>
          </cell>
          <cell r="B1470" t="str">
            <v>Skala for 3/8" ventil</v>
          </cell>
          <cell r="C1470" t="str">
            <v>Scale for 3/8" valve</v>
          </cell>
          <cell r="D1470">
            <v>4.2</v>
          </cell>
          <cell r="E1470">
            <v>0.56451612903225801</v>
          </cell>
        </row>
        <row r="1471">
          <cell r="A1471">
            <v>12590</v>
          </cell>
          <cell r="B1471" t="str">
            <v xml:space="preserve">Omløber 6mm spec. fedtfordeler </v>
          </cell>
          <cell r="C1471" t="str">
            <v>Union 6mm special grease distributor</v>
          </cell>
          <cell r="D1471">
            <v>10.6</v>
          </cell>
          <cell r="E1471">
            <v>1.4247311827956988</v>
          </cell>
        </row>
        <row r="1472">
          <cell r="A1472">
            <v>12606</v>
          </cell>
          <cell r="B1472" t="str">
            <v>Tryktransmitter 100bar K Metro</v>
          </cell>
          <cell r="C1472" t="str">
            <v>Pressure transmitter 100bar K Metro</v>
          </cell>
          <cell r="D1472">
            <v>7314</v>
          </cell>
          <cell r="E1472">
            <v>983.0645161290322</v>
          </cell>
        </row>
        <row r="1473">
          <cell r="A1473">
            <v>12647</v>
          </cell>
          <cell r="B1473" t="str">
            <v>Te med 2 x Ø6 skærering/1 x Ø6 glat</v>
          </cell>
          <cell r="C1473" t="str">
            <v>Tee with 2 x Ø6 cut ring/1 x Ø6 smooth</v>
          </cell>
          <cell r="D1473">
            <v>7.7</v>
          </cell>
          <cell r="E1473">
            <v>1.0349462365591398</v>
          </cell>
        </row>
        <row r="1474">
          <cell r="A1474">
            <v>12648</v>
          </cell>
          <cell r="B1474" t="str">
            <v>O-ring</v>
          </cell>
          <cell r="C1474" t="str">
            <v>O-ring</v>
          </cell>
          <cell r="D1474">
            <v>22</v>
          </cell>
          <cell r="E1474">
            <v>2.956989247311828</v>
          </cell>
        </row>
        <row r="1475">
          <cell r="A1475">
            <v>12656</v>
          </cell>
          <cell r="B1475" t="str">
            <v>Facetskive Ø5 FZB DIN 125B</v>
          </cell>
          <cell r="C1475" t="str">
            <v>Washer Ø5 FZB DIN 125B</v>
          </cell>
          <cell r="D1475">
            <v>0.1</v>
          </cell>
          <cell r="E1475">
            <v>1.3440860215053764E-2</v>
          </cell>
        </row>
        <row r="1476">
          <cell r="A1476">
            <v>12658</v>
          </cell>
          <cell r="B1476" t="str">
            <v>Remskærm</v>
          </cell>
          <cell r="C1476" t="str">
            <v>Belt guard</v>
          </cell>
          <cell r="D1476">
            <v>3551</v>
          </cell>
          <cell r="E1476">
            <v>477.28494623655911</v>
          </cell>
        </row>
        <row r="1477">
          <cell r="A1477">
            <v>12701</v>
          </cell>
          <cell r="B1477" t="str">
            <v>Pakningssæt for bremse</v>
          </cell>
          <cell r="C1477" t="str">
            <v>Set of packings for brake</v>
          </cell>
          <cell r="D1477">
            <v>700</v>
          </cell>
          <cell r="E1477">
            <v>94.086021505376337</v>
          </cell>
        </row>
        <row r="1478">
          <cell r="A1478">
            <v>12788</v>
          </cell>
          <cell r="B1478" t="str">
            <v>Trug indføringssnegl komplet</v>
          </cell>
          <cell r="C1478" t="str">
            <v>Through for inlet screw, complete</v>
          </cell>
          <cell r="D1478">
            <v>55120</v>
          </cell>
          <cell r="E1478">
            <v>7408.6021505376339</v>
          </cell>
        </row>
        <row r="1479">
          <cell r="A1479">
            <v>12814</v>
          </cell>
          <cell r="B1479" t="str">
            <v>Spændelement TL 3020, Ø65</v>
          </cell>
          <cell r="C1479" t="str">
            <v>Taper bush TL 3020, Ø65</v>
          </cell>
          <cell r="D1479">
            <v>80</v>
          </cell>
          <cell r="E1479">
            <v>10.75268817204301</v>
          </cell>
        </row>
        <row r="1480">
          <cell r="A1480">
            <v>12818</v>
          </cell>
          <cell r="B1480" t="str">
            <v>Olieprop med pejlestok EX/FP</v>
          </cell>
          <cell r="C1480" t="str">
            <v>Oil plug with dipstick EX/FP</v>
          </cell>
          <cell r="D1480">
            <v>222</v>
          </cell>
          <cell r="E1480">
            <v>29.838709677419352</v>
          </cell>
        </row>
        <row r="1481">
          <cell r="A1481">
            <v>12877</v>
          </cell>
          <cell r="B1481" t="str">
            <v>Kobling Omega E70 Udboring Ø80/Ø64</v>
          </cell>
          <cell r="C1481" t="str">
            <v>Coupling Omega E70 drilled out Ø80/Ø64</v>
          </cell>
          <cell r="D1481">
            <v>16097</v>
          </cell>
          <cell r="E1481">
            <v>2163.5752688172042</v>
          </cell>
        </row>
        <row r="1482">
          <cell r="A1482">
            <v>12887</v>
          </cell>
          <cell r="B1482" t="str">
            <v>Facetskive Ø6 A2 DIN 125A</v>
          </cell>
          <cell r="C1482" t="str">
            <v>Washer Ø6 A2 DIN 125A</v>
          </cell>
          <cell r="D1482">
            <v>0.2</v>
          </cell>
          <cell r="E1482">
            <v>2.6881720430107527E-2</v>
          </cell>
        </row>
        <row r="1483">
          <cell r="A1483">
            <v>12888</v>
          </cell>
          <cell r="B1483" t="str">
            <v>Facetskive Ø10 A2 DIN125A</v>
          </cell>
          <cell r="C1483" t="str">
            <v>Washer Ø10 A2 DIN125A</v>
          </cell>
          <cell r="D1483">
            <v>0.5</v>
          </cell>
          <cell r="E1483">
            <v>6.7204301075268813E-2</v>
          </cell>
        </row>
        <row r="1484">
          <cell r="A1484">
            <v>12889</v>
          </cell>
          <cell r="B1484" t="str">
            <v>6-kt. Skrue M8 x 12 A2 DIN 933</v>
          </cell>
          <cell r="C1484" t="str">
            <v>Hex screw M8 x 12 A2 DIN 933</v>
          </cell>
          <cell r="D1484">
            <v>1.5</v>
          </cell>
          <cell r="E1484">
            <v>0.20161290322580644</v>
          </cell>
        </row>
        <row r="1485">
          <cell r="A1485">
            <v>12893</v>
          </cell>
          <cell r="B1485" t="str">
            <v>Stempler</v>
          </cell>
          <cell r="C1485" t="str">
            <v>Pistons</v>
          </cell>
          <cell r="D1485">
            <v>869</v>
          </cell>
          <cell r="E1485">
            <v>116.8010752688172</v>
          </cell>
        </row>
        <row r="1486">
          <cell r="A1486">
            <v>12968</v>
          </cell>
          <cell r="B1486" t="str">
            <v>Doseringssnegl komplet uden motor M30</v>
          </cell>
          <cell r="C1486" t="str">
            <v>Feed screw compl. Without motor PM30</v>
          </cell>
          <cell r="D1486">
            <v>80560</v>
          </cell>
          <cell r="E1486">
            <v>10827.956989247312</v>
          </cell>
        </row>
        <row r="1487">
          <cell r="A1487">
            <v>12975</v>
          </cell>
          <cell r="B1487" t="str">
            <v>Pillekammer B470 PM30</v>
          </cell>
          <cell r="C1487" t="str">
            <v>Pellet chamber B470 PM30</v>
          </cell>
          <cell r="D1487">
            <v>72100</v>
          </cell>
          <cell r="E1487">
            <v>9690.8602150537627</v>
          </cell>
        </row>
        <row r="1488">
          <cell r="A1488">
            <v>12986</v>
          </cell>
          <cell r="B1488" t="str">
            <v>Lem for M12 kniv</v>
          </cell>
          <cell r="C1488" t="str">
            <v>Hatch for M12 knife</v>
          </cell>
          <cell r="D1488">
            <v>3533</v>
          </cell>
          <cell r="E1488">
            <v>474.86559139784941</v>
          </cell>
        </row>
        <row r="1489">
          <cell r="A1489">
            <v>12988</v>
          </cell>
          <cell r="B1489" t="str">
            <v>Skive M6x12</v>
          </cell>
          <cell r="C1489" t="str">
            <v xml:space="preserve">WasherØ15/Ø6,5x2 MM </v>
          </cell>
          <cell r="D1489">
            <v>1.4</v>
          </cell>
          <cell r="E1489">
            <v>0.18817204301075266</v>
          </cell>
        </row>
        <row r="1490">
          <cell r="A1490">
            <v>12989</v>
          </cell>
          <cell r="B1490" t="str">
            <v>Cyl. skrue M16 x 30 8.8 DIN 912</v>
          </cell>
          <cell r="C1490" t="str">
            <v>Cyl. screw M16 x 30 8.8 DIN 912</v>
          </cell>
          <cell r="D1490">
            <v>3.7</v>
          </cell>
          <cell r="E1490">
            <v>0.49731182795698925</v>
          </cell>
        </row>
        <row r="1491">
          <cell r="A1491">
            <v>13001</v>
          </cell>
          <cell r="B1491" t="str">
            <v>6-kt skrue M20x50 DIN933</v>
          </cell>
          <cell r="C1491" t="str">
            <v>Hex screw M20 x 50   DIN 933</v>
          </cell>
          <cell r="D1491">
            <v>8.6999999999999993</v>
          </cell>
          <cell r="E1491">
            <v>1.1693548387096773</v>
          </cell>
        </row>
        <row r="1492">
          <cell r="A1492">
            <v>13011</v>
          </cell>
          <cell r="B1492" t="str">
            <v>6-kt. Skrue M6 x 30 DIN 933</v>
          </cell>
          <cell r="C1492" t="str">
            <v>Hex screw M6 x 30 DIN 933</v>
          </cell>
          <cell r="D1492">
            <v>0.4</v>
          </cell>
          <cell r="E1492">
            <v>5.3763440860215055E-2</v>
          </cell>
        </row>
        <row r="1493">
          <cell r="A1493">
            <v>13014</v>
          </cell>
          <cell r="B1493" t="str">
            <v>Knivblad T6 B120 PM30</v>
          </cell>
          <cell r="C1493" t="str">
            <v>Knife blade T6 B120 PM30</v>
          </cell>
          <cell r="D1493">
            <v>605</v>
          </cell>
          <cell r="E1493">
            <v>81.317204301075265</v>
          </cell>
        </row>
        <row r="1494">
          <cell r="A1494">
            <v>13055</v>
          </cell>
          <cell r="B1494" t="str">
            <v>6-kt. Skrue M6 x 12 A2 DIN 932</v>
          </cell>
          <cell r="C1494" t="str">
            <v>Hex screw M6 x 12 A2 DIN 932</v>
          </cell>
          <cell r="D1494">
            <v>0.5</v>
          </cell>
          <cell r="E1494">
            <v>6.7204301075268813E-2</v>
          </cell>
        </row>
        <row r="1495">
          <cell r="A1495">
            <v>13122</v>
          </cell>
          <cell r="B1495" t="str">
            <v>Cyl. Skrue M10 x 20 A2 DIN912</v>
          </cell>
          <cell r="C1495" t="str">
            <v>Cyl. Screw M10 x 20 A2 DIN912</v>
          </cell>
          <cell r="D1495">
            <v>2.4</v>
          </cell>
          <cell r="E1495">
            <v>0.32258064516129031</v>
          </cell>
        </row>
        <row r="1496">
          <cell r="A1496">
            <v>13189</v>
          </cell>
          <cell r="B1496" t="str">
            <v>Gummigardin drev silicone +100, H700</v>
          </cell>
          <cell r="C1496" t="str">
            <v>Rubber curtain drive silicone +100, H700</v>
          </cell>
          <cell r="D1496">
            <v>3869</v>
          </cell>
          <cell r="E1496">
            <v>520.02688172043008</v>
          </cell>
        </row>
        <row r="1497">
          <cell r="A1497">
            <v>13198</v>
          </cell>
          <cell r="B1497" t="str">
            <v>Afstryger f. stempelstang</v>
          </cell>
          <cell r="C1497" t="str">
            <v>Scraper for piston rod</v>
          </cell>
          <cell r="D1497">
            <v>20</v>
          </cell>
          <cell r="E1497">
            <v>2.6881720430107525</v>
          </cell>
        </row>
        <row r="1498">
          <cell r="A1498">
            <v>13275</v>
          </cell>
          <cell r="B1498" t="str">
            <v>Bremsekaliber, renoveret</v>
          </cell>
          <cell r="C1498" t="str">
            <v>Hydraulic caliber, renovated</v>
          </cell>
          <cell r="D1498">
            <v>2194</v>
          </cell>
          <cell r="E1498">
            <v>294.89247311827955</v>
          </cell>
        </row>
        <row r="1499">
          <cell r="A1499">
            <v>13286</v>
          </cell>
          <cell r="B1499" t="str">
            <v>Spændeplade for spænderingsophæng M700</v>
          </cell>
          <cell r="C1499" t="str">
            <v>Tension plate for knifeblade for tightening ring suspension M700</v>
          </cell>
          <cell r="D1499">
            <v>495</v>
          </cell>
          <cell r="E1499">
            <v>66.532258064516128</v>
          </cell>
        </row>
        <row r="1500">
          <cell r="A1500">
            <v>13301</v>
          </cell>
          <cell r="B1500" t="str">
            <v>Skive Ø12 A2 DIN 9021 B</v>
          </cell>
          <cell r="C1500" t="str">
            <v>Disc Ø12 A2 DIN 9021 B</v>
          </cell>
          <cell r="D1500">
            <v>3.1</v>
          </cell>
          <cell r="E1500">
            <v>0.41666666666666663</v>
          </cell>
        </row>
        <row r="1501">
          <cell r="A1501">
            <v>13326</v>
          </cell>
          <cell r="B1501" t="str">
            <v>Afstandsplade</v>
          </cell>
          <cell r="C1501" t="str">
            <v>Distance plate</v>
          </cell>
          <cell r="D1501">
            <v>159</v>
          </cell>
          <cell r="E1501">
            <v>21.370967741935484</v>
          </cell>
        </row>
        <row r="1502">
          <cell r="A1502">
            <v>13355</v>
          </cell>
          <cell r="B1502" t="str">
            <v>Møtrik M30 x 2</v>
          </cell>
          <cell r="C1502" t="str">
            <v>Nut M30 x 2</v>
          </cell>
          <cell r="D1502">
            <v>17</v>
          </cell>
          <cell r="E1502">
            <v>2.2849462365591395</v>
          </cell>
        </row>
        <row r="1503">
          <cell r="A1503">
            <v>13443</v>
          </cell>
          <cell r="B1503" t="str">
            <v>Hydraulikcylinder L=235</v>
          </cell>
          <cell r="C1503" t="str">
            <v>Hydraulic cylinder L=235</v>
          </cell>
          <cell r="D1503">
            <v>3758</v>
          </cell>
          <cell r="E1503">
            <v>505.10752688172039</v>
          </cell>
        </row>
        <row r="1504">
          <cell r="A1504">
            <v>13444</v>
          </cell>
          <cell r="B1504" t="str">
            <v>U-skrue M16 x 60</v>
          </cell>
          <cell r="C1504" t="str">
            <v>Counter sunk screw M16 x 60</v>
          </cell>
          <cell r="D1504">
            <v>9.5</v>
          </cell>
          <cell r="E1504">
            <v>1.2768817204301075</v>
          </cell>
        </row>
        <row r="1505">
          <cell r="A1505">
            <v>13467</v>
          </cell>
          <cell r="B1505" t="str">
            <v>Hovedaksel M30  Renoveret</v>
          </cell>
          <cell r="C1505" t="str">
            <v>Mainshaft M30 Renovated</v>
          </cell>
          <cell r="D1505">
            <v>108650</v>
          </cell>
          <cell r="E1505">
            <v>14603.494623655914</v>
          </cell>
        </row>
        <row r="1506">
          <cell r="A1506">
            <v>13497</v>
          </cell>
          <cell r="B1506" t="str">
            <v>Skive for olietætning ved afkast</v>
          </cell>
          <cell r="C1506" t="str">
            <v>Disc for oil seal at discharge</v>
          </cell>
          <cell r="D1506">
            <v>421</v>
          </cell>
          <cell r="E1506">
            <v>56.586021505376344</v>
          </cell>
        </row>
        <row r="1507">
          <cell r="A1507">
            <v>13502</v>
          </cell>
          <cell r="B1507" t="str">
            <v>Koblingshus gear/dok EX</v>
          </cell>
          <cell r="C1507" t="str">
            <v>Coupling housing for gear/dok EX</v>
          </cell>
          <cell r="D1507">
            <v>35510</v>
          </cell>
          <cell r="E1507">
            <v>4772.8494623655915</v>
          </cell>
        </row>
        <row r="1508">
          <cell r="A1508">
            <v>13511</v>
          </cell>
          <cell r="B1508" t="str">
            <v xml:space="preserve">Slidring med afkaster  EX/FP </v>
          </cell>
          <cell r="C1508" t="str">
            <v>Wear ring with ejectordisc</v>
          </cell>
          <cell r="D1508">
            <v>3560</v>
          </cell>
          <cell r="E1508">
            <v>478.49462365591393</v>
          </cell>
        </row>
        <row r="1509">
          <cell r="A1509">
            <v>13522</v>
          </cell>
          <cell r="B1509" t="str">
            <v>Slidring</v>
          </cell>
          <cell r="C1509" t="str">
            <v>Wear ring for O - screww</v>
          </cell>
          <cell r="D1509">
            <v>1855</v>
          </cell>
          <cell r="E1509">
            <v>249.3279569892473</v>
          </cell>
        </row>
        <row r="1510">
          <cell r="A1510">
            <v>13630</v>
          </cell>
          <cell r="B1510" t="str">
            <v>Banjobolt 3/8"RG (krop)</v>
          </cell>
          <cell r="C1510" t="str">
            <v>Banjo screw 3/8"RG (body)</v>
          </cell>
          <cell r="D1510">
            <v>22</v>
          </cell>
          <cell r="E1510">
            <v>2.956989247311828</v>
          </cell>
        </row>
        <row r="1511">
          <cell r="A1511">
            <v>13631</v>
          </cell>
          <cell r="B1511" t="str">
            <v>Banjobolt 3/8"RG (bolt)</v>
          </cell>
          <cell r="C1511" t="str">
            <v>Banjo screw 3/8"RG (bolt)</v>
          </cell>
          <cell r="D1511">
            <v>29</v>
          </cell>
          <cell r="E1511">
            <v>3.897849462365591</v>
          </cell>
        </row>
        <row r="1512">
          <cell r="A1512">
            <v>13686</v>
          </cell>
          <cell r="B1512" t="str">
            <v>Spindel for kontraventil EX</v>
          </cell>
          <cell r="C1512" t="str">
            <v>Stem for inlet valve EX</v>
          </cell>
          <cell r="D1512">
            <v>212</v>
          </cell>
          <cell r="E1512">
            <v>28.494623655913976</v>
          </cell>
        </row>
        <row r="1513">
          <cell r="A1513">
            <v>13687</v>
          </cell>
          <cell r="B1513" t="str">
            <v>Hulskive for kontraventil EX</v>
          </cell>
          <cell r="C1513" t="str">
            <v>Disc for check valve EX</v>
          </cell>
          <cell r="D1513">
            <v>143</v>
          </cell>
          <cell r="E1513">
            <v>19.22043010752688</v>
          </cell>
        </row>
        <row r="1514">
          <cell r="A1514">
            <v>13688</v>
          </cell>
          <cell r="B1514" t="str">
            <v>Trykfjeder ø22,0x1,9 L=26mm</v>
          </cell>
          <cell r="C1514" t="str">
            <v>Pressure spring ø22,0x1,9 L=26mm</v>
          </cell>
          <cell r="D1514">
            <v>48</v>
          </cell>
          <cell r="E1514">
            <v>6.4516129032258061</v>
          </cell>
        </row>
        <row r="1515">
          <cell r="A1515">
            <v>13690</v>
          </cell>
          <cell r="B1515" t="str">
            <v xml:space="preserve">Ventil Kontravent. for foring  </v>
          </cell>
          <cell r="C1515" t="str">
            <v>Check valve for sleeve</v>
          </cell>
          <cell r="D1515">
            <v>1290</v>
          </cell>
          <cell r="E1515">
            <v>173.38709677419354</v>
          </cell>
        </row>
        <row r="1516">
          <cell r="A1516">
            <v>13964</v>
          </cell>
          <cell r="B1516" t="str">
            <v xml:space="preserve">Slidring v. kobl.lejearr  EX/FP </v>
          </cell>
          <cell r="C1516" t="str">
            <v>Wear ring</v>
          </cell>
          <cell r="D1516">
            <v>3510</v>
          </cell>
          <cell r="E1516">
            <v>471.77419354838707</v>
          </cell>
        </row>
        <row r="1517">
          <cell r="A1517">
            <v>13967</v>
          </cell>
          <cell r="B1517" t="str">
            <v>Rørstift Ø16 x 90</v>
          </cell>
          <cell r="C1517" t="str">
            <v>Tub pin Ø16 x 90</v>
          </cell>
          <cell r="D1517">
            <v>22</v>
          </cell>
          <cell r="E1517">
            <v>2.956989247311828</v>
          </cell>
        </row>
        <row r="1518">
          <cell r="A1518">
            <v>13969</v>
          </cell>
          <cell r="B1518" t="str">
            <v>Stift Ø16 x 40 spec.</v>
          </cell>
          <cell r="C1518" t="str">
            <v>Pin Ø16 x 40 spec.</v>
          </cell>
          <cell r="D1518">
            <v>20</v>
          </cell>
          <cell r="E1518">
            <v>2.6881720430107525</v>
          </cell>
        </row>
        <row r="1519">
          <cell r="A1519">
            <v>13979</v>
          </cell>
          <cell r="B1519" t="str">
            <v>Understøtn. f/koblingshus</v>
          </cell>
          <cell r="C1519" t="str">
            <v>Support for coupling housing</v>
          </cell>
          <cell r="D1519">
            <v>4932</v>
          </cell>
          <cell r="E1519">
            <v>662.90322580645159</v>
          </cell>
        </row>
        <row r="1520">
          <cell r="A1520">
            <v>13985</v>
          </cell>
          <cell r="B1520" t="str">
            <v>Dæksel f/koblingshus</v>
          </cell>
          <cell r="C1520" t="str">
            <v>Cover f. coupling housing</v>
          </cell>
          <cell r="D1520">
            <v>1488</v>
          </cell>
          <cell r="E1520">
            <v>200</v>
          </cell>
        </row>
        <row r="1521">
          <cell r="A1521">
            <v>13992</v>
          </cell>
          <cell r="B1521" t="str">
            <v>Dæksel f/dok v/olieudløb</v>
          </cell>
          <cell r="C1521" t="str">
            <v>Cover rear, for mainshaft FEX</v>
          </cell>
          <cell r="D1521">
            <v>196</v>
          </cell>
          <cell r="E1521">
            <v>26.344086021505376</v>
          </cell>
        </row>
        <row r="1522">
          <cell r="A1522">
            <v>13995</v>
          </cell>
          <cell r="B1522" t="str">
            <v>Beslag for dok</v>
          </cell>
          <cell r="C1522" t="str">
            <v>Fitting for housing</v>
          </cell>
          <cell r="D1522">
            <v>353</v>
          </cell>
          <cell r="E1522">
            <v>47.446236559139784</v>
          </cell>
        </row>
        <row r="1523">
          <cell r="A1523">
            <v>15012</v>
          </cell>
          <cell r="B1523" t="str">
            <v>Cyl. Skrue M16 x 80  8.8</v>
          </cell>
          <cell r="C1523" t="str">
            <v>Cyl. Screw M16 x 80  8.8</v>
          </cell>
          <cell r="D1523">
            <v>7.4</v>
          </cell>
          <cell r="E1523">
            <v>0.9946236559139785</v>
          </cell>
        </row>
        <row r="1524">
          <cell r="A1524">
            <v>15014</v>
          </cell>
          <cell r="B1524" t="str">
            <v>Stag indvendig for hovedaksel u/møtr. EX9xx</v>
          </cell>
          <cell r="C1524" t="str">
            <v>Stay, inner for mainshaft without nut EX9xx</v>
          </cell>
          <cell r="D1524">
            <v>1885</v>
          </cell>
          <cell r="E1524">
            <v>253.36021505376343</v>
          </cell>
        </row>
        <row r="1525">
          <cell r="A1525">
            <v>15016</v>
          </cell>
          <cell r="B1525" t="str">
            <v>Cyl. Skrue M12 x 90</v>
          </cell>
          <cell r="C1525" t="str">
            <v>Cyl. Screw M12 x 90</v>
          </cell>
          <cell r="D1525">
            <v>17</v>
          </cell>
          <cell r="E1525">
            <v>2.2849462365591395</v>
          </cell>
        </row>
        <row r="1526">
          <cell r="A1526">
            <v>15021</v>
          </cell>
          <cell r="B1526" t="str">
            <v>Leje Sfærisk rulleleje 22230CC/W33</v>
          </cell>
          <cell r="C1526" t="str">
            <v>Bearing - spherical rollerbearing 22230CC/W33</v>
          </cell>
          <cell r="D1526">
            <v>2462</v>
          </cell>
          <cell r="E1526">
            <v>330.91397849462362</v>
          </cell>
        </row>
        <row r="1527">
          <cell r="A1527">
            <v>15024</v>
          </cell>
          <cell r="B1527" t="str">
            <v>O-ring Ø139,3 x Ø5,70 Viton</v>
          </cell>
          <cell r="C1527" t="str">
            <v>O-ring Ø139,3 x Ø5,70 Viton</v>
          </cell>
          <cell r="D1527">
            <v>23</v>
          </cell>
          <cell r="E1527">
            <v>3.0913978494623655</v>
          </cell>
        </row>
        <row r="1528">
          <cell r="A1528">
            <v>15026</v>
          </cell>
          <cell r="B1528" t="str">
            <v>6-kt. Skrue M12 x 50 FZB DIN 931</v>
          </cell>
          <cell r="C1528" t="str">
            <v>Hex screw M12 x 50 FZB DIN 931</v>
          </cell>
          <cell r="D1528">
            <v>2.4</v>
          </cell>
          <cell r="E1528">
            <v>0.32258064516129031</v>
          </cell>
        </row>
        <row r="1529">
          <cell r="A1529">
            <v>15060</v>
          </cell>
          <cell r="B1529" t="str">
            <v>Rørstift Ø6 x 30</v>
          </cell>
          <cell r="C1529" t="str">
            <v>Tub. pin Ø6 x 30</v>
          </cell>
          <cell r="D1529">
            <v>5.3</v>
          </cell>
          <cell r="E1529">
            <v>0.71236559139784938</v>
          </cell>
        </row>
        <row r="1530">
          <cell r="A1530">
            <v>15062</v>
          </cell>
          <cell r="B1530" t="str">
            <v>Bolt, M30x150 8.8</v>
          </cell>
          <cell r="C1530" t="str">
            <v>Bolt M30x175 8,8</v>
          </cell>
          <cell r="D1530">
            <v>70</v>
          </cell>
          <cell r="E1530">
            <v>9.408602150537634</v>
          </cell>
        </row>
        <row r="1531">
          <cell r="A1531">
            <v>15064</v>
          </cell>
          <cell r="B1531" t="str">
            <v>Bolt, M30x175  8.8</v>
          </cell>
          <cell r="C1531" t="str">
            <v>Bolt M30x175 8,9</v>
          </cell>
          <cell r="D1531">
            <v>81</v>
          </cell>
          <cell r="E1531">
            <v>10.887096774193548</v>
          </cell>
        </row>
        <row r="1532">
          <cell r="A1532">
            <v>15065</v>
          </cell>
          <cell r="B1532" t="str">
            <v>Filtring 6 x 10 x 155, Ø40</v>
          </cell>
          <cell r="C1532" t="str">
            <v>Felt ring 6 x 10 x 155, Ø40</v>
          </cell>
          <cell r="D1532">
            <v>5.3</v>
          </cell>
          <cell r="E1532">
            <v>0.71236559139784938</v>
          </cell>
        </row>
        <row r="1533">
          <cell r="A1533">
            <v>15098</v>
          </cell>
          <cell r="B1533" t="str">
            <v>Snegl 0-sektion, kompl. FEX34</v>
          </cell>
          <cell r="C1533" t="str">
            <v>Screw 0-section, compl. incl. items 9 FEX34</v>
          </cell>
          <cell r="D1533">
            <v>13939</v>
          </cell>
          <cell r="E1533">
            <v>1873.5215053763441</v>
          </cell>
        </row>
        <row r="1534">
          <cell r="A1534">
            <v>15106</v>
          </cell>
          <cell r="B1534" t="str">
            <v>Spændeplade FEX34</v>
          </cell>
          <cell r="C1534" t="str">
            <v>Tension flange FEX34</v>
          </cell>
          <cell r="D1534">
            <v>13356</v>
          </cell>
          <cell r="E1534">
            <v>1795.1612903225805</v>
          </cell>
        </row>
        <row r="1535">
          <cell r="A1535">
            <v>15108</v>
          </cell>
          <cell r="B1535" t="str">
            <v>Ring for pakdåseophæng, kompl., incl. pos. 72 - 74</v>
          </cell>
          <cell r="C1535" t="str">
            <v>Interm. flange, compl. incl. item 72 and 74</v>
          </cell>
          <cell r="D1535">
            <v>9508</v>
          </cell>
          <cell r="E1535">
            <v>1277.9569892473119</v>
          </cell>
        </row>
        <row r="1536">
          <cell r="A1536">
            <v>15115</v>
          </cell>
          <cell r="B1536" t="str">
            <v xml:space="preserve">Bæreskinne l = 1918  </v>
          </cell>
          <cell r="C1536" t="str">
            <v>Guide rail 1&amp;2 L1918 MM</v>
          </cell>
          <cell r="D1536">
            <v>1265</v>
          </cell>
          <cell r="E1536">
            <v>170.02688172043011</v>
          </cell>
        </row>
        <row r="1537">
          <cell r="A1537">
            <v>15116</v>
          </cell>
          <cell r="B1537" t="str">
            <v xml:space="preserve">Bæreskinne l = 503    </v>
          </cell>
          <cell r="C1537" t="str">
            <v>Guide rail 1&amp;2 L503 MM</v>
          </cell>
          <cell r="D1537">
            <v>750</v>
          </cell>
          <cell r="E1537">
            <v>100.80645161290322</v>
          </cell>
        </row>
        <row r="1538">
          <cell r="A1538">
            <v>15147</v>
          </cell>
          <cell r="B1538" t="str">
            <v>Strammespindel, lang</v>
          </cell>
          <cell r="C1538" t="str">
            <v>Tension Spindel, Long</v>
          </cell>
          <cell r="D1538">
            <v>34</v>
          </cell>
          <cell r="E1538">
            <v>4.5698924731182791</v>
          </cell>
        </row>
        <row r="1539">
          <cell r="A1539">
            <v>15156</v>
          </cell>
          <cell r="B1539" t="str">
            <v>Tallerkenfjeder 268 x 181 x 2,5</v>
          </cell>
          <cell r="C1539" t="str">
            <v>Spring washer 268 x 181 x 2,5</v>
          </cell>
          <cell r="D1539">
            <v>853</v>
          </cell>
          <cell r="E1539">
            <v>114.65053763440859</v>
          </cell>
        </row>
        <row r="1540">
          <cell r="A1540">
            <v>15161</v>
          </cell>
          <cell r="B1540" t="str">
            <v>Gliderplade</v>
          </cell>
          <cell r="C1540" t="str">
            <v>Slide flange</v>
          </cell>
          <cell r="D1540">
            <v>5724</v>
          </cell>
          <cell r="E1540">
            <v>769.35483870967732</v>
          </cell>
        </row>
        <row r="1541">
          <cell r="A1541">
            <v>15223</v>
          </cell>
          <cell r="B1541" t="str">
            <v>Kileremskive SPC8 Ø1250 TL 5050 T6</v>
          </cell>
          <cell r="C1541" t="str">
            <v>V-belt pulley SPC8 Ø1250 TL 5050 T6</v>
          </cell>
          <cell r="D1541">
            <v>13674</v>
          </cell>
          <cell r="E1541">
            <v>1837.9032258064515</v>
          </cell>
        </row>
        <row r="1542">
          <cell r="A1542">
            <v>15243</v>
          </cell>
          <cell r="B1542" t="str">
            <v>Feder AB 32 x 18 x 160</v>
          </cell>
          <cell r="C1542" t="str">
            <v>Parallel key AB 32 x 18 x 16</v>
          </cell>
          <cell r="D1542">
            <v>53</v>
          </cell>
          <cell r="E1542">
            <v>7.1236559139784941</v>
          </cell>
        </row>
        <row r="1543">
          <cell r="A1543">
            <v>15248</v>
          </cell>
          <cell r="B1543" t="str">
            <v>Akseltap kobl./R. ø150 EX/FEX</v>
          </cell>
          <cell r="C1543" t="str">
            <v>Drive Shaft Complete EX/FEX</v>
          </cell>
          <cell r="D1543">
            <v>26431</v>
          </cell>
          <cell r="E1543">
            <v>3552.5537634408602</v>
          </cell>
        </row>
        <row r="1544">
          <cell r="A1544">
            <v>15254</v>
          </cell>
          <cell r="B1544" t="str">
            <v>Spændeelement TL5050 Ø125</v>
          </cell>
          <cell r="C1544" t="str">
            <v>Shaft adapter, taper-lock TL5050 Ø125</v>
          </cell>
          <cell r="D1544">
            <v>451</v>
          </cell>
          <cell r="E1544">
            <v>60.618279569892472</v>
          </cell>
        </row>
        <row r="1545">
          <cell r="A1545">
            <v>15261</v>
          </cell>
          <cell r="B1545" t="str">
            <v>Beskytt. skive for pakdåse</v>
          </cell>
          <cell r="C1545" t="str">
            <v>Protection disc for stuffing box</v>
          </cell>
          <cell r="D1545">
            <v>710</v>
          </cell>
          <cell r="E1545">
            <v>95.430107526881713</v>
          </cell>
        </row>
        <row r="1546">
          <cell r="A1546">
            <v>15272</v>
          </cell>
          <cell r="B1546" t="str">
            <v>Trykmåler m. forskr. &amp; transmitter</v>
          </cell>
          <cell r="C1546" t="str">
            <v>Pressure gauge with screw</v>
          </cell>
          <cell r="D1546">
            <v>10745</v>
          </cell>
          <cell r="E1546">
            <v>1444.2204301075269</v>
          </cell>
        </row>
        <row r="1547">
          <cell r="A1547">
            <v>15291</v>
          </cell>
          <cell r="B1547" t="str">
            <v>Stag for dok/mellemflange FEX34</v>
          </cell>
          <cell r="C1547" t="str">
            <v>Stay for bearing housing FEX34</v>
          </cell>
          <cell r="D1547">
            <v>869</v>
          </cell>
          <cell r="E1547">
            <v>116.8010752688172</v>
          </cell>
        </row>
        <row r="1548">
          <cell r="A1548">
            <v>15308</v>
          </cell>
          <cell r="B1548" t="str">
            <v>Aksel Ø20</v>
          </cell>
          <cell r="C1548" t="str">
            <v>Shaft ø20</v>
          </cell>
          <cell r="D1548">
            <v>90</v>
          </cell>
          <cell r="E1548">
            <v>12.096774193548386</v>
          </cell>
        </row>
        <row r="1549">
          <cell r="A1549">
            <v>15317</v>
          </cell>
          <cell r="B1549" t="str">
            <v>Dæksel for lejehus i dok.</v>
          </cell>
          <cell r="C1549" t="str">
            <v>Cover f. bearing housing</v>
          </cell>
          <cell r="D1549">
            <v>902</v>
          </cell>
          <cell r="E1549">
            <v>121.23655913978494</v>
          </cell>
        </row>
        <row r="1550">
          <cell r="A1550">
            <v>15319</v>
          </cell>
          <cell r="B1550" t="str">
            <v>Dæksel m/oliepind f/dok</v>
          </cell>
          <cell r="C1550" t="str">
            <v xml:space="preserve">Cover f. oilstick </v>
          </cell>
          <cell r="D1550">
            <v>231</v>
          </cell>
          <cell r="E1550">
            <v>31.048387096774192</v>
          </cell>
        </row>
        <row r="1551">
          <cell r="A1551">
            <v>15325</v>
          </cell>
          <cell r="B1551" t="str">
            <v>Pakning f. materialeafgang FEX34</v>
          </cell>
          <cell r="C1551" t="str">
            <v>Jointing for mat. Discharge FEX34</v>
          </cell>
          <cell r="D1551">
            <v>2586</v>
          </cell>
          <cell r="E1551">
            <v>347.58064516129031</v>
          </cell>
        </row>
        <row r="1552">
          <cell r="A1552">
            <v>15337</v>
          </cell>
          <cell r="B1552" t="str">
            <v>Taperlock f. remtræk drev aksel TL3535 Ø70</v>
          </cell>
          <cell r="C1552" t="str">
            <v>Taperlock f. belt drive motor shaft TL3535 Ø70</v>
          </cell>
          <cell r="D1552">
            <v>154</v>
          </cell>
          <cell r="E1552">
            <v>20.698924731182796</v>
          </cell>
        </row>
        <row r="1553">
          <cell r="A1553">
            <v>15347</v>
          </cell>
          <cell r="B1553" t="str">
            <v>Kontraventil f. olie/alt. damp, kompl. inkl. pos. (1) - (10) iflg. s. D 17.0</v>
          </cell>
          <cell r="C1553" t="str">
            <v>Check valve f. oil/alt. steam, compl. incl. items (1)-(10) according to p. D 17.0</v>
          </cell>
          <cell r="D1553">
            <v>2025</v>
          </cell>
          <cell r="E1553">
            <v>272.17741935483872</v>
          </cell>
        </row>
        <row r="1554">
          <cell r="A1554">
            <v>15360</v>
          </cell>
          <cell r="B1554" t="str">
            <v>Fjeder Ø26</v>
          </cell>
          <cell r="C1554" t="str">
            <v>Spring Ø26</v>
          </cell>
          <cell r="D1554">
            <v>29</v>
          </cell>
          <cell r="E1554">
            <v>3.897849462365591</v>
          </cell>
        </row>
        <row r="1555">
          <cell r="A1555">
            <v>15361</v>
          </cell>
          <cell r="B1555" t="str">
            <v>Justerbar fod M24 x 140 100 x 99</v>
          </cell>
          <cell r="C1555" t="str">
            <v>Adjustable foot M24 x 140 100 x 99</v>
          </cell>
          <cell r="D1555">
            <v>647</v>
          </cell>
          <cell r="E1555">
            <v>86.962365591397841</v>
          </cell>
        </row>
        <row r="1556">
          <cell r="A1556">
            <v>15362</v>
          </cell>
          <cell r="B1556" t="str">
            <v>Ventilspindel</v>
          </cell>
          <cell r="C1556" t="str">
            <v>Valve stem</v>
          </cell>
          <cell r="D1556">
            <v>493</v>
          </cell>
          <cell r="E1556">
            <v>66.263440860215056</v>
          </cell>
        </row>
        <row r="1557">
          <cell r="A1557">
            <v>15369</v>
          </cell>
          <cell r="B1557" t="str">
            <v>Fjedertallerken</v>
          </cell>
          <cell r="C1557" t="str">
            <v>Spring support</v>
          </cell>
          <cell r="D1557">
            <v>191</v>
          </cell>
          <cell r="E1557">
            <v>25.672043010752688</v>
          </cell>
        </row>
        <row r="1558">
          <cell r="A1558">
            <v>15375</v>
          </cell>
          <cell r="B1558" t="str">
            <v>Aksel Ø16</v>
          </cell>
          <cell r="C1558" t="str">
            <v>Shaft Ø16 x 300</v>
          </cell>
          <cell r="D1558">
            <v>207</v>
          </cell>
          <cell r="E1558">
            <v>27.822580645161288</v>
          </cell>
        </row>
        <row r="1559">
          <cell r="A1559">
            <v>15379</v>
          </cell>
          <cell r="B1559" t="str">
            <v>Pillekammer, venstre hængslet, komplet, incl. pos. 18-35</v>
          </cell>
          <cell r="C1559" t="str">
            <v>Pellet chamber Left</v>
          </cell>
          <cell r="D1559">
            <v>45050</v>
          </cell>
          <cell r="E1559">
            <v>6055.1075268817203</v>
          </cell>
        </row>
        <row r="1560">
          <cell r="A1560">
            <v>15392</v>
          </cell>
          <cell r="B1560" t="str">
            <v>Arm for fjederelement L275 1 1/4"x19</v>
          </cell>
          <cell r="C1560" t="str">
            <v>Arm for spring element</v>
          </cell>
          <cell r="D1560">
            <v>1325</v>
          </cell>
          <cell r="E1560">
            <v>178.09139784946237</v>
          </cell>
        </row>
        <row r="1561">
          <cell r="A1561">
            <v>15416</v>
          </cell>
          <cell r="B1561" t="str">
            <v>Snegl u. belægning, kompl. FEX34</v>
          </cell>
          <cell r="C1561" t="str">
            <v>Screw no hard layer, compl. FEX34</v>
          </cell>
          <cell r="D1561">
            <v>9010</v>
          </cell>
          <cell r="E1561">
            <v>1211.0215053763441</v>
          </cell>
        </row>
        <row r="1562">
          <cell r="A1562">
            <v>15421</v>
          </cell>
          <cell r="B1562" t="str">
            <v>Cyl. kærvskrue M5 x 50 4.8 DIN84</v>
          </cell>
          <cell r="C1562" t="str">
            <v>Cyl. Screw M5 x 50 4.8 DIN84</v>
          </cell>
          <cell r="D1562">
            <v>1.4</v>
          </cell>
          <cell r="E1562">
            <v>0.18817204301075266</v>
          </cell>
        </row>
        <row r="1563">
          <cell r="A1563">
            <v>15430</v>
          </cell>
          <cell r="B1563" t="str">
            <v>Konsol for omløbshj. 3L F 150</v>
          </cell>
          <cell r="C1563" t="str">
            <v>Console for by-pass wheel 3L D 150</v>
          </cell>
          <cell r="D1563">
            <v>292</v>
          </cell>
          <cell r="E1563">
            <v>39.247311827956985</v>
          </cell>
        </row>
        <row r="1564">
          <cell r="A1564">
            <v>15465</v>
          </cell>
          <cell r="B1564" t="str">
            <v>Fjederelement Rosta DK-A 27x60</v>
          </cell>
          <cell r="C1564" t="str">
            <v>Spring element Rosta DK-A 27 x 60</v>
          </cell>
          <cell r="D1564">
            <v>302</v>
          </cell>
          <cell r="E1564">
            <v>40.591397849462361</v>
          </cell>
        </row>
        <row r="1565">
          <cell r="A1565">
            <v>15501</v>
          </cell>
          <cell r="B1565" t="str">
            <v>Stift Ø20 x 90</v>
          </cell>
          <cell r="C1565" t="str">
            <v>Pin Ø20 x 90</v>
          </cell>
          <cell r="D1565">
            <v>85</v>
          </cell>
          <cell r="E1565">
            <v>11.424731182795698</v>
          </cell>
        </row>
        <row r="1566">
          <cell r="A1566">
            <v>15508</v>
          </cell>
          <cell r="B1566" t="str">
            <v>6-kt. Skrue M6 x 14 DIN 933</v>
          </cell>
          <cell r="C1566" t="str">
            <v>Hex screw M6 x 14 DIN 933</v>
          </cell>
          <cell r="D1566">
            <v>0.4</v>
          </cell>
          <cell r="E1566">
            <v>5.3763440860215055E-2</v>
          </cell>
        </row>
        <row r="1567">
          <cell r="A1567">
            <v>15524</v>
          </cell>
          <cell r="B1567" t="str">
            <v xml:space="preserve">Olie/luftkøler 4,8 Kw AKGT"  50/60 </v>
          </cell>
          <cell r="C1567" t="str">
            <v>Oil cooler 4,8 Kw AKGT "</v>
          </cell>
          <cell r="D1567">
            <v>7844</v>
          </cell>
          <cell r="E1567">
            <v>1054.3010752688172</v>
          </cell>
        </row>
        <row r="1568">
          <cell r="A1568">
            <v>15548</v>
          </cell>
          <cell r="B1568" t="str">
            <v>Kædeled, højre</v>
          </cell>
          <cell r="C1568" t="str">
            <v>Chain wheel, right</v>
          </cell>
          <cell r="D1568">
            <v>604</v>
          </cell>
          <cell r="E1568">
            <v>81.182795698924721</v>
          </cell>
        </row>
        <row r="1569">
          <cell r="A1569">
            <v>15549</v>
          </cell>
          <cell r="B1569" t="str">
            <v>Kædeled, venstre</v>
          </cell>
          <cell r="C1569" t="str">
            <v>Chain wheel, left</v>
          </cell>
          <cell r="D1569">
            <v>604</v>
          </cell>
          <cell r="E1569">
            <v>81.182795698924721</v>
          </cell>
        </row>
        <row r="1570">
          <cell r="A1570">
            <v>15560</v>
          </cell>
          <cell r="B1570" t="str">
            <v>Samleled, højre</v>
          </cell>
          <cell r="C1570" t="str">
            <v>Joint link, right</v>
          </cell>
          <cell r="D1570">
            <v>143</v>
          </cell>
          <cell r="E1570">
            <v>19.22043010752688</v>
          </cell>
        </row>
        <row r="1571">
          <cell r="A1571">
            <v>15561</v>
          </cell>
          <cell r="B1571" t="str">
            <v>Samleled, venstre</v>
          </cell>
          <cell r="C1571" t="str">
            <v>joint link, left</v>
          </cell>
          <cell r="D1571">
            <v>143</v>
          </cell>
          <cell r="E1571">
            <v>19.22043010752688</v>
          </cell>
        </row>
        <row r="1572">
          <cell r="A1572">
            <v>15562</v>
          </cell>
          <cell r="B1572" t="str">
            <v>Samleled, højre forkrøppet</v>
          </cell>
          <cell r="C1572" t="str">
            <v xml:space="preserve">Joint link, right, crank </v>
          </cell>
          <cell r="D1572">
            <v>191</v>
          </cell>
          <cell r="E1572">
            <v>25.672043010752688</v>
          </cell>
        </row>
        <row r="1573">
          <cell r="A1573">
            <v>15563</v>
          </cell>
          <cell r="B1573" t="str">
            <v>Samleled, venstre forkrøppet</v>
          </cell>
          <cell r="C1573" t="str">
            <v xml:space="preserve">Joint link, left, crank   </v>
          </cell>
          <cell r="D1573">
            <v>191</v>
          </cell>
          <cell r="E1573">
            <v>25.672043010752688</v>
          </cell>
        </row>
        <row r="1574">
          <cell r="A1574">
            <v>15614</v>
          </cell>
          <cell r="B1574" t="str">
            <v>Cyl. Skrue M16 x 180</v>
          </cell>
          <cell r="C1574" t="str">
            <v>Socket head cap screw M16 x 180</v>
          </cell>
          <cell r="D1574">
            <v>26</v>
          </cell>
          <cell r="E1574">
            <v>3.4946236559139785</v>
          </cell>
        </row>
        <row r="1575">
          <cell r="A1575">
            <v>15652</v>
          </cell>
          <cell r="B1575" t="str">
            <v>Skive for aksel M8x20 A2</v>
          </cell>
          <cell r="C1575" t="str">
            <v>Disc for shaft M8x20 A2</v>
          </cell>
          <cell r="D1575">
            <v>45</v>
          </cell>
          <cell r="E1575">
            <v>6.0483870967741931</v>
          </cell>
        </row>
        <row r="1576">
          <cell r="A1576">
            <v>15676</v>
          </cell>
          <cell r="B1576" t="str">
            <v>6-kt. Skrue M5 x 12 DIN 933</v>
          </cell>
          <cell r="C1576" t="str">
            <v>Hex screw M5 x 12 DIN 933</v>
          </cell>
          <cell r="D1576">
            <v>0.3</v>
          </cell>
          <cell r="E1576">
            <v>4.0322580645161289E-2</v>
          </cell>
        </row>
        <row r="1577">
          <cell r="A1577">
            <v>15682</v>
          </cell>
          <cell r="B1577" t="str">
            <v>Fordelerrør for damp, højre</v>
          </cell>
          <cell r="C1577" t="str">
            <v>Distributor pipe for steam, right</v>
          </cell>
          <cell r="D1577">
            <v>9254</v>
          </cell>
          <cell r="E1577">
            <v>1243.8172043010752</v>
          </cell>
        </row>
        <row r="1578">
          <cell r="A1578">
            <v>15708</v>
          </cell>
          <cell r="B1578" t="str">
            <v>Facetskive Ø20 A2 DIN 125 A</v>
          </cell>
          <cell r="C1578" t="str">
            <v>Washer Ø20 A2 DIN 125 A</v>
          </cell>
          <cell r="D1578">
            <v>2.1</v>
          </cell>
          <cell r="E1578">
            <v>0.282258064516129</v>
          </cell>
        </row>
        <row r="1579">
          <cell r="A1579">
            <v>15712</v>
          </cell>
          <cell r="B1579" t="str">
            <v xml:space="preserve">(Erstattet af 040252) Sikkerhedsendestop XCK-J7970 </v>
          </cell>
          <cell r="C1579" t="str">
            <v>(Replaced by 040252) Micro switch XCK-J7970</v>
          </cell>
          <cell r="D1579" t="str">
            <v>replaced</v>
          </cell>
          <cell r="E1579" t="str">
            <v>replaced</v>
          </cell>
        </row>
        <row r="1580">
          <cell r="A1580">
            <v>15801</v>
          </cell>
          <cell r="B1580" t="str">
            <v>Nøgle m/tværstiver f/sikr. endestop</v>
          </cell>
          <cell r="C1580" t="str">
            <v xml:space="preserve">Key for safety switch </v>
          </cell>
          <cell r="D1580">
            <v>37</v>
          </cell>
          <cell r="E1580">
            <v>4.9731182795698921</v>
          </cell>
        </row>
        <row r="1581">
          <cell r="A1581">
            <v>15802</v>
          </cell>
          <cell r="B1581" t="str">
            <v>Cylinderisk kærvskrue M5 x 40</v>
          </cell>
          <cell r="C1581" t="str">
            <v>Cylindrical slotted screw M5 x 40</v>
          </cell>
          <cell r="D1581">
            <v>1</v>
          </cell>
          <cell r="E1581">
            <v>0.13440860215053763</v>
          </cell>
        </row>
        <row r="1582">
          <cell r="A1582">
            <v>15845</v>
          </cell>
          <cell r="B1582" t="str">
            <v>6-kt. Skrue M12 x 90 DIN 933</v>
          </cell>
          <cell r="C1582" t="str">
            <v>Hex screw M12 x 90 DIN 933</v>
          </cell>
          <cell r="D1582">
            <v>21</v>
          </cell>
          <cell r="E1582">
            <v>2.82258064516129</v>
          </cell>
        </row>
        <row r="1583">
          <cell r="A1583">
            <v>15850</v>
          </cell>
          <cell r="B1583" t="str">
            <v>Pinolskrue M24 x 60 14.9</v>
          </cell>
          <cell r="C1583" t="str">
            <v>Centre screw M24 x 60 14.9</v>
          </cell>
          <cell r="D1583">
            <v>53</v>
          </cell>
          <cell r="E1583">
            <v>7.1236559139784941</v>
          </cell>
        </row>
        <row r="1584">
          <cell r="A1584">
            <v>15870</v>
          </cell>
          <cell r="B1584" t="str">
            <v>Gardinholder udløb/lagsk. F150, H500</v>
          </cell>
          <cell r="C1584" t="str">
            <v>Curtain holder outl./layer shift H150 H500</v>
          </cell>
          <cell r="D1584">
            <v>4770</v>
          </cell>
          <cell r="E1584">
            <v>641.12903225806451</v>
          </cell>
        </row>
        <row r="1585">
          <cell r="A1585">
            <v>15871</v>
          </cell>
          <cell r="B1585" t="str">
            <v>Gardinholder udløb/lagsk.F150, H700</v>
          </cell>
          <cell r="C1585" t="str">
            <v>Curtain holder outl./layer shift F150, H700</v>
          </cell>
          <cell r="D1585">
            <v>6890</v>
          </cell>
          <cell r="E1585">
            <v>926.07526881720423</v>
          </cell>
        </row>
        <row r="1586">
          <cell r="A1586">
            <v>15912</v>
          </cell>
          <cell r="B1586" t="str">
            <v>Kilerem SPC 4750 Optibelt</v>
          </cell>
          <cell r="C1586" t="str">
            <v>V-belt SPC 4750 Optibelt</v>
          </cell>
          <cell r="D1586">
            <v>440</v>
          </cell>
          <cell r="E1586">
            <v>59.139784946236553</v>
          </cell>
        </row>
        <row r="1587">
          <cell r="A1587">
            <v>15913</v>
          </cell>
          <cell r="B1587" t="str">
            <v>Stag, kort, for spændeplade</v>
          </cell>
          <cell r="C1587" t="str">
            <v>Stayer for tension flange</v>
          </cell>
          <cell r="D1587">
            <v>1293</v>
          </cell>
          <cell r="E1587">
            <v>173.79032258064515</v>
          </cell>
        </row>
        <row r="1588">
          <cell r="A1588">
            <v>15918</v>
          </cell>
          <cell r="B1588" t="str">
            <v xml:space="preserve">Hovedaksel FEX34 </v>
          </cell>
          <cell r="C1588" t="str">
            <v>Main shaft FEX34</v>
          </cell>
          <cell r="D1588">
            <v>10091</v>
          </cell>
          <cell r="E1588">
            <v>1356.3172043010752</v>
          </cell>
        </row>
        <row r="1589">
          <cell r="A1589">
            <v>15946</v>
          </cell>
          <cell r="B1589" t="str">
            <v>Nøgle for sikkerhedsendestop ZCK-4071</v>
          </cell>
          <cell r="C1589" t="str">
            <v>Key for position stop XCK 4071</v>
          </cell>
          <cell r="D1589">
            <v>133</v>
          </cell>
          <cell r="E1589">
            <v>17.876344086021504</v>
          </cell>
        </row>
        <row r="1590">
          <cell r="A1590">
            <v>15952</v>
          </cell>
          <cell r="B1590" t="str">
            <v>Flangeleje med dæksel CMUC FL208</v>
          </cell>
          <cell r="C1590" t="str">
            <v>Flange bearing with cover CMUC FL208</v>
          </cell>
          <cell r="D1590">
            <v>371</v>
          </cell>
          <cell r="E1590">
            <v>49.865591397849457</v>
          </cell>
        </row>
        <row r="1591">
          <cell r="A1591">
            <v>15953</v>
          </cell>
          <cell r="B1591" t="str">
            <v>Lejehus FL for UC208</v>
          </cell>
          <cell r="C1591" t="str">
            <v>Bearing housing FL for UC208</v>
          </cell>
          <cell r="D1591">
            <v>80</v>
          </cell>
          <cell r="E1591">
            <v>10.75268817204301</v>
          </cell>
        </row>
        <row r="1592">
          <cell r="A1592">
            <v>15977</v>
          </cell>
          <cell r="B1592" t="str">
            <v>Sikringsbøjle</v>
          </cell>
          <cell r="C1592" t="str">
            <v>Dowel pair</v>
          </cell>
          <cell r="D1592">
            <v>933</v>
          </cell>
          <cell r="E1592">
            <v>125.4032258064516</v>
          </cell>
        </row>
        <row r="1593">
          <cell r="A1593">
            <v>16044</v>
          </cell>
          <cell r="B1593" t="str">
            <v>Cyl. Skrue M10 x 40 8.8 DIN 912</v>
          </cell>
          <cell r="C1593" t="str">
            <v>Cyl. Screw M10 x 40 8.8 DIN 91</v>
          </cell>
          <cell r="D1593">
            <v>1.6</v>
          </cell>
          <cell r="E1593">
            <v>0.21505376344086022</v>
          </cell>
        </row>
        <row r="1594">
          <cell r="A1594">
            <v>16045</v>
          </cell>
          <cell r="B1594" t="str">
            <v>Rørstift Ø5 x 20 DIN 1481</v>
          </cell>
          <cell r="C1594" t="str">
            <v>Tub pin Ø05 x 20 DIN1481</v>
          </cell>
          <cell r="D1594">
            <v>0.5</v>
          </cell>
          <cell r="E1594">
            <v>6.7204301075268813E-2</v>
          </cell>
        </row>
        <row r="1595">
          <cell r="A1595">
            <v>16087</v>
          </cell>
          <cell r="B1595" t="str">
            <v>Spil type 7N1</v>
          </cell>
          <cell r="C1595" t="str">
            <v>Capstan type 7N1</v>
          </cell>
          <cell r="D1595">
            <v>2067</v>
          </cell>
          <cell r="E1595">
            <v>277.82258064516128</v>
          </cell>
        </row>
        <row r="1596">
          <cell r="A1596">
            <v>16088</v>
          </cell>
          <cell r="B1596" t="str">
            <v>Cyl. Skrue M12 x 25 A2 DIN 912</v>
          </cell>
          <cell r="C1596" t="str">
            <v>Cyl. Screw M12 x 25 12.9</v>
          </cell>
          <cell r="D1596">
            <v>3.2</v>
          </cell>
          <cell r="E1596">
            <v>0.43010752688172044</v>
          </cell>
        </row>
        <row r="1597">
          <cell r="A1597">
            <v>16092</v>
          </cell>
          <cell r="B1597" t="str">
            <v>Cyl. Skrue M20 x 70 12.9 DIN 912</v>
          </cell>
          <cell r="C1597" t="str">
            <v>Cyl. Screw M20 x 70 12.9 DIN 91</v>
          </cell>
          <cell r="D1597">
            <v>14.3</v>
          </cell>
          <cell r="E1597">
            <v>1.9220430107526882</v>
          </cell>
        </row>
        <row r="1598">
          <cell r="A1598">
            <v>16123</v>
          </cell>
          <cell r="B1598" t="str">
            <v>Manometerhane 3/8" RG</v>
          </cell>
          <cell r="C1598" t="str">
            <v>Manometer cock 3/8" RG</v>
          </cell>
          <cell r="D1598">
            <v>159</v>
          </cell>
          <cell r="E1598">
            <v>21.370967741935484</v>
          </cell>
        </row>
        <row r="1599">
          <cell r="A1599">
            <v>16124</v>
          </cell>
          <cell r="B1599" t="str">
            <v>6-kt. Skrue M10 x 35 DIN 933</v>
          </cell>
          <cell r="C1599" t="str">
            <v>Hex screw M10 x 35 DIN 933</v>
          </cell>
          <cell r="D1599">
            <v>1.4</v>
          </cell>
          <cell r="E1599">
            <v>0.18817204301075266</v>
          </cell>
        </row>
        <row r="1600">
          <cell r="A1600">
            <v>16152</v>
          </cell>
          <cell r="B1600" t="str">
            <v>Facetskive Ø5 A2 DIN125A</v>
          </cell>
          <cell r="C1600" t="str">
            <v>Washer Ø5 A2 DIN125A</v>
          </cell>
          <cell r="D1600">
            <v>0.1</v>
          </cell>
          <cell r="E1600">
            <v>1.3440860215053764E-2</v>
          </cell>
        </row>
        <row r="1601">
          <cell r="A1601">
            <v>16155</v>
          </cell>
          <cell r="B1601" t="str">
            <v>Magnetventil for væskeventil</v>
          </cell>
          <cell r="C1601" t="str">
            <v>Solenoid valve for inlet valve</v>
          </cell>
          <cell r="D1601">
            <v>689</v>
          </cell>
          <cell r="E1601">
            <v>92.607526881720432</v>
          </cell>
        </row>
        <row r="1602">
          <cell r="A1602">
            <v>16159</v>
          </cell>
          <cell r="B1602" t="str">
            <v>Svejsemøtrik M6</v>
          </cell>
          <cell r="C1602" t="str">
            <v>Welding nut M6</v>
          </cell>
          <cell r="D1602">
            <v>0.2</v>
          </cell>
          <cell r="E1602">
            <v>2.6881720430107527E-2</v>
          </cell>
        </row>
        <row r="1603">
          <cell r="A1603">
            <v>16172</v>
          </cell>
          <cell r="B1603" t="str">
            <v>Tætningsring A Ø260 x Ø300 x 20, viton</v>
          </cell>
          <cell r="C1603" t="str">
            <v>Sealing ring A Ø260 x Ø300 x 20 viton</v>
          </cell>
          <cell r="D1603">
            <v>742</v>
          </cell>
          <cell r="E1603">
            <v>99.731182795698913</v>
          </cell>
        </row>
        <row r="1604">
          <cell r="A1604">
            <v>16173</v>
          </cell>
          <cell r="B1604" t="str">
            <v>Bonded seal 1/2”</v>
          </cell>
          <cell r="C1604" t="str">
            <v>Bonded seal 1/2”</v>
          </cell>
          <cell r="D1604">
            <v>9</v>
          </cell>
          <cell r="E1604">
            <v>1.2096774193548387</v>
          </cell>
        </row>
        <row r="1605">
          <cell r="A1605">
            <v>16174</v>
          </cell>
          <cell r="B1605" t="str">
            <v>Bonded seal ¾” Ø35 x 27 x 3</v>
          </cell>
          <cell r="C1605" t="str">
            <v>Bonded seal ¾” Ø35 x 27 x 3</v>
          </cell>
          <cell r="D1605">
            <v>7.4</v>
          </cell>
          <cell r="E1605">
            <v>0.9946236559139785</v>
          </cell>
        </row>
        <row r="1606">
          <cell r="A1606">
            <v>16178</v>
          </cell>
          <cell r="B1606" t="str">
            <v>O-ring Ø5.00 viton</v>
          </cell>
          <cell r="C1606" t="str">
            <v>O-ring Ø5,00 viton</v>
          </cell>
          <cell r="D1606">
            <v>61</v>
          </cell>
          <cell r="E1606">
            <v>8.198924731182796</v>
          </cell>
        </row>
        <row r="1607">
          <cell r="A1607">
            <v>16187</v>
          </cell>
          <cell r="B1607" t="str">
            <v>Facetskive Ø24 DIN 125 B</v>
          </cell>
          <cell r="C1607" t="str">
            <v>Washer Ø24 DIN 125 B</v>
          </cell>
          <cell r="D1607">
            <v>2.2000000000000002</v>
          </cell>
          <cell r="E1607">
            <v>0.29569892473118281</v>
          </cell>
        </row>
        <row r="1608">
          <cell r="A1608">
            <v>16188</v>
          </cell>
          <cell r="B1608" t="str">
            <v>Gevindstang M24 L = 280</v>
          </cell>
          <cell r="C1608" t="str">
            <v>Tread rod M24  L = 280</v>
          </cell>
          <cell r="D1608">
            <v>11.1</v>
          </cell>
          <cell r="E1608">
            <v>1.4919354838709675</v>
          </cell>
        </row>
        <row r="1609">
          <cell r="A1609">
            <v>16207</v>
          </cell>
          <cell r="B1609" t="str">
            <v>Cyl skrue M8x25 DIN912 FZB</v>
          </cell>
          <cell r="C1609" t="str">
            <v>Round headed screw M8x25 DIN912 FZB</v>
          </cell>
          <cell r="D1609">
            <v>1.1000000000000001</v>
          </cell>
          <cell r="E1609">
            <v>0.14784946236559141</v>
          </cell>
        </row>
        <row r="1610">
          <cell r="A1610">
            <v>16234</v>
          </cell>
          <cell r="B1610" t="str">
            <v>Cyl. Skrue M10 x 30 A2 DIN912</v>
          </cell>
          <cell r="C1610" t="str">
            <v>Cyl. Screw M10 x 30 A2 DIN912</v>
          </cell>
          <cell r="D1610">
            <v>3.2</v>
          </cell>
          <cell r="E1610">
            <v>0.43010752688172044</v>
          </cell>
        </row>
        <row r="1611">
          <cell r="A1611">
            <v>16251</v>
          </cell>
          <cell r="B1611" t="str">
            <v>Cyl. skrue M6 x 40 DIN912</v>
          </cell>
          <cell r="C1611" t="str">
            <v>Cyl. Screw M6 x 40 DIN912</v>
          </cell>
          <cell r="D1611">
            <v>0.6</v>
          </cell>
          <cell r="E1611">
            <v>8.0645161290322578E-2</v>
          </cell>
        </row>
        <row r="1612">
          <cell r="A1612">
            <v>16265</v>
          </cell>
          <cell r="B1612" t="str">
            <v>Cyl. Skrue M5 x 45 A2 DIN 912</v>
          </cell>
          <cell r="C1612" t="str">
            <v>Cyl. Screw M5 x 45 A2 DIN 912</v>
          </cell>
          <cell r="D1612">
            <v>1.2</v>
          </cell>
          <cell r="E1612">
            <v>0.16129032258064516</v>
          </cell>
        </row>
        <row r="1613">
          <cell r="A1613">
            <v>16307</v>
          </cell>
          <cell r="B1613" t="str">
            <v>Pakningssæt f/oliepumpe.</v>
          </cell>
          <cell r="C1613" t="str">
            <v>Set for packings f/oil pump</v>
          </cell>
          <cell r="D1613">
            <v>525</v>
          </cell>
          <cell r="E1613">
            <v>70.564516129032256</v>
          </cell>
        </row>
        <row r="1614">
          <cell r="A1614">
            <v>16327</v>
          </cell>
          <cell r="B1614" t="str">
            <v>Cyl. Skrue M20 x 60 12,9 DIN 912</v>
          </cell>
          <cell r="C1614" t="str">
            <v>Cyl. Screw M20 x 60 12,9 DIN 912</v>
          </cell>
          <cell r="D1614">
            <v>15.4</v>
          </cell>
          <cell r="E1614">
            <v>2.0698924731182795</v>
          </cell>
        </row>
        <row r="1615">
          <cell r="A1615">
            <v>16338</v>
          </cell>
          <cell r="B1615" t="str">
            <v>Mobilgear 630 1 tromle 208 liter</v>
          </cell>
          <cell r="C1615" t="str">
            <v>Mobilgear 630 1barrel 208 liter</v>
          </cell>
          <cell r="D1615">
            <v>4664</v>
          </cell>
          <cell r="E1615">
            <v>626.88172043010752</v>
          </cell>
        </row>
        <row r="1616">
          <cell r="A1616">
            <v>16347</v>
          </cell>
          <cell r="B1616" t="str">
            <v>Akselmøtrik KM 30</v>
          </cell>
          <cell r="C1616" t="str">
            <v>Nut for shaft KM 30</v>
          </cell>
          <cell r="D1616">
            <v>258</v>
          </cell>
          <cell r="E1616">
            <v>34.677419354838705</v>
          </cell>
        </row>
        <row r="1617">
          <cell r="A1617">
            <v>16350</v>
          </cell>
          <cell r="B1617" t="str">
            <v>Spændelement TL2012, Ø35</v>
          </cell>
          <cell r="C1617" t="str">
            <v>Taper bush TL2012, Ø35</v>
          </cell>
          <cell r="D1617">
            <v>39</v>
          </cell>
          <cell r="E1617">
            <v>5.2419354838709671</v>
          </cell>
        </row>
        <row r="1618">
          <cell r="A1618">
            <v>16373</v>
          </cell>
          <cell r="B1618" t="str">
            <v>ESSO fliessfett  S420  /per kg</v>
          </cell>
          <cell r="C1618" t="str">
            <v>ESSO fliessfett  S420  per kgs</v>
          </cell>
          <cell r="D1618">
            <v>104</v>
          </cell>
          <cell r="E1618">
            <v>13.978494623655914</v>
          </cell>
        </row>
        <row r="1619">
          <cell r="A1619">
            <v>16407</v>
          </cell>
          <cell r="B1619" t="str">
            <v>Facetskive Ø8 A2 DIN125A</v>
          </cell>
          <cell r="C1619" t="str">
            <v>Washer Ø8 A2 DIN125A</v>
          </cell>
          <cell r="D1619">
            <v>0.2</v>
          </cell>
          <cell r="E1619">
            <v>2.6881720430107527E-2</v>
          </cell>
        </row>
        <row r="1620">
          <cell r="A1620">
            <v>16408</v>
          </cell>
          <cell r="B1620" t="str">
            <v>Prop for PT100 føler</v>
          </cell>
          <cell r="C1620" t="str">
            <v>Plug for PT100 sensor</v>
          </cell>
          <cell r="D1620">
            <v>164</v>
          </cell>
          <cell r="E1620">
            <v>22.043010752688172</v>
          </cell>
        </row>
        <row r="1621">
          <cell r="A1621">
            <v>16415</v>
          </cell>
          <cell r="B1621" t="str">
            <v>Cyl. skrue M5 x 50 DIN 912</v>
          </cell>
          <cell r="C1621" t="str">
            <v>Cyl. screw M5 x 50 DIN 912</v>
          </cell>
          <cell r="D1621">
            <v>6.9</v>
          </cell>
          <cell r="E1621">
            <v>0.92741935483870963</v>
          </cell>
        </row>
        <row r="1622">
          <cell r="A1622">
            <v>16425</v>
          </cell>
          <cell r="B1622" t="str">
            <v>Gummigardin lagsk. Lag 1 silicone</v>
          </cell>
          <cell r="C1622" t="str">
            <v>Rubber curtain layer shift L 1 silicone</v>
          </cell>
          <cell r="D1622">
            <v>2014</v>
          </cell>
          <cell r="E1622">
            <v>270.69892473118279</v>
          </cell>
        </row>
        <row r="1623">
          <cell r="A1623">
            <v>16433</v>
          </cell>
          <cell r="B1623" t="str">
            <v>Motorkonsol for Z60 gearmotor</v>
          </cell>
          <cell r="C1623" t="str">
            <v>Motor console for Z60 gearmotor</v>
          </cell>
          <cell r="D1623">
            <v>2995</v>
          </cell>
          <cell r="E1623">
            <v>402.55376344086017</v>
          </cell>
        </row>
        <row r="1624">
          <cell r="A1624">
            <v>16441</v>
          </cell>
          <cell r="B1624" t="str">
            <v>Gummigardin lagsk. Lag 1 nitril</v>
          </cell>
          <cell r="C1624" t="str">
            <v>Rubber curtain layer shift L 1 nitril</v>
          </cell>
          <cell r="D1624">
            <v>1102</v>
          </cell>
          <cell r="E1624">
            <v>148.11827956989248</v>
          </cell>
        </row>
        <row r="1625">
          <cell r="A1625">
            <v>16497</v>
          </cell>
          <cell r="B1625" t="str">
            <v>Facetskive Ø12 A2 DIN125A</v>
          </cell>
          <cell r="C1625" t="str">
            <v>Washer Ø12 A2 DIN125A</v>
          </cell>
          <cell r="D1625">
            <v>0.8</v>
          </cell>
          <cell r="E1625">
            <v>0.10752688172043011</v>
          </cell>
        </row>
        <row r="1626">
          <cell r="A1626">
            <v>16511</v>
          </cell>
          <cell r="B1626" t="str">
            <v>Facetskive Ø14 DIN125A</v>
          </cell>
          <cell r="C1626" t="str">
            <v>Facet disc Ø14 DIN125A</v>
          </cell>
          <cell r="D1626">
            <v>0.6</v>
          </cell>
          <cell r="E1626">
            <v>8.0645161290322578E-2</v>
          </cell>
        </row>
        <row r="1627">
          <cell r="A1627">
            <v>16527</v>
          </cell>
          <cell r="B1627" t="str">
            <v>Pinolskrue M8 x 10  A2</v>
          </cell>
          <cell r="C1627" t="str">
            <v>Centre screw M8 x 10  A2</v>
          </cell>
          <cell r="D1627">
            <v>0.8</v>
          </cell>
          <cell r="E1627">
            <v>0.10752688172043011</v>
          </cell>
        </row>
        <row r="1628">
          <cell r="A1628">
            <v>16528</v>
          </cell>
          <cell r="B1628" t="str">
            <v>6-kt. Skrue M8 x 50 A2 DIN 933</v>
          </cell>
          <cell r="C1628" t="str">
            <v>Hex screw M8 x 50 A2 DIN 933</v>
          </cell>
          <cell r="D1628">
            <v>1.5</v>
          </cell>
          <cell r="E1628">
            <v>0.20161290322580644</v>
          </cell>
        </row>
        <row r="1629">
          <cell r="A1629">
            <v>16567</v>
          </cell>
          <cell r="B1629" t="str">
            <v>Gummigardin lodr. Indløb silicone</v>
          </cell>
          <cell r="C1629" t="str">
            <v>Rubber curtain vert, inlet silicone</v>
          </cell>
          <cell r="D1629">
            <v>2014</v>
          </cell>
          <cell r="E1629">
            <v>270.69892473118279</v>
          </cell>
        </row>
        <row r="1630">
          <cell r="A1630">
            <v>16577</v>
          </cell>
          <cell r="B1630" t="str">
            <v>Pilleskærmfor indløb lodr., +100, H700</v>
          </cell>
          <cell r="C1630" t="str">
            <v>Pellet screen for inlet vert. +100, H700</v>
          </cell>
          <cell r="D1630">
            <v>477</v>
          </cell>
          <cell r="E1630">
            <v>64.112903225806448</v>
          </cell>
        </row>
        <row r="1631">
          <cell r="A1631">
            <v>16603</v>
          </cell>
          <cell r="B1631" t="str">
            <v>Kileremskive SPC 8 Ø560 TL 4535</v>
          </cell>
          <cell r="C1631" t="str">
            <v>V-belt pulley SPC 8 Ø560 TL 4535</v>
          </cell>
          <cell r="D1631">
            <v>4452</v>
          </cell>
          <cell r="E1631">
            <v>598.38709677419354</v>
          </cell>
        </row>
        <row r="1632">
          <cell r="A1632">
            <v>16625</v>
          </cell>
          <cell r="B1632" t="str">
            <v>Feder AB 16x10x60 DS96</v>
          </cell>
          <cell r="C1632" t="str">
            <v>Paralell key AB 16 x 10 60 DS 96</v>
          </cell>
          <cell r="D1632">
            <v>12.7</v>
          </cell>
          <cell r="E1632">
            <v>1.7069892473118278</v>
          </cell>
        </row>
        <row r="1633">
          <cell r="A1633">
            <v>16626</v>
          </cell>
          <cell r="B1633" t="str">
            <v>6 kt skrue M8x35 FZB DIN933</v>
          </cell>
          <cell r="C1633" t="str">
            <v>Hex screw M8x35 FZB DIN933</v>
          </cell>
          <cell r="D1633">
            <v>1.1000000000000001</v>
          </cell>
          <cell r="E1633">
            <v>0.14784946236559141</v>
          </cell>
        </row>
        <row r="1634">
          <cell r="A1634">
            <v>16677</v>
          </cell>
          <cell r="B1634" t="str">
            <v>0-foring for pakdåse L390 f. labyrinttætning</v>
          </cell>
          <cell r="C1634" t="str">
            <v>Inlet Sleeve L390 f. labyrinth seal.</v>
          </cell>
          <cell r="D1634">
            <v>29680</v>
          </cell>
          <cell r="E1634">
            <v>3989.2473118279568</v>
          </cell>
        </row>
        <row r="1635">
          <cell r="A1635">
            <v>16678</v>
          </cell>
          <cell r="B1635" t="str">
            <v>Vandkappe L=240 EX20</v>
          </cell>
          <cell r="C1635" t="str">
            <v>Water jacket L=240 EX20</v>
          </cell>
          <cell r="D1635">
            <v>16425</v>
          </cell>
          <cell r="E1635">
            <v>2207.6612903225805</v>
          </cell>
        </row>
        <row r="1636">
          <cell r="A1636">
            <v>16679</v>
          </cell>
          <cell r="B1636" t="str">
            <v>Vandkappe L=330 EX20</v>
          </cell>
          <cell r="C1636" t="str">
            <v>Water jacket L=330 EX20</v>
          </cell>
          <cell r="D1636">
            <v>17591</v>
          </cell>
          <cell r="E1636">
            <v>2364.3817204301072</v>
          </cell>
        </row>
        <row r="1637">
          <cell r="A1637">
            <v>16701</v>
          </cell>
          <cell r="B1637" t="str">
            <v>Rørstift Ø16 x 40</v>
          </cell>
          <cell r="C1637" t="str">
            <v>Tub pin Ø16 x 40</v>
          </cell>
          <cell r="D1637">
            <v>18.600000000000001</v>
          </cell>
          <cell r="E1637">
            <v>2.5</v>
          </cell>
        </row>
        <row r="1638">
          <cell r="A1638">
            <v>16702</v>
          </cell>
          <cell r="B1638" t="str">
            <v>Rørstift Ø10 x 40</v>
          </cell>
          <cell r="C1638" t="str">
            <v>Tub pin Ø10 x 40</v>
          </cell>
          <cell r="D1638">
            <v>2.2000000000000002</v>
          </cell>
          <cell r="E1638">
            <v>0.29569892473118281</v>
          </cell>
        </row>
        <row r="1639">
          <cell r="A1639">
            <v>16706</v>
          </cell>
          <cell r="B1639" t="str">
            <v>Hals for dysehoved EX20</v>
          </cell>
          <cell r="C1639" t="str">
            <v>Neck for nozzle EX20</v>
          </cell>
          <cell r="D1639">
            <v>9985</v>
          </cell>
          <cell r="E1639">
            <v>1342.0698924731182</v>
          </cell>
        </row>
        <row r="1640">
          <cell r="A1640">
            <v>16714</v>
          </cell>
          <cell r="B1640" t="str">
            <v>Rørstift Ø05 x 30 DIN1481</v>
          </cell>
          <cell r="C1640" t="str">
            <v>Tub pin Ø05 x 30 DIN1481</v>
          </cell>
          <cell r="D1640">
            <v>0.6</v>
          </cell>
          <cell r="E1640">
            <v>8.0645161290322578E-2</v>
          </cell>
        </row>
        <row r="1641">
          <cell r="A1641">
            <v>16717</v>
          </cell>
          <cell r="B1641" t="str">
            <v>Ophæng for luftcylinder</v>
          </cell>
          <cell r="C1641" t="str">
            <v>Bracket air piston</v>
          </cell>
          <cell r="D1641">
            <v>212</v>
          </cell>
          <cell r="E1641">
            <v>28.494623655913976</v>
          </cell>
        </row>
        <row r="1642">
          <cell r="A1642">
            <v>16720</v>
          </cell>
          <cell r="B1642" t="str">
            <v>Luftcylinder RM 8025 l=50 komplet (for CM12K)</v>
          </cell>
          <cell r="C1642" t="str">
            <v>Air cylinder RM 8025 l=50 complete (for CM12K)</v>
          </cell>
          <cell r="D1642">
            <v>689</v>
          </cell>
          <cell r="E1642">
            <v>92.607526881720432</v>
          </cell>
        </row>
        <row r="1643">
          <cell r="A1643">
            <v>16721</v>
          </cell>
          <cell r="B1643" t="str">
            <v>Luftcylinder RM 8025 L=100 komplet</v>
          </cell>
          <cell r="C1643" t="str">
            <v>Air cylinder RMPRA 8032  L 100</v>
          </cell>
          <cell r="D1643">
            <v>689</v>
          </cell>
          <cell r="E1643">
            <v>92.607526881720432</v>
          </cell>
        </row>
        <row r="1644">
          <cell r="A1644">
            <v>16725</v>
          </cell>
          <cell r="B1644" t="str">
            <v>Rør for fixering af knivhus</v>
          </cell>
          <cell r="C1644" t="str">
            <v>Pipe for fixation of knifehouse</v>
          </cell>
          <cell r="D1644">
            <v>424</v>
          </cell>
          <cell r="E1644">
            <v>56.989247311827953</v>
          </cell>
        </row>
        <row r="1645">
          <cell r="A1645">
            <v>16727</v>
          </cell>
          <cell r="B1645" t="str">
            <v>Gaffel for luftcyl. C20-40-16-160</v>
          </cell>
          <cell r="C1645" t="str">
            <v>Fork for aircylinder C20-40-16-160</v>
          </cell>
          <cell r="D1645">
            <v>106</v>
          </cell>
          <cell r="E1645">
            <v>14.247311827956988</v>
          </cell>
        </row>
        <row r="1646">
          <cell r="A1646">
            <v>16738</v>
          </cell>
          <cell r="B1646" t="str">
            <v>Arm kort m/aks knivhusluk EX20</v>
          </cell>
          <cell r="C1646" t="str">
            <v>Arm short w/shaft knife house closing EX20</v>
          </cell>
          <cell r="D1646">
            <v>1601</v>
          </cell>
          <cell r="E1646">
            <v>215.18817204301075</v>
          </cell>
        </row>
        <row r="1647">
          <cell r="A1647">
            <v>16741</v>
          </cell>
          <cell r="B1647" t="str">
            <v>Arm lang m/aks knivhusluk EX20</v>
          </cell>
          <cell r="C1647" t="str">
            <v>Arm long w/shaft knife house closing EX20</v>
          </cell>
          <cell r="D1647">
            <v>1961</v>
          </cell>
          <cell r="E1647">
            <v>263.57526881720429</v>
          </cell>
        </row>
        <row r="1648">
          <cell r="A1648">
            <v>16742</v>
          </cell>
          <cell r="B1648" t="str">
            <v>Stang for kobling af fixeringsarm</v>
          </cell>
          <cell r="C1648" t="str">
            <v>Stick for coupling of fixing arm</v>
          </cell>
          <cell r="D1648">
            <v>512</v>
          </cell>
          <cell r="E1648">
            <v>68.817204301075265</v>
          </cell>
        </row>
        <row r="1649">
          <cell r="A1649">
            <v>16743</v>
          </cell>
          <cell r="B1649" t="str">
            <v>Låsetap for knivhus</v>
          </cell>
          <cell r="C1649" t="str">
            <v xml:space="preserve">Lock pintle for knifehouse </v>
          </cell>
          <cell r="D1649">
            <v>171</v>
          </cell>
          <cell r="E1649">
            <v>22.983870967741936</v>
          </cell>
        </row>
        <row r="1650">
          <cell r="A1650">
            <v>16753</v>
          </cell>
          <cell r="B1650" t="str">
            <v>Beskytt. skive for pakdåse</v>
          </cell>
          <cell r="C1650" t="str">
            <v>Protection disc for stuffing box</v>
          </cell>
          <cell r="D1650">
            <v>583</v>
          </cell>
          <cell r="E1650">
            <v>78.36021505376344</v>
          </cell>
        </row>
        <row r="1651">
          <cell r="A1651">
            <v>16760</v>
          </cell>
          <cell r="B1651" t="str">
            <v>O-ring Ø258,0 x Ø6,00 Viton</v>
          </cell>
          <cell r="C1651" t="str">
            <v>O-ring Ø258,0 x Ø6,00 Viton</v>
          </cell>
          <cell r="D1651">
            <v>75</v>
          </cell>
          <cell r="E1651">
            <v>10.080645161290322</v>
          </cell>
        </row>
        <row r="1652">
          <cell r="A1652">
            <v>16761</v>
          </cell>
          <cell r="B1652" t="str">
            <v>O-ring Ø229,3 x Ø5,70 Viton</v>
          </cell>
          <cell r="C1652" t="str">
            <v>O-ring Ø229,3 x Ø5,70 Viton</v>
          </cell>
          <cell r="D1652">
            <v>51</v>
          </cell>
          <cell r="E1652">
            <v>6.854838709677419</v>
          </cell>
        </row>
        <row r="1653">
          <cell r="A1653">
            <v>16762</v>
          </cell>
          <cell r="B1653" t="str">
            <v>O-ring Ø174,3 x Ø5,70 Viton</v>
          </cell>
          <cell r="C1653" t="str">
            <v>O-ring Ø174,3 x Ø5,70 Viton</v>
          </cell>
          <cell r="D1653">
            <v>49</v>
          </cell>
          <cell r="E1653">
            <v>6.586021505376344</v>
          </cell>
        </row>
        <row r="1654">
          <cell r="A1654">
            <v>16763</v>
          </cell>
          <cell r="B1654" t="str">
            <v>Dyseplade uden huller EX20</v>
          </cell>
          <cell r="C1654" t="str">
            <v>Die plate without holes EX20</v>
          </cell>
          <cell r="D1654">
            <v>3567</v>
          </cell>
          <cell r="E1654">
            <v>479.43548387096774</v>
          </cell>
        </row>
        <row r="1655">
          <cell r="A1655">
            <v>16765</v>
          </cell>
          <cell r="B1655" t="str">
            <v>Hus for dyseplade 3kt EX20</v>
          </cell>
          <cell r="C1655" t="str">
            <v>Housing for Die plate triangular EX20</v>
          </cell>
          <cell r="D1655">
            <v>22260</v>
          </cell>
          <cell r="E1655">
            <v>2991.9354838709678</v>
          </cell>
        </row>
        <row r="1656">
          <cell r="A1656">
            <v>16766</v>
          </cell>
          <cell r="B1656" t="str">
            <v>Hængselplade EX</v>
          </cell>
          <cell r="C1656" t="str">
            <v>Hinge plate EX</v>
          </cell>
          <cell r="D1656">
            <v>1443</v>
          </cell>
          <cell r="E1656">
            <v>193.95161290322579</v>
          </cell>
        </row>
        <row r="1657">
          <cell r="A1657">
            <v>16769</v>
          </cell>
          <cell r="B1657" t="str">
            <v>Styretap for knivhus</v>
          </cell>
          <cell r="C1657" t="str">
            <v>Guide pin for knife house</v>
          </cell>
          <cell r="D1657">
            <v>265</v>
          </cell>
          <cell r="E1657">
            <v>35.618279569892472</v>
          </cell>
        </row>
        <row r="1658">
          <cell r="A1658">
            <v>16770</v>
          </cell>
          <cell r="B1658" t="str">
            <v>Fjederskive K6001 Ø27,7xØ17,3x0,4</v>
          </cell>
          <cell r="C1658" t="str">
            <v>Spring disc K6001 Ø27,7xØ17,3x0,4</v>
          </cell>
          <cell r="D1658">
            <v>3.4</v>
          </cell>
          <cell r="E1658">
            <v>0.45698924731182794</v>
          </cell>
        </row>
        <row r="1659">
          <cell r="A1659">
            <v>16771</v>
          </cell>
          <cell r="B1659" t="str">
            <v>Håndhjul M16x1 fingevind EX20</v>
          </cell>
          <cell r="C1659" t="str">
            <v xml:space="preserve">Handwheel M16x1 fine pitch thread EX20 </v>
          </cell>
          <cell r="D1659">
            <v>342</v>
          </cell>
          <cell r="E1659">
            <v>45.967741935483872</v>
          </cell>
        </row>
        <row r="1660">
          <cell r="A1660">
            <v>16772</v>
          </cell>
          <cell r="B1660" t="str">
            <v>Håndhjul med M5 pinolskrue</v>
          </cell>
          <cell r="C1660" t="str">
            <v xml:space="preserve">Handwheel with M5 center screw </v>
          </cell>
          <cell r="D1660">
            <v>118</v>
          </cell>
          <cell r="E1660">
            <v>15.86021505376344</v>
          </cell>
        </row>
        <row r="1661">
          <cell r="A1661">
            <v>16773</v>
          </cell>
          <cell r="B1661" t="str">
            <v>Linearsæt Ø16 bøsning</v>
          </cell>
          <cell r="C1661" t="str">
            <v>Attenuation set Ø16 bushing</v>
          </cell>
          <cell r="D1661">
            <v>795</v>
          </cell>
          <cell r="E1661">
            <v>106.85483870967741</v>
          </cell>
        </row>
        <row r="1662">
          <cell r="A1662">
            <v>16775</v>
          </cell>
          <cell r="B1662" t="str">
            <v>Linearsæt Ø16 slørfri</v>
          </cell>
          <cell r="C1662" t="str">
            <v>Attenuation set Ø16 wobble free</v>
          </cell>
          <cell r="D1662">
            <v>794</v>
          </cell>
          <cell r="E1662">
            <v>106.72043010752688</v>
          </cell>
        </row>
        <row r="1663">
          <cell r="A1663">
            <v>16776</v>
          </cell>
          <cell r="B1663" t="str">
            <v>Akselbuk star Ø16</v>
          </cell>
          <cell r="C1663" t="str">
            <v>Shaft trestle star Ø16</v>
          </cell>
          <cell r="D1663">
            <v>395</v>
          </cell>
          <cell r="E1663">
            <v>53.091397849462361</v>
          </cell>
        </row>
        <row r="1664">
          <cell r="A1664">
            <v>16777</v>
          </cell>
          <cell r="B1664" t="str">
            <v>Aksel Ø16x300</v>
          </cell>
          <cell r="C1664" t="str">
            <v>Shaft Ø16 x 300</v>
          </cell>
          <cell r="D1664">
            <v>99</v>
          </cell>
          <cell r="E1664">
            <v>13.306451612903226</v>
          </cell>
        </row>
        <row r="1665">
          <cell r="A1665">
            <v>16780</v>
          </cell>
          <cell r="B1665" t="str">
            <v xml:space="preserve">Motorplade for knivmotor EX20 5,5KW + 7,5KW </v>
          </cell>
          <cell r="C1665" t="str">
            <v xml:space="preserve">Motor plate for knife engine EX20 5,5KW + 7,5KW </v>
          </cell>
          <cell r="D1665">
            <v>2241</v>
          </cell>
          <cell r="E1665">
            <v>301.20967741935482</v>
          </cell>
        </row>
        <row r="1666">
          <cell r="A1666">
            <v>16782</v>
          </cell>
          <cell r="B1666" t="str">
            <v>Bundplade  for knivhus hængsel</v>
          </cell>
          <cell r="C1666" t="str">
            <v>Bottom plate for knife house hinge</v>
          </cell>
          <cell r="D1666">
            <v>3657</v>
          </cell>
          <cell r="E1666">
            <v>491.5322580645161</v>
          </cell>
        </row>
        <row r="1667">
          <cell r="A1667">
            <v>16783</v>
          </cell>
          <cell r="B1667" t="str">
            <v>Justerbeslag for knivmotorophæng</v>
          </cell>
          <cell r="C1667" t="str">
            <v>Adjusting fitting for knifeengine suspension</v>
          </cell>
          <cell r="D1667">
            <v>404</v>
          </cell>
          <cell r="E1667">
            <v>54.3010752688172</v>
          </cell>
        </row>
        <row r="1668">
          <cell r="A1668">
            <v>16784</v>
          </cell>
          <cell r="B1668" t="str">
            <v>Spindel for motorjustering</v>
          </cell>
          <cell r="C1668" t="str">
            <v>Stem for motor adjustment</v>
          </cell>
          <cell r="D1668">
            <v>233</v>
          </cell>
          <cell r="E1668">
            <v>31.317204301075268</v>
          </cell>
        </row>
        <row r="1669">
          <cell r="A1669">
            <v>16787</v>
          </cell>
          <cell r="B1669" t="str">
            <v>Knivhus EX</v>
          </cell>
          <cell r="C1669" t="str">
            <v>Knifehouse EX</v>
          </cell>
          <cell r="D1669">
            <v>31000</v>
          </cell>
          <cell r="E1669">
            <v>4166.6666666666661</v>
          </cell>
        </row>
        <row r="1670">
          <cell r="A1670">
            <v>16797</v>
          </cell>
          <cell r="B1670" t="str">
            <v>Leje Flangeleje JF16x16 (rødgods)</v>
          </cell>
          <cell r="C1670" t="str">
            <v>Bearing - flanged</v>
          </cell>
          <cell r="D1670">
            <v>101</v>
          </cell>
          <cell r="E1670">
            <v>13.5752688172043</v>
          </cell>
        </row>
        <row r="1671">
          <cell r="A1671">
            <v>16804</v>
          </cell>
          <cell r="B1671" t="str">
            <v>Kontramøtrik M20 DIN 439 FZB</v>
          </cell>
          <cell r="C1671" t="str">
            <v>Counter nut M20 DIN 439 FZB</v>
          </cell>
          <cell r="D1671">
            <v>4.7</v>
          </cell>
          <cell r="E1671">
            <v>0.63172043010752688</v>
          </cell>
        </row>
        <row r="1672">
          <cell r="A1672">
            <v>16805</v>
          </cell>
          <cell r="B1672" t="str">
            <v>Cyl. Skrue M5 x 30 8.8 DIN912</v>
          </cell>
          <cell r="C1672" t="str">
            <v>Cyl. Screw M5 x 30 8.8 DIN912</v>
          </cell>
          <cell r="D1672">
            <v>0.6</v>
          </cell>
          <cell r="E1672">
            <v>8.0645161290322578E-2</v>
          </cell>
        </row>
        <row r="1673">
          <cell r="A1673">
            <v>16806</v>
          </cell>
          <cell r="B1673" t="str">
            <v>Smørenippel M8x1 lige ST</v>
          </cell>
          <cell r="C1673" t="str">
            <v>Grease nipple M8x1 straight ST</v>
          </cell>
          <cell r="D1673">
            <v>2.1</v>
          </cell>
          <cell r="E1673">
            <v>0.282258064516129</v>
          </cell>
        </row>
        <row r="1674">
          <cell r="A1674">
            <v>16807</v>
          </cell>
          <cell r="B1674" t="str">
            <v>Rørstift Ø6 x 12 DIN1481</v>
          </cell>
          <cell r="C1674" t="str">
            <v>Tub pin Ø6 x 12 DIN1481</v>
          </cell>
          <cell r="D1674">
            <v>0.5</v>
          </cell>
          <cell r="E1674">
            <v>6.7204301075268813E-2</v>
          </cell>
        </row>
        <row r="1675">
          <cell r="A1675">
            <v>16809</v>
          </cell>
          <cell r="B1675" t="str">
            <v>Knivhoved 6-blads EX20</v>
          </cell>
          <cell r="C1675" t="str">
            <v>Knifehead 6-blade EX20</v>
          </cell>
          <cell r="D1675">
            <v>8200</v>
          </cell>
          <cell r="E1675">
            <v>1102.1505376344085</v>
          </cell>
        </row>
        <row r="1676">
          <cell r="A1676">
            <v>16815</v>
          </cell>
          <cell r="B1676" t="str">
            <v>Spændeplade for knivblad EX20</v>
          </cell>
          <cell r="C1676" t="str">
            <v>Tension plate for knifeblade EX20</v>
          </cell>
          <cell r="D1676">
            <v>161</v>
          </cell>
          <cell r="E1676">
            <v>21.639784946236556</v>
          </cell>
        </row>
        <row r="1677">
          <cell r="A1677">
            <v>16817</v>
          </cell>
          <cell r="B1677" t="str">
            <v>Knivaksel for EX20</v>
          </cell>
          <cell r="C1677" t="str">
            <v>Knife shaft for EX20</v>
          </cell>
          <cell r="D1677">
            <v>4400</v>
          </cell>
          <cell r="E1677">
            <v>591.39784946236557</v>
          </cell>
        </row>
        <row r="1678">
          <cell r="A1678">
            <v>16821</v>
          </cell>
          <cell r="B1678" t="str">
            <v>Knivhoved 3-blads EX20</v>
          </cell>
          <cell r="C1678" t="str">
            <v>Knifehead 3-blade EX20</v>
          </cell>
          <cell r="D1678">
            <v>5720</v>
          </cell>
          <cell r="E1678">
            <v>768.81720430107521</v>
          </cell>
        </row>
        <row r="1679">
          <cell r="A1679">
            <v>16822</v>
          </cell>
          <cell r="B1679" t="str">
            <v>Afstandsring</v>
          </cell>
          <cell r="C1679" t="str">
            <v>Distance ring</v>
          </cell>
          <cell r="D1679">
            <v>286</v>
          </cell>
          <cell r="E1679">
            <v>38.44086021505376</v>
          </cell>
        </row>
        <row r="1680">
          <cell r="A1680">
            <v>16824</v>
          </cell>
          <cell r="B1680" t="str">
            <v>Holdeskive for akseltætning</v>
          </cell>
          <cell r="C1680" t="str">
            <v>Retaining disc for shaft seal</v>
          </cell>
          <cell r="D1680">
            <v>127</v>
          </cell>
          <cell r="E1680">
            <v>17.06989247311828</v>
          </cell>
        </row>
        <row r="1681">
          <cell r="A1681">
            <v>16846</v>
          </cell>
          <cell r="B1681" t="str">
            <v>Hus for materialeudløb</v>
          </cell>
          <cell r="C1681" t="str">
            <v>Discharge housing</v>
          </cell>
          <cell r="D1681">
            <v>37630</v>
          </cell>
          <cell r="E1681">
            <v>5057.7956989247314</v>
          </cell>
        </row>
        <row r="1682">
          <cell r="A1682">
            <v>16849</v>
          </cell>
          <cell r="B1682" t="str">
            <v>Glidestang for materialeudløbshus</v>
          </cell>
          <cell r="C1682" t="str">
            <v>Slide rod for housing</v>
          </cell>
          <cell r="D1682">
            <v>477</v>
          </cell>
          <cell r="E1682">
            <v>64.112903225806448</v>
          </cell>
        </row>
        <row r="1683">
          <cell r="A1683">
            <v>16851</v>
          </cell>
          <cell r="B1683" t="str">
            <v>Foring Ø340250 0-sektion, kompl. inkl. pos. 4-6</v>
          </cell>
          <cell r="C1683" t="str">
            <v>Barrel Ø340 0-section, compl. incl. items 4-6</v>
          </cell>
          <cell r="D1683">
            <v>29680</v>
          </cell>
          <cell r="E1683">
            <v>3989.2473118279568</v>
          </cell>
        </row>
        <row r="1684">
          <cell r="A1684">
            <v>16875</v>
          </cell>
          <cell r="B1684" t="str">
            <v>Øjebolt M30</v>
          </cell>
          <cell r="C1684" t="str">
            <v>Eye bolt M30</v>
          </cell>
          <cell r="D1684">
            <v>112</v>
          </cell>
          <cell r="E1684">
            <v>15.053763440860214</v>
          </cell>
        </row>
        <row r="1685">
          <cell r="A1685">
            <v>16878</v>
          </cell>
          <cell r="B1685" t="str">
            <v>Flange f. slidbøsning</v>
          </cell>
          <cell r="C1685" t="str">
            <v>Flange f. wear bush</v>
          </cell>
          <cell r="D1685">
            <v>3228</v>
          </cell>
          <cell r="E1685">
            <v>433.87096774193549</v>
          </cell>
        </row>
        <row r="1686">
          <cell r="A1686">
            <v>16892</v>
          </cell>
          <cell r="B1686" t="str">
            <v>Nippel 1/4"-Ø10 SKR, lige</v>
          </cell>
          <cell r="C1686" t="str">
            <v>Nipple 1/4"-Ø10 cut. Ring</v>
          </cell>
          <cell r="D1686">
            <v>15.9</v>
          </cell>
          <cell r="E1686">
            <v>2.1370967741935485</v>
          </cell>
        </row>
        <row r="1687">
          <cell r="A1687">
            <v>16893</v>
          </cell>
          <cell r="B1687" t="str">
            <v>Rør: Kontraventil-magnetventil, l=130 mm</v>
          </cell>
          <cell r="C1687" t="str">
            <v>Pipe: Non ret. Valve-control valve, l=130 mm</v>
          </cell>
          <cell r="D1687">
            <v>424</v>
          </cell>
          <cell r="E1687">
            <v>56.989247311827953</v>
          </cell>
        </row>
        <row r="1688">
          <cell r="A1688">
            <v>16894</v>
          </cell>
          <cell r="B1688" t="str">
            <v>T/2 x Ø10 SKR. &amp; 1/4" kon. RG</v>
          </cell>
          <cell r="C1688" t="str">
            <v>Tee fitt, 2 x Ø10 cut. ring &amp; 1/4" NPT</v>
          </cell>
          <cell r="D1688">
            <v>55</v>
          </cell>
          <cell r="E1688">
            <v>7.3924731182795691</v>
          </cell>
        </row>
        <row r="1689">
          <cell r="A1689">
            <v>16895</v>
          </cell>
          <cell r="B1689" t="str">
            <v>T-indskruning Ø10 konisk</v>
          </cell>
          <cell r="C1689" t="str">
            <v>Elbow Ø10 conical</v>
          </cell>
          <cell r="D1689">
            <v>55</v>
          </cell>
          <cell r="E1689">
            <v>7.3924731182795691</v>
          </cell>
        </row>
        <row r="1690">
          <cell r="A1690">
            <v>16899</v>
          </cell>
          <cell r="B1690" t="str">
            <v xml:space="preserve">Nippel 1/8" KRG/Ø6 SKR lige </v>
          </cell>
          <cell r="C1690" t="str">
            <v>Nipple 1/8 "  x ø 6</v>
          </cell>
          <cell r="D1690">
            <v>17.5</v>
          </cell>
          <cell r="E1690">
            <v>2.3521505376344085</v>
          </cell>
        </row>
        <row r="1691">
          <cell r="A1691">
            <v>16916</v>
          </cell>
          <cell r="B1691" t="str">
            <v>V-ring V180A NBR 70</v>
          </cell>
          <cell r="C1691" t="str">
            <v>V-ring V180A NBR 70</v>
          </cell>
          <cell r="D1691">
            <v>30</v>
          </cell>
          <cell r="E1691">
            <v>4.032258064516129</v>
          </cell>
        </row>
        <row r="1692">
          <cell r="A1692">
            <v>16927</v>
          </cell>
          <cell r="B1692" t="str">
            <v>Afstandsring ø235/180 L14</v>
          </cell>
          <cell r="C1692" t="str">
            <v>Distance ring ø235/180 L14</v>
          </cell>
          <cell r="D1692">
            <v>540</v>
          </cell>
          <cell r="E1692">
            <v>72.58064516129032</v>
          </cell>
        </row>
        <row r="1693">
          <cell r="A1693">
            <v>16928</v>
          </cell>
          <cell r="B1693" t="str">
            <v>Pakning for lejedæksel &amp; trykmåler</v>
          </cell>
          <cell r="C1693" t="str">
            <v>Packing for bearing cover &amp; pressure meter</v>
          </cell>
          <cell r="D1693">
            <v>158</v>
          </cell>
          <cell r="E1693">
            <v>21.236559139784944</v>
          </cell>
        </row>
        <row r="1694">
          <cell r="A1694">
            <v>16935</v>
          </cell>
          <cell r="B1694" t="str">
            <v>Snegl m. belægning, kompl. FEX34</v>
          </cell>
          <cell r="C1694" t="str">
            <v>Screw with hard layer FEX34</v>
          </cell>
          <cell r="D1694">
            <v>14257</v>
          </cell>
          <cell r="E1694">
            <v>1916.263440860215</v>
          </cell>
        </row>
        <row r="1695">
          <cell r="A1695">
            <v>16936</v>
          </cell>
          <cell r="B1695" t="str">
            <v>Brystnippel 3/8" 60 con.</v>
          </cell>
          <cell r="C1695" t="str">
            <v>Hex. nipple 3/8" 60 con.</v>
          </cell>
          <cell r="D1695">
            <v>18.8</v>
          </cell>
          <cell r="E1695">
            <v>2.5268817204301075</v>
          </cell>
        </row>
        <row r="1696">
          <cell r="A1696">
            <v>16938</v>
          </cell>
          <cell r="B1696" t="str">
            <v xml:space="preserve">Hydraulikslange 3/8" L=550, 90° </v>
          </cell>
          <cell r="C1696" t="str">
            <v xml:space="preserve">Hydraulic hose 3/8" L=550 </v>
          </cell>
          <cell r="D1696">
            <v>233</v>
          </cell>
          <cell r="E1696">
            <v>31.317204301075268</v>
          </cell>
        </row>
        <row r="1697">
          <cell r="A1697">
            <v>16949</v>
          </cell>
          <cell r="B1697" t="str">
            <v>Brystnippel 1/4" RG - 3/8" RG i kon.</v>
          </cell>
          <cell r="C1697" t="str">
            <v>Nipple 1/4" / 3/8" NPT fem.</v>
          </cell>
          <cell r="D1697">
            <v>14.8</v>
          </cell>
          <cell r="E1697">
            <v>1.989247311827957</v>
          </cell>
        </row>
        <row r="1698">
          <cell r="A1698">
            <v>16952</v>
          </cell>
          <cell r="B1698" t="str">
            <v>Bonded seal 1/4" ø20,6x13,7</v>
          </cell>
          <cell r="C1698" t="str">
            <v>Bonded seal 1/4" ø20,6x13,7</v>
          </cell>
          <cell r="D1698">
            <v>6.4</v>
          </cell>
          <cell r="E1698">
            <v>0.86021505376344087</v>
          </cell>
        </row>
        <row r="1699">
          <cell r="A1699">
            <v>16963</v>
          </cell>
          <cell r="B1699" t="str">
            <v>Spændeelement TL 1610, Ø38 CM6/CM5K</v>
          </cell>
          <cell r="C1699" t="str">
            <v>Taperlock TL 1610, Ø38</v>
          </cell>
          <cell r="D1699">
            <v>48</v>
          </cell>
          <cell r="E1699">
            <v>6.4516129032258061</v>
          </cell>
        </row>
        <row r="1700">
          <cell r="A1700">
            <v>16968</v>
          </cell>
          <cell r="B1700" t="str">
            <v>Fjedersplit Ø5 x 105</v>
          </cell>
          <cell r="C1700" t="str">
            <v>Split pin Ø5 x105</v>
          </cell>
          <cell r="D1700">
            <v>4.8</v>
          </cell>
          <cell r="E1700">
            <v>0.64516129032258063</v>
          </cell>
        </row>
        <row r="1701">
          <cell r="A1701">
            <v>16982</v>
          </cell>
          <cell r="B1701" t="str">
            <v>Tætningsring 350 x 390 x 18 viton.</v>
          </cell>
          <cell r="C1701" t="str">
            <v>Tightening ring 250x390x18 viton</v>
          </cell>
          <cell r="D1701">
            <v>1304</v>
          </cell>
          <cell r="E1701">
            <v>175.26881720430106</v>
          </cell>
        </row>
        <row r="1702">
          <cell r="A1702">
            <v>16995</v>
          </cell>
          <cell r="B1702" t="str">
            <v>Bagplade pillekammer M30</v>
          </cell>
          <cell r="C1702" t="str">
            <v>Backplate for pellet chamber M30</v>
          </cell>
          <cell r="D1702">
            <v>1463</v>
          </cell>
          <cell r="E1702">
            <v>196.63978494623655</v>
          </cell>
        </row>
        <row r="1703">
          <cell r="A1703">
            <v>17028</v>
          </cell>
          <cell r="B1703" t="str">
            <v>Foring for pillekammer</v>
          </cell>
          <cell r="C1703" t="str">
            <v>Bushing for pelletchamber</v>
          </cell>
          <cell r="D1703">
            <v>8056</v>
          </cell>
          <cell r="E1703">
            <v>1082.7956989247311</v>
          </cell>
        </row>
        <row r="1704">
          <cell r="A1704">
            <v>17032</v>
          </cell>
          <cell r="B1704" t="str">
            <v>Låsering U 45 x 1,75A</v>
          </cell>
          <cell r="C1704" t="str">
            <v>Lock ring U45 x 1,75A DIN 471</v>
          </cell>
          <cell r="D1704">
            <v>11.7</v>
          </cell>
          <cell r="E1704">
            <v>1.57258064516129</v>
          </cell>
        </row>
        <row r="1705">
          <cell r="A1705">
            <v>17050</v>
          </cell>
          <cell r="B1705" t="str">
            <v>O-ring Ø088,3 x Ø5,33 Viton</v>
          </cell>
          <cell r="C1705" t="str">
            <v>O-ring Ø088,3 x Ø5,33 Viton</v>
          </cell>
          <cell r="D1705">
            <v>28</v>
          </cell>
          <cell r="E1705">
            <v>3.7634408602150535</v>
          </cell>
        </row>
        <row r="1706">
          <cell r="A1706">
            <v>17059</v>
          </cell>
          <cell r="B1706" t="str">
            <v>Kobberskive Ø22/Ø17x1,5 3/8"</v>
          </cell>
          <cell r="C1706" t="str">
            <v>Copper disc Ø22/Ø17x1,5 3/8"</v>
          </cell>
          <cell r="D1706">
            <v>10.1</v>
          </cell>
          <cell r="E1706">
            <v>1.35752688172043</v>
          </cell>
        </row>
        <row r="1707">
          <cell r="A1707">
            <v>17074</v>
          </cell>
          <cell r="B1707" t="str">
            <v>3/4" hydr. slange 600 90°/lige oml.</v>
          </cell>
          <cell r="C1707" t="str">
            <v>Hydraulic hose 3/4" 600 90° /straight</v>
          </cell>
          <cell r="D1707">
            <v>271</v>
          </cell>
          <cell r="E1707">
            <v>36.424731182795696</v>
          </cell>
        </row>
        <row r="1708">
          <cell r="A1708">
            <v>17076</v>
          </cell>
          <cell r="B1708" t="str">
            <v>3/4" hydr. slange 900 90°/lige oml.</v>
          </cell>
          <cell r="C1708" t="str">
            <v>Hydraulic hose 3/4" 900 90° /straight</v>
          </cell>
          <cell r="D1708">
            <v>301</v>
          </cell>
          <cell r="E1708">
            <v>40.456989247311824</v>
          </cell>
        </row>
        <row r="1709">
          <cell r="A1709">
            <v>17083</v>
          </cell>
          <cell r="B1709" t="str">
            <v>Pumpekonsol f/oliepumpe</v>
          </cell>
          <cell r="C1709" t="str">
            <v>Pump corbel for oilpump</v>
          </cell>
          <cell r="D1709">
            <v>1299</v>
          </cell>
          <cell r="E1709">
            <v>174.59677419354838</v>
          </cell>
        </row>
        <row r="1710">
          <cell r="A1710">
            <v>17111</v>
          </cell>
          <cell r="B1710" t="str">
            <v>rep.sæt for cylinder</v>
          </cell>
          <cell r="C1710" t="str">
            <v>Rep set for cylinder</v>
          </cell>
          <cell r="D1710">
            <v>875</v>
          </cell>
          <cell r="E1710">
            <v>117.60752688172042</v>
          </cell>
        </row>
        <row r="1711">
          <cell r="A1711">
            <v>17131</v>
          </cell>
          <cell r="B1711" t="str">
            <v>Kileremskive SPC8 Ø280 TL 4040 T6</v>
          </cell>
          <cell r="C1711" t="str">
            <v>V-belt pulley SPC8 Ø280 TL 4040 T6</v>
          </cell>
          <cell r="D1711">
            <v>1399</v>
          </cell>
          <cell r="E1711">
            <v>188.03763440860214</v>
          </cell>
        </row>
        <row r="1712">
          <cell r="A1712">
            <v>17187</v>
          </cell>
          <cell r="B1712" t="str">
            <v>Aksel for spil</v>
          </cell>
          <cell r="C1712" t="str">
            <v>Shaft for capstan</v>
          </cell>
          <cell r="D1712">
            <v>1383</v>
          </cell>
          <cell r="E1712">
            <v>185.88709677419354</v>
          </cell>
        </row>
        <row r="1713">
          <cell r="A1713">
            <v>17266</v>
          </cell>
          <cell r="B1713" t="str">
            <v>Magnetventil on/off &amp; kontra 220 VAC</v>
          </cell>
          <cell r="C1713" t="str">
            <v>Solenoid valve on/off &amp; non-ret. 220 VAC</v>
          </cell>
          <cell r="D1713">
            <v>896</v>
          </cell>
          <cell r="E1713">
            <v>120.43010752688171</v>
          </cell>
        </row>
        <row r="1714">
          <cell r="A1714">
            <v>17304</v>
          </cell>
          <cell r="B1714" t="str">
            <v>Håndhjul for fixering af knivhus</v>
          </cell>
          <cell r="C1714" t="str">
            <v>Handwheel for fixing of knifehouse</v>
          </cell>
          <cell r="D1714">
            <v>350</v>
          </cell>
          <cell r="E1714">
            <v>47.043010752688168</v>
          </cell>
        </row>
        <row r="1715">
          <cell r="A1715">
            <v>17306</v>
          </cell>
          <cell r="B1715" t="str">
            <v>Godsfordeler nr. 1</v>
          </cell>
          <cell r="C1715" t="str">
            <v>Deflector no. 1</v>
          </cell>
          <cell r="D1715">
            <v>975</v>
          </cell>
          <cell r="E1715">
            <v>131.04838709677418</v>
          </cell>
        </row>
        <row r="1716">
          <cell r="A1716">
            <v>17308</v>
          </cell>
          <cell r="B1716" t="str">
            <v>Skærm f/godsfordeler nr. 1</v>
          </cell>
          <cell r="C1716" t="str">
            <v>Guard for deflector</v>
          </cell>
          <cell r="D1716">
            <v>477</v>
          </cell>
          <cell r="E1716">
            <v>64.112903225806448</v>
          </cell>
        </row>
        <row r="1717">
          <cell r="A1717">
            <v>17309</v>
          </cell>
          <cell r="B1717" t="str">
            <v>Godsfordeler nr. 2</v>
          </cell>
          <cell r="C1717" t="str">
            <v>Deflector no.2</v>
          </cell>
          <cell r="D1717">
            <v>519</v>
          </cell>
          <cell r="E1717">
            <v>69.758064516129025</v>
          </cell>
        </row>
        <row r="1718">
          <cell r="A1718">
            <v>17310</v>
          </cell>
          <cell r="B1718" t="str">
            <v>Godsfordeler nr. 3</v>
          </cell>
          <cell r="C1718" t="str">
            <v>Deflector no.3</v>
          </cell>
          <cell r="D1718">
            <v>557</v>
          </cell>
          <cell r="E1718">
            <v>74.865591397849457</v>
          </cell>
        </row>
        <row r="1719">
          <cell r="A1719">
            <v>17312</v>
          </cell>
          <cell r="B1719" t="str">
            <v>Godsfordeler 1 M700W</v>
          </cell>
          <cell r="C1719" t="str">
            <v>Deflector 1 M700W</v>
          </cell>
          <cell r="D1719">
            <v>716</v>
          </cell>
          <cell r="E1719">
            <v>96.236559139784944</v>
          </cell>
        </row>
        <row r="1720">
          <cell r="A1720">
            <v>17313</v>
          </cell>
          <cell r="B1720" t="str">
            <v>Støtte for godsfordeler nr. 3</v>
          </cell>
          <cell r="C1720" t="str">
            <v>Support for distributor no. 3</v>
          </cell>
          <cell r="D1720">
            <v>758</v>
          </cell>
          <cell r="E1720">
            <v>101.88172043010752</v>
          </cell>
        </row>
        <row r="1721">
          <cell r="A1721">
            <v>17314</v>
          </cell>
          <cell r="B1721" t="str">
            <v>Skærm for godsfordeler nr. 1</v>
          </cell>
          <cell r="C1721" t="str">
            <v>Screen for distributor no. 1</v>
          </cell>
          <cell r="D1721">
            <v>535</v>
          </cell>
          <cell r="E1721">
            <v>71.908602150537632</v>
          </cell>
        </row>
        <row r="1722">
          <cell r="A1722">
            <v>17315</v>
          </cell>
          <cell r="B1722" t="str">
            <v>Godsfordeler nr. 2</v>
          </cell>
          <cell r="C1722" t="str">
            <v>Distributor no. 2</v>
          </cell>
          <cell r="D1722">
            <v>323</v>
          </cell>
          <cell r="E1722">
            <v>43.413978494623656</v>
          </cell>
        </row>
        <row r="1723">
          <cell r="A1723">
            <v>17316</v>
          </cell>
          <cell r="B1723" t="str">
            <v>Godsfordeler nr. 3</v>
          </cell>
          <cell r="C1723" t="str">
            <v>Distributor no. 3</v>
          </cell>
          <cell r="D1723">
            <v>588</v>
          </cell>
          <cell r="E1723">
            <v>79.032258064516128</v>
          </cell>
        </row>
        <row r="1724">
          <cell r="A1724">
            <v>17318</v>
          </cell>
          <cell r="B1724" t="str">
            <v>Trug m/gliderør f/materialeindføring</v>
          </cell>
          <cell r="C1724" t="str">
            <v>Through w sliding pipe f. material inlet</v>
          </cell>
          <cell r="D1724">
            <v>23850</v>
          </cell>
          <cell r="E1724">
            <v>3205.6451612903224</v>
          </cell>
        </row>
        <row r="1725">
          <cell r="A1725">
            <v>17321</v>
          </cell>
          <cell r="B1725" t="str">
            <v>Snegl Ø170 materialeindføring EX20</v>
          </cell>
          <cell r="C1725" t="str">
            <v>Screw Ø170 material inlet EX20</v>
          </cell>
          <cell r="D1725">
            <v>17320</v>
          </cell>
          <cell r="E1725">
            <v>2327.9569892473119</v>
          </cell>
        </row>
        <row r="1726">
          <cell r="A1726">
            <v>17322</v>
          </cell>
          <cell r="B1726" t="str">
            <v>Lejeophæng, mat. indf.</v>
          </cell>
          <cell r="C1726" t="str">
            <v xml:space="preserve">Bearing suspension, material inlet </v>
          </cell>
          <cell r="D1726">
            <v>3461</v>
          </cell>
          <cell r="E1726">
            <v>465.18817204301075</v>
          </cell>
        </row>
        <row r="1727">
          <cell r="A1727">
            <v>17327</v>
          </cell>
          <cell r="B1727" t="str">
            <v>Vange komplet f/mat. indf.</v>
          </cell>
          <cell r="C1727" t="str">
            <v>Bearer compl for material inlet</v>
          </cell>
          <cell r="D1727">
            <v>5361</v>
          </cell>
          <cell r="E1727">
            <v>720.5645161290322</v>
          </cell>
        </row>
        <row r="1728">
          <cell r="A1728">
            <v>17328</v>
          </cell>
          <cell r="B1728" t="str">
            <v>Motorpl. f/mat. indføring</v>
          </cell>
          <cell r="C1728" t="str">
            <v>Motor plate for material inlet</v>
          </cell>
          <cell r="D1728">
            <v>604</v>
          </cell>
          <cell r="E1728">
            <v>81.182795698924721</v>
          </cell>
        </row>
        <row r="1729">
          <cell r="A1729">
            <v>17336</v>
          </cell>
          <cell r="B1729" t="str">
            <v>Remskærm mat. Indføring EX</v>
          </cell>
          <cell r="C1729" t="str">
            <v>Belt screen for material inlet EX</v>
          </cell>
          <cell r="D1729">
            <v>1246</v>
          </cell>
          <cell r="E1729">
            <v>167.47311827956989</v>
          </cell>
        </row>
        <row r="1730">
          <cell r="A1730">
            <v>17342</v>
          </cell>
          <cell r="B1730" t="str">
            <v>Nippel 1/4" RG/Ø10 glat</v>
          </cell>
          <cell r="C1730" t="str">
            <v>Nipple 1/4" RG/Ø10</v>
          </cell>
          <cell r="D1730">
            <v>30</v>
          </cell>
          <cell r="E1730">
            <v>4.032258064516129</v>
          </cell>
        </row>
        <row r="1731">
          <cell r="A1731">
            <v>17345</v>
          </cell>
          <cell r="B1731" t="str">
            <v>Bonded seal 3/8" ø23,9x17,3x2</v>
          </cell>
          <cell r="C1731" t="str">
            <v>Bonded seal 3/8" ø23,9x17,3x2</v>
          </cell>
          <cell r="D1731">
            <v>6.4</v>
          </cell>
          <cell r="E1731">
            <v>0.86021505376344087</v>
          </cell>
        </row>
        <row r="1732">
          <cell r="A1732">
            <v>17352</v>
          </cell>
          <cell r="B1732" t="str">
            <v>Kobling Winflex t 9 Ø130/124</v>
          </cell>
          <cell r="C1732" t="str">
            <v>Coupling Winflex t9 Ø130/124</v>
          </cell>
          <cell r="D1732">
            <v>18640</v>
          </cell>
          <cell r="E1732">
            <v>2505.3763440860212</v>
          </cell>
        </row>
        <row r="1733">
          <cell r="A1733">
            <v>17374</v>
          </cell>
          <cell r="B1733" t="str">
            <v>Kontramøtrik M12 DIN 439B FZB</v>
          </cell>
          <cell r="C1733" t="str">
            <v>Counter nut M12 DIN 439B FZB</v>
          </cell>
          <cell r="D1733">
            <v>1.4</v>
          </cell>
          <cell r="E1733">
            <v>0.18817204301075266</v>
          </cell>
        </row>
        <row r="1734">
          <cell r="A1734">
            <v>17376</v>
          </cell>
          <cell r="B1734" t="str">
            <v>Remskive f/skridnav</v>
          </cell>
          <cell r="C1734" t="str">
            <v>Pulley for hub</v>
          </cell>
          <cell r="D1734">
            <v>906</v>
          </cell>
          <cell r="E1734">
            <v>121.77419354838709</v>
          </cell>
        </row>
        <row r="1735">
          <cell r="A1735">
            <v>17377</v>
          </cell>
          <cell r="B1735" t="str">
            <v>Skridkobling Rimostat RS80.1</v>
          </cell>
          <cell r="C1735" t="str">
            <v>Coupling Rimostat RS80.1</v>
          </cell>
          <cell r="D1735">
            <v>3074</v>
          </cell>
          <cell r="E1735">
            <v>413.17204301075265</v>
          </cell>
        </row>
        <row r="1736">
          <cell r="A1736">
            <v>17385</v>
          </cell>
          <cell r="B1736" t="str">
            <v>Stag for foringer EX9xx</v>
          </cell>
          <cell r="C1736" t="str">
            <v>Stay for sleeve EX9xx</v>
          </cell>
          <cell r="D1736">
            <v>1961</v>
          </cell>
          <cell r="E1736">
            <v>263.57526881720429</v>
          </cell>
        </row>
        <row r="1737">
          <cell r="A1737">
            <v>17397</v>
          </cell>
          <cell r="B1737" t="str">
            <v>Smørenippel M6 x 1</v>
          </cell>
          <cell r="C1737" t="str">
            <v>Grease nipple M6 x 1</v>
          </cell>
          <cell r="D1737">
            <v>5.3</v>
          </cell>
          <cell r="E1737">
            <v>0.71236559139784938</v>
          </cell>
        </row>
        <row r="1738">
          <cell r="A1738">
            <v>17407</v>
          </cell>
          <cell r="B1738" t="str">
            <v>Værktøjsliste EX 920</v>
          </cell>
          <cell r="C1738" t="str">
            <v>Tollslist EX 920</v>
          </cell>
          <cell r="D1738">
            <v>20670</v>
          </cell>
          <cell r="E1738">
            <v>2778.2258064516127</v>
          </cell>
        </row>
        <row r="1739">
          <cell r="A1739">
            <v>17411</v>
          </cell>
          <cell r="B1739" t="str">
            <v>Sikkerhedskæde 1m</v>
          </cell>
          <cell r="C1739" t="str">
            <v>Safety chain, 1m</v>
          </cell>
          <cell r="D1739">
            <v>35</v>
          </cell>
          <cell r="E1739">
            <v>4.704301075268817</v>
          </cell>
        </row>
        <row r="1740">
          <cell r="A1740">
            <v>17412</v>
          </cell>
          <cell r="B1740" t="str">
            <v>Hængsel, venstre M30</v>
          </cell>
          <cell r="C1740" t="str">
            <v>Hinge, left M30</v>
          </cell>
          <cell r="D1740">
            <v>1908</v>
          </cell>
          <cell r="E1740">
            <v>256.45161290322579</v>
          </cell>
        </row>
        <row r="1741">
          <cell r="A1741">
            <v>17413</v>
          </cell>
          <cell r="B1741" t="str">
            <v>Hængsel, højre M30</v>
          </cell>
          <cell r="C1741" t="str">
            <v>Hinge, right M30</v>
          </cell>
          <cell r="D1741">
            <v>1684</v>
          </cell>
          <cell r="E1741">
            <v>226.34408602150538</v>
          </cell>
        </row>
        <row r="1742">
          <cell r="A1742">
            <v>17424</v>
          </cell>
          <cell r="B1742" t="str">
            <v>Renovering af M30 slidring, 1 stk. indlæg</v>
          </cell>
          <cell r="C1742" t="str">
            <v>Repair of M30 wear ring 1 pc. Ply.</v>
          </cell>
          <cell r="D1742">
            <v>3392</v>
          </cell>
          <cell r="E1742">
            <v>455.91397849462362</v>
          </cell>
        </row>
        <row r="1743">
          <cell r="A1743">
            <v>17427</v>
          </cell>
          <cell r="B1743" t="str">
            <v>Skærering for Ø10 rør</v>
          </cell>
          <cell r="C1743" t="str">
            <v>Cutting ring for Ø10 pipe</v>
          </cell>
          <cell r="D1743">
            <v>5.8</v>
          </cell>
          <cell r="E1743">
            <v>0.77956989247311825</v>
          </cell>
        </row>
        <row r="1744">
          <cell r="A1744">
            <v>17429</v>
          </cell>
          <cell r="B1744" t="str">
            <v>Omløber for Ø10 rør</v>
          </cell>
          <cell r="C1744" t="str">
            <v>Union nut for Ø10 pipe</v>
          </cell>
          <cell r="D1744">
            <v>6.4</v>
          </cell>
          <cell r="E1744">
            <v>0.86021505376344087</v>
          </cell>
        </row>
        <row r="1745">
          <cell r="A1745">
            <v>17434</v>
          </cell>
          <cell r="B1745" t="str">
            <v>Holder f/godsfordeler.</v>
          </cell>
          <cell r="C1745" t="str">
            <v>Holder f/deflector</v>
          </cell>
          <cell r="D1745">
            <v>1325</v>
          </cell>
          <cell r="E1745">
            <v>178.09139784946237</v>
          </cell>
        </row>
        <row r="1746">
          <cell r="A1746">
            <v>17435</v>
          </cell>
          <cell r="B1746" t="str">
            <v>Godsfordeler nr. 1</v>
          </cell>
          <cell r="C1746" t="str">
            <v>Deflector no.1</v>
          </cell>
          <cell r="D1746">
            <v>689</v>
          </cell>
          <cell r="E1746">
            <v>92.607526881720432</v>
          </cell>
        </row>
        <row r="1747">
          <cell r="A1747">
            <v>17436</v>
          </cell>
          <cell r="B1747" t="str">
            <v>Godsfordeler nr. 2</v>
          </cell>
          <cell r="C1747" t="str">
            <v>Deflector no. 2</v>
          </cell>
          <cell r="D1747">
            <v>392</v>
          </cell>
          <cell r="E1747">
            <v>52.688172043010752</v>
          </cell>
        </row>
        <row r="1748">
          <cell r="A1748">
            <v>17437</v>
          </cell>
          <cell r="B1748" t="str">
            <v>Godsfordeler nr. 3</v>
          </cell>
          <cell r="C1748" t="str">
            <v>Deflector no.3</v>
          </cell>
          <cell r="D1748">
            <v>795</v>
          </cell>
          <cell r="E1748">
            <v>106.85483870967741</v>
          </cell>
        </row>
        <row r="1749">
          <cell r="A1749">
            <v>17438</v>
          </cell>
          <cell r="B1749" t="str">
            <v>Støtte f/godsfordeler nr. 3.</v>
          </cell>
          <cell r="C1749" t="str">
            <v>Support for deflector</v>
          </cell>
          <cell r="D1749">
            <v>636</v>
          </cell>
          <cell r="E1749">
            <v>85.483870967741936</v>
          </cell>
        </row>
        <row r="1750">
          <cell r="A1750">
            <v>17459</v>
          </cell>
          <cell r="B1750" t="str">
            <v>Muffe 1/4" man studs</v>
          </cell>
          <cell r="C1750" t="str">
            <v>Socket 1/4" man socket</v>
          </cell>
          <cell r="D1750">
            <v>58</v>
          </cell>
          <cell r="E1750">
            <v>7.7956989247311821</v>
          </cell>
        </row>
        <row r="1751">
          <cell r="A1751">
            <v>17463</v>
          </cell>
          <cell r="B1751" t="str">
            <v>Firkantrør 100 x 100 x 10 L = 1389</v>
          </cell>
          <cell r="C1751" t="str">
            <v>Sq. pipe 100 x 100 x 10  L = 1389</v>
          </cell>
          <cell r="D1751">
            <v>345</v>
          </cell>
          <cell r="E1751">
            <v>46.37096774193548</v>
          </cell>
        </row>
        <row r="1752">
          <cell r="A1752">
            <v>17470</v>
          </cell>
          <cell r="B1752" t="str">
            <v>Ophæng for omdrejningsvagt</v>
          </cell>
          <cell r="C1752" t="str">
            <v>Bracket for speed guard</v>
          </cell>
          <cell r="D1752">
            <v>27</v>
          </cell>
          <cell r="E1752">
            <v>3.629032258064516</v>
          </cell>
        </row>
        <row r="1753">
          <cell r="A1753">
            <v>17471</v>
          </cell>
          <cell r="B1753" t="str">
            <v>Gevindklods for knivmotorjustering</v>
          </cell>
          <cell r="C1753" t="str">
            <v>Thread block for knifemotor adjustment</v>
          </cell>
          <cell r="D1753">
            <v>461</v>
          </cell>
          <cell r="E1753">
            <v>61.962365591397848</v>
          </cell>
        </row>
        <row r="1754">
          <cell r="A1754">
            <v>17479</v>
          </cell>
          <cell r="B1754" t="str">
            <v>Trykskive for lejetryk FEX</v>
          </cell>
          <cell r="C1754" t="str">
            <v>Thrust washer FEX</v>
          </cell>
          <cell r="D1754">
            <v>2311</v>
          </cell>
          <cell r="E1754">
            <v>310.61827956989248</v>
          </cell>
        </row>
        <row r="1755">
          <cell r="A1755">
            <v>17481</v>
          </cell>
          <cell r="B1755" t="str">
            <v>Induktivføler Ø12, 0-4 mm</v>
          </cell>
          <cell r="C1755" t="str">
            <v>Inductive sensor Ø12, 0-4 mm</v>
          </cell>
          <cell r="D1755">
            <v>1855</v>
          </cell>
          <cell r="E1755">
            <v>249.3279569892473</v>
          </cell>
        </row>
        <row r="1756">
          <cell r="A1756">
            <v>17489</v>
          </cell>
          <cell r="B1756" t="str">
            <v>Cyl. Skrue M20 x 80 DIN 912</v>
          </cell>
          <cell r="C1756" t="str">
            <v>Cyl. Screw M20 x 80 DIN 912</v>
          </cell>
          <cell r="D1756">
            <v>18.600000000000001</v>
          </cell>
          <cell r="E1756">
            <v>2.5</v>
          </cell>
        </row>
        <row r="1757">
          <cell r="A1757">
            <v>17490</v>
          </cell>
          <cell r="B1757" t="str">
            <v>Trekantsplade Gummiophæng Knivhus</v>
          </cell>
          <cell r="C1757" t="str">
            <v>Triangular plate for rubber hinged knifehouse</v>
          </cell>
          <cell r="D1757">
            <v>265</v>
          </cell>
          <cell r="E1757">
            <v>35.618279569892472</v>
          </cell>
        </row>
        <row r="1758">
          <cell r="A1758">
            <v>17491</v>
          </cell>
          <cell r="B1758" t="str">
            <v>Knivhusophæng for gummielement EX</v>
          </cell>
          <cell r="C1758" t="str">
            <v>Mounting for knife house for rubberelement EX</v>
          </cell>
          <cell r="D1758">
            <v>5002</v>
          </cell>
          <cell r="E1758">
            <v>672.31182795698919</v>
          </cell>
        </row>
        <row r="1759">
          <cell r="A1759">
            <v>17492</v>
          </cell>
          <cell r="B1759" t="str">
            <v>Løftekrog for matrice</v>
          </cell>
          <cell r="C1759" t="str">
            <v>Lifting hook for die</v>
          </cell>
          <cell r="D1759">
            <v>2650</v>
          </cell>
          <cell r="E1759">
            <v>356.18279569892474</v>
          </cell>
        </row>
        <row r="1760">
          <cell r="A1760">
            <v>17493</v>
          </cell>
          <cell r="B1760" t="str">
            <v>6-kt. Skrue M20 x 70 8.8 FZB DIN 933</v>
          </cell>
          <cell r="C1760" t="str">
            <v>Hex screw M20 x 70 8.8 FZB DIN 933</v>
          </cell>
          <cell r="D1760">
            <v>10.6</v>
          </cell>
          <cell r="E1760">
            <v>1.4247311827956988</v>
          </cell>
        </row>
        <row r="1761">
          <cell r="A1761">
            <v>17510</v>
          </cell>
          <cell r="B1761" t="str">
            <v>Slange Ø8/Ø6 nylon</v>
          </cell>
          <cell r="C1761" t="str">
            <v>Hose Ø10/Ø6 silicone l=1100</v>
          </cell>
          <cell r="D1761">
            <v>34</v>
          </cell>
          <cell r="E1761">
            <v>4.5698924731182791</v>
          </cell>
        </row>
        <row r="1762">
          <cell r="A1762">
            <v>17514</v>
          </cell>
          <cell r="B1762" t="str">
            <v>Flange for slidforing</v>
          </cell>
          <cell r="C1762" t="str">
            <v>Flange for wear barrel</v>
          </cell>
          <cell r="D1762">
            <v>7685</v>
          </cell>
          <cell r="E1762">
            <v>1032.9301075268816</v>
          </cell>
        </row>
        <row r="1763">
          <cell r="A1763">
            <v>17518</v>
          </cell>
          <cell r="B1763" t="str">
            <v>Tætningsskive for knivaksel</v>
          </cell>
          <cell r="C1763" t="str">
            <v xml:space="preserve">Sealing facet for knifeshaft </v>
          </cell>
          <cell r="D1763">
            <v>162</v>
          </cell>
          <cell r="E1763">
            <v>21.774193548387096</v>
          </cell>
        </row>
        <row r="1764">
          <cell r="A1764">
            <v>17519</v>
          </cell>
          <cell r="B1764" t="str">
            <v>Nav for tætningskive EX20</v>
          </cell>
          <cell r="C1764" t="str">
            <v>Hub for tightening disc EX20</v>
          </cell>
          <cell r="D1764">
            <v>777</v>
          </cell>
          <cell r="E1764">
            <v>104.43548387096773</v>
          </cell>
        </row>
        <row r="1765">
          <cell r="A1765">
            <v>17525</v>
          </cell>
          <cell r="B1765" t="str">
            <v xml:space="preserve">Samlekase 82 x82  med P stik </v>
          </cell>
          <cell r="C1765" t="str">
            <v>Connectionbox with P- connection</v>
          </cell>
          <cell r="D1765">
            <v>583</v>
          </cell>
          <cell r="E1765">
            <v>78.36021505376344</v>
          </cell>
        </row>
        <row r="1766">
          <cell r="A1766">
            <v>17553</v>
          </cell>
          <cell r="B1766" t="str">
            <v>Kontramøtrik 3/4" RG AISI 304</v>
          </cell>
          <cell r="C1766" t="str">
            <v>Counter nut 3/4" RG AISI 304</v>
          </cell>
          <cell r="D1766">
            <v>27</v>
          </cell>
          <cell r="E1766">
            <v>3.629032258064516</v>
          </cell>
        </row>
        <row r="1767">
          <cell r="A1767">
            <v>17560</v>
          </cell>
          <cell r="B1767" t="str">
            <v>Vibrationsdæmper AD5035</v>
          </cell>
          <cell r="C1767" t="str">
            <v>Vibration rubber damper AD5035</v>
          </cell>
          <cell r="D1767">
            <v>95</v>
          </cell>
          <cell r="E1767">
            <v>12.768817204301074</v>
          </cell>
        </row>
        <row r="1768">
          <cell r="A1768">
            <v>17565</v>
          </cell>
          <cell r="B1768" t="str">
            <v>6 kt skrue M12 x 180  A2  DIN 931</v>
          </cell>
          <cell r="C1768" t="str">
            <v>Hex. Screw M12 x 160 A2 DIN931</v>
          </cell>
          <cell r="D1768">
            <v>42</v>
          </cell>
          <cell r="E1768">
            <v>5.6451612903225801</v>
          </cell>
        </row>
        <row r="1769">
          <cell r="A1769">
            <v>17595</v>
          </cell>
          <cell r="B1769" t="str">
            <v>Gummigardin lodr. Indløb nitril</v>
          </cell>
          <cell r="C1769" t="str">
            <v>Pellet screen for inlet vert. H 500</v>
          </cell>
          <cell r="D1769">
            <v>774</v>
          </cell>
          <cell r="E1769">
            <v>104.03225806451613</v>
          </cell>
        </row>
        <row r="1770">
          <cell r="A1770">
            <v>17611</v>
          </cell>
          <cell r="B1770" t="str">
            <v>Pilleskærm for indløb lodr., H500</v>
          </cell>
          <cell r="C1770" t="str">
            <v>Cyl. Slotted screw M6 x 10 A2</v>
          </cell>
          <cell r="D1770">
            <v>1590</v>
          </cell>
          <cell r="E1770">
            <v>213.70967741935482</v>
          </cell>
        </row>
        <row r="1771">
          <cell r="A1771">
            <v>17625</v>
          </cell>
          <cell r="B1771" t="str">
            <v>Blandegevind M12</v>
          </cell>
          <cell r="C1771" t="str">
            <v>Mixing paddle M 12</v>
          </cell>
          <cell r="D1771">
            <v>530</v>
          </cell>
          <cell r="E1771">
            <v>71.236559139784944</v>
          </cell>
        </row>
        <row r="1772">
          <cell r="A1772">
            <v>17629</v>
          </cell>
          <cell r="B1772" t="str">
            <v>Trykspindel</v>
          </cell>
          <cell r="C1772" t="str">
            <v>Pin rod</v>
          </cell>
          <cell r="D1772">
            <v>254</v>
          </cell>
          <cell r="E1772">
            <v>34.13978494623656</v>
          </cell>
        </row>
        <row r="1773">
          <cell r="A1773">
            <v>17661</v>
          </cell>
          <cell r="B1773" t="str">
            <v>U-bolt med møtrikker</v>
          </cell>
          <cell r="C1773" t="str">
            <v>Counter sink screw with nut</v>
          </cell>
          <cell r="D1773">
            <v>4.9000000000000004</v>
          </cell>
          <cell r="E1773">
            <v>0.65860215053763438</v>
          </cell>
        </row>
        <row r="1774">
          <cell r="A1774">
            <v>17664</v>
          </cell>
          <cell r="B1774" t="str">
            <v>Cyl. Kærvskrue M6x10 A2</v>
          </cell>
          <cell r="C1774" t="str">
            <v>Cyl. Slotted screw M6 x 10 A2</v>
          </cell>
          <cell r="D1774">
            <v>0.8</v>
          </cell>
          <cell r="E1774">
            <v>0.10752688172043011</v>
          </cell>
        </row>
        <row r="1775">
          <cell r="A1775">
            <v>17681</v>
          </cell>
          <cell r="B1775" t="str">
            <v>Lamel gavl.</v>
          </cell>
          <cell r="C1775" t="str">
            <v>Lamel galv.</v>
          </cell>
          <cell r="D1775">
            <v>292</v>
          </cell>
          <cell r="E1775">
            <v>39.247311827956985</v>
          </cell>
        </row>
        <row r="1776">
          <cell r="A1776">
            <v>17690</v>
          </cell>
          <cell r="B1776" t="str">
            <v>Beskyttelsesplade for pillekammer AISI 304</v>
          </cell>
          <cell r="C1776" t="str">
            <v>Protection plate for pellet chanber</v>
          </cell>
          <cell r="D1776">
            <v>1654</v>
          </cell>
          <cell r="E1776">
            <v>222.31182795698925</v>
          </cell>
        </row>
        <row r="1777">
          <cell r="A1777">
            <v>17693</v>
          </cell>
          <cell r="B1777" t="str">
            <v>Bagplade for pillekammer, rustfri</v>
          </cell>
          <cell r="C1777" t="str">
            <v>Backplate for pelletchamber.</v>
          </cell>
          <cell r="D1777">
            <v>1293</v>
          </cell>
          <cell r="E1777">
            <v>173.79032258064515</v>
          </cell>
        </row>
        <row r="1778">
          <cell r="A1778">
            <v>17694</v>
          </cell>
          <cell r="B1778" t="str">
            <v>Bagplade pillekammer, rustfri</v>
          </cell>
          <cell r="C1778" t="str">
            <v xml:space="preserve">Backplate for pellet chamber </v>
          </cell>
          <cell r="D1778">
            <v>1431</v>
          </cell>
          <cell r="E1778">
            <v>192.33870967741933</v>
          </cell>
        </row>
        <row r="1779">
          <cell r="A1779">
            <v>17704</v>
          </cell>
          <cell r="B1779" t="str">
            <v>Slidforing</v>
          </cell>
          <cell r="C1779" t="str">
            <v>Wear barrel section</v>
          </cell>
          <cell r="D1779">
            <v>9646</v>
          </cell>
          <cell r="E1779">
            <v>1296.505376344086</v>
          </cell>
        </row>
        <row r="1780">
          <cell r="A1780">
            <v>17713</v>
          </cell>
          <cell r="B1780" t="str">
            <v>Slid-mellemforing l=90</v>
          </cell>
          <cell r="C1780" t="str">
            <v>Interm. wear barrel section l=90</v>
          </cell>
          <cell r="D1780">
            <v>6200</v>
          </cell>
          <cell r="E1780">
            <v>833.33333333333326</v>
          </cell>
        </row>
        <row r="1781">
          <cell r="A1781">
            <v>17729</v>
          </cell>
          <cell r="B1781" t="str">
            <v>Stift Ø06 x 36 DIN 6325</v>
          </cell>
          <cell r="C1781" t="str">
            <v>Pin Ø06x36 DIN 6325</v>
          </cell>
          <cell r="D1781">
            <v>3.5</v>
          </cell>
          <cell r="E1781">
            <v>0.47043010752688169</v>
          </cell>
        </row>
        <row r="1782">
          <cell r="A1782">
            <v>17753</v>
          </cell>
          <cell r="B1782" t="str">
            <v>Kontramøtrik 1" RG spec.</v>
          </cell>
          <cell r="C1782" t="str">
            <v>Counter nut 1" spec.</v>
          </cell>
          <cell r="D1782">
            <v>170</v>
          </cell>
          <cell r="E1782">
            <v>22.849462365591396</v>
          </cell>
        </row>
        <row r="1783">
          <cell r="A1783">
            <v>17801</v>
          </cell>
          <cell r="B1783" t="str">
            <v>O-ring Ø109 x Ø5.7 Viton</v>
          </cell>
          <cell r="C1783" t="str">
            <v>O-ring Ø109x Ø5,7 Viton</v>
          </cell>
          <cell r="D1783">
            <v>19.600000000000001</v>
          </cell>
          <cell r="E1783">
            <v>2.6344086021505375</v>
          </cell>
        </row>
        <row r="1784">
          <cell r="A1784">
            <v>17836</v>
          </cell>
          <cell r="B1784" t="str">
            <v>Fødekonus presset model</v>
          </cell>
          <cell r="C1784" t="str">
            <v>Feed cone</v>
          </cell>
          <cell r="D1784">
            <v>2650</v>
          </cell>
          <cell r="E1784">
            <v>356.18279569892474</v>
          </cell>
        </row>
        <row r="1785">
          <cell r="A1785">
            <v>17850</v>
          </cell>
          <cell r="B1785" t="str">
            <v>Brystnippel 3/4" RG 60gr KON &amp; 3/4" KRG</v>
          </cell>
          <cell r="C1785" t="str">
            <v>Nipple 3/4" RG 60gr KON &amp; 3/4" KRG</v>
          </cell>
          <cell r="D1785">
            <v>22</v>
          </cell>
          <cell r="E1785">
            <v>2.956989247311828</v>
          </cell>
        </row>
        <row r="1786">
          <cell r="A1786">
            <v>17870</v>
          </cell>
          <cell r="B1786" t="str">
            <v>Renovering FEX 34 slid /mellem snegl</v>
          </cell>
          <cell r="C1786" t="str">
            <v>Repair FEX 34 wear/intermidiate screw</v>
          </cell>
          <cell r="D1786">
            <v>5194</v>
          </cell>
          <cell r="E1786">
            <v>698.11827956989248</v>
          </cell>
        </row>
        <row r="1787">
          <cell r="A1787">
            <v>17909</v>
          </cell>
          <cell r="B1787" t="str">
            <v xml:space="preserve">Pakning for skueglas  </v>
          </cell>
          <cell r="C1787" t="str">
            <v>Packing for inspection glass</v>
          </cell>
          <cell r="D1787">
            <v>41</v>
          </cell>
          <cell r="E1787">
            <v>5.510752688172043</v>
          </cell>
        </row>
        <row r="1788">
          <cell r="A1788">
            <v>17974</v>
          </cell>
          <cell r="B1788" t="str">
            <v>Hus for dyseplade 3kt EX17</v>
          </cell>
          <cell r="C1788" t="str">
            <v>Housing for Die plate triangular EX17</v>
          </cell>
          <cell r="D1788">
            <v>20670</v>
          </cell>
          <cell r="E1788">
            <v>2778.2258064516127</v>
          </cell>
        </row>
        <row r="1789">
          <cell r="A1789">
            <v>17987</v>
          </cell>
          <cell r="B1789" t="str">
            <v>Knivaksel for EX17</v>
          </cell>
          <cell r="C1789" t="str">
            <v>Knife shaft for EX17</v>
          </cell>
          <cell r="D1789">
            <v>3550</v>
          </cell>
          <cell r="E1789">
            <v>477.15053763440858</v>
          </cell>
        </row>
        <row r="1790">
          <cell r="A1790">
            <v>17989</v>
          </cell>
          <cell r="B1790" t="str">
            <v>Motorplade for knivmotor EX17 3,0 KW</v>
          </cell>
          <cell r="C1790" t="str">
            <v>Motor plate for knife engine EX17 3,0 KW</v>
          </cell>
          <cell r="D1790">
            <v>1401</v>
          </cell>
          <cell r="E1790">
            <v>188.3064516129032</v>
          </cell>
        </row>
        <row r="1791">
          <cell r="A1791">
            <v>17992</v>
          </cell>
          <cell r="B1791" t="str">
            <v>Cyl. skrue M4 x 10 A2 DIN912</v>
          </cell>
          <cell r="C1791" t="str">
            <v>Cyl. screw M 4X010 A2   DIN912</v>
          </cell>
          <cell r="D1791">
            <v>0.7</v>
          </cell>
          <cell r="E1791">
            <v>9.408602150537633E-2</v>
          </cell>
        </row>
        <row r="1792">
          <cell r="A1792">
            <v>19004</v>
          </cell>
          <cell r="B1792" t="str">
            <v>Erstattet af 039059</v>
          </cell>
          <cell r="C1792" t="str">
            <v>Replaced by 059059</v>
          </cell>
          <cell r="D1792" t="str">
            <v>replaced</v>
          </cell>
          <cell r="E1792" t="e">
            <v>#VALUE!</v>
          </cell>
        </row>
        <row r="1793">
          <cell r="A1793">
            <v>19011</v>
          </cell>
          <cell r="B1793" t="str">
            <v>Ophæng for omdrejningsvagt</v>
          </cell>
          <cell r="C1793" t="str">
            <v>Bracket for speed guard</v>
          </cell>
          <cell r="D1793">
            <v>159</v>
          </cell>
          <cell r="E1793">
            <v>21.370967741935484</v>
          </cell>
        </row>
        <row r="1794">
          <cell r="A1794">
            <v>19026</v>
          </cell>
          <cell r="B1794" t="str">
            <v>Rør: Lynkobling-cylinder, kompl. med omløbere</v>
          </cell>
          <cell r="C1794" t="str">
            <v>Pipe: Snap coupling-cylinder, compl. with union nuts</v>
          </cell>
          <cell r="D1794">
            <v>583</v>
          </cell>
          <cell r="E1794">
            <v>78.36021505376344</v>
          </cell>
        </row>
        <row r="1795">
          <cell r="A1795">
            <v>19027</v>
          </cell>
          <cell r="B1795" t="str">
            <v>Rør: Cylinder-cylinder, kompl. med omløbere FEX34</v>
          </cell>
          <cell r="C1795" t="str">
            <v>Pipe: Cylinder-cylinder, complete with union nuts FEX34</v>
          </cell>
          <cell r="D1795">
            <v>689</v>
          </cell>
          <cell r="E1795">
            <v>92.607526881720432</v>
          </cell>
        </row>
        <row r="1796">
          <cell r="A1796">
            <v>19040</v>
          </cell>
          <cell r="B1796" t="str">
            <v>6-kt. Skrue M16 x 80 8.8</v>
          </cell>
          <cell r="C1796" t="str">
            <v>Hex screw M16 x 80 8.8</v>
          </cell>
          <cell r="D1796">
            <v>8</v>
          </cell>
          <cell r="E1796">
            <v>1.075268817204301</v>
          </cell>
        </row>
        <row r="1797">
          <cell r="A1797">
            <v>19059</v>
          </cell>
          <cell r="B1797" t="str">
            <v>Magnetventil 1/8 " 110 Vac</v>
          </cell>
          <cell r="C1797" t="str">
            <v xml:space="preserve">Solenoid valve 1/8 " 110 Vac  </v>
          </cell>
          <cell r="D1797">
            <v>840</v>
          </cell>
          <cell r="E1797">
            <v>112.9032258064516</v>
          </cell>
        </row>
        <row r="1798">
          <cell r="A1798">
            <v>19060</v>
          </cell>
          <cell r="B1798" t="str">
            <v>Timer 110 V</v>
          </cell>
          <cell r="C1798" t="str">
            <v>Timer 110 V</v>
          </cell>
          <cell r="D1798">
            <v>992</v>
          </cell>
          <cell r="E1798">
            <v>133.33333333333331</v>
          </cell>
        </row>
        <row r="1799">
          <cell r="A1799">
            <v>19062</v>
          </cell>
          <cell r="B1799" t="str">
            <v>Renovering af M900 slidring, 1 stk. indlæg</v>
          </cell>
          <cell r="C1799" t="str">
            <v>Repair of M900 wear ring 1 pc. Ply.</v>
          </cell>
          <cell r="D1799">
            <v>3392</v>
          </cell>
          <cell r="E1799">
            <v>455.91397849462362</v>
          </cell>
        </row>
        <row r="1800">
          <cell r="A1800">
            <v>19063</v>
          </cell>
          <cell r="B1800" t="str">
            <v>Ekstra indlæg, pr. stk..</v>
          </cell>
          <cell r="C1800" t="str">
            <v>extra ply. Each</v>
          </cell>
          <cell r="D1800">
            <v>371</v>
          </cell>
          <cell r="E1800">
            <v>49.865591397849457</v>
          </cell>
        </row>
        <row r="1801">
          <cell r="A1801">
            <v>19105</v>
          </cell>
          <cell r="B1801" t="str">
            <v>Hus f/vingegranulator, svejset</v>
          </cell>
          <cell r="C1801" t="str">
            <v>Housing f/wing crumbler, welded</v>
          </cell>
          <cell r="D1801">
            <v>20670</v>
          </cell>
          <cell r="E1801">
            <v>2778.2258064516127</v>
          </cell>
        </row>
        <row r="1802">
          <cell r="A1802">
            <v>19107</v>
          </cell>
          <cell r="B1802" t="str">
            <v>Leje UC307, f/lejeflange UCF307, Ø35</v>
          </cell>
          <cell r="C1802" t="str">
            <v>Bearing UC307, f/bearing flange UCF307, Ø35</v>
          </cell>
          <cell r="D1802">
            <v>175</v>
          </cell>
          <cell r="E1802">
            <v>23.521505376344084</v>
          </cell>
        </row>
        <row r="1803">
          <cell r="A1803">
            <v>19197</v>
          </cell>
          <cell r="B1803" t="str">
            <v>O-ring Ø018,0 x Ø4,0 Nitril</v>
          </cell>
          <cell r="C1803" t="str">
            <v>O-ring Ø018,0 x Ø4,0 Nitril</v>
          </cell>
          <cell r="D1803">
            <v>0.8</v>
          </cell>
          <cell r="E1803">
            <v>0.10752688172043011</v>
          </cell>
        </row>
        <row r="1804">
          <cell r="A1804">
            <v>19202</v>
          </cell>
          <cell r="B1804" t="str">
            <v>Forplade</v>
          </cell>
          <cell r="C1804" t="str">
            <v>Frontplate</v>
          </cell>
          <cell r="D1804">
            <v>34450</v>
          </cell>
          <cell r="E1804">
            <v>4630.3763440860212</v>
          </cell>
        </row>
        <row r="1805">
          <cell r="A1805">
            <v>19206</v>
          </cell>
          <cell r="B1805" t="str">
            <v>Gummiskraber</v>
          </cell>
          <cell r="C1805" t="str">
            <v>Dust scraper dust outlet</v>
          </cell>
          <cell r="D1805">
            <v>2279</v>
          </cell>
          <cell r="E1805">
            <v>306.31720430107526</v>
          </cell>
        </row>
        <row r="1806">
          <cell r="A1806">
            <v>19209</v>
          </cell>
          <cell r="B1806" t="str">
            <v>Fordelerrør for damp, venstre</v>
          </cell>
          <cell r="C1806" t="str">
            <v>Distributor pipe for steam, left</v>
          </cell>
          <cell r="D1806">
            <v>8586</v>
          </cell>
          <cell r="E1806">
            <v>1154.0322580645161</v>
          </cell>
        </row>
        <row r="1807">
          <cell r="A1807">
            <v>19216</v>
          </cell>
          <cell r="B1807" t="str">
            <v>Feder A 10 x 8 x 063 DS96</v>
          </cell>
          <cell r="C1807" t="str">
            <v>Parallel key A 10 x 8 x 063 DS96</v>
          </cell>
          <cell r="D1807">
            <v>6.9</v>
          </cell>
          <cell r="E1807">
            <v>0.92741935483870963</v>
          </cell>
        </row>
        <row r="1808">
          <cell r="A1808">
            <v>19230</v>
          </cell>
          <cell r="B1808" t="str">
            <v>Holder f/godsfordeler 1-3</v>
          </cell>
          <cell r="C1808" t="str">
            <v>Holder for deflector 1-3</v>
          </cell>
          <cell r="D1808">
            <v>2162</v>
          </cell>
          <cell r="E1808">
            <v>290.59139784946234</v>
          </cell>
        </row>
        <row r="1809">
          <cell r="A1809">
            <v>19231</v>
          </cell>
          <cell r="B1809" t="str">
            <v>Støtte f/godsfordeler 3</v>
          </cell>
          <cell r="C1809" t="str">
            <v>Support f/deflector no.3</v>
          </cell>
          <cell r="D1809">
            <v>981</v>
          </cell>
          <cell r="E1809">
            <v>131.85483870967741</v>
          </cell>
        </row>
        <row r="1810">
          <cell r="A1810">
            <v>19255</v>
          </cell>
          <cell r="B1810" t="str">
            <v>O-ring f. skueglas</v>
          </cell>
          <cell r="C1810" t="str">
            <v>O-ring for sight glass</v>
          </cell>
          <cell r="D1810">
            <v>7.7</v>
          </cell>
          <cell r="E1810">
            <v>1.0349462365591398</v>
          </cell>
        </row>
        <row r="1811">
          <cell r="A1811">
            <v>19277</v>
          </cell>
          <cell r="B1811" t="str">
            <v>Dæksel for flangeleje CMUCF 208</v>
          </cell>
          <cell r="C1811" t="str">
            <v>Cover for flange bearing CMUCF 208</v>
          </cell>
          <cell r="D1811">
            <v>75</v>
          </cell>
          <cell r="E1811">
            <v>10.080645161290322</v>
          </cell>
        </row>
        <row r="1812">
          <cell r="A1812">
            <v>19291</v>
          </cell>
          <cell r="B1812" t="str">
            <v>Motorplade indløbssnegl 1,5 kW</v>
          </cell>
          <cell r="C1812" t="str">
            <v>Motor plate inlet screw 1.5 kW</v>
          </cell>
          <cell r="D1812">
            <v>954</v>
          </cell>
          <cell r="E1812">
            <v>128.2258064516129</v>
          </cell>
        </row>
        <row r="1813">
          <cell r="A1813">
            <v>19292</v>
          </cell>
          <cell r="B1813" t="str">
            <v>Gavlplade for indløbssnegl M12</v>
          </cell>
          <cell r="C1813" t="str">
            <v>Gable plate for inlet screw M12</v>
          </cell>
          <cell r="D1813">
            <v>1548</v>
          </cell>
          <cell r="E1813">
            <v>208.06451612903226</v>
          </cell>
        </row>
        <row r="1814">
          <cell r="A1814">
            <v>19294</v>
          </cell>
          <cell r="B1814" t="str">
            <v>Blandegevind H111 M16 kompl.</v>
          </cell>
          <cell r="C1814" t="str">
            <v>Mixing paddle H111 M16 compl.</v>
          </cell>
          <cell r="D1814">
            <v>493</v>
          </cell>
          <cell r="E1814">
            <v>66.263440860215056</v>
          </cell>
        </row>
        <row r="1815">
          <cell r="A1815">
            <v>19304</v>
          </cell>
          <cell r="B1815" t="str">
            <v>Skraber, komplet</v>
          </cell>
          <cell r="C1815" t="str">
            <v>Scraper, complete</v>
          </cell>
          <cell r="D1815">
            <v>398</v>
          </cell>
          <cell r="E1815">
            <v>53.494623655913976</v>
          </cell>
        </row>
        <row r="1816">
          <cell r="A1816">
            <v>19308</v>
          </cell>
          <cell r="B1816" t="str">
            <v>Kileremskive SPA 1 Ø100 TL 1610</v>
          </cell>
          <cell r="C1816" t="str">
            <v>V-belt pulley SPA1 Ø100 TL 1610</v>
          </cell>
          <cell r="D1816">
            <v>51</v>
          </cell>
          <cell r="E1816">
            <v>6.854838709677419</v>
          </cell>
        </row>
        <row r="1817">
          <cell r="A1817">
            <v>19309</v>
          </cell>
          <cell r="B1817" t="str">
            <v>Kileremskive SPA 1 Ø224 TL 2012</v>
          </cell>
          <cell r="C1817" t="str">
            <v>V-belt pulley SPA1 Ø224 TL 2012</v>
          </cell>
          <cell r="D1817">
            <v>111</v>
          </cell>
          <cell r="E1817">
            <v>14.919354838709676</v>
          </cell>
        </row>
        <row r="1818">
          <cell r="A1818">
            <v>19310</v>
          </cell>
          <cell r="B1818" t="str">
            <v>Spændeelement TL 1610 - Ø24</v>
          </cell>
          <cell r="C1818" t="str">
            <v>Shaft adapter, taper-lock TL 1610 - Ø24</v>
          </cell>
          <cell r="D1818">
            <v>25</v>
          </cell>
          <cell r="E1818">
            <v>3.3602150537634405</v>
          </cell>
        </row>
        <row r="1819">
          <cell r="A1819">
            <v>19311</v>
          </cell>
          <cell r="B1819" t="str">
            <v>Kilerem SPA 1120</v>
          </cell>
          <cell r="C1819" t="str">
            <v>V-belt SPA 1120</v>
          </cell>
          <cell r="D1819">
            <v>51</v>
          </cell>
          <cell r="E1819">
            <v>6.854838709677419</v>
          </cell>
        </row>
        <row r="1820">
          <cell r="A1820">
            <v>19313</v>
          </cell>
          <cell r="B1820" t="str">
            <v>Skærm for remtræk PM12</v>
          </cell>
          <cell r="C1820" t="str">
            <v>Screen for belt drive PM12</v>
          </cell>
          <cell r="D1820">
            <v>3062</v>
          </cell>
          <cell r="E1820">
            <v>411.55913978494624</v>
          </cell>
        </row>
        <row r="1821">
          <cell r="A1821">
            <v>19315</v>
          </cell>
          <cell r="B1821" t="str">
            <v>Aftræksværktøj for matrice ,manuel</v>
          </cell>
          <cell r="C1821" t="str">
            <v>Jack for die , manual</v>
          </cell>
          <cell r="D1821">
            <v>3750</v>
          </cell>
          <cell r="E1821">
            <v>504.0322580645161</v>
          </cell>
        </row>
        <row r="1822">
          <cell r="A1822">
            <v>19316</v>
          </cell>
          <cell r="B1822" t="str">
            <v>Aksel Ø40/Ø16 x 50, A303</v>
          </cell>
          <cell r="C1822" t="str">
            <v>Shaft Ø40/Ø16 x 50, A303</v>
          </cell>
          <cell r="D1822">
            <v>133</v>
          </cell>
          <cell r="E1822">
            <v>17.876344086021504</v>
          </cell>
        </row>
        <row r="1823">
          <cell r="A1823">
            <v>19324</v>
          </cell>
          <cell r="B1823" t="str">
            <v xml:space="preserve">Blandegevind </v>
          </cell>
          <cell r="C1823" t="str">
            <v>Mixing paddle</v>
          </cell>
          <cell r="D1823">
            <v>387</v>
          </cell>
          <cell r="E1823">
            <v>52.016129032258064</v>
          </cell>
        </row>
        <row r="1824">
          <cell r="A1824">
            <v>19325</v>
          </cell>
          <cell r="B1824" t="str">
            <v>Indløbssnegl m/palet, svejs</v>
          </cell>
          <cell r="C1824" t="str">
            <v xml:space="preserve">Inlet screw </v>
          </cell>
          <cell r="D1824">
            <v>22154</v>
          </cell>
          <cell r="E1824">
            <v>2977.6881720430106</v>
          </cell>
        </row>
        <row r="1825">
          <cell r="A1825">
            <v>19326</v>
          </cell>
          <cell r="B1825" t="str">
            <v>Aksel for paletter for indløbssnegl</v>
          </cell>
          <cell r="C1825" t="str">
            <v>Shaft for pallets for inlet screw</v>
          </cell>
          <cell r="D1825">
            <v>6821</v>
          </cell>
          <cell r="E1825">
            <v>916.80107526881716</v>
          </cell>
        </row>
        <row r="1826">
          <cell r="A1826">
            <v>19331</v>
          </cell>
          <cell r="B1826" t="str">
            <v>6-kt. skrue M16 x 45 DIN 933 St12.9 FZB</v>
          </cell>
          <cell r="C1826" t="str">
            <v>Hexagon scre M16 x 45 DIN 933 St12.9 FZB</v>
          </cell>
          <cell r="D1826">
            <v>22</v>
          </cell>
          <cell r="E1826">
            <v>2.956989247311828</v>
          </cell>
        </row>
        <row r="1827">
          <cell r="A1827">
            <v>19333</v>
          </cell>
          <cell r="B1827" t="str">
            <v>Luftventilationsskakt komplet</v>
          </cell>
          <cell r="C1827" t="str">
            <v>Air ventilating shaft complete</v>
          </cell>
          <cell r="D1827">
            <v>7072</v>
          </cell>
          <cell r="E1827">
            <v>950.53763440860212</v>
          </cell>
        </row>
        <row r="1828">
          <cell r="A1828">
            <v>19334</v>
          </cell>
          <cell r="B1828" t="str">
            <v>Konsol for sikkerhedsendestop</v>
          </cell>
          <cell r="C1828" t="str">
            <v>Console for safety stop</v>
          </cell>
          <cell r="D1828">
            <v>212</v>
          </cell>
          <cell r="E1828">
            <v>28.494623655913976</v>
          </cell>
        </row>
        <row r="1829">
          <cell r="A1829">
            <v>19335</v>
          </cell>
          <cell r="B1829" t="str">
            <v>Konsol for nøgle</v>
          </cell>
          <cell r="C1829" t="str">
            <v>Console for key</v>
          </cell>
          <cell r="D1829">
            <v>117</v>
          </cell>
          <cell r="E1829">
            <v>15.725806451612902</v>
          </cell>
        </row>
        <row r="1830">
          <cell r="A1830">
            <v>19349</v>
          </cell>
          <cell r="B1830" t="str">
            <v>6-kt Skrue M20 x 50 DIN931</v>
          </cell>
          <cell r="C1830" t="str">
            <v>Hex. screw M20 x 50 FZB DIN933</v>
          </cell>
          <cell r="D1830">
            <v>9</v>
          </cell>
          <cell r="E1830">
            <v>1.2096774193548387</v>
          </cell>
        </row>
        <row r="1831">
          <cell r="A1831">
            <v>19377</v>
          </cell>
          <cell r="B1831" t="str">
            <v>Snegl Ø170 L=1000,</v>
          </cell>
          <cell r="C1831" t="str">
            <v xml:space="preserve">Screw Ø170 L=1000, </v>
          </cell>
          <cell r="D1831">
            <v>9600</v>
          </cell>
          <cell r="E1831">
            <v>1290.3225806451612</v>
          </cell>
        </row>
        <row r="1832">
          <cell r="A1832">
            <v>19378</v>
          </cell>
          <cell r="B1832" t="str">
            <v>Gummiliste smuldskraber</v>
          </cell>
          <cell r="C1832" t="str">
            <v>Dustscraber</v>
          </cell>
          <cell r="D1832">
            <v>371</v>
          </cell>
          <cell r="E1832">
            <v>49.865591397849457</v>
          </cell>
        </row>
        <row r="1833">
          <cell r="A1833">
            <v>19388</v>
          </cell>
          <cell r="B1833" t="str">
            <v xml:space="preserve">Konsol f sik endst pillekammer </v>
          </cell>
          <cell r="C1833" t="str">
            <v>Pellet chamber safety limit switch bracket</v>
          </cell>
          <cell r="D1833">
            <v>557</v>
          </cell>
          <cell r="E1833">
            <v>74.865591397849457</v>
          </cell>
        </row>
        <row r="1834">
          <cell r="A1834">
            <v>19395</v>
          </cell>
          <cell r="B1834" t="str">
            <v>Nøgle for sikkerhedsendestop</v>
          </cell>
          <cell r="C1834" t="str">
            <v>Key for safety switch</v>
          </cell>
          <cell r="D1834">
            <v>265</v>
          </cell>
          <cell r="E1834">
            <v>35.618279569892472</v>
          </cell>
        </row>
        <row r="1835">
          <cell r="A1835">
            <v>19401</v>
          </cell>
          <cell r="B1835" t="str">
            <v>Oliekøler EMMRGI 1" L=700 mm</v>
          </cell>
          <cell r="C1835" t="str">
            <v>Oil cooler EMMRGI 1" L=700 mm</v>
          </cell>
          <cell r="D1835">
            <v>4060</v>
          </cell>
          <cell r="E1835">
            <v>545.69892473118273</v>
          </cell>
        </row>
        <row r="1836">
          <cell r="A1836">
            <v>19410</v>
          </cell>
          <cell r="B1836" t="str">
            <v>Magnetventil on/off &amp; kontra 110 V, 50/60 Hz</v>
          </cell>
          <cell r="C1836" t="str">
            <v>Solenoid valve on/off &amp; non-ret. 110 V, 50/60 Hz</v>
          </cell>
          <cell r="D1836">
            <v>896</v>
          </cell>
          <cell r="E1836">
            <v>120.43010752688171</v>
          </cell>
        </row>
        <row r="1837">
          <cell r="A1837">
            <v>19419</v>
          </cell>
          <cell r="B1837" t="str">
            <v>Skærmskive M16</v>
          </cell>
          <cell r="C1837" t="str">
            <v>Screen washer M16</v>
          </cell>
          <cell r="D1837">
            <v>2.1</v>
          </cell>
          <cell r="E1837">
            <v>0.282258064516129</v>
          </cell>
        </row>
        <row r="1838">
          <cell r="A1838">
            <v>19423</v>
          </cell>
          <cell r="B1838" t="str">
            <v>Afdækningsplade for knivmotorjustering</v>
          </cell>
          <cell r="C1838" t="str">
            <v>Cover plate for knife motor</v>
          </cell>
          <cell r="D1838">
            <v>34</v>
          </cell>
          <cell r="E1838">
            <v>4.5698924731182791</v>
          </cell>
        </row>
        <row r="1839">
          <cell r="A1839">
            <v>19439</v>
          </cell>
          <cell r="B1839" t="str">
            <v>Ophæng for omdrejningsvagt, komplet,</v>
          </cell>
          <cell r="C1839" t="str">
            <v>Jig for speed guard</v>
          </cell>
          <cell r="D1839">
            <v>322</v>
          </cell>
          <cell r="E1839">
            <v>43.279569892473113</v>
          </cell>
        </row>
        <row r="1840">
          <cell r="A1840">
            <v>19442</v>
          </cell>
          <cell r="B1840" t="str">
            <v>Vinkel 45gr 3/4" galvaniseret</v>
          </cell>
          <cell r="C1840" t="str">
            <v>Angle 45degr. 3/4" galvanized</v>
          </cell>
          <cell r="D1840">
            <v>28</v>
          </cell>
          <cell r="E1840">
            <v>3.7634408602150535</v>
          </cell>
        </row>
        <row r="1841">
          <cell r="A1841">
            <v>19455</v>
          </cell>
          <cell r="B1841" t="str">
            <v>Stag f/ophæng, hydr. cyl.</v>
          </cell>
          <cell r="C1841" t="str">
            <v xml:space="preserve">Stay forf hydr. Cyl </v>
          </cell>
          <cell r="D1841">
            <v>3710</v>
          </cell>
          <cell r="E1841">
            <v>498.6559139784946</v>
          </cell>
        </row>
        <row r="1842">
          <cell r="A1842">
            <v>19469</v>
          </cell>
          <cell r="B1842" t="str">
            <v>Forskruning for Pt100</v>
          </cell>
          <cell r="C1842" t="str">
            <v>Union joint for Pt100</v>
          </cell>
          <cell r="D1842">
            <v>71</v>
          </cell>
          <cell r="E1842">
            <v>9.543010752688172</v>
          </cell>
        </row>
        <row r="1843">
          <cell r="A1843">
            <v>19471</v>
          </cell>
          <cell r="B1843" t="str">
            <v>Indløbssnegl, svejst M1109</v>
          </cell>
          <cell r="C1843" t="str">
            <v>Inlet screw, welded M1109</v>
          </cell>
          <cell r="D1843">
            <v>41870</v>
          </cell>
          <cell r="E1843">
            <v>5627.6881720430101</v>
          </cell>
        </row>
        <row r="1844">
          <cell r="A1844">
            <v>19478</v>
          </cell>
          <cell r="B1844" t="str">
            <v>Ventilkegle for væske</v>
          </cell>
          <cell r="C1844" t="str">
            <v>Valve cone for liquid</v>
          </cell>
          <cell r="D1844">
            <v>1187</v>
          </cell>
          <cell r="E1844">
            <v>159.54301075268816</v>
          </cell>
        </row>
        <row r="1845">
          <cell r="A1845">
            <v>19485</v>
          </cell>
          <cell r="B1845" t="str">
            <v>Pinol skrue M6x16 14,9 DIN 916</v>
          </cell>
          <cell r="C1845" t="str">
            <v>Centre screw M6 x 16  14,9 DIN916</v>
          </cell>
          <cell r="D1845">
            <v>4.2</v>
          </cell>
          <cell r="E1845">
            <v>0.56451612903225801</v>
          </cell>
        </row>
        <row r="1846">
          <cell r="A1846">
            <v>19490</v>
          </cell>
          <cell r="B1846" t="str">
            <v>Palhjul m/spline, hydr. rullejust.</v>
          </cell>
          <cell r="C1846" t="str">
            <v>Pawl wheel, hydr. Rolleradjustment</v>
          </cell>
          <cell r="D1846">
            <v>19610</v>
          </cell>
          <cell r="E1846">
            <v>2635.7526881720428</v>
          </cell>
        </row>
        <row r="1847">
          <cell r="A1847">
            <v>19491</v>
          </cell>
          <cell r="B1847" t="str">
            <v>Palblok f/hydr. rullejust.</v>
          </cell>
          <cell r="C1847" t="str">
            <v>Pawl block f.  Hydr. Rolleradjustment</v>
          </cell>
          <cell r="D1847">
            <v>7950</v>
          </cell>
          <cell r="E1847">
            <v>1068.5483870967741</v>
          </cell>
        </row>
        <row r="1848">
          <cell r="A1848">
            <v>19493</v>
          </cell>
          <cell r="B1848" t="str">
            <v>Laske f/cylinder, hydr. rullejust.</v>
          </cell>
          <cell r="C1848" t="str">
            <v>Fishplate f. cylinder hydr. Rolleradjustment</v>
          </cell>
          <cell r="D1848">
            <v>3175</v>
          </cell>
          <cell r="E1848">
            <v>426.74731182795699</v>
          </cell>
        </row>
        <row r="1849">
          <cell r="A1849">
            <v>19494</v>
          </cell>
          <cell r="B1849" t="str">
            <v>Spændskive m/M12 f/palblok</v>
          </cell>
          <cell r="C1849" t="str">
            <v xml:space="preserve">Lock washer  </v>
          </cell>
          <cell r="D1849">
            <v>1325</v>
          </cell>
          <cell r="E1849">
            <v>178.09139784946237</v>
          </cell>
        </row>
        <row r="1850">
          <cell r="A1850">
            <v>19495</v>
          </cell>
          <cell r="B1850" t="str">
            <v>Spændskive m/Ø13 f/palblok</v>
          </cell>
          <cell r="C1850" t="str">
            <v>Lock washer</v>
          </cell>
          <cell r="D1850">
            <v>1219</v>
          </cell>
          <cell r="E1850">
            <v>163.84408602150538</v>
          </cell>
        </row>
        <row r="1851">
          <cell r="A1851">
            <v>19497</v>
          </cell>
          <cell r="B1851" t="str">
            <v>Friktionsskive f/palblok</v>
          </cell>
          <cell r="C1851" t="str">
            <v>Friction washer f. pawl block</v>
          </cell>
          <cell r="D1851">
            <v>87</v>
          </cell>
          <cell r="E1851">
            <v>11.693548387096774</v>
          </cell>
        </row>
        <row r="1852">
          <cell r="A1852">
            <v>19501</v>
          </cell>
          <cell r="B1852" t="str">
            <v>Beslag f/fedtfordeler</v>
          </cell>
          <cell r="C1852" t="str">
            <v>Mounting f. grease distributor</v>
          </cell>
          <cell r="D1852">
            <v>2253</v>
          </cell>
          <cell r="E1852">
            <v>302.82258064516128</v>
          </cell>
        </row>
        <row r="1853">
          <cell r="A1853">
            <v>19502</v>
          </cell>
          <cell r="B1853" t="str">
            <v>Møtrik M65 x 2, se pos. nr. 19</v>
          </cell>
          <cell r="C1853" t="str">
            <v>Nut M65 x 2,0 DIN934</v>
          </cell>
          <cell r="D1853">
            <v>2947</v>
          </cell>
          <cell r="E1853">
            <v>396.10215053763437</v>
          </cell>
        </row>
        <row r="1854">
          <cell r="A1854">
            <v>19503</v>
          </cell>
          <cell r="B1854" t="str">
            <v>Skive f/stag</v>
          </cell>
          <cell r="C1854" t="str">
            <v>Washer for shaft</v>
          </cell>
          <cell r="D1854">
            <v>1717</v>
          </cell>
          <cell r="E1854">
            <v>230.77956989247312</v>
          </cell>
        </row>
        <row r="1855">
          <cell r="A1855">
            <v>19504</v>
          </cell>
          <cell r="B1855" t="str">
            <v>Glidesko f/glideklods</v>
          </cell>
          <cell r="C1855" t="str">
            <v>Sliding shoe f. sliding block</v>
          </cell>
          <cell r="D1855">
            <v>880</v>
          </cell>
          <cell r="E1855">
            <v>118.27956989247311</v>
          </cell>
        </row>
        <row r="1856">
          <cell r="A1856">
            <v>19505</v>
          </cell>
          <cell r="B1856" t="str">
            <v>Erstatet af31646</v>
          </cell>
          <cell r="C1856" t="str">
            <v>Replaced by 031646</v>
          </cell>
          <cell r="D1856" t="str">
            <v>replaced</v>
          </cell>
          <cell r="E1856" t="e">
            <v>#VALUE!</v>
          </cell>
        </row>
        <row r="1857">
          <cell r="A1857">
            <v>19509</v>
          </cell>
          <cell r="B1857" t="str">
            <v>O-ring Ø48,0 x Ø6,0</v>
          </cell>
          <cell r="C1857" t="str">
            <v>O-ring Ø48,0xØ6,0</v>
          </cell>
          <cell r="D1857">
            <v>4.8</v>
          </cell>
          <cell r="E1857">
            <v>0.64516129032258063</v>
          </cell>
        </row>
        <row r="1858">
          <cell r="A1858">
            <v>19510</v>
          </cell>
          <cell r="B1858" t="str">
            <v>Spændelement TLK 300 Ø70/79 x 14</v>
          </cell>
          <cell r="C1858" t="str">
            <v>Shaft adapter, TLK 300 ø 70/79 x 14</v>
          </cell>
          <cell r="D1858">
            <v>186</v>
          </cell>
          <cell r="E1858">
            <v>25</v>
          </cell>
        </row>
        <row r="1859">
          <cell r="A1859">
            <v>19511</v>
          </cell>
          <cell r="B1859" t="str">
            <v>Rulleaksel f/hydr. rullejust.</v>
          </cell>
          <cell r="C1859" t="str">
            <v>Rollershaft</v>
          </cell>
          <cell r="D1859">
            <v>5300</v>
          </cell>
          <cell r="E1859">
            <v>712.36559139784947</v>
          </cell>
        </row>
        <row r="1860">
          <cell r="A1860">
            <v>19512</v>
          </cell>
          <cell r="B1860" t="str">
            <v>Stag for forplade, m/hul</v>
          </cell>
          <cell r="C1860" t="str">
            <v>Stay forfront plate with hole</v>
          </cell>
          <cell r="D1860">
            <v>4770</v>
          </cell>
          <cell r="E1860">
            <v>641.12903225806451</v>
          </cell>
        </row>
        <row r="1861">
          <cell r="A1861">
            <v>19513</v>
          </cell>
          <cell r="B1861" t="str">
            <v>Glideleje Ø60/Ø80 x 35</v>
          </cell>
          <cell r="C1861" t="str">
            <v>Sliding bearing Ø60/Ø80 x 35</v>
          </cell>
          <cell r="D1861">
            <v>2067</v>
          </cell>
          <cell r="E1861">
            <v>277.82258064516128</v>
          </cell>
        </row>
        <row r="1862">
          <cell r="A1862">
            <v>19516</v>
          </cell>
          <cell r="B1862" t="str">
            <v>O-ring Ø60 x Ø3,0</v>
          </cell>
          <cell r="C1862" t="str">
            <v>O-ring Ø60 x Ø3,0</v>
          </cell>
          <cell r="D1862">
            <v>1.7</v>
          </cell>
          <cell r="E1862">
            <v>0.22849462365591397</v>
          </cell>
        </row>
        <row r="1863">
          <cell r="A1863">
            <v>19517</v>
          </cell>
          <cell r="B1863" t="str">
            <v>erstattet af 031647</v>
          </cell>
          <cell r="C1863" t="str">
            <v>Replaced by 031467</v>
          </cell>
          <cell r="D1863" t="str">
            <v>replaced</v>
          </cell>
          <cell r="E1863" t="e">
            <v>#VALUE!</v>
          </cell>
        </row>
        <row r="1864">
          <cell r="A1864">
            <v>19518</v>
          </cell>
          <cell r="B1864" t="str">
            <v>Fjederstyr f/glideklods, rulleholderaksel</v>
          </cell>
          <cell r="C1864" t="str">
            <v>Spring stear f. sliding block, rollershaft</v>
          </cell>
          <cell r="D1864">
            <v>323</v>
          </cell>
          <cell r="E1864">
            <v>43.413978494623656</v>
          </cell>
        </row>
        <row r="1865">
          <cell r="A1865">
            <v>19519</v>
          </cell>
          <cell r="B1865" t="str">
            <v>Stag f/forplade, u/huller</v>
          </cell>
          <cell r="C1865" t="str">
            <v>Stay forfront plate withuot hole</v>
          </cell>
          <cell r="D1865">
            <v>3710</v>
          </cell>
          <cell r="E1865">
            <v>498.6559139784946</v>
          </cell>
        </row>
        <row r="1866">
          <cell r="A1866">
            <v>19526</v>
          </cell>
          <cell r="B1866" t="str">
            <v>Pakning f. materialeafgang</v>
          </cell>
          <cell r="C1866" t="str">
            <v>Jointing for mat. discharge</v>
          </cell>
          <cell r="D1866">
            <v>2226</v>
          </cell>
          <cell r="E1866">
            <v>299.19354838709677</v>
          </cell>
        </row>
        <row r="1867">
          <cell r="A1867">
            <v>19531</v>
          </cell>
          <cell r="B1867" t="str">
            <v>Stopring Ø30/Ø45 x 16 DIN 705</v>
          </cell>
          <cell r="C1867" t="str">
            <v>Stop ring Ø 30/Ø45 x 16 DIN 705</v>
          </cell>
          <cell r="D1867">
            <v>22</v>
          </cell>
          <cell r="E1867">
            <v>2.956989247311828</v>
          </cell>
        </row>
        <row r="1868">
          <cell r="A1868">
            <v>19532</v>
          </cell>
          <cell r="B1868" t="str">
            <v>Akseltap f/union vinkelgiver</v>
          </cell>
          <cell r="C1868" t="str">
            <v>Shaft for angle indicator</v>
          </cell>
          <cell r="D1868">
            <v>689</v>
          </cell>
          <cell r="E1868">
            <v>92.607526881720432</v>
          </cell>
        </row>
        <row r="1869">
          <cell r="A1869">
            <v>19533</v>
          </cell>
          <cell r="B1869" t="str">
            <v>Ophæng f/vinkelgiver</v>
          </cell>
          <cell r="C1869" t="str">
            <v>Bracket for angle indicator</v>
          </cell>
          <cell r="D1869">
            <v>1972</v>
          </cell>
          <cell r="E1869">
            <v>265.05376344086022</v>
          </cell>
        </row>
        <row r="1870">
          <cell r="A1870">
            <v>19534</v>
          </cell>
          <cell r="B1870" t="str">
            <v>Leje f/hydr. cylinder, hydr. rullejust.</v>
          </cell>
          <cell r="C1870" t="str">
            <v>Bearing f. hydr. Cylinder, hydr. Rolleradjust.</v>
          </cell>
          <cell r="D1870">
            <v>292</v>
          </cell>
          <cell r="E1870">
            <v>39.247311827956985</v>
          </cell>
        </row>
        <row r="1871">
          <cell r="A1871">
            <v>19535</v>
          </cell>
          <cell r="B1871" t="str">
            <v>Leje f/palhjul, hydr. rullejust.</v>
          </cell>
          <cell r="C1871" t="str">
            <v>Bearing f. pawl wheel, hydr. Rolleradjustment</v>
          </cell>
          <cell r="D1871">
            <v>795</v>
          </cell>
          <cell r="E1871">
            <v>106.85483870967741</v>
          </cell>
        </row>
        <row r="1872">
          <cell r="A1872">
            <v>19536</v>
          </cell>
          <cell r="B1872" t="str">
            <v>Drejeled f/hydr. rullejust.</v>
          </cell>
          <cell r="C1872" t="str">
            <v>Swivel f. hydr. Roller adjustment</v>
          </cell>
          <cell r="D1872">
            <v>3392</v>
          </cell>
          <cell r="E1872">
            <v>455.91397849462362</v>
          </cell>
        </row>
        <row r="1873">
          <cell r="A1873">
            <v>19537</v>
          </cell>
          <cell r="B1873" t="str">
            <v>Cyl. skrue M12 x 170 8.8 DIN 912</v>
          </cell>
          <cell r="C1873" t="str">
            <v>Cyl. Screw M12 x 170 8.8 DIN 912</v>
          </cell>
          <cell r="D1873">
            <v>43</v>
          </cell>
          <cell r="E1873">
            <v>5.779569892473118</v>
          </cell>
        </row>
        <row r="1874">
          <cell r="A1874">
            <v>19539</v>
          </cell>
          <cell r="B1874" t="str">
            <v>U-skrue M3 x 8 8.8 DIN 7991</v>
          </cell>
          <cell r="C1874" t="str">
            <v xml:space="preserve">Counter sunk screw M3 x 08  DIN7991 </v>
          </cell>
          <cell r="D1874">
            <v>1</v>
          </cell>
          <cell r="E1874">
            <v>0.13440860215053763</v>
          </cell>
        </row>
        <row r="1875">
          <cell r="A1875">
            <v>19543</v>
          </cell>
          <cell r="B1875" t="str">
            <v>Spændeplade</v>
          </cell>
          <cell r="C1875" t="str">
            <v>Tension flange</v>
          </cell>
          <cell r="D1875">
            <v>3869</v>
          </cell>
          <cell r="E1875">
            <v>520.02688172043008</v>
          </cell>
        </row>
        <row r="1876">
          <cell r="A1876">
            <v>19544</v>
          </cell>
          <cell r="B1876" t="str">
            <v>Union 2 x Ø6 SKR FZB L</v>
          </cell>
          <cell r="C1876" t="str">
            <v>Union  2" X Ø 6  SKR FBZ</v>
          </cell>
          <cell r="D1876">
            <v>1855</v>
          </cell>
          <cell r="E1876">
            <v>249.3279569892473</v>
          </cell>
        </row>
        <row r="1877">
          <cell r="A1877">
            <v>19554</v>
          </cell>
          <cell r="B1877" t="str">
            <v>Cyl. skrue M8 x 12 8.8 DIN 912</v>
          </cell>
          <cell r="C1877" t="str">
            <v xml:space="preserve">Cyl. Screw M8 X 1 8,8 DIN 912 </v>
          </cell>
          <cell r="D1877">
            <v>1.3</v>
          </cell>
          <cell r="E1877">
            <v>0.17473118279569891</v>
          </cell>
        </row>
        <row r="1878">
          <cell r="A1878">
            <v>19555</v>
          </cell>
          <cell r="B1878" t="str">
            <v>Kileremskive SPZ2 Ø100 TL 1610</v>
          </cell>
          <cell r="C1878" t="str">
            <v>V-belt pulley SPZ2 Ø100 TL 1610</v>
          </cell>
          <cell r="D1878">
            <v>58</v>
          </cell>
          <cell r="E1878">
            <v>7.7956989247311821</v>
          </cell>
        </row>
        <row r="1879">
          <cell r="A1879">
            <v>19557</v>
          </cell>
          <cell r="B1879" t="str">
            <v>Motor AEG Fod 2,2 kw, 1400 o/min</v>
          </cell>
          <cell r="C1879" t="str">
            <v>Motor AEG 2,2 kW, 1400 o/min.</v>
          </cell>
          <cell r="D1879">
            <v>1818</v>
          </cell>
          <cell r="E1879">
            <v>244.35483870967741</v>
          </cell>
        </row>
        <row r="1880">
          <cell r="A1880">
            <v>19558</v>
          </cell>
          <cell r="B1880" t="str">
            <v>Aksel for paletter til indløbssnegl</v>
          </cell>
          <cell r="C1880" t="str">
            <v>Shaft for pallets for inlet screw</v>
          </cell>
          <cell r="D1880">
            <v>5159</v>
          </cell>
          <cell r="E1880">
            <v>693.41397849462362</v>
          </cell>
        </row>
        <row r="1881">
          <cell r="A1881">
            <v>19559</v>
          </cell>
          <cell r="B1881" t="str">
            <v>Motorplade for indløbssnegl 2,2KW M900</v>
          </cell>
          <cell r="C1881" t="str">
            <v>Motor plate for inlet screw 2,2KW M900</v>
          </cell>
          <cell r="D1881">
            <v>265</v>
          </cell>
          <cell r="E1881">
            <v>35.618279569892472</v>
          </cell>
        </row>
        <row r="1882">
          <cell r="A1882">
            <v>19575</v>
          </cell>
          <cell r="B1882" t="str">
            <v>Gavlplade for indløbssnegl M900</v>
          </cell>
          <cell r="C1882" t="str">
            <v>Gable plate for inlet screw M900</v>
          </cell>
          <cell r="D1882">
            <v>1164</v>
          </cell>
          <cell r="E1882">
            <v>156.45161290322579</v>
          </cell>
        </row>
        <row r="1883">
          <cell r="A1883">
            <v>19576</v>
          </cell>
          <cell r="B1883" t="str">
            <v>Skærm for remtræk til indløbssnegl M900</v>
          </cell>
          <cell r="C1883" t="str">
            <v>Screen for belt drive for inlet screw M900</v>
          </cell>
          <cell r="D1883">
            <v>2945</v>
          </cell>
          <cell r="E1883">
            <v>395.83333333333331</v>
          </cell>
        </row>
        <row r="1884">
          <cell r="A1884">
            <v>19577</v>
          </cell>
          <cell r="B1884" t="str">
            <v>Hængselstøtte f/indløbssnegl</v>
          </cell>
          <cell r="C1884" t="str">
            <v>Hinge support f. inlet screw</v>
          </cell>
          <cell r="D1884">
            <v>1007</v>
          </cell>
          <cell r="E1884">
            <v>135.34946236559139</v>
          </cell>
        </row>
        <row r="1885">
          <cell r="A1885">
            <v>19590</v>
          </cell>
          <cell r="B1885" t="str">
            <v>Hus for simmerring, akseltætning Ø50</v>
          </cell>
          <cell r="C1885" t="str">
            <v>Housing for seal, shaft Ø50</v>
          </cell>
          <cell r="D1885">
            <v>1410</v>
          </cell>
          <cell r="E1885">
            <v>189.51612903225805</v>
          </cell>
        </row>
        <row r="1886">
          <cell r="A1886">
            <v>19591</v>
          </cell>
          <cell r="B1886" t="str">
            <v>Slidring for akseltætning Ø50</v>
          </cell>
          <cell r="C1886" t="str">
            <v>Wearring for shaft proofing for 0-screw EX17</v>
          </cell>
          <cell r="D1886">
            <v>442</v>
          </cell>
          <cell r="E1886">
            <v>59.408602150537632</v>
          </cell>
        </row>
        <row r="1887">
          <cell r="A1887">
            <v>19593</v>
          </cell>
          <cell r="B1887" t="str">
            <v>Kileremskive SPZ2 Ø280 TL 2012</v>
          </cell>
          <cell r="C1887" t="str">
            <v>V-belt pulley SPZ2 Ø280 TL 2012</v>
          </cell>
          <cell r="D1887">
            <v>167</v>
          </cell>
          <cell r="E1887">
            <v>22.446236559139784</v>
          </cell>
        </row>
        <row r="1888">
          <cell r="A1888">
            <v>19598</v>
          </cell>
          <cell r="B1888" t="str">
            <v>Pinolskrue M8 x 8 14,9 DIN 916</v>
          </cell>
          <cell r="C1888" t="str">
            <v>Centre screw M8 x 8 14,9 DIN 916</v>
          </cell>
          <cell r="D1888">
            <v>0.8</v>
          </cell>
          <cell r="E1888">
            <v>0.10752688172043011</v>
          </cell>
        </row>
        <row r="1889">
          <cell r="A1889">
            <v>19601</v>
          </cell>
          <cell r="B1889" t="str">
            <v>Ophæng for omdrejningsvagt på indløbssnegl</v>
          </cell>
          <cell r="C1889" t="str">
            <v>Suspension for conversion guard on inlet screw</v>
          </cell>
          <cell r="D1889">
            <v>466</v>
          </cell>
          <cell r="E1889">
            <v>62.634408602150536</v>
          </cell>
        </row>
        <row r="1890">
          <cell r="A1890">
            <v>19602</v>
          </cell>
          <cell r="B1890" t="str">
            <v>Ophæng f/XCK-J indløbssnegl</v>
          </cell>
          <cell r="C1890" t="str">
            <v>Bracket for XCK .J Inlet screw</v>
          </cell>
          <cell r="D1890">
            <v>1537</v>
          </cell>
          <cell r="E1890">
            <v>206.58602150537632</v>
          </cell>
        </row>
        <row r="1891">
          <cell r="A1891">
            <v>19603</v>
          </cell>
          <cell r="B1891" t="str">
            <v>3/4" hydr. slange 1000 90°/lig oml.</v>
          </cell>
          <cell r="C1891" t="str">
            <v>Hydraulic hose 3/4" 1000 90°/straight</v>
          </cell>
          <cell r="D1891">
            <v>312</v>
          </cell>
          <cell r="E1891">
            <v>41.935483870967737</v>
          </cell>
        </row>
        <row r="1892">
          <cell r="A1892">
            <v>19607</v>
          </cell>
          <cell r="B1892" t="str">
            <v>O-ring Ø64,5 x 3,0</v>
          </cell>
          <cell r="C1892" t="str">
            <v>O-ring Ø64,5 x 3.0</v>
          </cell>
          <cell r="D1892">
            <v>10.4</v>
          </cell>
          <cell r="E1892">
            <v>1.3978494623655913</v>
          </cell>
        </row>
        <row r="1893">
          <cell r="A1893">
            <v>19612</v>
          </cell>
          <cell r="B1893" t="str">
            <v>Snegl 0-sektion, kompl. Inkl. Pos. 9</v>
          </cell>
          <cell r="C1893" t="str">
            <v>Worm 0-section, compl.</v>
          </cell>
          <cell r="D1893">
            <v>16430</v>
          </cell>
          <cell r="E1893">
            <v>2208.333333333333</v>
          </cell>
        </row>
        <row r="1894">
          <cell r="A1894">
            <v>19614</v>
          </cell>
          <cell r="B1894" t="str">
            <v>Foring Ø250 0-sektion, kompl. inkl. pos. 4-6</v>
          </cell>
          <cell r="C1894" t="str">
            <v>Barrel Ø250 0-section, compl. Incl. items 4-6</v>
          </cell>
          <cell r="D1894">
            <v>29150</v>
          </cell>
          <cell r="E1894">
            <v>3918.010752688172</v>
          </cell>
        </row>
        <row r="1895">
          <cell r="A1895">
            <v>19615</v>
          </cell>
          <cell r="B1895" t="str">
            <v>Mellemforing l=525, kompl. Incl. pos. 24-28</v>
          </cell>
          <cell r="C1895" t="str">
            <v>Interm. barrel section l=525, compl. incl. item 24-28</v>
          </cell>
          <cell r="D1895">
            <v>15582</v>
          </cell>
          <cell r="E1895">
            <v>2094.3548387096771</v>
          </cell>
        </row>
        <row r="1896">
          <cell r="A1896">
            <v>19616</v>
          </cell>
          <cell r="B1896" t="str">
            <v>Slid-mellemforing l=225</v>
          </cell>
          <cell r="C1896" t="str">
            <v>Interm. wear barrel section l=225</v>
          </cell>
          <cell r="D1896">
            <v>10388</v>
          </cell>
          <cell r="E1896">
            <v>1396.236559139785</v>
          </cell>
        </row>
        <row r="1897">
          <cell r="A1897">
            <v>19620</v>
          </cell>
          <cell r="B1897" t="str">
            <v>Gliderplade</v>
          </cell>
          <cell r="C1897" t="str">
            <v>Slide flange</v>
          </cell>
          <cell r="D1897">
            <v>5406</v>
          </cell>
          <cell r="E1897">
            <v>726.61290322580646</v>
          </cell>
        </row>
        <row r="1898">
          <cell r="A1898">
            <v>19621</v>
          </cell>
          <cell r="B1898" t="str">
            <v>Snegl u. belægning, kompl.</v>
          </cell>
          <cell r="C1898" t="str">
            <v>Worm no hard layer, compl. Incl. items 9</v>
          </cell>
          <cell r="D1898">
            <v>9540</v>
          </cell>
          <cell r="E1898">
            <v>1282.258064516129</v>
          </cell>
        </row>
        <row r="1899">
          <cell r="A1899">
            <v>19622</v>
          </cell>
          <cell r="B1899" t="str">
            <v>Snegl m. belægning, kompl.</v>
          </cell>
          <cell r="C1899" t="str">
            <v>Worm with hard layer</v>
          </cell>
          <cell r="D1899">
            <v>14204</v>
          </cell>
          <cell r="E1899">
            <v>1909.1397849462364</v>
          </cell>
        </row>
        <row r="1900">
          <cell r="A1900">
            <v>19623</v>
          </cell>
          <cell r="B1900" t="str">
            <v>Skive Ø63/Ø72 x 4</v>
          </cell>
          <cell r="C1900" t="str">
            <v>Washer ø63/ø72 x 4</v>
          </cell>
          <cell r="D1900">
            <v>1007</v>
          </cell>
          <cell r="E1900">
            <v>135.34946236559139</v>
          </cell>
        </row>
        <row r="1901">
          <cell r="A1901">
            <v>19630</v>
          </cell>
          <cell r="B1901" t="str">
            <v>Afstandsbøsning, l=92</v>
          </cell>
          <cell r="C1901" t="str">
            <v>Spacer bush, l=92</v>
          </cell>
          <cell r="D1901">
            <v>148</v>
          </cell>
          <cell r="E1901">
            <v>19.892473118279568</v>
          </cell>
        </row>
        <row r="1902">
          <cell r="A1902">
            <v>19634</v>
          </cell>
          <cell r="B1902" t="str">
            <v>Slidbøsning f. glider</v>
          </cell>
          <cell r="C1902" t="str">
            <v>Wear bush for slide</v>
          </cell>
          <cell r="D1902">
            <v>6784</v>
          </cell>
          <cell r="E1902">
            <v>911.82795698924724</v>
          </cell>
        </row>
        <row r="1903">
          <cell r="A1903">
            <v>19635</v>
          </cell>
          <cell r="B1903" t="str">
            <v>Tætningsring f. slidforing</v>
          </cell>
          <cell r="C1903" t="str">
            <v>Sealing ring for wear barrel</v>
          </cell>
          <cell r="D1903">
            <v>345</v>
          </cell>
          <cell r="E1903">
            <v>46.37096774193548</v>
          </cell>
        </row>
        <row r="1904">
          <cell r="A1904">
            <v>19637</v>
          </cell>
          <cell r="B1904" t="str">
            <v>Flange f. slidbøsning</v>
          </cell>
          <cell r="C1904" t="str">
            <v>Flange f. wear bush</v>
          </cell>
          <cell r="D1904">
            <v>1961</v>
          </cell>
          <cell r="E1904">
            <v>263.57526881720429</v>
          </cell>
        </row>
        <row r="1905">
          <cell r="A1905">
            <v>19641</v>
          </cell>
          <cell r="B1905" t="str">
            <v>Slidforing</v>
          </cell>
          <cell r="C1905" t="str">
            <v>Wear barrel section</v>
          </cell>
          <cell r="D1905">
            <v>10070</v>
          </cell>
          <cell r="E1905">
            <v>1353.494623655914</v>
          </cell>
        </row>
        <row r="1906">
          <cell r="A1906">
            <v>19652</v>
          </cell>
          <cell r="B1906" t="str">
            <v>Stag, kort, for spændeplade</v>
          </cell>
          <cell r="C1906" t="str">
            <v>Stayer for tension flange</v>
          </cell>
          <cell r="D1906">
            <v>1749</v>
          </cell>
          <cell r="E1906">
            <v>235.08064516129031</v>
          </cell>
        </row>
        <row r="1907">
          <cell r="A1907">
            <v>19656</v>
          </cell>
          <cell r="B1907" t="str">
            <v>Hydraulikstation for sikringskobling for 3 x 380 V, 50 Hz og 220 V, 50 Hz</v>
          </cell>
          <cell r="C1907" t="str">
            <v>3 x 380 V, 50 Hz and 220 V, 50 Hz</v>
          </cell>
          <cell r="D1907">
            <v>12402</v>
          </cell>
          <cell r="E1907">
            <v>1666.9354838709676</v>
          </cell>
        </row>
        <row r="1908">
          <cell r="A1908">
            <v>19657</v>
          </cell>
          <cell r="B1908" t="str">
            <v>Kobling Panamech BSZ4 Ø8/Ø10</v>
          </cell>
          <cell r="C1908" t="str">
            <v>Coupling  Panamech BSZ 4 ø8/ø10</v>
          </cell>
          <cell r="D1908">
            <v>398</v>
          </cell>
          <cell r="E1908">
            <v>53.494623655913976</v>
          </cell>
        </row>
        <row r="1909">
          <cell r="A1909">
            <v>19662</v>
          </cell>
          <cell r="B1909" t="str">
            <v>Kileremskive SPC 6 Ø265 TL3535</v>
          </cell>
          <cell r="C1909" t="str">
            <v>V-belt pulley SPC 6 Ø265 TL3535</v>
          </cell>
          <cell r="D1909">
            <v>1113</v>
          </cell>
          <cell r="E1909">
            <v>149.59677419354838</v>
          </cell>
        </row>
        <row r="1910">
          <cell r="A1910">
            <v>19664</v>
          </cell>
          <cell r="B1910" t="str">
            <v>Kilerem  XPC 3550 Optibelt</v>
          </cell>
          <cell r="C1910" t="str">
            <v>V-belt XPC 3550 Optibelt</v>
          </cell>
          <cell r="D1910">
            <v>329</v>
          </cell>
          <cell r="E1910">
            <v>44.22043010752688</v>
          </cell>
        </row>
        <row r="1911">
          <cell r="A1911">
            <v>19665</v>
          </cell>
          <cell r="B1911" t="str">
            <v>Kileremskive SPC 6 Ø800 TL5050</v>
          </cell>
          <cell r="C1911" t="str">
            <v>V-belt pulley SPC 6 Ø800 TL5050</v>
          </cell>
          <cell r="D1911">
            <v>3684</v>
          </cell>
          <cell r="E1911">
            <v>495.16129032258061</v>
          </cell>
        </row>
        <row r="1912">
          <cell r="A1912">
            <v>19668</v>
          </cell>
          <cell r="B1912" t="str">
            <v>Hydraulikstation for sikringskobling for3 x 380 V, 50 Hz og 220 V, 50 Hz og hydraulisk rullejustering</v>
          </cell>
          <cell r="C1912" t="str">
            <v>3 x 380 V, 50 Hz and 220 V, 50 Hz and hydraulic roller adjustment</v>
          </cell>
          <cell r="D1912">
            <v>21121</v>
          </cell>
          <cell r="E1912">
            <v>2838.8440860215051</v>
          </cell>
        </row>
        <row r="1913">
          <cell r="A1913">
            <v>19671</v>
          </cell>
          <cell r="B1913" t="str">
            <v>Snegl Ø240 L=1400, incl. pos. 31</v>
          </cell>
          <cell r="C1913" t="str">
            <v>Screw Ø240 L=1400, incl. item 31</v>
          </cell>
          <cell r="D1913">
            <v>11200</v>
          </cell>
          <cell r="E1913">
            <v>1505.3763440860214</v>
          </cell>
        </row>
        <row r="1914">
          <cell r="A1914">
            <v>19683</v>
          </cell>
          <cell r="B1914" t="str">
            <v>Skærm for bypass klap</v>
          </cell>
          <cell r="C1914" t="str">
            <v>Screen for bypass clap</v>
          </cell>
          <cell r="D1914">
            <v>6890</v>
          </cell>
          <cell r="E1914">
            <v>926.07526881720423</v>
          </cell>
        </row>
        <row r="1915">
          <cell r="A1915">
            <v>19695</v>
          </cell>
          <cell r="B1915" t="str">
            <v>Låsering I90 x 3 DIN 472</v>
          </cell>
          <cell r="C1915" t="str">
            <v xml:space="preserve">Lock ring  90X3.0 J      DIN472 </v>
          </cell>
          <cell r="D1915">
            <v>13.8</v>
          </cell>
          <cell r="E1915">
            <v>1.8548387096774193</v>
          </cell>
        </row>
        <row r="1916">
          <cell r="A1916">
            <v>19699</v>
          </cell>
          <cell r="B1916" t="str">
            <v>Hus for materialeudløb</v>
          </cell>
          <cell r="C1916" t="str">
            <v>Discharge housing</v>
          </cell>
          <cell r="D1916">
            <v>33390</v>
          </cell>
          <cell r="E1916">
            <v>4487.9032258064517</v>
          </cell>
        </row>
        <row r="1917">
          <cell r="A1917">
            <v>19700</v>
          </cell>
          <cell r="B1917" t="str">
            <v>Remskærm</v>
          </cell>
          <cell r="C1917" t="str">
            <v>Belt guard</v>
          </cell>
          <cell r="D1917">
            <v>9646</v>
          </cell>
          <cell r="E1917">
            <v>1296.505376344086</v>
          </cell>
        </row>
        <row r="1918">
          <cell r="A1918">
            <v>19738</v>
          </cell>
          <cell r="B1918" t="str">
            <v>Ring for olietætning ø258/ø228/8 med huller</v>
          </cell>
          <cell r="C1918" t="str">
            <v>Ring for oil seal ø258/ø228/8 with holes</v>
          </cell>
          <cell r="D1918">
            <v>621</v>
          </cell>
          <cell r="E1918">
            <v>83.467741935483872</v>
          </cell>
        </row>
        <row r="1919">
          <cell r="A1919">
            <v>19739</v>
          </cell>
          <cell r="B1919" t="str">
            <v>Spændeelement TL2517 – Ø55</v>
          </cell>
          <cell r="C1919" t="str">
            <v>Shaft adapter, taper-lock TL2517 – Ø55</v>
          </cell>
          <cell r="D1919">
            <v>48</v>
          </cell>
          <cell r="E1919">
            <v>6.4516129032258061</v>
          </cell>
        </row>
        <row r="1920">
          <cell r="A1920">
            <v>19762</v>
          </cell>
          <cell r="B1920" t="str">
            <v>Ventil Manifoldvent. M79 væske m/dyse</v>
          </cell>
          <cell r="C1920" t="str">
            <v>Manifold valve M79 liquid complete</v>
          </cell>
          <cell r="D1920">
            <v>3127</v>
          </cell>
          <cell r="E1920">
            <v>420.29569892473114</v>
          </cell>
        </row>
        <row r="1921">
          <cell r="A1921">
            <v>19767</v>
          </cell>
          <cell r="B1921" t="str">
            <v>Afdækningsskive f/forplade</v>
          </cell>
          <cell r="C1921" t="str">
            <v>Cover plate f. frontplate</v>
          </cell>
          <cell r="D1921">
            <v>244</v>
          </cell>
          <cell r="E1921">
            <v>32.795698924731184</v>
          </cell>
        </row>
        <row r="1922">
          <cell r="A1922">
            <v>19768</v>
          </cell>
          <cell r="B1922" t="str">
            <v>Afdækningsplade f/forplade, for</v>
          </cell>
          <cell r="C1922" t="str">
            <v>Cover plate for front plate</v>
          </cell>
          <cell r="D1922">
            <v>2178</v>
          </cell>
          <cell r="E1922">
            <v>292.74193548387098</v>
          </cell>
        </row>
        <row r="1923">
          <cell r="A1923">
            <v>19769</v>
          </cell>
          <cell r="B1923" t="str">
            <v>Afdækningsplade f/glideklods</v>
          </cell>
          <cell r="C1923" t="str">
            <v>Cover plate for sliding block</v>
          </cell>
          <cell r="D1923">
            <v>95</v>
          </cell>
          <cell r="E1923">
            <v>12.768817204301074</v>
          </cell>
        </row>
        <row r="1924">
          <cell r="A1924">
            <v>19770</v>
          </cell>
          <cell r="B1924" t="str">
            <v>Kurveskive f/hydr. rullejust.</v>
          </cell>
          <cell r="C1924" t="str">
            <v>Curved washer f. hydr. Rolleradjustment</v>
          </cell>
          <cell r="D1924">
            <v>9010</v>
          </cell>
          <cell r="E1924">
            <v>1211.0215053763441</v>
          </cell>
        </row>
        <row r="1925">
          <cell r="A1925">
            <v>19771</v>
          </cell>
          <cell r="B1925" t="str">
            <v>Forplade, bearb.</v>
          </cell>
          <cell r="C1925" t="str">
            <v>Frontplate</v>
          </cell>
          <cell r="D1925">
            <v>24910</v>
          </cell>
          <cell r="E1925">
            <v>3348.1182795698924</v>
          </cell>
        </row>
        <row r="1926">
          <cell r="A1926">
            <v>19775</v>
          </cell>
          <cell r="B1926" t="str">
            <v>Remskærm FEX34</v>
          </cell>
          <cell r="C1926" t="str">
            <v>Belt screen FEX34</v>
          </cell>
          <cell r="D1926">
            <v>11072</v>
          </cell>
          <cell r="E1926">
            <v>1488.1720430107525</v>
          </cell>
        </row>
        <row r="1927">
          <cell r="A1927">
            <v>19776</v>
          </cell>
          <cell r="B1927" t="str">
            <v>Fjederstyr, glideklods, forplade</v>
          </cell>
          <cell r="C1927" t="str">
            <v>Spring stear, sliding block, frontplate</v>
          </cell>
          <cell r="D1927">
            <v>371</v>
          </cell>
          <cell r="E1927">
            <v>49.865591397849457</v>
          </cell>
        </row>
        <row r="1928">
          <cell r="A1928">
            <v>19777</v>
          </cell>
          <cell r="B1928" t="str">
            <v>Afdækningsplade, forplade, bag</v>
          </cell>
          <cell r="C1928" t="str">
            <v>Cover plate, frontplate, hind</v>
          </cell>
          <cell r="D1928">
            <v>1654</v>
          </cell>
          <cell r="E1928">
            <v>222.31182795698925</v>
          </cell>
        </row>
        <row r="1929">
          <cell r="A1929">
            <v>19778</v>
          </cell>
          <cell r="B1929" t="str">
            <v>Afdækningsplade, rulleholderaksel</v>
          </cell>
          <cell r="C1929" t="str">
            <v>Cover plate, roller mainshaft</v>
          </cell>
          <cell r="D1929">
            <v>1749</v>
          </cell>
          <cell r="E1929">
            <v>235.08064516129031</v>
          </cell>
        </row>
        <row r="1930">
          <cell r="A1930">
            <v>19780</v>
          </cell>
          <cell r="B1930" t="str">
            <v>Rullejusteringsaksel</v>
          </cell>
          <cell r="C1930" t="str">
            <v>Roller adjusting Shaft.</v>
          </cell>
          <cell r="D1930">
            <v>46640</v>
          </cell>
          <cell r="E1930">
            <v>6268.8172043010745</v>
          </cell>
        </row>
        <row r="1931">
          <cell r="A1931">
            <v>19792</v>
          </cell>
          <cell r="B1931" t="str">
            <v>Glideleje Ø60/Ø80 x 28</v>
          </cell>
          <cell r="C1931" t="str">
            <v>Sliding bearing Ø60/Ø80 x 28</v>
          </cell>
          <cell r="D1931">
            <v>1961</v>
          </cell>
          <cell r="E1931">
            <v>263.57526881720429</v>
          </cell>
        </row>
        <row r="1932">
          <cell r="A1932">
            <v>19796</v>
          </cell>
          <cell r="B1932" t="str">
            <v>Hydr. cyl. 63/40 x 260, 170 bar</v>
          </cell>
          <cell r="C1932" t="str">
            <v>Hydraulic cylinder 63/40  x 260  170 bar</v>
          </cell>
          <cell r="D1932">
            <v>4187</v>
          </cell>
          <cell r="E1932">
            <v>562.76881720430106</v>
          </cell>
        </row>
        <row r="1933">
          <cell r="A1933">
            <v>19797</v>
          </cell>
          <cell r="B1933" t="str">
            <v>Rulleholderaksel f/hydr. rullejust.</v>
          </cell>
          <cell r="C1933" t="str">
            <v>Roller Mainshaft- roller adjust.</v>
          </cell>
          <cell r="D1933">
            <v>90100</v>
          </cell>
          <cell r="E1933">
            <v>12110.215053763441</v>
          </cell>
        </row>
        <row r="1934">
          <cell r="A1934">
            <v>19799</v>
          </cell>
          <cell r="B1934" t="str">
            <v>Slidring f/rulleholderaksel</v>
          </cell>
          <cell r="C1934" t="str">
            <v>Wearring for roller main  shaft</v>
          </cell>
          <cell r="D1934">
            <v>5936</v>
          </cell>
          <cell r="E1934">
            <v>797.84946236559131</v>
          </cell>
        </row>
        <row r="1935">
          <cell r="A1935">
            <v>19800</v>
          </cell>
          <cell r="B1935" t="str">
            <v>Ophængsplade f/bremse</v>
          </cell>
          <cell r="C1935" t="str">
            <v>Bracket for brake</v>
          </cell>
          <cell r="D1935">
            <v>8427</v>
          </cell>
          <cell r="E1935">
            <v>1132.6612903225805</v>
          </cell>
        </row>
        <row r="1936">
          <cell r="A1936">
            <v>21003</v>
          </cell>
          <cell r="B1936" t="str">
            <v>Støtte f/cylinder</v>
          </cell>
          <cell r="C1936" t="str">
            <v>Support f/ feed cylinder</v>
          </cell>
          <cell r="D1936">
            <v>2412</v>
          </cell>
          <cell r="E1936">
            <v>324.19354838709677</v>
          </cell>
        </row>
        <row r="1937">
          <cell r="A1937">
            <v>21004</v>
          </cell>
          <cell r="B1937" t="str">
            <v>Lejehus, bag, f/hydr. rullejust.</v>
          </cell>
          <cell r="C1937" t="str">
            <v>Bearing housing, hind f. hydr. Rolleradjust.</v>
          </cell>
          <cell r="D1937">
            <v>15370</v>
          </cell>
          <cell r="E1937">
            <v>2065.8602150537631</v>
          </cell>
        </row>
        <row r="1938">
          <cell r="A1938">
            <v>21008</v>
          </cell>
          <cell r="B1938" t="str">
            <v>Tætningsring A Ø100 x Ø120 x 12 VITON</v>
          </cell>
          <cell r="C1938" t="str">
            <v>Sealing ring A Ø100 x Ø120 x 12 VITON</v>
          </cell>
          <cell r="D1938">
            <v>68</v>
          </cell>
          <cell r="E1938">
            <v>9.1397849462365581</v>
          </cell>
        </row>
        <row r="1939">
          <cell r="A1939">
            <v>21012</v>
          </cell>
          <cell r="B1939" t="str">
            <v>Udluftningsfilter</v>
          </cell>
          <cell r="C1939" t="str">
            <v xml:space="preserve">Air venting filter </v>
          </cell>
          <cell r="D1939">
            <v>265</v>
          </cell>
          <cell r="E1939">
            <v>35.618279569892472</v>
          </cell>
        </row>
        <row r="1940">
          <cell r="A1940">
            <v>21022</v>
          </cell>
          <cell r="B1940" t="str">
            <v>Dæksel for rulleholderleje</v>
          </cell>
          <cell r="C1940" t="str">
            <v>Cover for roller main shaft bearing</v>
          </cell>
          <cell r="D1940">
            <v>2650</v>
          </cell>
          <cell r="E1940">
            <v>356.18279569892474</v>
          </cell>
        </row>
        <row r="1941">
          <cell r="A1941">
            <v>21025</v>
          </cell>
          <cell r="B1941" t="str">
            <v>Labyrint-tætning FEX/EX</v>
          </cell>
          <cell r="C1941" t="str">
            <v>Labyrinth seal FEX/EX</v>
          </cell>
          <cell r="D1941">
            <v>488</v>
          </cell>
          <cell r="E1941">
            <v>65.591397849462368</v>
          </cell>
        </row>
        <row r="1942">
          <cell r="A1942">
            <v>21040</v>
          </cell>
          <cell r="B1942" t="str">
            <v>Dele for positionsindikering, incl. pos. 3, 4, 5, 7, 8, 9, 10, 14, 15, 16</v>
          </cell>
          <cell r="C1942" t="str">
            <v>Parts for position indication, incl. item 3, 4, 5, 7, 8,9, 10, 14, 15, 16</v>
          </cell>
          <cell r="D1942">
            <v>1124</v>
          </cell>
          <cell r="E1942">
            <v>151.07526881720429</v>
          </cell>
        </row>
        <row r="1943">
          <cell r="A1943">
            <v>21041</v>
          </cell>
          <cell r="B1943" t="str">
            <v>Beslag for spindel, pos. indikering</v>
          </cell>
          <cell r="C1943" t="str">
            <v>Hinge for spindle, pos. indication</v>
          </cell>
          <cell r="D1943">
            <v>148</v>
          </cell>
          <cell r="E1943">
            <v>19.892473118279568</v>
          </cell>
        </row>
        <row r="1944">
          <cell r="A1944">
            <v>21042</v>
          </cell>
          <cell r="B1944" t="str">
            <v>Spindel, pos. indikering, 45° hældning</v>
          </cell>
          <cell r="C1944" t="str">
            <v>Spindle, pos. indication, 45° inclination</v>
          </cell>
          <cell r="D1944">
            <v>207</v>
          </cell>
          <cell r="E1944">
            <v>27.822580645161288</v>
          </cell>
        </row>
        <row r="1945">
          <cell r="A1945">
            <v>21048</v>
          </cell>
          <cell r="B1945" t="str">
            <v>Konsol for afstandsføler, 45° hældning</v>
          </cell>
          <cell r="C1945" t="str">
            <v>Console for distance sensor, 45° inclination</v>
          </cell>
          <cell r="D1945">
            <v>610</v>
          </cell>
          <cell r="E1945">
            <v>81.989247311827953</v>
          </cell>
        </row>
        <row r="1946">
          <cell r="A1946">
            <v>21076</v>
          </cell>
          <cell r="B1946" t="str">
            <v>Godsfordeler 1 PM919W</v>
          </cell>
          <cell r="C1946" t="str">
            <v>Deflector 1 PM919W</v>
          </cell>
          <cell r="D1946">
            <v>545</v>
          </cell>
          <cell r="E1946">
            <v>73.252688172043008</v>
          </cell>
        </row>
        <row r="1947">
          <cell r="A1947">
            <v>21077</v>
          </cell>
          <cell r="B1947" t="str">
            <v>Godsfordeler 2 PM919W</v>
          </cell>
          <cell r="C1947" t="str">
            <v>Deflector 2 PM919W</v>
          </cell>
          <cell r="D1947">
            <v>518</v>
          </cell>
          <cell r="E1947">
            <v>69.623655913978496</v>
          </cell>
        </row>
        <row r="1948">
          <cell r="A1948">
            <v>21078</v>
          </cell>
          <cell r="B1948" t="str">
            <v>Godsfordeler 3 PM919W</v>
          </cell>
          <cell r="C1948" t="str">
            <v>Deflector 3 PM919W</v>
          </cell>
          <cell r="D1948">
            <v>717</v>
          </cell>
          <cell r="E1948">
            <v>96.370967741935473</v>
          </cell>
        </row>
        <row r="1949">
          <cell r="A1949">
            <v>21117</v>
          </cell>
          <cell r="B1949" t="str">
            <v>Cyl. skrue M10 x 16 DIN 7984 8.8</v>
          </cell>
          <cell r="C1949" t="str">
            <v>Cyl. screw M10 x 16 DIN 7984 8.8</v>
          </cell>
          <cell r="D1949">
            <v>1.9</v>
          </cell>
          <cell r="E1949">
            <v>0.2553763440860215</v>
          </cell>
        </row>
        <row r="1950">
          <cell r="A1950">
            <v>21139</v>
          </cell>
          <cell r="B1950" t="str">
            <v>Slidbøsning f. glider</v>
          </cell>
          <cell r="C1950" t="str">
            <v>Wear bush for slide</v>
          </cell>
          <cell r="D1950">
            <v>8279</v>
          </cell>
          <cell r="E1950">
            <v>1112.7688172043011</v>
          </cell>
        </row>
        <row r="1951">
          <cell r="A1951">
            <v>21141</v>
          </cell>
          <cell r="B1951" t="str">
            <v>Endebund for dyse</v>
          </cell>
          <cell r="C1951" t="str">
            <v>End plate for nozzle</v>
          </cell>
          <cell r="D1951">
            <v>8268</v>
          </cell>
          <cell r="E1951">
            <v>1111.2903225806451</v>
          </cell>
        </row>
        <row r="1952">
          <cell r="A1952">
            <v>21143</v>
          </cell>
          <cell r="B1952" t="str">
            <v>Skrue m/venstre gevind (spec.) incl. O-ring</v>
          </cell>
          <cell r="C1952" t="str">
            <v>Screw with left thread (spec.) incl. O-ring</v>
          </cell>
          <cell r="D1952">
            <v>684</v>
          </cell>
          <cell r="E1952">
            <v>91.935483870967744</v>
          </cell>
        </row>
        <row r="1953">
          <cell r="A1953">
            <v>21145</v>
          </cell>
          <cell r="B1953" t="str">
            <v>Stag for hovedaksel FEX34</v>
          </cell>
          <cell r="C1953" t="str">
            <v>Stayer for main shaft FEX34</v>
          </cell>
          <cell r="D1953">
            <v>1436</v>
          </cell>
          <cell r="E1953">
            <v>193.01075268817203</v>
          </cell>
        </row>
        <row r="1954">
          <cell r="A1954">
            <v>21148</v>
          </cell>
          <cell r="B1954" t="str">
            <v>O-ring Ø074,5 x 3 VITON</v>
          </cell>
          <cell r="C1954" t="str">
            <v>O-ring Ø074,5 x 3 VITON</v>
          </cell>
          <cell r="D1954">
            <v>10.6</v>
          </cell>
          <cell r="E1954">
            <v>1.4247311827956988</v>
          </cell>
        </row>
        <row r="1955">
          <cell r="A1955">
            <v>21158</v>
          </cell>
          <cell r="B1955" t="str">
            <v>Følerplade, pos. indikering, 45°</v>
          </cell>
          <cell r="C1955" t="str">
            <v>Sensor plate, pos. indication, 45°</v>
          </cell>
          <cell r="D1955">
            <v>292</v>
          </cell>
          <cell r="E1955">
            <v>39.247311827956985</v>
          </cell>
        </row>
        <row r="1956">
          <cell r="A1956">
            <v>21167</v>
          </cell>
          <cell r="B1956" t="str">
            <v>Tandremskive HTD 8M, 34 tænder, b50, TL1615</v>
          </cell>
          <cell r="C1956" t="str">
            <v>Timing belt pulley HTD 8M, 34 teeth, b50, TL1615</v>
          </cell>
          <cell r="D1956">
            <v>177</v>
          </cell>
          <cell r="E1956">
            <v>23.79032258064516</v>
          </cell>
        </row>
        <row r="1957">
          <cell r="A1957">
            <v>21168</v>
          </cell>
          <cell r="B1957" t="str">
            <v>Tandremskive HTD 8M, 48 tænder, b50, TL2012</v>
          </cell>
          <cell r="C1957" t="str">
            <v>Timing belt pulley HTD 8M, 48 teeth, b50, TL2012</v>
          </cell>
          <cell r="D1957">
            <v>276</v>
          </cell>
          <cell r="E1957">
            <v>37.096774193548384</v>
          </cell>
        </row>
        <row r="1958">
          <cell r="A1958">
            <v>21169</v>
          </cell>
          <cell r="B1958" t="str">
            <v>Tandremskive HTD 8M, 72 tænder, b50, TL2517</v>
          </cell>
          <cell r="C1958" t="str">
            <v>Timing belt pulley HTD 8M, 72 teeth, b50, TL2517</v>
          </cell>
          <cell r="D1958">
            <v>853</v>
          </cell>
          <cell r="E1958">
            <v>114.65053763440859</v>
          </cell>
        </row>
        <row r="1959">
          <cell r="A1959">
            <v>21170</v>
          </cell>
          <cell r="B1959" t="str">
            <v>Tandrem HTD D8M, b50, L1440</v>
          </cell>
          <cell r="C1959" t="str">
            <v>Timing belt HTD D8M, b50, L1440</v>
          </cell>
          <cell r="D1959">
            <v>875</v>
          </cell>
          <cell r="E1959">
            <v>117.60752688172042</v>
          </cell>
        </row>
        <row r="1960">
          <cell r="A1960">
            <v>21181</v>
          </cell>
          <cell r="B1960" t="str">
            <v>O-ring Ø60xØ3,0</v>
          </cell>
          <cell r="C1960" t="str">
            <v>O-ring Ø60xØ3,0</v>
          </cell>
          <cell r="D1960">
            <v>13.8</v>
          </cell>
          <cell r="E1960">
            <v>1.8548387096774193</v>
          </cell>
        </row>
        <row r="1961">
          <cell r="A1961">
            <v>21184</v>
          </cell>
          <cell r="B1961" t="str">
            <v>O-ring Ø48,0xØ6,0</v>
          </cell>
          <cell r="C1961" t="str">
            <v>O-ring Ø48,0xØ6,0</v>
          </cell>
          <cell r="D1961">
            <v>14.6</v>
          </cell>
          <cell r="E1961">
            <v>1.9623655913978493</v>
          </cell>
        </row>
        <row r="1962">
          <cell r="A1962">
            <v>21196</v>
          </cell>
          <cell r="B1962" t="str">
            <v>M20x100 Aftræksskrue</v>
          </cell>
          <cell r="C1962" t="str">
            <v>M20x100 Pull off screw</v>
          </cell>
          <cell r="D1962">
            <v>23</v>
          </cell>
          <cell r="E1962">
            <v>3.0913978494623655</v>
          </cell>
        </row>
        <row r="1963">
          <cell r="A1963">
            <v>21198</v>
          </cell>
          <cell r="B1963" t="str">
            <v>Pumpestation 0,4/1,6 l/min., 3 x 380 V, 50 Hz/220 V, 50/60 Hz, inkl. pos. no. 30, manøvreventil, magnetv., 230 V, 50/60 Hz</v>
          </cell>
          <cell r="C1963" t="str">
            <v>Pump station 0,4/1,6 l/min., 3 x 380 V, 50 Hz/220 V, 50/60 Hz, including pos. no. 30, solenoid control valve, 230 V, 50/60 Hz</v>
          </cell>
          <cell r="D1963">
            <v>10812</v>
          </cell>
          <cell r="E1963">
            <v>1453.2258064516129</v>
          </cell>
        </row>
        <row r="1964">
          <cell r="A1964">
            <v>21201</v>
          </cell>
          <cell r="B1964" t="str">
            <v xml:space="preserve">Cyl. Skrue M12 x 90 8.8 DIN 912 </v>
          </cell>
          <cell r="C1964" t="str">
            <v>Cyl. Screw M12 x 90 8.8 DIN 912</v>
          </cell>
          <cell r="D1964">
            <v>4.2</v>
          </cell>
          <cell r="E1964">
            <v>0.56451612903225801</v>
          </cell>
        </row>
        <row r="1965">
          <cell r="A1965">
            <v>21217</v>
          </cell>
          <cell r="B1965" t="str">
            <v>værktøj for snegleskrue</v>
          </cell>
          <cell r="C1965" t="str">
            <v>Toll for wear screw</v>
          </cell>
          <cell r="D1965">
            <v>755</v>
          </cell>
          <cell r="E1965">
            <v>101.47849462365591</v>
          </cell>
        </row>
        <row r="1966">
          <cell r="A1966">
            <v>21231</v>
          </cell>
          <cell r="B1966" t="str">
            <v>Låsemøtrik F/Bagleje</v>
          </cell>
          <cell r="C1966" t="str">
            <v>Lock nut</v>
          </cell>
          <cell r="D1966">
            <v>11130</v>
          </cell>
          <cell r="E1966">
            <v>1495.9677419354839</v>
          </cell>
        </row>
        <row r="1967">
          <cell r="A1967">
            <v>21232</v>
          </cell>
          <cell r="B1967" t="str">
            <v xml:space="preserve">Slidsnegl </v>
          </cell>
          <cell r="C1967" t="str">
            <v>Wear worm,</v>
          </cell>
          <cell r="D1967">
            <v>13250</v>
          </cell>
          <cell r="E1967">
            <v>1780.9139784946235</v>
          </cell>
        </row>
        <row r="1968">
          <cell r="A1968">
            <v>21238</v>
          </cell>
          <cell r="B1968" t="str">
            <v>Cyl. Skrue M5 x 20 A2 DIN 911</v>
          </cell>
          <cell r="C1968" t="str">
            <v>Cyl. Screw M5 x 20 A2 DIN 911</v>
          </cell>
          <cell r="D1968">
            <v>1</v>
          </cell>
          <cell r="E1968">
            <v>0.13440860215053763</v>
          </cell>
        </row>
        <row r="1969">
          <cell r="A1969">
            <v>21241</v>
          </cell>
          <cell r="B1969" t="str">
            <v>Tætningsring Ø215 x Ø240 x 12 Viton</v>
          </cell>
          <cell r="C1969" t="str">
            <v>Sealing ring Ø215 x Ø240 x 12 Viton</v>
          </cell>
          <cell r="D1969">
            <v>615</v>
          </cell>
          <cell r="E1969">
            <v>82.661290322580641</v>
          </cell>
        </row>
        <row r="1970">
          <cell r="A1970">
            <v>21254</v>
          </cell>
          <cell r="B1970" t="str">
            <v>O-ring Ø194,2 x Ø5,70 Viton</v>
          </cell>
          <cell r="C1970" t="str">
            <v>O-ring Ø194,2 x Ø5,70 Viton</v>
          </cell>
          <cell r="D1970">
            <v>39</v>
          </cell>
          <cell r="E1970">
            <v>5.2419354838709671</v>
          </cell>
        </row>
        <row r="1971">
          <cell r="A1971">
            <v>21255</v>
          </cell>
          <cell r="B1971" t="str">
            <v>O-ring Ø239,0 x Ø5,70 Viton</v>
          </cell>
          <cell r="C1971" t="str">
            <v>O-ring Ø239,0 x Ø5,70 Viton</v>
          </cell>
          <cell r="D1971">
            <v>53</v>
          </cell>
          <cell r="E1971">
            <v>7.1236559139784941</v>
          </cell>
        </row>
        <row r="1972">
          <cell r="A1972">
            <v>21257</v>
          </cell>
          <cell r="B1972" t="str">
            <v>Hydraulikslange 3/4" 1500  90G/lige omløber</v>
          </cell>
          <cell r="C1972" t="str">
            <v>Hydraulic hose 3/4" L=1500 90degr./straight circulation</v>
          </cell>
          <cell r="D1972">
            <v>195</v>
          </cell>
          <cell r="E1972">
            <v>26.209677419354836</v>
          </cell>
        </row>
        <row r="1973">
          <cell r="A1973">
            <v>21280</v>
          </cell>
          <cell r="B1973" t="str">
            <v>Endedæksel for filttætning</v>
          </cell>
          <cell r="C1973" t="str">
            <v>Endcover</v>
          </cell>
          <cell r="D1973">
            <v>938</v>
          </cell>
          <cell r="E1973">
            <v>126.07526881720429</v>
          </cell>
        </row>
        <row r="1974">
          <cell r="A1974">
            <v>21281</v>
          </cell>
          <cell r="B1974" t="str">
            <v>Remskærm</v>
          </cell>
          <cell r="C1974" t="str">
            <v>Guard for belt drive</v>
          </cell>
          <cell r="D1974">
            <v>18550</v>
          </cell>
          <cell r="E1974">
            <v>2493.2795698924729</v>
          </cell>
        </row>
        <row r="1975">
          <cell r="A1975">
            <v>21291</v>
          </cell>
          <cell r="B1975" t="str">
            <v>Strammeskinne L1050 UNP140</v>
          </cell>
          <cell r="C1975" t="str">
            <v>Tightening rail L1050 UNP140</v>
          </cell>
          <cell r="D1975">
            <v>833</v>
          </cell>
          <cell r="E1975">
            <v>111.96236559139784</v>
          </cell>
        </row>
        <row r="1976">
          <cell r="A1976">
            <v>21302</v>
          </cell>
          <cell r="B1976" t="str">
            <v>Koblingsskive for brudstift</v>
          </cell>
          <cell r="C1976" t="str">
            <v>Coupling disc for shear pin</v>
          </cell>
          <cell r="D1976">
            <v>8374</v>
          </cell>
          <cell r="E1976">
            <v>1125.5376344086021</v>
          </cell>
        </row>
        <row r="1977">
          <cell r="A1977">
            <v>21303</v>
          </cell>
          <cell r="B1977" t="str">
            <v>Stiftholder for sikringskobling</v>
          </cell>
          <cell r="C1977" t="str">
            <v>Pin holder for safety coupling</v>
          </cell>
          <cell r="D1977">
            <v>1590</v>
          </cell>
          <cell r="E1977">
            <v>213.70967741935482</v>
          </cell>
        </row>
        <row r="1978">
          <cell r="A1978">
            <v>21304</v>
          </cell>
          <cell r="B1978" t="str">
            <v xml:space="preserve"> Skringsstift. M 707 1 stift</v>
          </cell>
          <cell r="C1978" t="str">
            <v>Shear pin</v>
          </cell>
          <cell r="D1978">
            <v>138</v>
          </cell>
          <cell r="E1978">
            <v>18.548387096774192</v>
          </cell>
        </row>
        <row r="1979">
          <cell r="A1979">
            <v>21305</v>
          </cell>
          <cell r="B1979" t="str">
            <v>Skive f/brudstiftkobling</v>
          </cell>
          <cell r="C1979" t="str">
            <v>Washer f/shear pin coupling</v>
          </cell>
          <cell r="D1979">
            <v>498</v>
          </cell>
          <cell r="E1979">
            <v>66.935483870967744</v>
          </cell>
        </row>
        <row r="1980">
          <cell r="A1980">
            <v>21309</v>
          </cell>
          <cell r="B1980" t="str">
            <v>Olie/luftkøler komplet M30/M900</v>
          </cell>
          <cell r="C1980" t="str">
            <v>Oil cooler  M300/M900</v>
          </cell>
          <cell r="D1980">
            <v>10070</v>
          </cell>
          <cell r="E1980">
            <v>1353.494623655914</v>
          </cell>
        </row>
        <row r="1981">
          <cell r="A1981">
            <v>21310</v>
          </cell>
          <cell r="B1981" t="str">
            <v>Nippelmuffe 3/4" I-3/4" U 60gr</v>
          </cell>
          <cell r="C1981" t="str">
            <v>Nipple sleeve 3/4" U - 3/4" 60 degrees</v>
          </cell>
          <cell r="D1981">
            <v>30</v>
          </cell>
          <cell r="E1981">
            <v>4.032258064516129</v>
          </cell>
        </row>
        <row r="1982">
          <cell r="A1982">
            <v>21311</v>
          </cell>
          <cell r="B1982" t="str">
            <v>3/4" hydr. slange 1800 90° oml./lig.</v>
          </cell>
          <cell r="C1982" t="str">
            <v>Hydraulic hose 3/4" 1800 90° /straight</v>
          </cell>
          <cell r="D1982">
            <v>451</v>
          </cell>
          <cell r="E1982">
            <v>60.618279569892472</v>
          </cell>
        </row>
        <row r="1983">
          <cell r="A1983">
            <v>21312</v>
          </cell>
          <cell r="B1983" t="str">
            <v>3/4" hydr. slange 1100 90°/lige oml.</v>
          </cell>
          <cell r="C1983" t="str">
            <v>Hydraulic hose 3/4" 1100 90°/straight</v>
          </cell>
          <cell r="D1983">
            <v>322</v>
          </cell>
          <cell r="E1983">
            <v>43.279569892473113</v>
          </cell>
        </row>
        <row r="1984">
          <cell r="A1984">
            <v>21314</v>
          </cell>
          <cell r="B1984" t="str">
            <v>3/4" hydr. slange 1500 90°/lig oml.</v>
          </cell>
          <cell r="C1984" t="str">
            <v xml:space="preserve">Hydraulic hose 3/4" 1500 90°/ straight </v>
          </cell>
          <cell r="D1984">
            <v>254</v>
          </cell>
          <cell r="E1984">
            <v>34.13978494623656</v>
          </cell>
        </row>
        <row r="1985">
          <cell r="A1985">
            <v>21322</v>
          </cell>
          <cell r="B1985" t="str">
            <v>O-ring Ø040,0 x 4,00 viton</v>
          </cell>
          <cell r="C1985" t="str">
            <v>O-ring Ø040,0 x 4,00 viton</v>
          </cell>
          <cell r="D1985">
            <v>13.8</v>
          </cell>
          <cell r="E1985">
            <v>1.8548387096774193</v>
          </cell>
        </row>
        <row r="1986">
          <cell r="A1986">
            <v>21330</v>
          </cell>
          <cell r="B1986" t="str">
            <v>Slidsnegl 1½ løb, lukket dyse</v>
          </cell>
          <cell r="C1986" t="str">
            <v>Wear worm 1½-lobed, for closed wear cone</v>
          </cell>
          <cell r="D1986">
            <v>14522</v>
          </cell>
          <cell r="E1986">
            <v>1951.8817204301074</v>
          </cell>
        </row>
        <row r="1987">
          <cell r="A1987">
            <v>21334</v>
          </cell>
          <cell r="B1987" t="str">
            <v>Grafitring Ø240/Ø260X20.</v>
          </cell>
          <cell r="C1987" t="str">
            <v>Graphite Ring Ø240/Ø260x20</v>
          </cell>
          <cell r="D1987">
            <v>3260</v>
          </cell>
          <cell r="E1987">
            <v>438.17204301075265</v>
          </cell>
        </row>
        <row r="1988">
          <cell r="A1988">
            <v>21338</v>
          </cell>
          <cell r="B1988" t="str">
            <v>Skærm for brudstiftkobling</v>
          </cell>
          <cell r="C1988" t="str">
            <v>Screen for shear pin coupling</v>
          </cell>
          <cell r="D1988">
            <v>5883</v>
          </cell>
          <cell r="E1988">
            <v>790.72580645161281</v>
          </cell>
        </row>
        <row r="1989">
          <cell r="A1989">
            <v>21343</v>
          </cell>
          <cell r="B1989" t="str">
            <v>Nippelrør 3/4" x 80mm galv.</v>
          </cell>
          <cell r="C1989" t="str">
            <v>Nipple pipe 3/4" x 80mm galv.</v>
          </cell>
          <cell r="D1989">
            <v>10.6</v>
          </cell>
          <cell r="E1989">
            <v>1.4247311827956988</v>
          </cell>
        </row>
        <row r="1990">
          <cell r="A1990">
            <v>21346</v>
          </cell>
          <cell r="B1990" t="str">
            <v>Tromle f/vingegranulator uden skraber, komplet incl. pos. 2-8</v>
          </cell>
          <cell r="C1990" t="str">
            <v>Drum f/wing crumbler without scraper, complete incl. pos. 2-8</v>
          </cell>
          <cell r="D1990">
            <v>13250</v>
          </cell>
          <cell r="E1990">
            <v>1780.9139784946235</v>
          </cell>
        </row>
        <row r="1991">
          <cell r="A1991">
            <v>21347</v>
          </cell>
          <cell r="B1991" t="str">
            <v>Tromle f/vingegranulator med skraber, komplet incl. pos. 21-30</v>
          </cell>
          <cell r="C1991" t="str">
            <v>Drum f/wing crumbler with scraper, complete incl. pos. 21-30</v>
          </cell>
          <cell r="D1991">
            <v>14204</v>
          </cell>
          <cell r="E1991">
            <v>1909.1397849462364</v>
          </cell>
        </row>
        <row r="1992">
          <cell r="A1992">
            <v>21348</v>
          </cell>
          <cell r="B1992" t="str">
            <v>Vinge 8-tands tromle</v>
          </cell>
          <cell r="C1992" t="str">
            <v>Wing 8-tooth drum</v>
          </cell>
          <cell r="D1992">
            <v>398</v>
          </cell>
          <cell r="E1992">
            <v>53.494623655913976</v>
          </cell>
        </row>
        <row r="1993">
          <cell r="A1993">
            <v>21349</v>
          </cell>
          <cell r="B1993" t="str">
            <v>Afstandsring for tromle, L = 24</v>
          </cell>
          <cell r="C1993" t="str">
            <v>Distance ring f/drum, L = 24</v>
          </cell>
          <cell r="D1993">
            <v>413</v>
          </cell>
          <cell r="E1993">
            <v>55.51075268817204</v>
          </cell>
        </row>
        <row r="1994">
          <cell r="A1994">
            <v>21351</v>
          </cell>
          <cell r="B1994" t="str">
            <v>Aksel for tromle, komplet incl. pos. 22-24</v>
          </cell>
          <cell r="C1994" t="str">
            <v>Shaft for drum, complete incl. pos. 22-24</v>
          </cell>
          <cell r="D1994">
            <v>5830</v>
          </cell>
          <cell r="E1994">
            <v>783.60215053763432</v>
          </cell>
        </row>
        <row r="1995">
          <cell r="A1995">
            <v>21353</v>
          </cell>
          <cell r="B1995" t="str">
            <v>Akselmøtrik M80 x 2</v>
          </cell>
          <cell r="C1995" t="str">
            <v>Shaft nut M80 x 2</v>
          </cell>
          <cell r="D1995">
            <v>196</v>
          </cell>
          <cell r="E1995">
            <v>26.344086021505376</v>
          </cell>
        </row>
        <row r="1996">
          <cell r="A1996">
            <v>21354</v>
          </cell>
          <cell r="B1996" t="str">
            <v>Låseblik MB16 Ø80 x 1,5</v>
          </cell>
          <cell r="C1996" t="str">
            <v>Striking plate MB16 Ø80 x 1,5</v>
          </cell>
          <cell r="D1996">
            <v>13.8</v>
          </cell>
          <cell r="E1996">
            <v>1.8548387096774193</v>
          </cell>
        </row>
        <row r="1997">
          <cell r="A1997">
            <v>21356</v>
          </cell>
          <cell r="B1997" t="str">
            <v>Spændelement TL 4545, Ø80</v>
          </cell>
          <cell r="C1997" t="str">
            <v>Taper bush TL 4545, Ø80</v>
          </cell>
          <cell r="D1997">
            <v>413</v>
          </cell>
          <cell r="E1997">
            <v>55.51075268817204</v>
          </cell>
        </row>
        <row r="1998">
          <cell r="A1998">
            <v>21365</v>
          </cell>
          <cell r="B1998" t="str">
            <v>Brystnippel 1"NPT &amp; 3/4"RG 60gr KON</v>
          </cell>
          <cell r="C1998" t="str">
            <v>Nipple 1"NPT &amp; 3/4"RG 60gr KON</v>
          </cell>
          <cell r="D1998">
            <v>46</v>
          </cell>
          <cell r="E1998">
            <v>6.182795698924731</v>
          </cell>
        </row>
        <row r="1999">
          <cell r="A1999">
            <v>21369</v>
          </cell>
          <cell r="B1999" t="str">
            <v>U-skrue M6 x 35 A2</v>
          </cell>
          <cell r="C1999" t="str">
            <v>U-screw M6 x 35 A2</v>
          </cell>
          <cell r="D1999">
            <v>1.6</v>
          </cell>
          <cell r="E1999">
            <v>0.21505376344086022</v>
          </cell>
        </row>
        <row r="2000">
          <cell r="A2000">
            <v>21396</v>
          </cell>
          <cell r="B2000" t="str">
            <v>Bonded seal 1”</v>
          </cell>
          <cell r="C2000" t="str">
            <v>Bonded seal 1”</v>
          </cell>
          <cell r="D2000">
            <v>12.2</v>
          </cell>
          <cell r="E2000">
            <v>1.639784946236559</v>
          </cell>
        </row>
        <row r="2001">
          <cell r="A2001">
            <v>21397</v>
          </cell>
          <cell r="B2001" t="str">
            <v>Dysebase EX20</v>
          </cell>
          <cell r="C2001" t="str">
            <v>Die base EX20</v>
          </cell>
          <cell r="D2001">
            <v>14400</v>
          </cell>
          <cell r="E2001">
            <v>1935.4838709677417</v>
          </cell>
        </row>
        <row r="2002">
          <cell r="A2002">
            <v>21406</v>
          </cell>
          <cell r="B2002" t="str">
            <v>3/4" hydr. slange 1600 90° lige oml.</v>
          </cell>
          <cell r="C2002" t="str">
            <v xml:space="preserve">Hydraulic hose 3/4" 1600 90°/straight </v>
          </cell>
          <cell r="D2002">
            <v>290</v>
          </cell>
          <cell r="E2002">
            <v>38.978494623655912</v>
          </cell>
        </row>
        <row r="2003">
          <cell r="A2003">
            <v>21407</v>
          </cell>
          <cell r="B2003" t="str">
            <v>3/4" hydr. slange 2000 90° lige oml.</v>
          </cell>
          <cell r="C2003" t="str">
            <v xml:space="preserve">Hydraulic hose 3/4" 2000 90°/staright </v>
          </cell>
          <cell r="D2003">
            <v>459</v>
          </cell>
          <cell r="E2003">
            <v>61.693548387096769</v>
          </cell>
        </row>
        <row r="2004">
          <cell r="A2004">
            <v>21419</v>
          </cell>
          <cell r="B2004" t="str">
            <v>Tromle f/vingegranulator med skraber, komplet incl. pos. 21-30</v>
          </cell>
          <cell r="C2004" t="str">
            <v>Drum f/wing crumbler with scraper, complete incl. pos. 21-30</v>
          </cell>
          <cell r="D2004">
            <v>11130</v>
          </cell>
          <cell r="E2004">
            <v>1495.9677419354839</v>
          </cell>
        </row>
        <row r="2005">
          <cell r="A2005">
            <v>21420</v>
          </cell>
          <cell r="B2005" t="str">
            <v>Tromle f/vingegranulator uden skraber, komplet incl. pos. 2-9</v>
          </cell>
          <cell r="C2005" t="str">
            <v>Drum f/wing crumbler without scraper, complete incl. pos. 2-9</v>
          </cell>
          <cell r="D2005">
            <v>10494</v>
          </cell>
          <cell r="E2005">
            <v>1410.483870967742</v>
          </cell>
        </row>
        <row r="2006">
          <cell r="A2006">
            <v>21425</v>
          </cell>
          <cell r="B2006" t="str">
            <v>Afstandsring for tromle L = 57</v>
          </cell>
          <cell r="C2006" t="str">
            <v>Distance ring for drum L = 57</v>
          </cell>
          <cell r="D2006">
            <v>477</v>
          </cell>
          <cell r="E2006">
            <v>64.112903225806448</v>
          </cell>
        </row>
        <row r="2007">
          <cell r="A2007">
            <v>21426</v>
          </cell>
          <cell r="B2007" t="str">
            <v>Afstandsring for tromle L = 33</v>
          </cell>
          <cell r="C2007" t="str">
            <v>Distance ring for drum L = 33</v>
          </cell>
          <cell r="D2007">
            <v>318</v>
          </cell>
          <cell r="E2007">
            <v>42.741935483870968</v>
          </cell>
        </row>
        <row r="2008">
          <cell r="A2008">
            <v>21431</v>
          </cell>
          <cell r="B2008" t="str">
            <v>Hydraulikstation for sikringskobling for 3 x 460 V, 60 Hz og 110 V, 60 Hz</v>
          </cell>
          <cell r="C2008" t="str">
            <v>3 x 460 V, 60 Hz and 110 V, 60 Hz</v>
          </cell>
          <cell r="D2008">
            <v>12084</v>
          </cell>
          <cell r="E2008">
            <v>1624.1935483870966</v>
          </cell>
        </row>
        <row r="2009">
          <cell r="A2009">
            <v>21433</v>
          </cell>
          <cell r="B2009" t="str">
            <v>erstatte af 019656</v>
          </cell>
          <cell r="C2009" t="str">
            <v>Replaced by 019656</v>
          </cell>
          <cell r="D2009" t="str">
            <v>replaced</v>
          </cell>
          <cell r="E2009" t="e">
            <v>#VALUE!</v>
          </cell>
        </row>
        <row r="2010">
          <cell r="A2010">
            <v>21437</v>
          </cell>
          <cell r="B2010" t="str">
            <v>Skærmskive Ø10 DIN9021</v>
          </cell>
          <cell r="C2010" t="str">
            <v>Screen washer Ø10 DIN 9021</v>
          </cell>
          <cell r="D2010">
            <v>1.4</v>
          </cell>
          <cell r="E2010">
            <v>0.18817204301075266</v>
          </cell>
        </row>
        <row r="2011">
          <cell r="A2011">
            <v>21467</v>
          </cell>
          <cell r="B2011" t="str">
            <v>Lejeskål</v>
          </cell>
          <cell r="C2011" t="str">
            <v>Bearing house</v>
          </cell>
          <cell r="D2011">
            <v>14098</v>
          </cell>
          <cell r="E2011">
            <v>1894.8924731182794</v>
          </cell>
        </row>
        <row r="2012">
          <cell r="A2012">
            <v>21468</v>
          </cell>
          <cell r="B2012" t="str">
            <v>Remskærm for vingegranulator</v>
          </cell>
          <cell r="C2012" t="str">
            <v>Belt guard for wing crumbler</v>
          </cell>
          <cell r="D2012">
            <v>1230</v>
          </cell>
          <cell r="E2012">
            <v>165.32258064516128</v>
          </cell>
        </row>
        <row r="2013">
          <cell r="A2013">
            <v>21545</v>
          </cell>
          <cell r="B2013" t="str">
            <v>O-ring Ø325,0 x 5,00 VITON</v>
          </cell>
          <cell r="C2013" t="str">
            <v>O-ring Ø325,0 x 5,00 VITON</v>
          </cell>
          <cell r="D2013">
            <v>74</v>
          </cell>
          <cell r="E2013">
            <v>9.9462365591397841</v>
          </cell>
        </row>
        <row r="2014">
          <cell r="A2014">
            <v>21554</v>
          </cell>
          <cell r="B2014" t="str">
            <v>Cyl. Skrue M12 x 75, 12.9</v>
          </cell>
          <cell r="C2014" t="str">
            <v>Cyl. Screw M12 x 75, 12.9</v>
          </cell>
          <cell r="D2014">
            <v>6.4</v>
          </cell>
          <cell r="E2014">
            <v>0.86021505376344087</v>
          </cell>
        </row>
        <row r="2015">
          <cell r="A2015">
            <v>21646</v>
          </cell>
          <cell r="B2015" t="str">
            <v>Tryktransmitter 15+ 4-20 mA</v>
          </cell>
          <cell r="C2015" t="str">
            <v>Pressure transmitter 15+4-20 mA</v>
          </cell>
          <cell r="D2015">
            <v>9434</v>
          </cell>
          <cell r="E2015">
            <v>1268.010752688172</v>
          </cell>
        </row>
        <row r="2016">
          <cell r="A2016">
            <v>21655</v>
          </cell>
          <cell r="B2016" t="str">
            <v>Kileremskive SPC8 Ø250 TL 3535 T1</v>
          </cell>
          <cell r="C2016" t="str">
            <v>V-belt pulley SPC8 Ø250 TL 3535 T1</v>
          </cell>
          <cell r="D2016">
            <v>4020</v>
          </cell>
          <cell r="E2016">
            <v>540.32258064516122</v>
          </cell>
        </row>
        <row r="2017">
          <cell r="A2017">
            <v>21656</v>
          </cell>
          <cell r="B2017" t="str">
            <v>Topplade for rulletr. M30</v>
          </cell>
          <cell r="C2017" t="str">
            <v>Top plate for roller M30</v>
          </cell>
          <cell r="D2017">
            <v>389</v>
          </cell>
          <cell r="E2017">
            <v>52.284946236559136</v>
          </cell>
        </row>
        <row r="2018">
          <cell r="A2018">
            <v>21658</v>
          </cell>
          <cell r="B2018" t="str">
            <v>Afstandsbøsning</v>
          </cell>
          <cell r="C2018" t="str">
            <v>Distance bushing</v>
          </cell>
          <cell r="D2018">
            <v>576</v>
          </cell>
          <cell r="E2018">
            <v>77.41935483870968</v>
          </cell>
        </row>
        <row r="2019">
          <cell r="A2019">
            <v>21659</v>
          </cell>
          <cell r="B2019" t="str">
            <v>Trykskive rulletryk M30</v>
          </cell>
          <cell r="C2019" t="str">
            <v>Thrust washer roller pressure M30</v>
          </cell>
          <cell r="D2019">
            <v>336</v>
          </cell>
          <cell r="E2019">
            <v>45.161290322580641</v>
          </cell>
        </row>
        <row r="2020">
          <cell r="A2020">
            <v>21660</v>
          </cell>
          <cell r="B2020" t="str">
            <v>Spindelophæng rulletryksmåling M30</v>
          </cell>
          <cell r="C2020" t="str">
            <v>Spindle for M 30 roller press.</v>
          </cell>
          <cell r="D2020">
            <v>28090</v>
          </cell>
          <cell r="E2020">
            <v>3775.5376344086021</v>
          </cell>
        </row>
        <row r="2021">
          <cell r="A2021">
            <v>21661</v>
          </cell>
          <cell r="B2021" t="str">
            <v>Hus for vejecelle</v>
          </cell>
          <cell r="C2021" t="str">
            <v>Housing for weighing cell</v>
          </cell>
          <cell r="D2021">
            <v>4161</v>
          </cell>
          <cell r="E2021">
            <v>559.27419354838707</v>
          </cell>
        </row>
        <row r="2022">
          <cell r="A2022">
            <v>21664</v>
          </cell>
          <cell r="B2022" t="str">
            <v>Mellemlæg Ø50</v>
          </cell>
          <cell r="C2022" t="str">
            <v>Intermidiate layer Ø50</v>
          </cell>
          <cell r="D2022">
            <v>35</v>
          </cell>
          <cell r="E2022">
            <v>4.704301075268817</v>
          </cell>
        </row>
        <row r="2023">
          <cell r="A2023">
            <v>21665</v>
          </cell>
          <cell r="B2023" t="str">
            <v>Trykstang rulletr. M30</v>
          </cell>
          <cell r="C2023" t="str">
            <v>Pressure stick roll pressure M30</v>
          </cell>
          <cell r="D2023">
            <v>1091</v>
          </cell>
          <cell r="E2023">
            <v>146.63978494623655</v>
          </cell>
        </row>
        <row r="2024">
          <cell r="A2024">
            <v>21672</v>
          </cell>
          <cell r="B2024" t="str">
            <v>Mellemlæg Ø80, nylon</v>
          </cell>
          <cell r="C2024" t="str">
            <v>Intermidiate layer Ø80, nylon</v>
          </cell>
          <cell r="D2024">
            <v>35</v>
          </cell>
          <cell r="E2024">
            <v>4.704301075268817</v>
          </cell>
        </row>
        <row r="2025">
          <cell r="A2025">
            <v>21673</v>
          </cell>
          <cell r="B2025" t="str">
            <v>Mellemlæg Ø80, stål</v>
          </cell>
          <cell r="C2025" t="str">
            <v>Intermidiate layer Ø80, steel</v>
          </cell>
          <cell r="D2025">
            <v>336</v>
          </cell>
          <cell r="E2025">
            <v>45.161290322580641</v>
          </cell>
        </row>
        <row r="2026">
          <cell r="A2026">
            <v>21701</v>
          </cell>
          <cell r="B2026" t="str">
            <v>Hovedlejeskål</v>
          </cell>
          <cell r="C2026" t="str">
            <v>Main bearing housing</v>
          </cell>
          <cell r="D2026">
            <v>15370</v>
          </cell>
          <cell r="E2026">
            <v>2065.8602150537631</v>
          </cell>
        </row>
        <row r="2027">
          <cell r="A2027">
            <v>21704</v>
          </cell>
          <cell r="B2027" t="str">
            <v>Lejehus for drivaksel, åben</v>
          </cell>
          <cell r="C2027" t="str">
            <v>Bearing housing for drive shaft, open</v>
          </cell>
          <cell r="D2027">
            <v>7632</v>
          </cell>
          <cell r="E2027">
            <v>1025.8064516129032</v>
          </cell>
        </row>
        <row r="2028">
          <cell r="A2028">
            <v>21707</v>
          </cell>
          <cell r="B2028" t="str">
            <v>Lejehus bagerst</v>
          </cell>
          <cell r="C2028" t="str">
            <v>Bearing housing, rear</v>
          </cell>
          <cell r="D2028">
            <v>13992</v>
          </cell>
          <cell r="E2028">
            <v>1880.6451612903224</v>
          </cell>
        </row>
        <row r="2029">
          <cell r="A2029">
            <v>21709</v>
          </cell>
          <cell r="B2029" t="str">
            <v>Trug m/gliderør f/materialeindføring</v>
          </cell>
          <cell r="C2029" t="str">
            <v>Through w sliding pipe f. material inlet</v>
          </cell>
          <cell r="D2029">
            <v>22790</v>
          </cell>
          <cell r="E2029">
            <v>3063.1720430107525</v>
          </cell>
        </row>
        <row r="2030">
          <cell r="A2030">
            <v>21712</v>
          </cell>
          <cell r="B2030" t="str">
            <v>Snegl Ø140 materialeindføring EX17-1</v>
          </cell>
          <cell r="C2030" t="str">
            <v>Screw Ø140 material inlet EX17 - 1</v>
          </cell>
          <cell r="D2030">
            <v>17140</v>
          </cell>
          <cell r="E2030">
            <v>2303.7634408602148</v>
          </cell>
        </row>
        <row r="2031">
          <cell r="A2031">
            <v>21717</v>
          </cell>
          <cell r="B2031" t="str">
            <v>Lejehus for drivaksel, lukket</v>
          </cell>
          <cell r="C2031" t="str">
            <v>Bearing housing for drive shaft, closed</v>
          </cell>
          <cell r="D2031">
            <v>5586</v>
          </cell>
          <cell r="E2031">
            <v>750.80645161290317</v>
          </cell>
        </row>
        <row r="2032">
          <cell r="A2032">
            <v>21722</v>
          </cell>
          <cell r="B2032" t="str">
            <v>Manøvreventil, magnetv. 230 VAC, 50/60 Hz, komplet med spoler og stik</v>
          </cell>
          <cell r="C2032" t="str">
            <v>Solenoid control valve 230 VAC, 50/60 Hz, compl. with coils and adapters</v>
          </cell>
          <cell r="D2032">
            <v>1659</v>
          </cell>
          <cell r="E2032">
            <v>222.98387096774192</v>
          </cell>
        </row>
        <row r="2033">
          <cell r="A2033">
            <v>21724</v>
          </cell>
          <cell r="B2033" t="str">
            <v>Tætningsskål for hovedleje</v>
          </cell>
          <cell r="C2033" t="str">
            <v>Sealing housing for main bearing</v>
          </cell>
          <cell r="D2033">
            <v>8056</v>
          </cell>
          <cell r="E2033">
            <v>1082.7956989247311</v>
          </cell>
        </row>
        <row r="2034">
          <cell r="A2034">
            <v>21726</v>
          </cell>
          <cell r="B2034" t="str">
            <v xml:space="preserve">Borebøsning A28 x 30 for sikringsstift </v>
          </cell>
          <cell r="C2034" t="str">
            <v xml:space="preserve">Bushing A28 x 30 for safety pin </v>
          </cell>
          <cell r="D2034">
            <v>567</v>
          </cell>
          <cell r="E2034">
            <v>76.209677419354833</v>
          </cell>
        </row>
        <row r="2035">
          <cell r="A2035">
            <v>21729</v>
          </cell>
          <cell r="B2035" t="str">
            <v>Pillekammer, Højre hængslet, komplet</v>
          </cell>
          <cell r="C2035" t="str">
            <v>Pellet chamber Right</v>
          </cell>
          <cell r="D2035">
            <v>90100</v>
          </cell>
          <cell r="E2035">
            <v>12110.215053763441</v>
          </cell>
        </row>
        <row r="2036">
          <cell r="A2036">
            <v>21733</v>
          </cell>
          <cell r="B2036" t="str">
            <v>Sfærisk rulleleje 23224</v>
          </cell>
          <cell r="C2036" t="str">
            <v>Spherical roller bearing 23224</v>
          </cell>
          <cell r="D2036">
            <v>1961</v>
          </cell>
          <cell r="E2036">
            <v>263.57526881720429</v>
          </cell>
        </row>
        <row r="2037">
          <cell r="A2037">
            <v>21734</v>
          </cell>
          <cell r="B2037" t="str">
            <v>Sfærisk rulleleje 23226</v>
          </cell>
          <cell r="C2037" t="str">
            <v>Spherical roller bearing 23226</v>
          </cell>
          <cell r="D2037">
            <v>2385</v>
          </cell>
          <cell r="E2037">
            <v>320.56451612903226</v>
          </cell>
        </row>
        <row r="2038">
          <cell r="A2038">
            <v>21735</v>
          </cell>
          <cell r="B2038" t="str">
            <v>Sfærisk rulleleje 23996</v>
          </cell>
          <cell r="C2038" t="str">
            <v>Spherical roller bearing 23996</v>
          </cell>
          <cell r="D2038">
            <v>37524</v>
          </cell>
          <cell r="E2038">
            <v>5043.5483870967737</v>
          </cell>
        </row>
        <row r="2039">
          <cell r="A2039">
            <v>21736</v>
          </cell>
          <cell r="B2039" t="str">
            <v>Cylindrisk rulleleje NU1064</v>
          </cell>
          <cell r="C2039" t="str">
            <v>Cylindrical roller bearing NU 1064</v>
          </cell>
          <cell r="D2039">
            <v>14819</v>
          </cell>
          <cell r="E2039">
            <v>1991.8010752688172</v>
          </cell>
        </row>
        <row r="2040">
          <cell r="A2040">
            <v>21737</v>
          </cell>
          <cell r="B2040" t="str">
            <v>Drivaksel komplet</v>
          </cell>
          <cell r="C2040" t="str">
            <v>Drive shaft complete</v>
          </cell>
          <cell r="D2040">
            <v>28090</v>
          </cell>
          <cell r="E2040">
            <v>3775.5376344086021</v>
          </cell>
        </row>
        <row r="2041">
          <cell r="A2041">
            <v>21738</v>
          </cell>
          <cell r="B2041" t="str">
            <v>V-ring V600 A</v>
          </cell>
          <cell r="C2041" t="str">
            <v>V-ring V600 A</v>
          </cell>
          <cell r="D2041">
            <v>488</v>
          </cell>
          <cell r="E2041">
            <v>65.591397849462368</v>
          </cell>
        </row>
        <row r="2042">
          <cell r="A2042">
            <v>21739</v>
          </cell>
          <cell r="B2042" t="str">
            <v>Tætningsring Ø120xØ150x7,5 Viton</v>
          </cell>
          <cell r="C2042" t="str">
            <v>Sealing ring Ø120 x Ø150 x 12 Viton</v>
          </cell>
          <cell r="D2042">
            <v>154</v>
          </cell>
          <cell r="E2042">
            <v>20.698924731182796</v>
          </cell>
        </row>
        <row r="2043">
          <cell r="A2043">
            <v>21740</v>
          </cell>
          <cell r="B2043" t="str">
            <v>Tætningsring Ø120xØ140x7,5 Viton</v>
          </cell>
          <cell r="C2043" t="str">
            <v>Sealing ring Ø120 x Ø140 x 7,5 Viton</v>
          </cell>
          <cell r="D2043">
            <v>636</v>
          </cell>
          <cell r="E2043">
            <v>85.483870967741936</v>
          </cell>
        </row>
        <row r="2044">
          <cell r="A2044">
            <v>21741</v>
          </cell>
          <cell r="B2044" t="str">
            <v>Tætningsring Ø530xØ570x20 Viton</v>
          </cell>
          <cell r="C2044" t="str">
            <v>Sealing ring Ø530 x Ø570 x 20 Viton</v>
          </cell>
          <cell r="D2044">
            <v>2942</v>
          </cell>
          <cell r="E2044">
            <v>395.43010752688173</v>
          </cell>
        </row>
        <row r="2045">
          <cell r="A2045">
            <v>21749</v>
          </cell>
          <cell r="B2045" t="str">
            <v>Opspændingsring for matrice M901</v>
          </cell>
          <cell r="C2045" t="str">
            <v>Fixing ring for Die M901</v>
          </cell>
          <cell r="D2045">
            <v>22249</v>
          </cell>
          <cell r="E2045">
            <v>2990.4569892473119</v>
          </cell>
        </row>
        <row r="2046">
          <cell r="A2046">
            <v>21754</v>
          </cell>
          <cell r="B2046" t="str">
            <v xml:space="preserve">Slidring  </v>
          </cell>
          <cell r="C2046" t="str">
            <v>Wear ring</v>
          </cell>
          <cell r="D2046">
            <v>7632</v>
          </cell>
          <cell r="E2046">
            <v>1025.8064516129032</v>
          </cell>
        </row>
        <row r="2047">
          <cell r="A2047">
            <v>21759</v>
          </cell>
          <cell r="B2047" t="str">
            <v>Ring for labyrinttætnng</v>
          </cell>
          <cell r="C2047" t="str">
            <v>Ring for labyrinth seal</v>
          </cell>
          <cell r="D2047">
            <v>3668</v>
          </cell>
          <cell r="E2047">
            <v>493.01075268817203</v>
          </cell>
        </row>
        <row r="2048">
          <cell r="A2048">
            <v>21760</v>
          </cell>
          <cell r="B2048" t="str">
            <v>Hovedtandhjul komplet</v>
          </cell>
          <cell r="C2048" t="str">
            <v>Main gear wheel complete</v>
          </cell>
          <cell r="D2048">
            <v>95930</v>
          </cell>
          <cell r="E2048">
            <v>12893.817204301075</v>
          </cell>
        </row>
        <row r="2049">
          <cell r="A2049">
            <v>21763</v>
          </cell>
          <cell r="B2049" t="str">
            <v>Dæksel for åbent lejehus</v>
          </cell>
          <cell r="C2049" t="str">
            <v>Cover for open bearing housing</v>
          </cell>
          <cell r="D2049">
            <v>1749</v>
          </cell>
          <cell r="E2049">
            <v>235.08064516129031</v>
          </cell>
        </row>
        <row r="2050">
          <cell r="A2050">
            <v>21764</v>
          </cell>
          <cell r="B2050" t="str">
            <v>Bøsning for rulleaksel</v>
          </cell>
          <cell r="C2050" t="str">
            <v>Bushing for roller shaft</v>
          </cell>
          <cell r="D2050">
            <v>1802</v>
          </cell>
          <cell r="E2050">
            <v>242.2043010752688</v>
          </cell>
        </row>
        <row r="2051">
          <cell r="A2051">
            <v>21765</v>
          </cell>
          <cell r="B2051" t="str">
            <v>Slidring</v>
          </cell>
          <cell r="C2051" t="str">
            <v>Wear ring</v>
          </cell>
          <cell r="D2051">
            <v>2226</v>
          </cell>
          <cell r="E2051">
            <v>299.19354838709677</v>
          </cell>
        </row>
        <row r="2052">
          <cell r="A2052">
            <v>21767</v>
          </cell>
          <cell r="B2052" t="str">
            <v>Slidring</v>
          </cell>
          <cell r="C2052" t="str">
            <v>Wear ring</v>
          </cell>
          <cell r="D2052">
            <v>4452</v>
          </cell>
          <cell r="E2052">
            <v>598.38709677419354</v>
          </cell>
        </row>
        <row r="2053">
          <cell r="A2053">
            <v>21768</v>
          </cell>
          <cell r="B2053" t="str">
            <v>Tætningsring for rulleholderaksel</v>
          </cell>
          <cell r="C2053" t="str">
            <v>Sealing ring for roller main shaft</v>
          </cell>
          <cell r="D2053">
            <v>1961</v>
          </cell>
          <cell r="E2053">
            <v>263.57526881720429</v>
          </cell>
        </row>
        <row r="2054">
          <cell r="A2054">
            <v>21769</v>
          </cell>
          <cell r="B2054" t="str">
            <v>Rulleaksel M909 W</v>
          </cell>
          <cell r="C2054" t="str">
            <v>Roller shaft M909 W</v>
          </cell>
          <cell r="D2054">
            <v>7950</v>
          </cell>
          <cell r="E2054">
            <v>1068.5483870967741</v>
          </cell>
        </row>
        <row r="2055">
          <cell r="A2055">
            <v>21770</v>
          </cell>
          <cell r="B2055" t="str">
            <v>Dæksel for rulleholderleje</v>
          </cell>
          <cell r="C2055" t="str">
            <v>Cover for roller main shaft bearing</v>
          </cell>
          <cell r="D2055">
            <v>3127</v>
          </cell>
          <cell r="E2055">
            <v>420.29569892473114</v>
          </cell>
        </row>
        <row r="2056">
          <cell r="A2056">
            <v>21773</v>
          </cell>
          <cell r="B2056" t="str">
            <v>Aftræksring</v>
          </cell>
          <cell r="C2056" t="str">
            <v>Extraction ring</v>
          </cell>
          <cell r="D2056">
            <v>1113</v>
          </cell>
          <cell r="E2056">
            <v>149.59677419354838</v>
          </cell>
        </row>
        <row r="2057">
          <cell r="A2057">
            <v>21776</v>
          </cell>
          <cell r="B2057" t="str">
            <v xml:space="preserve">Slidring  </v>
          </cell>
          <cell r="C2057" t="str">
            <v>Wear ring</v>
          </cell>
          <cell r="D2057">
            <v>3869</v>
          </cell>
          <cell r="E2057">
            <v>520.02688172043008</v>
          </cell>
        </row>
        <row r="2058">
          <cell r="A2058">
            <v>21777</v>
          </cell>
          <cell r="B2058" t="str">
            <v>Aftræksring</v>
          </cell>
          <cell r="C2058" t="str">
            <v>Extraction ring</v>
          </cell>
          <cell r="D2058">
            <v>795</v>
          </cell>
          <cell r="E2058">
            <v>106.85483870967741</v>
          </cell>
        </row>
        <row r="2059">
          <cell r="A2059">
            <v>21778</v>
          </cell>
          <cell r="B2059" t="str">
            <v>Aftræksring</v>
          </cell>
          <cell r="C2059" t="str">
            <v>Extraction ring</v>
          </cell>
          <cell r="D2059">
            <v>360</v>
          </cell>
          <cell r="E2059">
            <v>48.387096774193544</v>
          </cell>
        </row>
        <row r="2060">
          <cell r="A2060">
            <v>21779</v>
          </cell>
          <cell r="B2060" t="str">
            <v>Afstandsring</v>
          </cell>
          <cell r="C2060" t="str">
            <v>Distance ring</v>
          </cell>
          <cell r="D2060">
            <v>604</v>
          </cell>
          <cell r="E2060">
            <v>81.182795698924721</v>
          </cell>
        </row>
        <row r="2061">
          <cell r="A2061">
            <v>21780</v>
          </cell>
          <cell r="B2061" t="str">
            <v>Oliekaster</v>
          </cell>
          <cell r="C2061" t="str">
            <v>Oil thrower incl. item 62</v>
          </cell>
          <cell r="D2061">
            <v>917</v>
          </cell>
          <cell r="E2061">
            <v>123.25268817204301</v>
          </cell>
        </row>
        <row r="2062">
          <cell r="A2062">
            <v>21782</v>
          </cell>
          <cell r="B2062" t="str">
            <v>Afstrækningsring</v>
          </cell>
          <cell r="C2062" t="str">
            <v>Extraction ring</v>
          </cell>
          <cell r="D2062">
            <v>742</v>
          </cell>
          <cell r="E2062">
            <v>99.731182795698913</v>
          </cell>
        </row>
        <row r="2063">
          <cell r="A2063">
            <v>21783</v>
          </cell>
          <cell r="B2063" t="str">
            <v>Slidring, fedttætning</v>
          </cell>
          <cell r="C2063" t="str">
            <v>Wear ring, grease sealing</v>
          </cell>
          <cell r="D2063">
            <v>7303</v>
          </cell>
          <cell r="E2063">
            <v>981.58602150537627</v>
          </cell>
        </row>
        <row r="2064">
          <cell r="A2064">
            <v>21784</v>
          </cell>
          <cell r="B2064" t="str">
            <v>Afstandsskive</v>
          </cell>
          <cell r="C2064" t="str">
            <v>Distance disc</v>
          </cell>
          <cell r="D2064">
            <v>726</v>
          </cell>
          <cell r="E2064">
            <v>97.58064516129032</v>
          </cell>
        </row>
        <row r="2065">
          <cell r="A2065">
            <v>21785</v>
          </cell>
          <cell r="B2065" t="str">
            <v>Holder for tætningsring</v>
          </cell>
          <cell r="C2065" t="str">
            <v>Holder for sealing ring</v>
          </cell>
          <cell r="D2065">
            <v>3445</v>
          </cell>
          <cell r="E2065">
            <v>463.03763440860212</v>
          </cell>
        </row>
        <row r="2066">
          <cell r="A2066">
            <v>21787</v>
          </cell>
          <cell r="B2066" t="str">
            <v>Låsemøtrik for hovedtandhjul</v>
          </cell>
          <cell r="C2066" t="str">
            <v>Lock nut for main gear wheel</v>
          </cell>
          <cell r="D2066">
            <v>2703</v>
          </cell>
          <cell r="E2066">
            <v>363.30645161290323</v>
          </cell>
        </row>
        <row r="2067">
          <cell r="A2067">
            <v>21788</v>
          </cell>
          <cell r="B2067" t="str">
            <v>Nav for bremeskive</v>
          </cell>
          <cell r="C2067" t="str">
            <v>Hub for brake disc</v>
          </cell>
          <cell r="D2067">
            <v>7632</v>
          </cell>
          <cell r="E2067">
            <v>1025.8064516129032</v>
          </cell>
        </row>
        <row r="2068">
          <cell r="A2068">
            <v>21791</v>
          </cell>
          <cell r="B2068" t="str">
            <v>Hængsel for pillekammer</v>
          </cell>
          <cell r="C2068" t="str">
            <v>Hinge for pellet chamber</v>
          </cell>
          <cell r="D2068">
            <v>3286</v>
          </cell>
          <cell r="E2068">
            <v>441.66666666666663</v>
          </cell>
        </row>
        <row r="2069">
          <cell r="A2069">
            <v>21800</v>
          </cell>
          <cell r="B2069" t="str">
            <v>Holder f/hægte og sikkerhedsswitch</v>
          </cell>
          <cell r="C2069" t="str">
            <v>Holder for hook and safety switch</v>
          </cell>
          <cell r="D2069">
            <v>912</v>
          </cell>
          <cell r="E2069">
            <v>122.58064516129032</v>
          </cell>
        </row>
        <row r="2070">
          <cell r="A2070">
            <v>21804</v>
          </cell>
          <cell r="B2070" t="str">
            <v>Holder for momentarm</v>
          </cell>
          <cell r="C2070" t="str">
            <v>Holder for torque arm</v>
          </cell>
          <cell r="D2070">
            <v>167</v>
          </cell>
          <cell r="E2070">
            <v>22.446236559139784</v>
          </cell>
        </row>
        <row r="2071">
          <cell r="A2071">
            <v>21810</v>
          </cell>
          <cell r="B2071" t="str">
            <v>Aksel for el-spil</v>
          </cell>
          <cell r="C2071" t="str">
            <v>Shaft for electrical winch</v>
          </cell>
          <cell r="D2071">
            <v>413</v>
          </cell>
          <cell r="E2071">
            <v>55.51075268817204</v>
          </cell>
        </row>
        <row r="2072">
          <cell r="A2072">
            <v>21817</v>
          </cell>
          <cell r="B2072" t="str">
            <v>Spændering for Matrice incl. pos. 16-17 M901</v>
          </cell>
          <cell r="C2072" t="str">
            <v>Tightening ring for Die inc. Pos 16-17 M901</v>
          </cell>
          <cell r="D2072">
            <v>25334</v>
          </cell>
          <cell r="E2072">
            <v>3405.1075268817203</v>
          </cell>
        </row>
        <row r="2073">
          <cell r="A2073">
            <v>21834</v>
          </cell>
          <cell r="B2073" t="str">
            <v>Rulleholderaksel, komplet</v>
          </cell>
          <cell r="C2073" t="str">
            <v>Roller main shaft, complete, incl. item 76-92</v>
          </cell>
          <cell r="D2073">
            <v>91796</v>
          </cell>
          <cell r="E2073">
            <v>12338.172043010753</v>
          </cell>
        </row>
        <row r="2074">
          <cell r="A2074">
            <v>21844</v>
          </cell>
          <cell r="B2074" t="str">
            <v>Nippelrør 1/8" x 50mm galv.</v>
          </cell>
          <cell r="C2074" t="str">
            <v>Nipple pipe 1/8" x 50mm galv.</v>
          </cell>
          <cell r="D2074">
            <v>14.8</v>
          </cell>
          <cell r="E2074">
            <v>1.989247311827957</v>
          </cell>
        </row>
        <row r="2075">
          <cell r="A2075">
            <v>21845</v>
          </cell>
          <cell r="B2075" t="str">
            <v>Nippelrør 1/8" x 80</v>
          </cell>
          <cell r="C2075" t="str">
            <v>Nipple pipe 1/8" x 80</v>
          </cell>
          <cell r="D2075">
            <v>21</v>
          </cell>
          <cell r="E2075">
            <v>2.82258064516129</v>
          </cell>
        </row>
        <row r="2076">
          <cell r="A2076">
            <v>21856</v>
          </cell>
          <cell r="B2076" t="str">
            <v>Nippelrør 1/8" x 100</v>
          </cell>
          <cell r="C2076" t="str">
            <v>Nipple pipe 1/8" x 100</v>
          </cell>
          <cell r="D2076">
            <v>29</v>
          </cell>
          <cell r="E2076">
            <v>3.897849462365591</v>
          </cell>
        </row>
        <row r="2077">
          <cell r="A2077">
            <v>21857</v>
          </cell>
          <cell r="B2077" t="str">
            <v>Nippelrør 1/8" x 120</v>
          </cell>
          <cell r="C2077" t="str">
            <v>Nipple pipe 1/8" x 120</v>
          </cell>
          <cell r="D2077">
            <v>27</v>
          </cell>
          <cell r="E2077">
            <v>3.629032258064516</v>
          </cell>
        </row>
        <row r="2078">
          <cell r="A2078">
            <v>21858</v>
          </cell>
          <cell r="B2078" t="str">
            <v>Spændebolt for spænderingsophæng</v>
          </cell>
          <cell r="C2078" t="str">
            <v>Fixing bolt for tightening ring suspension</v>
          </cell>
          <cell r="D2078">
            <v>514</v>
          </cell>
          <cell r="E2078">
            <v>69.086021505376337</v>
          </cell>
        </row>
        <row r="2079">
          <cell r="A2079">
            <v>21861</v>
          </cell>
          <cell r="B2079" t="str">
            <v>Fjederophæng for endestopsnøgle</v>
          </cell>
          <cell r="C2079" t="str">
            <v xml:space="preserve">Hinge, end stop </v>
          </cell>
          <cell r="D2079">
            <v>696</v>
          </cell>
          <cell r="E2079">
            <v>93.548387096774192</v>
          </cell>
        </row>
        <row r="2080">
          <cell r="A2080">
            <v>21863</v>
          </cell>
          <cell r="B2080" t="str">
            <v>Forplade komplet</v>
          </cell>
          <cell r="C2080" t="str">
            <v>Front plate complete incl. item 27-28</v>
          </cell>
          <cell r="D2080">
            <v>12614</v>
          </cell>
          <cell r="E2080">
            <v>1695.4301075268816</v>
          </cell>
        </row>
        <row r="2081">
          <cell r="A2081">
            <v>21864</v>
          </cell>
          <cell r="B2081" t="str">
            <v>Holder f/hægte og sikkerhedsswitch</v>
          </cell>
          <cell r="C2081" t="str">
            <v>Holder for hook and safety switch</v>
          </cell>
          <cell r="D2081">
            <v>775</v>
          </cell>
          <cell r="E2081">
            <v>104.16666666666666</v>
          </cell>
        </row>
        <row r="2082">
          <cell r="A2082">
            <v>21869</v>
          </cell>
          <cell r="B2082" t="str">
            <v>Hovedaksel komplet</v>
          </cell>
          <cell r="C2082" t="str">
            <v>Main shaft complete incl. item 2-12</v>
          </cell>
          <cell r="D2082">
            <v>131970</v>
          </cell>
          <cell r="E2082">
            <v>17737.903225806451</v>
          </cell>
        </row>
        <row r="2083">
          <cell r="A2083">
            <v>21871</v>
          </cell>
          <cell r="B2083" t="str">
            <v>Pakning for hovedlejeskål</v>
          </cell>
          <cell r="C2083" t="str">
            <v>Packing for main bearing housing</v>
          </cell>
          <cell r="D2083">
            <v>154</v>
          </cell>
          <cell r="E2083">
            <v>20.698924731182796</v>
          </cell>
        </row>
        <row r="2084">
          <cell r="A2084">
            <v>21872</v>
          </cell>
          <cell r="B2084" t="str">
            <v>Tætningsskål</v>
          </cell>
          <cell r="C2084" t="str">
            <v>Sealing housing</v>
          </cell>
          <cell r="D2084">
            <v>9275</v>
          </cell>
          <cell r="E2084">
            <v>1246.6397849462364</v>
          </cell>
        </row>
        <row r="2085">
          <cell r="A2085">
            <v>21878</v>
          </cell>
          <cell r="B2085" t="str">
            <v>Holder for godsfordeler</v>
          </cell>
          <cell r="C2085" t="str">
            <v>Holder for distributor</v>
          </cell>
          <cell r="D2085">
            <v>1113</v>
          </cell>
          <cell r="E2085">
            <v>149.59677419354838</v>
          </cell>
        </row>
        <row r="2086">
          <cell r="A2086">
            <v>21879</v>
          </cell>
          <cell r="B2086" t="str">
            <v>Bolt for rulleaksel</v>
          </cell>
          <cell r="C2086" t="str">
            <v>Bolt for roller shaft</v>
          </cell>
          <cell r="D2086">
            <v>1140</v>
          </cell>
          <cell r="E2086">
            <v>153.2258064516129</v>
          </cell>
        </row>
        <row r="2087">
          <cell r="A2087">
            <v>21881</v>
          </cell>
          <cell r="B2087" t="str">
            <v>Dækplade for lejedæksel</v>
          </cell>
          <cell r="C2087" t="str">
            <v>Cover plate for bearing cover</v>
          </cell>
          <cell r="D2087">
            <v>387</v>
          </cell>
          <cell r="E2087">
            <v>52.016129032258064</v>
          </cell>
        </row>
        <row r="2088">
          <cell r="A2088">
            <v>21882</v>
          </cell>
          <cell r="B2088" t="str">
            <v>Pakning for sidedæksel</v>
          </cell>
          <cell r="C2088" t="str">
            <v>Packing for side cover</v>
          </cell>
          <cell r="D2088">
            <v>519</v>
          </cell>
          <cell r="E2088">
            <v>69.758064516129025</v>
          </cell>
        </row>
        <row r="2089">
          <cell r="A2089">
            <v>21883</v>
          </cell>
          <cell r="B2089" t="str">
            <v>Pakning for lejehus</v>
          </cell>
          <cell r="C2089" t="str">
            <v>Packing for bearing housing</v>
          </cell>
          <cell r="D2089">
            <v>80</v>
          </cell>
          <cell r="E2089">
            <v>10.75268817204301</v>
          </cell>
        </row>
        <row r="2090">
          <cell r="A2090">
            <v>21884</v>
          </cell>
          <cell r="B2090" t="str">
            <v>Pakning for tætningsskål</v>
          </cell>
          <cell r="C2090" t="str">
            <v>Packing for sealing housing</v>
          </cell>
          <cell r="D2090">
            <v>101</v>
          </cell>
          <cell r="E2090">
            <v>13.5752688172043</v>
          </cell>
        </row>
        <row r="2091">
          <cell r="A2091">
            <v>21885</v>
          </cell>
          <cell r="B2091" t="str">
            <v>Pakning for lejehus</v>
          </cell>
          <cell r="C2091" t="str">
            <v>Packing for bearing housing</v>
          </cell>
          <cell r="D2091">
            <v>159</v>
          </cell>
          <cell r="E2091">
            <v>21.370967741935484</v>
          </cell>
        </row>
        <row r="2092">
          <cell r="A2092">
            <v>21886</v>
          </cell>
          <cell r="B2092" t="str">
            <v>Pakning for dæksel</v>
          </cell>
          <cell r="C2092" t="str">
            <v>Packing for cover</v>
          </cell>
          <cell r="D2092">
            <v>74</v>
          </cell>
          <cell r="E2092">
            <v>9.9462365591397841</v>
          </cell>
        </row>
        <row r="2093">
          <cell r="A2093">
            <v>21888</v>
          </cell>
          <cell r="B2093" t="str">
            <v>Sidedæksel for gearkasse</v>
          </cell>
          <cell r="C2093" t="str">
            <v>Clop plate for die clamp</v>
          </cell>
          <cell r="D2093">
            <v>292</v>
          </cell>
          <cell r="E2093">
            <v>39.247311827956985</v>
          </cell>
        </row>
        <row r="2094">
          <cell r="A2094">
            <v>21890</v>
          </cell>
          <cell r="B2094" t="str">
            <v>Bagplade for pillekammer AISI 304</v>
          </cell>
          <cell r="C2094" t="str">
            <v>Rear plate f/pellet chamber AISI 304</v>
          </cell>
          <cell r="D2094">
            <v>3975</v>
          </cell>
          <cell r="E2094">
            <v>534.27419354838707</v>
          </cell>
        </row>
        <row r="2095">
          <cell r="A2095">
            <v>21893</v>
          </cell>
          <cell r="B2095" t="str">
            <v>Spændeplade for spænderingsophæng M901</v>
          </cell>
          <cell r="C2095" t="str">
            <v>Tension plate for knifeblade for tightening ring suspension M901</v>
          </cell>
          <cell r="D2095">
            <v>436</v>
          </cell>
          <cell r="E2095">
            <v>58.602150537634408</v>
          </cell>
        </row>
        <row r="2096">
          <cell r="A2096">
            <v>21894</v>
          </cell>
          <cell r="B2096" t="str">
            <v>Afstandsplade for spænderingsophæng</v>
          </cell>
          <cell r="C2096" t="str">
            <v>Distance plate for tighteningring suspension</v>
          </cell>
          <cell r="D2096">
            <v>124</v>
          </cell>
          <cell r="E2096">
            <v>16.666666666666664</v>
          </cell>
        </row>
        <row r="2097">
          <cell r="A2097">
            <v>21908</v>
          </cell>
          <cell r="B2097" t="str">
            <v>Fjederpen</v>
          </cell>
          <cell r="C2097" t="str">
            <v>Spring pins</v>
          </cell>
          <cell r="D2097">
            <v>222</v>
          </cell>
          <cell r="E2097">
            <v>29.838709677419352</v>
          </cell>
        </row>
        <row r="2098">
          <cell r="A2098">
            <v>21910</v>
          </cell>
          <cell r="B2098" t="str">
            <v>Trykfjeder Ø3 x 19,5 x 63,5 x 10,75</v>
          </cell>
          <cell r="C2098" t="str">
            <v>Pressure spring  ø3 x ø19,5x 63,5 x 10,75</v>
          </cell>
          <cell r="D2098">
            <v>3.2</v>
          </cell>
          <cell r="E2098">
            <v>0.43010752688172044</v>
          </cell>
        </row>
        <row r="2099">
          <cell r="A2099">
            <v>21919</v>
          </cell>
          <cell r="B2099" t="str">
            <v>Flange for skueglas</v>
          </cell>
          <cell r="C2099" t="str">
            <v>Flange for inspection glas</v>
          </cell>
          <cell r="D2099">
            <v>352</v>
          </cell>
          <cell r="E2099">
            <v>47.311827956989248</v>
          </cell>
        </row>
        <row r="2100">
          <cell r="A2100">
            <v>21923</v>
          </cell>
          <cell r="B2100" t="str">
            <v>Pakning for dæksel</v>
          </cell>
          <cell r="C2100" t="str">
            <v>Packing for cover</v>
          </cell>
          <cell r="D2100">
            <v>64</v>
          </cell>
          <cell r="E2100">
            <v>8.6021505376344081</v>
          </cell>
        </row>
        <row r="2101">
          <cell r="A2101">
            <v>21925</v>
          </cell>
          <cell r="B2101" t="str">
            <v>O-ring Ø633,48x6,99 NBR</v>
          </cell>
          <cell r="C2101" t="str">
            <v>O-ring Ø633,48 x 6,99 NBR</v>
          </cell>
          <cell r="D2101">
            <v>93</v>
          </cell>
          <cell r="E2101">
            <v>12.5</v>
          </cell>
        </row>
        <row r="2102">
          <cell r="A2102">
            <v>21932</v>
          </cell>
          <cell r="B2102" t="str">
            <v>O-ring Ø320x5 NBR</v>
          </cell>
          <cell r="C2102" t="str">
            <v>O-ring Ø320,0 x 5,0 NBR</v>
          </cell>
          <cell r="D2102">
            <v>48</v>
          </cell>
          <cell r="E2102">
            <v>6.4516129032258061</v>
          </cell>
        </row>
        <row r="2103">
          <cell r="A2103">
            <v>21933</v>
          </cell>
          <cell r="B2103" t="str">
            <v>Fjederskive Ø36 FZB DIN 7980</v>
          </cell>
          <cell r="C2103" t="str">
            <v>Spring disc Ø36 FZB DIN 7980</v>
          </cell>
          <cell r="D2103">
            <v>9.5</v>
          </cell>
          <cell r="E2103">
            <v>1.2768817204301075</v>
          </cell>
        </row>
        <row r="2104">
          <cell r="A2104">
            <v>21939</v>
          </cell>
          <cell r="B2104" t="str">
            <v>Afstrygerkniv</v>
          </cell>
          <cell r="C2104" t="str">
            <v>Scraper knife</v>
          </cell>
          <cell r="D2104">
            <v>1749</v>
          </cell>
          <cell r="E2104">
            <v>235.08064516129031</v>
          </cell>
        </row>
        <row r="2105">
          <cell r="A2105">
            <v>21941</v>
          </cell>
          <cell r="B2105" t="str">
            <v>Støtte for godsfordeler nr. 3</v>
          </cell>
          <cell r="C2105" t="str">
            <v>Support for distributor no. 3</v>
          </cell>
          <cell r="D2105">
            <v>477</v>
          </cell>
          <cell r="E2105">
            <v>64.112903225806448</v>
          </cell>
        </row>
        <row r="2106">
          <cell r="A2106">
            <v>21946</v>
          </cell>
          <cell r="B2106" t="str">
            <v>Låsemøtrik for hovedleje</v>
          </cell>
          <cell r="C2106" t="str">
            <v>Lock nut for main bearing</v>
          </cell>
          <cell r="D2106">
            <v>4452</v>
          </cell>
          <cell r="E2106">
            <v>598.38709677419354</v>
          </cell>
        </row>
        <row r="2107">
          <cell r="A2107">
            <v>21947</v>
          </cell>
          <cell r="B2107" t="str">
            <v>Lås for Låsemøtrik, Hovedleje</v>
          </cell>
          <cell r="C2107" t="str">
            <v>Lock for lock nut, main shaft</v>
          </cell>
          <cell r="D2107">
            <v>106</v>
          </cell>
          <cell r="E2107">
            <v>14.247311827956988</v>
          </cell>
        </row>
        <row r="2108">
          <cell r="A2108">
            <v>21972</v>
          </cell>
          <cell r="B2108" t="str">
            <v>Nippel 1 ½” x 100 mm</v>
          </cell>
          <cell r="C2108" t="str">
            <v>Nipple 1 ½” x 100 mm</v>
          </cell>
          <cell r="D2108">
            <v>26</v>
          </cell>
          <cell r="E2108">
            <v>3.4946236559139785</v>
          </cell>
        </row>
        <row r="2109">
          <cell r="A2109">
            <v>21978</v>
          </cell>
          <cell r="B2109" t="str">
            <v>Borebøsning A38x40 DIN172</v>
          </cell>
          <cell r="C2109" t="str">
            <v xml:space="preserve">Bushing A38 x40 DIN172 </v>
          </cell>
          <cell r="D2109">
            <v>710</v>
          </cell>
          <cell r="E2109">
            <v>95.430107526881713</v>
          </cell>
        </row>
        <row r="2110">
          <cell r="A2110">
            <v>21981</v>
          </cell>
          <cell r="B2110" t="str">
            <v>Stiftholder for sikringskobling</v>
          </cell>
          <cell r="C2110" t="str">
            <v>Pin holder for safety coupling</v>
          </cell>
          <cell r="D2110">
            <v>2438</v>
          </cell>
          <cell r="E2110">
            <v>327.68817204301075</v>
          </cell>
        </row>
        <row r="2111">
          <cell r="A2111">
            <v>21982</v>
          </cell>
          <cell r="B2111" t="str">
            <v>Koblingsskive for brudstift</v>
          </cell>
          <cell r="C2111" t="str">
            <v>Coupling disc for shear pin</v>
          </cell>
          <cell r="D2111">
            <v>7314</v>
          </cell>
          <cell r="E2111">
            <v>983.0645161290322</v>
          </cell>
        </row>
        <row r="2112">
          <cell r="A2112">
            <v>21984</v>
          </cell>
          <cell r="B2112" t="str">
            <v>Gaffel for brudstift</v>
          </cell>
          <cell r="C2112" t="str">
            <v>Coupling disc for shear pin</v>
          </cell>
          <cell r="D2112">
            <v>292</v>
          </cell>
          <cell r="E2112">
            <v>39.247311827956985</v>
          </cell>
        </row>
        <row r="2113">
          <cell r="A2113">
            <v>21985</v>
          </cell>
          <cell r="B2113" t="str">
            <v xml:space="preserve">Skærm for brudstiftkobling </v>
          </cell>
          <cell r="C2113" t="str">
            <v>Screen for shear pin coupling</v>
          </cell>
          <cell r="D2113">
            <v>3074</v>
          </cell>
          <cell r="E2113">
            <v>413.17204301075265</v>
          </cell>
        </row>
        <row r="2114">
          <cell r="A2114">
            <v>21987</v>
          </cell>
          <cell r="B2114" t="str">
            <v>Forskruning PG 9</v>
          </cell>
          <cell r="C2114" t="str">
            <v xml:space="preserve">Joint screw PG 9 </v>
          </cell>
          <cell r="D2114">
            <v>25</v>
          </cell>
          <cell r="E2114">
            <v>3.3602150537634405</v>
          </cell>
        </row>
        <row r="2115">
          <cell r="A2115">
            <v>23011</v>
          </cell>
          <cell r="B2115" t="str">
            <v>Konsolplade f. el-komponenter</v>
          </cell>
          <cell r="C2115" t="str">
            <v>Bracket plate for connection box</v>
          </cell>
          <cell r="D2115">
            <v>74</v>
          </cell>
          <cell r="E2115">
            <v>9.9462365591397841</v>
          </cell>
        </row>
        <row r="2116">
          <cell r="A2116">
            <v>23046</v>
          </cell>
          <cell r="B2116" t="str">
            <v>3/4 Hy slange l 800 90 G/lige omløber.</v>
          </cell>
          <cell r="C2116" t="str">
            <v>Hydraulic hose 3/4" 800 90°/ straight</v>
          </cell>
          <cell r="D2116">
            <v>292</v>
          </cell>
          <cell r="E2116">
            <v>39.247311827956985</v>
          </cell>
        </row>
        <row r="2117">
          <cell r="A2117">
            <v>23051</v>
          </cell>
          <cell r="B2117" t="str">
            <v>Hoved for injektor</v>
          </cell>
          <cell r="C2117" t="str">
            <v>Head for injector</v>
          </cell>
          <cell r="D2117">
            <v>1829</v>
          </cell>
          <cell r="E2117">
            <v>245.83333333333331</v>
          </cell>
        </row>
        <row r="2118">
          <cell r="A2118">
            <v>23052</v>
          </cell>
          <cell r="B2118" t="str">
            <v>Adapter for luftcylinder</v>
          </cell>
          <cell r="C2118" t="str">
            <v>Adapter for air cylinder</v>
          </cell>
          <cell r="D2118">
            <v>345</v>
          </cell>
          <cell r="E2118">
            <v>46.37096774193548</v>
          </cell>
        </row>
        <row r="2119">
          <cell r="A2119">
            <v>23053</v>
          </cell>
          <cell r="B2119" t="str">
            <v>Holder for spindel</v>
          </cell>
          <cell r="C2119" t="str">
            <v>Holder for spindle</v>
          </cell>
          <cell r="D2119">
            <v>127</v>
          </cell>
          <cell r="E2119">
            <v>17.06989247311828</v>
          </cell>
        </row>
        <row r="2120">
          <cell r="A2120">
            <v>23058</v>
          </cell>
          <cell r="B2120" t="str">
            <v>Styr for injektor</v>
          </cell>
          <cell r="C2120" t="str">
            <v>Guide for injector</v>
          </cell>
          <cell r="D2120">
            <v>1198</v>
          </cell>
          <cell r="E2120">
            <v>161.02150537634407</v>
          </cell>
        </row>
        <row r="2121">
          <cell r="A2121">
            <v>23059</v>
          </cell>
          <cell r="B2121" t="str">
            <v>Muffe Ø15/M10 x 1,25</v>
          </cell>
          <cell r="C2121" t="str">
            <v>Socket Ø15/M10 x 1.25</v>
          </cell>
          <cell r="D2121">
            <v>249</v>
          </cell>
          <cell r="E2121">
            <v>33.467741935483872</v>
          </cell>
        </row>
        <row r="2122">
          <cell r="A2122">
            <v>23064</v>
          </cell>
          <cell r="B2122" t="str">
            <v>Tætningsmanchet Ø15/Ø25 x 6 NBR</v>
          </cell>
          <cell r="C2122" t="str">
            <v>Sealing sleeve Ø15/Ø25 x 6 NBR</v>
          </cell>
          <cell r="D2122">
            <v>20</v>
          </cell>
          <cell r="E2122">
            <v>2.6881720430107525</v>
          </cell>
        </row>
        <row r="2123">
          <cell r="A2123">
            <v>23066</v>
          </cell>
          <cell r="B2123" t="str">
            <v>Nippel 1/2"RG</v>
          </cell>
          <cell r="C2123" t="str">
            <v>Nipple 1/2"RG</v>
          </cell>
          <cell r="D2123">
            <v>217</v>
          </cell>
          <cell r="E2123">
            <v>29.166666666666664</v>
          </cell>
        </row>
        <row r="2124">
          <cell r="A2124">
            <v>23067</v>
          </cell>
          <cell r="B2124" t="str">
            <v>O-ring Ø25 x Ø3</v>
          </cell>
          <cell r="C2124" t="str">
            <v>O-ring Ø25 x Ø3</v>
          </cell>
          <cell r="D2124">
            <v>2.1</v>
          </cell>
          <cell r="E2124">
            <v>0.282258064516129</v>
          </cell>
        </row>
        <row r="2125">
          <cell r="A2125">
            <v>23069</v>
          </cell>
          <cell r="B2125" t="str">
            <v>Slange Ø16/22,4</v>
          </cell>
          <cell r="C2125" t="str">
            <v>Hose Ø16/22.5</v>
          </cell>
          <cell r="D2125">
            <v>48</v>
          </cell>
          <cell r="E2125">
            <v>6.4516129032258061</v>
          </cell>
        </row>
        <row r="2126">
          <cell r="A2126">
            <v>23073</v>
          </cell>
          <cell r="B2126" t="str">
            <v>Luftcylinder RM 8025 L25</v>
          </cell>
          <cell r="C2126" t="str">
            <v>Air cylinder RM 8025 L25</v>
          </cell>
          <cell r="D2126">
            <v>302</v>
          </cell>
          <cell r="E2126">
            <v>40.591397849462361</v>
          </cell>
        </row>
        <row r="2127">
          <cell r="A2127">
            <v>23079</v>
          </cell>
          <cell r="B2127" t="str">
            <v>Dyse Ø1,2 - 50o afbøjning</v>
          </cell>
          <cell r="C2127" t="str">
            <v>Nozzle Ø1.2 - 50o bending</v>
          </cell>
          <cell r="D2127">
            <v>371</v>
          </cell>
          <cell r="E2127">
            <v>49.865591397849457</v>
          </cell>
        </row>
        <row r="2128">
          <cell r="A2128">
            <v>23080</v>
          </cell>
          <cell r="B2128" t="str">
            <v>Dyse Ø1,5 - 45o afbøjning</v>
          </cell>
          <cell r="C2128" t="str">
            <v>Nozzle Ø1.5 - 45o bending</v>
          </cell>
          <cell r="D2128">
            <v>371</v>
          </cell>
          <cell r="E2128">
            <v>49.865591397849457</v>
          </cell>
        </row>
        <row r="2129">
          <cell r="A2129">
            <v>23081</v>
          </cell>
          <cell r="B2129" t="str">
            <v>Dyse Ø1,9 - 45o afbøjning</v>
          </cell>
          <cell r="C2129" t="str">
            <v>Nozzle Ø1.9 - 45o bending</v>
          </cell>
          <cell r="D2129">
            <v>371</v>
          </cell>
          <cell r="E2129">
            <v>49.865591397849457</v>
          </cell>
        </row>
        <row r="2130">
          <cell r="A2130">
            <v>23082</v>
          </cell>
          <cell r="B2130" t="str">
            <v>Dyse Ø2,4 - 40o afbøjning</v>
          </cell>
          <cell r="C2130" t="str">
            <v>Nozzle Ø2.4 - 40o bending</v>
          </cell>
          <cell r="D2130">
            <v>371</v>
          </cell>
          <cell r="E2130">
            <v>49.865591397849457</v>
          </cell>
        </row>
        <row r="2131">
          <cell r="A2131">
            <v>23086</v>
          </cell>
          <cell r="B2131" t="str">
            <v>Oliestandsglas HLX127/T</v>
          </cell>
          <cell r="C2131" t="str">
            <v>Oil-level glass HLX127/T</v>
          </cell>
          <cell r="D2131">
            <v>260</v>
          </cell>
          <cell r="E2131">
            <v>34.946236559139784</v>
          </cell>
        </row>
        <row r="2132">
          <cell r="A2132">
            <v>23088</v>
          </cell>
          <cell r="B2132" t="str">
            <v>Olieprop med magnet</v>
          </cell>
          <cell r="C2132" t="str">
            <v>Oil plug with magnet</v>
          </cell>
          <cell r="D2132">
            <v>2309</v>
          </cell>
          <cell r="E2132">
            <v>310.34946236559136</v>
          </cell>
        </row>
        <row r="2133">
          <cell r="A2133">
            <v>23097</v>
          </cell>
          <cell r="B2133" t="str">
            <v>Kuglehane 1½"RG</v>
          </cell>
          <cell r="C2133" t="str">
            <v>Ball valve 1½"RG</v>
          </cell>
          <cell r="D2133">
            <v>170</v>
          </cell>
          <cell r="E2133">
            <v>22.849462365591396</v>
          </cell>
        </row>
        <row r="2134">
          <cell r="A2134">
            <v>23099</v>
          </cell>
          <cell r="B2134" t="str">
            <v>Luftcylinder C52M-50-20-80</v>
          </cell>
          <cell r="C2134" t="str">
            <v>Air cylinder C52M-50-20-80</v>
          </cell>
          <cell r="D2134">
            <v>795</v>
          </cell>
          <cell r="E2134">
            <v>106.85483870967741</v>
          </cell>
        </row>
        <row r="2135">
          <cell r="A2135">
            <v>23100</v>
          </cell>
          <cell r="B2135" t="str">
            <v>Gaffel for luftcylinder</v>
          </cell>
          <cell r="C2135" t="str">
            <v xml:space="preserve">Fork for aircylinder </v>
          </cell>
          <cell r="D2135">
            <v>99</v>
          </cell>
          <cell r="E2135">
            <v>13.306451612903226</v>
          </cell>
        </row>
        <row r="2136">
          <cell r="A2136">
            <v>23101</v>
          </cell>
          <cell r="B2136" t="str">
            <v>Drejebeslag for luftcylinder</v>
          </cell>
          <cell r="C2136" t="str">
            <v>Swing hinging for air cylinder</v>
          </cell>
          <cell r="D2136">
            <v>108</v>
          </cell>
          <cell r="E2136">
            <v>14.516129032258064</v>
          </cell>
        </row>
        <row r="2137">
          <cell r="A2137">
            <v>23103</v>
          </cell>
          <cell r="B2137" t="str">
            <v>Løftebøjle for ruller</v>
          </cell>
          <cell r="C2137" t="str">
            <v>Lifting clamp for rollers</v>
          </cell>
          <cell r="D2137">
            <v>1866</v>
          </cell>
          <cell r="E2137">
            <v>250.8064516129032</v>
          </cell>
        </row>
        <row r="2138">
          <cell r="A2138">
            <v>23110</v>
          </cell>
          <cell r="B2138" t="str">
            <v>Cyl. Skrue M24 x 60 DIN 912</v>
          </cell>
          <cell r="C2138" t="str">
            <v>Cyl. Screw M24 x 60 DIN 912</v>
          </cell>
          <cell r="D2138">
            <v>32</v>
          </cell>
          <cell r="E2138">
            <v>4.301075268817204</v>
          </cell>
        </row>
        <row r="2139">
          <cell r="A2139">
            <v>23111</v>
          </cell>
          <cell r="B2139" t="str">
            <v>Indløbstragt med dumping-klap, komplet</v>
          </cell>
          <cell r="C2139" t="str">
            <v>Inlet pipe with dumping hatch</v>
          </cell>
          <cell r="D2139">
            <v>39750</v>
          </cell>
          <cell r="E2139">
            <v>5342.7419354838703</v>
          </cell>
        </row>
        <row r="2140">
          <cell r="A2140">
            <v>23112</v>
          </cell>
          <cell r="B2140" t="str">
            <v>Kilemremskive SPC 8 Ø560 TL 5050</v>
          </cell>
          <cell r="C2140" t="str">
            <v>V-belt pulley SPC 8 Ø560 TL 5050</v>
          </cell>
          <cell r="D2140">
            <v>2952</v>
          </cell>
          <cell r="E2140">
            <v>396.77419354838707</v>
          </cell>
        </row>
        <row r="2141">
          <cell r="A2141">
            <v>23113</v>
          </cell>
          <cell r="B2141" t="str">
            <v>Remskærm SPC 8</v>
          </cell>
          <cell r="C2141" t="str">
            <v>Belt screen SPC 8</v>
          </cell>
          <cell r="D2141">
            <v>10600</v>
          </cell>
          <cell r="E2141">
            <v>1424.7311827956989</v>
          </cell>
        </row>
        <row r="2142">
          <cell r="A2142">
            <v>23116</v>
          </cell>
          <cell r="B2142" t="str">
            <v>Skærm</v>
          </cell>
          <cell r="C2142" t="str">
            <v>Screen</v>
          </cell>
          <cell r="D2142">
            <v>684</v>
          </cell>
          <cell r="E2142">
            <v>91.935483870967744</v>
          </cell>
        </row>
        <row r="2143">
          <cell r="A2143">
            <v>23146</v>
          </cell>
          <cell r="B2143" t="str">
            <v>Rensenål for dyse Ø1,2</v>
          </cell>
          <cell r="C2143" t="str">
            <v>Cleaning needle for nozzle Ø1.2</v>
          </cell>
          <cell r="D2143">
            <v>716</v>
          </cell>
          <cell r="E2143">
            <v>96.236559139784944</v>
          </cell>
        </row>
        <row r="2144">
          <cell r="A2144">
            <v>23147</v>
          </cell>
          <cell r="B2144" t="str">
            <v>Rensenål for dyse Ø1,5</v>
          </cell>
          <cell r="C2144" t="str">
            <v>Cleaning needle for nozzle Ø1.5</v>
          </cell>
          <cell r="D2144">
            <v>716</v>
          </cell>
          <cell r="E2144">
            <v>96.236559139784944</v>
          </cell>
        </row>
        <row r="2145">
          <cell r="A2145">
            <v>23148</v>
          </cell>
          <cell r="B2145" t="str">
            <v>Rensenål for dyse Ø1,9</v>
          </cell>
          <cell r="C2145" t="str">
            <v>Cleaning needle for nozzle Ø1.9</v>
          </cell>
          <cell r="D2145">
            <v>716</v>
          </cell>
          <cell r="E2145">
            <v>96.236559139784944</v>
          </cell>
        </row>
        <row r="2146">
          <cell r="A2146">
            <v>23149</v>
          </cell>
          <cell r="B2146" t="str">
            <v>Rensenål for dyse Ø2,4</v>
          </cell>
          <cell r="C2146" t="str">
            <v>Cleaning needle for nozzle Ø2.4</v>
          </cell>
          <cell r="D2146">
            <v>716</v>
          </cell>
          <cell r="E2146">
            <v>96.236559139784944</v>
          </cell>
        </row>
        <row r="2147">
          <cell r="A2147">
            <v>23151</v>
          </cell>
          <cell r="B2147" t="str">
            <v>Sikkerhedsendestop  XCK-J7964M41 220V AC</v>
          </cell>
          <cell r="C2147" t="str">
            <v>Safety switch XCK-J7964M41 220V AC</v>
          </cell>
          <cell r="D2147">
            <v>4015</v>
          </cell>
          <cell r="E2147">
            <v>539.65053763440858</v>
          </cell>
        </row>
        <row r="2148">
          <cell r="A2148">
            <v>23163</v>
          </cell>
          <cell r="B2148" t="str">
            <v>Prop ½” AISI304</v>
          </cell>
          <cell r="C2148" t="str">
            <v>Plug ½” AISI304</v>
          </cell>
          <cell r="D2148">
            <v>22</v>
          </cell>
          <cell r="E2148">
            <v>2.956989247311828</v>
          </cell>
        </row>
        <row r="2149">
          <cell r="A2149">
            <v>23167</v>
          </cell>
          <cell r="B2149" t="str">
            <v>Ophæng for omdrejningsvagt</v>
          </cell>
          <cell r="C2149" t="str">
            <v>Bracket for speed guard</v>
          </cell>
          <cell r="D2149">
            <v>21</v>
          </cell>
          <cell r="E2149">
            <v>2.82258064516129</v>
          </cell>
        </row>
        <row r="2150">
          <cell r="A2150">
            <v>23196</v>
          </cell>
          <cell r="B2150" t="str">
            <v>Mellemforing l=600, komplet inkl. pos. 16-19</v>
          </cell>
          <cell r="C2150" t="str">
            <v>Interm. barrel section l=600, complete.</v>
          </cell>
          <cell r="D2150">
            <v>25970</v>
          </cell>
          <cell r="E2150">
            <v>3490.5913978494623</v>
          </cell>
        </row>
        <row r="2151">
          <cell r="A2151">
            <v>23197</v>
          </cell>
          <cell r="B2151" t="str">
            <v>Mellemslidforing l=380/420, inkl. pos. 16-19</v>
          </cell>
          <cell r="C2151" t="str">
            <v>Interm. wear barrel section l=380/420,</v>
          </cell>
          <cell r="D2151">
            <v>23850</v>
          </cell>
          <cell r="E2151">
            <v>3205.6451612903224</v>
          </cell>
        </row>
        <row r="2152">
          <cell r="A2152">
            <v>23203</v>
          </cell>
          <cell r="B2152" t="str">
            <v>Gliderplade</v>
          </cell>
          <cell r="C2152" t="str">
            <v>Slide flange</v>
          </cell>
          <cell r="D2152">
            <v>8586</v>
          </cell>
          <cell r="E2152">
            <v>1154.0322580645161</v>
          </cell>
        </row>
        <row r="2153">
          <cell r="A2153">
            <v>23205</v>
          </cell>
          <cell r="B2153" t="str">
            <v>Foring Ø470 0-sektion, kompl. inkl. pos. 4-7</v>
          </cell>
          <cell r="C2153" t="str">
            <v>Barrel Ø470 0-section, compl. incl. items 4-7</v>
          </cell>
          <cell r="D2153">
            <v>37100</v>
          </cell>
          <cell r="E2153">
            <v>4986.5591397849457</v>
          </cell>
        </row>
        <row r="2154">
          <cell r="A2154">
            <v>23212</v>
          </cell>
          <cell r="B2154" t="str">
            <v>Rørstift Ø14x36 DIN1481</v>
          </cell>
          <cell r="C2154" t="str">
            <v>Tub pin Ø14 x 36    Din 1481</v>
          </cell>
          <cell r="D2154">
            <v>107</v>
          </cell>
          <cell r="E2154">
            <v>14.381720430107526</v>
          </cell>
        </row>
        <row r="2155">
          <cell r="A2155">
            <v>23216</v>
          </cell>
          <cell r="B2155" t="str">
            <v>Flange for slidbøsning</v>
          </cell>
          <cell r="C2155" t="str">
            <v>Flange f. wear bush</v>
          </cell>
          <cell r="D2155">
            <v>5830</v>
          </cell>
          <cell r="E2155">
            <v>783.60215053763432</v>
          </cell>
        </row>
        <row r="2156">
          <cell r="A2156">
            <v>23218</v>
          </cell>
          <cell r="B2156" t="str">
            <v>Glideskinne</v>
          </cell>
          <cell r="C2156" t="str">
            <v>Slide rod</v>
          </cell>
          <cell r="D2156">
            <v>1855</v>
          </cell>
          <cell r="E2156">
            <v>249.3279569892473</v>
          </cell>
        </row>
        <row r="2157">
          <cell r="A2157">
            <v>23232</v>
          </cell>
          <cell r="B2157" t="str">
            <v>Flangehjul Ø80 x Ø100 x 36 aksel M20</v>
          </cell>
          <cell r="C2157" t="str">
            <v>Flange Ø80 x Ø100 x 36 aksel M20</v>
          </cell>
          <cell r="D2157">
            <v>405</v>
          </cell>
          <cell r="E2157">
            <v>54.435483870967737</v>
          </cell>
        </row>
        <row r="2158">
          <cell r="A2158">
            <v>23234</v>
          </cell>
          <cell r="B2158" t="str">
            <v>Beslag for nøgle indløbstragt</v>
          </cell>
          <cell r="C2158" t="str">
            <v>Fitting for key dump schute</v>
          </cell>
          <cell r="D2158">
            <v>145</v>
          </cell>
          <cell r="E2158">
            <v>19.489247311827956</v>
          </cell>
        </row>
        <row r="2159">
          <cell r="A2159">
            <v>23235</v>
          </cell>
          <cell r="B2159" t="str">
            <v>Nøgle, svingbar ZCK-Y061</v>
          </cell>
          <cell r="C2159" t="str">
            <v>Key for safety switch ZCK-Y061</v>
          </cell>
          <cell r="D2159">
            <v>361</v>
          </cell>
          <cell r="E2159">
            <v>48.521505376344081</v>
          </cell>
        </row>
        <row r="2160">
          <cell r="A2160">
            <v>23243</v>
          </cell>
          <cell r="B2160" t="str">
            <v>Sikkerhedsendestop XCK-J7955 M41, 220 VAC (Erstattet af 040252)</v>
          </cell>
          <cell r="C2160" t="str">
            <v>Safety switch XCK-J7955 M41, 220 VAC (replaced by 040252)</v>
          </cell>
          <cell r="D2160">
            <v>2862</v>
          </cell>
          <cell r="E2160">
            <v>384.67741935483866</v>
          </cell>
        </row>
        <row r="2161">
          <cell r="A2161">
            <v>23244</v>
          </cell>
          <cell r="B2161" t="str">
            <v>Sikkerhedsendestop venstre, med spole, 220 VAC, i forbindelse med håndhjul (1 stk)</v>
          </cell>
          <cell r="C2161" t="str">
            <v>Safetystop</v>
          </cell>
          <cell r="D2161">
            <v>2862</v>
          </cell>
          <cell r="E2161">
            <v>384.67741935483866</v>
          </cell>
        </row>
        <row r="2162">
          <cell r="A2162">
            <v>23252</v>
          </cell>
          <cell r="B2162" t="str">
            <v>Bøsning</v>
          </cell>
          <cell r="C2162" t="str">
            <v>Bushing</v>
          </cell>
          <cell r="D2162">
            <v>223</v>
          </cell>
          <cell r="E2162">
            <v>29.973118279569892</v>
          </cell>
        </row>
        <row r="2163">
          <cell r="A2163">
            <v>23273</v>
          </cell>
          <cell r="B2163" t="str">
            <v xml:space="preserve">(Erstattet af 023151) Sikkerhedsendestop XCK-J7955 M41, 220 VAC </v>
          </cell>
          <cell r="C2163" t="str">
            <v>(Replaced by 023151) Micro switch XCK-J7955 M41, 220 VAC</v>
          </cell>
          <cell r="D2163" t="str">
            <v>replaced</v>
          </cell>
          <cell r="E2163" t="str">
            <v>replaced</v>
          </cell>
        </row>
        <row r="2164">
          <cell r="A2164">
            <v>23284</v>
          </cell>
          <cell r="B2164" t="str">
            <v>Slidbøsning for glider</v>
          </cell>
          <cell r="C2164" t="str">
            <v>Wear bush for slide</v>
          </cell>
          <cell r="D2164">
            <v>7950</v>
          </cell>
          <cell r="E2164">
            <v>1068.5483870967741</v>
          </cell>
        </row>
        <row r="2165">
          <cell r="A2165">
            <v>23290</v>
          </cell>
          <cell r="B2165" t="str">
            <v>O-ring Ø235,0x6,0 Viton</v>
          </cell>
          <cell r="C2165" t="str">
            <v>O-ring Ø235,0 x 6,0 Viton</v>
          </cell>
          <cell r="D2165">
            <v>104</v>
          </cell>
          <cell r="E2165">
            <v>13.978494623655914</v>
          </cell>
        </row>
        <row r="2166">
          <cell r="A2166">
            <v>23292</v>
          </cell>
          <cell r="B2166" t="str">
            <v>Slidring, kompl.</v>
          </cell>
          <cell r="C2166" t="str">
            <v>Wear ring complete</v>
          </cell>
          <cell r="D2166">
            <v>3694</v>
          </cell>
          <cell r="E2166">
            <v>496.50537634408602</v>
          </cell>
        </row>
        <row r="2167">
          <cell r="A2167">
            <v>23294</v>
          </cell>
          <cell r="B2167" t="str">
            <v>Stift Ø20 x 52</v>
          </cell>
          <cell r="C2167" t="str">
            <v>Pin Ø20 x 52</v>
          </cell>
          <cell r="D2167">
            <v>101</v>
          </cell>
          <cell r="E2167">
            <v>13.5752688172043</v>
          </cell>
        </row>
        <row r="2168">
          <cell r="A2168">
            <v>23295</v>
          </cell>
          <cell r="B2168" t="str">
            <v>Koblingshus</v>
          </cell>
          <cell r="C2168" t="str">
            <v>Coupling housing</v>
          </cell>
          <cell r="D2168">
            <v>1855</v>
          </cell>
          <cell r="E2168">
            <v>249.3279569892473</v>
          </cell>
        </row>
        <row r="2169">
          <cell r="A2169">
            <v>23296</v>
          </cell>
          <cell r="B2169" t="str">
            <v>Koblingsmøtrik f/motorjustering</v>
          </cell>
          <cell r="C2169" t="str">
            <v>Coupling nut f/motor adjustm.</v>
          </cell>
          <cell r="D2169">
            <v>1325</v>
          </cell>
          <cell r="E2169">
            <v>178.09139784946237</v>
          </cell>
        </row>
        <row r="2170">
          <cell r="A2170">
            <v>23297</v>
          </cell>
          <cell r="B2170" t="str">
            <v>Koblingsflange</v>
          </cell>
          <cell r="C2170" t="str">
            <v>Coupling flange</v>
          </cell>
          <cell r="D2170">
            <v>689</v>
          </cell>
          <cell r="E2170">
            <v>92.607526881720432</v>
          </cell>
        </row>
        <row r="2171">
          <cell r="A2171">
            <v>23298</v>
          </cell>
          <cell r="B2171" t="str">
            <v>Koblingsstag</v>
          </cell>
          <cell r="C2171" t="str">
            <v>Coupling stay</v>
          </cell>
          <cell r="D2171">
            <v>148</v>
          </cell>
          <cell r="E2171">
            <v>19.892473118279568</v>
          </cell>
        </row>
        <row r="2172">
          <cell r="A2172">
            <v>23299</v>
          </cell>
          <cell r="B2172" t="str">
            <v>Aksel incl. pos. 16</v>
          </cell>
          <cell r="C2172" t="str">
            <v>Shaft incl. Item 16</v>
          </cell>
          <cell r="D2172">
            <v>1325</v>
          </cell>
          <cell r="E2172">
            <v>178.09139784946237</v>
          </cell>
        </row>
        <row r="2173">
          <cell r="A2173">
            <v>23301</v>
          </cell>
          <cell r="B2173" t="str">
            <v>Bolt M10 x 104</v>
          </cell>
          <cell r="C2173" t="str">
            <v>Bolt</v>
          </cell>
          <cell r="D2173">
            <v>80</v>
          </cell>
          <cell r="E2173">
            <v>10.75268817204301</v>
          </cell>
        </row>
        <row r="2174">
          <cell r="A2174">
            <v>23302</v>
          </cell>
          <cell r="B2174" t="str">
            <v>Cyl. skrue M6 x 100</v>
          </cell>
          <cell r="C2174" t="str">
            <v>Cyl. screw M6 x 100 8.8</v>
          </cell>
          <cell r="D2174">
            <v>8.5</v>
          </cell>
          <cell r="E2174">
            <v>1.1424731182795698</v>
          </cell>
        </row>
        <row r="2175">
          <cell r="A2175">
            <v>23303</v>
          </cell>
          <cell r="B2175" t="str">
            <v>Cyl. Skrue m10 x 120 DIN 912</v>
          </cell>
          <cell r="C2175" t="str">
            <v>Cyl. screw   M10 x 120 DIN 912</v>
          </cell>
          <cell r="D2175">
            <v>9.5</v>
          </cell>
          <cell r="E2175">
            <v>1.2768817204301075</v>
          </cell>
        </row>
        <row r="2176">
          <cell r="A2176">
            <v>23304</v>
          </cell>
          <cell r="B2176" t="str">
            <v>Gearmotor 0,25 kW, 900 o/min.</v>
          </cell>
          <cell r="C2176" t="str">
            <v>Gearmotor 0.25 kW, 900 rpm</v>
          </cell>
          <cell r="D2176">
            <v>2830</v>
          </cell>
          <cell r="E2176">
            <v>380.3763440860215</v>
          </cell>
        </row>
        <row r="2177">
          <cell r="A2177">
            <v>23321</v>
          </cell>
          <cell r="B2177" t="str">
            <v>Sfærisk rulleleje 29432E</v>
          </cell>
          <cell r="C2177" t="str">
            <v>Spherical roller bearing29432E</v>
          </cell>
          <cell r="D2177">
            <v>6890</v>
          </cell>
          <cell r="E2177">
            <v>926.07526881720423</v>
          </cell>
        </row>
        <row r="2178">
          <cell r="A2178">
            <v>23324</v>
          </cell>
          <cell r="B2178" t="str">
            <v>3/4 Hy slange L =700  2x lige omløber.</v>
          </cell>
          <cell r="C2178" t="str">
            <v>Hydraulic hose L =700 3/4" 2 x staright</v>
          </cell>
          <cell r="D2178">
            <v>244</v>
          </cell>
          <cell r="E2178">
            <v>32.795698924731184</v>
          </cell>
        </row>
        <row r="2179">
          <cell r="A2179">
            <v>23325</v>
          </cell>
          <cell r="B2179" t="str">
            <v>Hydraulikslange 3/4" L=1200 90G/lige omløber</v>
          </cell>
          <cell r="C2179" t="str">
            <v>Hydraulic hose 3/4" L=1200 90degr./straight criculation</v>
          </cell>
          <cell r="D2179">
            <v>278</v>
          </cell>
          <cell r="E2179">
            <v>37.365591397849464</v>
          </cell>
        </row>
        <row r="2180">
          <cell r="A2180">
            <v>23326</v>
          </cell>
          <cell r="B2180" t="str">
            <v>Hydraulik cylinder</v>
          </cell>
          <cell r="C2180" t="str">
            <v>Hydraulic cylinder</v>
          </cell>
          <cell r="D2180">
            <v>11713</v>
          </cell>
          <cell r="E2180">
            <v>1574.3279569892472</v>
          </cell>
        </row>
        <row r="2181">
          <cell r="A2181">
            <v>23344</v>
          </cell>
          <cell r="B2181" t="str">
            <v>Flange Kpl. Incl Pos 31-33</v>
          </cell>
          <cell r="C2181" t="str">
            <v>Flange, complete incl. item 32-33</v>
          </cell>
          <cell r="D2181">
            <v>5830</v>
          </cell>
          <cell r="E2181">
            <v>783.60215053763432</v>
          </cell>
        </row>
        <row r="2182">
          <cell r="A2182">
            <v>23347</v>
          </cell>
          <cell r="B2182" t="str">
            <v>Afstandsring for tromle, L = 17</v>
          </cell>
          <cell r="C2182" t="str">
            <v>Distance ring f/drum, L = 17</v>
          </cell>
          <cell r="D2182">
            <v>286</v>
          </cell>
          <cell r="E2182">
            <v>38.44086021505376</v>
          </cell>
        </row>
        <row r="2183">
          <cell r="A2183">
            <v>23348</v>
          </cell>
          <cell r="B2183" t="str">
            <v>Afstandsring for tromle, L = 7</v>
          </cell>
          <cell r="C2183" t="str">
            <v>Distance ring f/drum, L = 7</v>
          </cell>
          <cell r="D2183">
            <v>170</v>
          </cell>
          <cell r="E2183">
            <v>22.849462365591396</v>
          </cell>
        </row>
        <row r="2184">
          <cell r="A2184">
            <v>23380</v>
          </cell>
          <cell r="B2184" t="str">
            <v>Strammerulle Ø200x100</v>
          </cell>
          <cell r="C2184" t="str">
            <v>Tightening roll, Ø200x110</v>
          </cell>
          <cell r="D2184">
            <v>3869</v>
          </cell>
          <cell r="E2184">
            <v>520.02688172043008</v>
          </cell>
        </row>
        <row r="2185">
          <cell r="A2185">
            <v>23382</v>
          </cell>
          <cell r="B2185" t="str">
            <v>Svingarm for strammerulle</v>
          </cell>
          <cell r="C2185" t="str">
            <v>Hinge for tightening roll</v>
          </cell>
          <cell r="D2185">
            <v>1924</v>
          </cell>
          <cell r="E2185">
            <v>258.60215053763437</v>
          </cell>
        </row>
        <row r="2186">
          <cell r="A2186">
            <v>23386</v>
          </cell>
          <cell r="B2186" t="str">
            <v>Låsering U18x1,2 DIN471</v>
          </cell>
          <cell r="C2186" t="str">
            <v>Lock ring U 18 x1,2  DIN 471</v>
          </cell>
          <cell r="D2186">
            <v>1.6</v>
          </cell>
          <cell r="E2186">
            <v>0.21505376344086022</v>
          </cell>
        </row>
        <row r="2187">
          <cell r="A2187">
            <v>23387</v>
          </cell>
          <cell r="B2187" t="str">
            <v>Øjebolt M20x170 DIN444</v>
          </cell>
          <cell r="C2187" t="str">
            <v>Eye bolt M20 x 170   DIN 444</v>
          </cell>
          <cell r="D2187">
            <v>80</v>
          </cell>
          <cell r="E2187">
            <v>10.75268817204301</v>
          </cell>
        </row>
        <row r="2188">
          <cell r="A2188">
            <v>23388</v>
          </cell>
          <cell r="B2188" t="str">
            <v>Kileremskive SPB4, Ø150, TL2517</v>
          </cell>
          <cell r="C2188" t="str">
            <v>V-belt pulley SPB 4 Ø150, TL2517</v>
          </cell>
          <cell r="D2188">
            <v>138</v>
          </cell>
          <cell r="E2188">
            <v>18.548387096774192</v>
          </cell>
        </row>
        <row r="2189">
          <cell r="A2189">
            <v>23389</v>
          </cell>
          <cell r="B2189" t="str">
            <v>Kileremskive SPB4, Ø355, TL3535</v>
          </cell>
          <cell r="C2189" t="str">
            <v>V-belt pulley SPB 4 Ø355, TL3535</v>
          </cell>
          <cell r="D2189">
            <v>541</v>
          </cell>
          <cell r="E2189">
            <v>72.715053763440849</v>
          </cell>
        </row>
        <row r="2190">
          <cell r="A2190">
            <v>23393</v>
          </cell>
          <cell r="B2190" t="str">
            <v>Kilerem XPB 1600</v>
          </cell>
          <cell r="C2190" t="str">
            <v>V-belt XPB 1600</v>
          </cell>
          <cell r="D2190">
            <v>90</v>
          </cell>
          <cell r="E2190">
            <v>12.096774193548386</v>
          </cell>
        </row>
        <row r="2191">
          <cell r="A2191">
            <v>23421</v>
          </cell>
          <cell r="B2191" t="str">
            <v>Pakning for materialeafgang</v>
          </cell>
          <cell r="C2191" t="str">
            <v>Jointing for mat. discharge</v>
          </cell>
          <cell r="D2191">
            <v>2279</v>
          </cell>
          <cell r="E2191">
            <v>306.31720430107526</v>
          </cell>
        </row>
        <row r="2192">
          <cell r="A2192">
            <v>23423</v>
          </cell>
          <cell r="B2192" t="str">
            <v>Tætningsring for slidforing</v>
          </cell>
          <cell r="C2192" t="str">
            <v>Sealing ring for wear barrel</v>
          </cell>
          <cell r="D2192">
            <v>519</v>
          </cell>
          <cell r="E2192">
            <v>69.758064516129025</v>
          </cell>
        </row>
        <row r="2193">
          <cell r="A2193">
            <v>23427</v>
          </cell>
          <cell r="B2193" t="str">
            <v>Vinkel 45o 1 ½”</v>
          </cell>
          <cell r="C2193" t="str">
            <v xml:space="preserve">Elbow 45o 1½ male/female </v>
          </cell>
          <cell r="D2193">
            <v>133</v>
          </cell>
          <cell r="E2193">
            <v>17.876344086021504</v>
          </cell>
        </row>
        <row r="2194">
          <cell r="A2194">
            <v>23428</v>
          </cell>
          <cell r="B2194" t="str">
            <v>Stag for spændeplade</v>
          </cell>
          <cell r="C2194" t="str">
            <v>Stayer for tension flange</v>
          </cell>
          <cell r="D2194">
            <v>1378</v>
          </cell>
          <cell r="E2194">
            <v>185.21505376344086</v>
          </cell>
        </row>
        <row r="2195">
          <cell r="A2195">
            <v>23440</v>
          </cell>
          <cell r="B2195" t="str">
            <v>Kilerem OPTIB. SPC 6000</v>
          </cell>
          <cell r="C2195" t="str">
            <v>V-belt OPTIB. SPC 6000</v>
          </cell>
          <cell r="D2195">
            <v>477</v>
          </cell>
          <cell r="E2195">
            <v>64.112903225806448</v>
          </cell>
        </row>
        <row r="2196">
          <cell r="A2196">
            <v>23441</v>
          </cell>
          <cell r="B2196" t="str">
            <v>Kileremskive SPC 12 Ø1600</v>
          </cell>
          <cell r="C2196" t="str">
            <v>V-belt pulley SPC 12 Ø1600</v>
          </cell>
          <cell r="D2196">
            <v>36570</v>
          </cell>
          <cell r="E2196">
            <v>4915.322580645161</v>
          </cell>
        </row>
        <row r="2197">
          <cell r="A2197">
            <v>23443</v>
          </cell>
          <cell r="B2197" t="str">
            <v>Kileremskive SPC12 Ø355 TL 5050</v>
          </cell>
          <cell r="C2197" t="str">
            <v>V-belt pulley SPC12 Ø355 TL 5050</v>
          </cell>
          <cell r="D2197">
            <v>7898</v>
          </cell>
          <cell r="E2197">
            <v>1061.5591397849462</v>
          </cell>
        </row>
        <row r="2198">
          <cell r="A2198">
            <v>23444</v>
          </cell>
          <cell r="B2198" t="str">
            <v>Kileremskive SPC12 Ø375 TL 5050</v>
          </cell>
          <cell r="C2198" t="str">
            <v>V-belt pulley SPC12 Ø375 TL 5050</v>
          </cell>
          <cell r="D2198">
            <v>7865</v>
          </cell>
          <cell r="E2198">
            <v>1057.1236559139784</v>
          </cell>
        </row>
        <row r="2199">
          <cell r="A2199">
            <v>23470</v>
          </cell>
          <cell r="B2199" t="str">
            <v>Afstandsring</v>
          </cell>
          <cell r="C2199" t="str">
            <v>Spacer</v>
          </cell>
          <cell r="D2199">
            <v>1182</v>
          </cell>
          <cell r="E2199">
            <v>158.87096774193549</v>
          </cell>
        </row>
        <row r="2200">
          <cell r="A2200">
            <v>23471</v>
          </cell>
          <cell r="B2200" t="str">
            <v>Holder for tætningsringe</v>
          </cell>
          <cell r="C2200" t="str">
            <v>Housing for seal rings, stuffing box</v>
          </cell>
          <cell r="D2200">
            <v>2756</v>
          </cell>
          <cell r="E2200">
            <v>370.43010752688173</v>
          </cell>
        </row>
        <row r="2201">
          <cell r="A2201">
            <v>23476</v>
          </cell>
          <cell r="B2201" t="str">
            <v>Afstryger for stempelstang</v>
          </cell>
          <cell r="C2201" t="str">
            <v>Scraper for piston rod</v>
          </cell>
          <cell r="D2201">
            <v>19.600000000000001</v>
          </cell>
          <cell r="E2201">
            <v>2.6344086021505375</v>
          </cell>
        </row>
        <row r="2202">
          <cell r="A2202">
            <v>23497</v>
          </cell>
          <cell r="B2202" t="str">
            <v>Pumpestation 0,48/1,9 l/min., 3 x 460 V, 60 Hz/110 V, 50/60 Hz, inkl. pos. no. 30, manøvreventil, magnetv., 110 V, 50/60 Hz</v>
          </cell>
          <cell r="C2202" t="str">
            <v>Pump station 0,48/1,9 l/min., 3 x 460 V, 60 Hz/110 V, 50/60 Hz, including pos. no. 30, solenoid control valve, 110 V, 50/60 Hz</v>
          </cell>
          <cell r="D2202">
            <v>10812</v>
          </cell>
          <cell r="E2202">
            <v>1453.2258064516129</v>
          </cell>
        </row>
        <row r="2203">
          <cell r="A2203">
            <v>23518</v>
          </cell>
          <cell r="B2203" t="str">
            <v>Følerplade, pos. indikering, 25°</v>
          </cell>
          <cell r="C2203" t="str">
            <v>Sensor plate, pos. indication, 25°</v>
          </cell>
          <cell r="D2203">
            <v>1113</v>
          </cell>
          <cell r="E2203">
            <v>149.59677419354838</v>
          </cell>
        </row>
        <row r="2204">
          <cell r="A2204">
            <v>23519</v>
          </cell>
          <cell r="B2204" t="str">
            <v>Spindel, positionsindikering, 25° hældning</v>
          </cell>
          <cell r="C2204" t="str">
            <v>Spindle, pos. indication, 25° inclination</v>
          </cell>
          <cell r="D2204">
            <v>159</v>
          </cell>
          <cell r="E2204">
            <v>21.370967741935484</v>
          </cell>
        </row>
        <row r="2205">
          <cell r="A2205">
            <v>23521</v>
          </cell>
          <cell r="B2205" t="str">
            <v>Konsol for afstandsmåler, 25° hældning</v>
          </cell>
          <cell r="C2205" t="str">
            <v xml:space="preserve">Console f.distance sensor, 25° </v>
          </cell>
          <cell r="D2205">
            <v>398</v>
          </cell>
          <cell r="E2205">
            <v>53.494623655913976</v>
          </cell>
        </row>
        <row r="2206">
          <cell r="A2206">
            <v>23522</v>
          </cell>
          <cell r="B2206" t="str">
            <v>Holdeskive for akseltætning</v>
          </cell>
          <cell r="C2206" t="str">
            <v>Cover for packing</v>
          </cell>
          <cell r="D2206">
            <v>562</v>
          </cell>
          <cell r="E2206">
            <v>75.537634408602145</v>
          </cell>
        </row>
        <row r="2207">
          <cell r="A2207">
            <v>23536</v>
          </cell>
          <cell r="B2207" t="str">
            <v>Spindel</v>
          </cell>
          <cell r="C2207" t="str">
            <v>Guide spindle</v>
          </cell>
          <cell r="D2207">
            <v>85</v>
          </cell>
          <cell r="E2207">
            <v>11.424731182795698</v>
          </cell>
        </row>
        <row r="2208">
          <cell r="A2208">
            <v>23538</v>
          </cell>
          <cell r="B2208" t="str">
            <v>Slangebånd 5/8"</v>
          </cell>
          <cell r="C2208" t="str">
            <v>Hose clamp 5/8"</v>
          </cell>
          <cell r="D2208">
            <v>37</v>
          </cell>
          <cell r="E2208">
            <v>4.9731182795698921</v>
          </cell>
        </row>
        <row r="2209">
          <cell r="A2209">
            <v>23554</v>
          </cell>
          <cell r="B2209" t="str">
            <v>Slidskærm for injektor</v>
          </cell>
          <cell r="C2209" t="str">
            <v>Wear guard for injector</v>
          </cell>
          <cell r="D2209">
            <v>292</v>
          </cell>
          <cell r="E2209">
            <v>39.247311827956985</v>
          </cell>
        </row>
        <row r="2210">
          <cell r="A2210">
            <v>23556</v>
          </cell>
          <cell r="B2210" t="str">
            <v>Håndtag Elesa B193/40</v>
          </cell>
          <cell r="C2210" t="str">
            <v>Handle Elesa B193/40</v>
          </cell>
          <cell r="D2210">
            <v>42</v>
          </cell>
          <cell r="E2210">
            <v>5.6451612903225801</v>
          </cell>
        </row>
        <row r="2211">
          <cell r="A2211">
            <v>23557</v>
          </cell>
          <cell r="B2211" t="str">
            <v>Justerspindel</v>
          </cell>
          <cell r="C2211" t="str">
            <v>Adjustment spindle</v>
          </cell>
          <cell r="D2211">
            <v>122</v>
          </cell>
          <cell r="E2211">
            <v>16.397849462365592</v>
          </cell>
        </row>
        <row r="2212">
          <cell r="A2212">
            <v>23559</v>
          </cell>
          <cell r="B2212" t="str">
            <v>Magnetventil 1/8" 341L9101 5/2 230 V</v>
          </cell>
          <cell r="C2212" t="str">
            <v>Solenoid valve 1/8" 341L9101 5/2 230 V</v>
          </cell>
          <cell r="D2212">
            <v>2003</v>
          </cell>
          <cell r="E2212">
            <v>269.22043010752685</v>
          </cell>
        </row>
        <row r="2213">
          <cell r="A2213">
            <v>23561</v>
          </cell>
          <cell r="B2213" t="str">
            <v>Rensenål for dyse Ø2,7</v>
          </cell>
          <cell r="C2213" t="str">
            <v>Cleaning needle for nozzle Ø2.7</v>
          </cell>
          <cell r="D2213">
            <v>716</v>
          </cell>
          <cell r="E2213">
            <v>96.236559139784944</v>
          </cell>
        </row>
        <row r="2214">
          <cell r="A2214">
            <v>23563</v>
          </cell>
          <cell r="B2214" t="str">
            <v>Konsol til pumpestationen</v>
          </cell>
          <cell r="C2214" t="str">
            <v>Bracket for pump station</v>
          </cell>
          <cell r="D2214">
            <v>901</v>
          </cell>
          <cell r="E2214">
            <v>121.1021505376344</v>
          </cell>
        </row>
        <row r="2215">
          <cell r="A2215">
            <v>23631</v>
          </cell>
          <cell r="B2215" t="str">
            <v>Dyse 120GR. 2,5 l/min ved 2 BAR</v>
          </cell>
          <cell r="C2215" t="str">
            <v>Nozzle 120GR. 2,5 l/min at 2 BAR</v>
          </cell>
          <cell r="D2215">
            <v>477</v>
          </cell>
          <cell r="E2215">
            <v>64.112903225806448</v>
          </cell>
        </row>
        <row r="2216">
          <cell r="A2216">
            <v>23642</v>
          </cell>
          <cell r="B2216" t="str">
            <v>Potentiometer TRS-50 A502</v>
          </cell>
          <cell r="C2216" t="str">
            <v>Potentiometer TRS-50 A502</v>
          </cell>
          <cell r="D2216">
            <v>2703</v>
          </cell>
          <cell r="E2216">
            <v>363.30645161290323</v>
          </cell>
        </row>
        <row r="2217">
          <cell r="A2217">
            <v>23662</v>
          </cell>
          <cell r="B2217" t="str">
            <v>Pumpestation 0,9/3,6 l/min., 3 x 380 V, 50 Hz/</v>
          </cell>
          <cell r="C2217" t="str">
            <v>Pump station 0,9/3,6 l/min., 3 x 380 V, 50 Hz</v>
          </cell>
          <cell r="D2217">
            <v>14310</v>
          </cell>
          <cell r="E2217">
            <v>1923.3870967741934</v>
          </cell>
        </row>
        <row r="2218">
          <cell r="A2218">
            <v>23666</v>
          </cell>
          <cell r="B2218" t="str">
            <v>Nippelrør 1/8" x 40mm galv.</v>
          </cell>
          <cell r="C2218" t="str">
            <v>Nipple pipe  1/8" x 40mm galv.</v>
          </cell>
          <cell r="D2218">
            <v>14.3</v>
          </cell>
          <cell r="E2218">
            <v>1.9220430107526882</v>
          </cell>
        </row>
        <row r="2219">
          <cell r="A2219">
            <v>23673</v>
          </cell>
          <cell r="B2219" t="str">
            <v>Bøsning Glacier Ø35/Ø39 L=20</v>
          </cell>
          <cell r="C2219" t="str">
            <v>Bushing Glacier Ø35/Ø39 L=20</v>
          </cell>
          <cell r="D2219">
            <v>37</v>
          </cell>
          <cell r="E2219">
            <v>4.9731182795698921</v>
          </cell>
        </row>
        <row r="2220">
          <cell r="A2220">
            <v>23692</v>
          </cell>
          <cell r="B2220" t="str">
            <v>6-kt. skrue M 8 x 50 FZB DIN 933</v>
          </cell>
          <cell r="C2220" t="str">
            <v>Hexagon screw M 8 x 50 FZB DIN 933</v>
          </cell>
          <cell r="D2220">
            <v>3.2</v>
          </cell>
          <cell r="E2220">
            <v>0.43010752688172044</v>
          </cell>
        </row>
        <row r="2221">
          <cell r="A2221">
            <v>23713</v>
          </cell>
          <cell r="B2221" t="str">
            <v>Rulleaksel komplet</v>
          </cell>
          <cell r="C2221" t="str">
            <v>Rollershaft</v>
          </cell>
          <cell r="D2221">
            <v>9010</v>
          </cell>
          <cell r="E2221">
            <v>1211.0215053763441</v>
          </cell>
        </row>
        <row r="2222">
          <cell r="A2222">
            <v>23714</v>
          </cell>
          <cell r="B2222" t="str">
            <v>Boldt for rulleaksel  XW</v>
          </cell>
          <cell r="C2222" t="str">
            <v>Bolt for roller shaft</v>
          </cell>
          <cell r="D2222">
            <v>1325</v>
          </cell>
          <cell r="E2222">
            <v>178.09139784946237</v>
          </cell>
        </row>
        <row r="2223">
          <cell r="A2223">
            <v>23717</v>
          </cell>
          <cell r="B2223" t="str">
            <v>Pillekammer, højre hængslet, komplet</v>
          </cell>
          <cell r="C2223" t="str">
            <v>Pellet chamber Right</v>
          </cell>
          <cell r="D2223">
            <v>90100</v>
          </cell>
          <cell r="E2223">
            <v>12110.215053763441</v>
          </cell>
        </row>
        <row r="2224">
          <cell r="A2224">
            <v>23718</v>
          </cell>
          <cell r="B2224" t="str">
            <v xml:space="preserve">Fødecylinder M900XW med perforering (Superbred) </v>
          </cell>
          <cell r="C2224" t="str">
            <v>Feed cone M900XW with perforation (XW)</v>
          </cell>
          <cell r="D2224">
            <v>21560</v>
          </cell>
          <cell r="E2224">
            <v>2897.8494623655911</v>
          </cell>
        </row>
        <row r="2225">
          <cell r="A2225">
            <v>23720</v>
          </cell>
          <cell r="B2225" t="str">
            <v>Afstandsring</v>
          </cell>
          <cell r="C2225" t="str">
            <v>Distance ring</v>
          </cell>
          <cell r="D2225">
            <v>1272</v>
          </cell>
          <cell r="E2225">
            <v>170.96774193548387</v>
          </cell>
        </row>
        <row r="2226">
          <cell r="A2226">
            <v>23722</v>
          </cell>
          <cell r="B2226" t="str">
            <v>Dyse Ø2,7 - 40o afbøjning</v>
          </cell>
          <cell r="C2226" t="str">
            <v>Nozzle Ø2.7 - 40o bending</v>
          </cell>
          <cell r="D2226">
            <v>371</v>
          </cell>
          <cell r="E2226">
            <v>49.865591397849457</v>
          </cell>
        </row>
        <row r="2227">
          <cell r="A2227">
            <v>23724</v>
          </cell>
          <cell r="B2227" t="str">
            <v>Godsfordeler 1 PM919XW</v>
          </cell>
          <cell r="C2227" t="str">
            <v>Deflector 1 PM919XW</v>
          </cell>
          <cell r="D2227">
            <v>939</v>
          </cell>
          <cell r="E2227">
            <v>126.20967741935483</v>
          </cell>
        </row>
        <row r="2228">
          <cell r="A2228">
            <v>23725</v>
          </cell>
          <cell r="B2228" t="str">
            <v>Godsfordeler 2 PM919XW</v>
          </cell>
          <cell r="C2228" t="str">
            <v>Deflector 2 PM919XW</v>
          </cell>
          <cell r="D2228">
            <v>732</v>
          </cell>
          <cell r="E2228">
            <v>98.387096774193537</v>
          </cell>
        </row>
        <row r="2229">
          <cell r="A2229">
            <v>23726</v>
          </cell>
          <cell r="B2229" t="str">
            <v>Godsfordeler 3 PM919XW</v>
          </cell>
          <cell r="C2229" t="str">
            <v>Deflector 3 PM919XW</v>
          </cell>
          <cell r="D2229">
            <v>902</v>
          </cell>
          <cell r="E2229">
            <v>121.23655913978494</v>
          </cell>
        </row>
        <row r="2230">
          <cell r="A2230">
            <v>23727</v>
          </cell>
          <cell r="B2230" t="str">
            <v>Holder for godsfordeler</v>
          </cell>
          <cell r="C2230" t="str">
            <v>Holder for distributor</v>
          </cell>
          <cell r="D2230">
            <v>859</v>
          </cell>
          <cell r="E2230">
            <v>115.45698924731182</v>
          </cell>
        </row>
        <row r="2231">
          <cell r="A2231">
            <v>23728</v>
          </cell>
          <cell r="B2231" t="str">
            <v>Støtte for godsfordeler nr. 3</v>
          </cell>
          <cell r="C2231" t="str">
            <v>Support for distributor no. 3</v>
          </cell>
          <cell r="D2231">
            <v>689</v>
          </cell>
          <cell r="E2231">
            <v>92.607526881720432</v>
          </cell>
        </row>
        <row r="2232">
          <cell r="A2232">
            <v>23729</v>
          </cell>
          <cell r="B2232" t="str">
            <v>Skaft f/kniv, kompet</v>
          </cell>
          <cell r="C2232" t="str">
            <v>Knife shaft</v>
          </cell>
          <cell r="D2232">
            <v>2035</v>
          </cell>
          <cell r="E2232">
            <v>273.52150537634407</v>
          </cell>
        </row>
        <row r="2233">
          <cell r="A2233">
            <v>23730</v>
          </cell>
          <cell r="B2233" t="str">
            <v>Holder for knivskaft</v>
          </cell>
          <cell r="C2233" t="str">
            <v>Holder for knife handle</v>
          </cell>
          <cell r="D2233">
            <v>1325</v>
          </cell>
          <cell r="E2233">
            <v>178.09139784946237</v>
          </cell>
        </row>
        <row r="2234">
          <cell r="A2234">
            <v>23731</v>
          </cell>
          <cell r="B2234" t="str">
            <v>Knivblad T3 B250 GN</v>
          </cell>
          <cell r="C2234" t="str">
            <v>Knife blade T3 B250 GN</v>
          </cell>
          <cell r="D2234">
            <v>382</v>
          </cell>
          <cell r="E2234">
            <v>51.344086021505376</v>
          </cell>
        </row>
        <row r="2235">
          <cell r="A2235">
            <v>23776</v>
          </cell>
          <cell r="B2235" t="str">
            <v>Nylonliste 50x5x1210</v>
          </cell>
          <cell r="C2235" t="str">
            <v>Nylon list 50x5x1210</v>
          </cell>
          <cell r="D2235">
            <v>159</v>
          </cell>
          <cell r="E2235">
            <v>21.370967741935484</v>
          </cell>
        </row>
        <row r="2236">
          <cell r="A2236">
            <v>23779</v>
          </cell>
          <cell r="B2236" t="str">
            <v>Nylonliste 50x5x1610</v>
          </cell>
          <cell r="C2236" t="str">
            <v>Nylon list 50x5x1610</v>
          </cell>
          <cell r="D2236">
            <v>180</v>
          </cell>
          <cell r="E2236">
            <v>24.193548387096772</v>
          </cell>
        </row>
        <row r="2237">
          <cell r="A2237">
            <v>23861</v>
          </cell>
          <cell r="B2237" t="str">
            <v>Spændelement, TL5050, Ø110</v>
          </cell>
          <cell r="C2237" t="str">
            <v>Shaft adapter, taper-lock TL5050 Ø110</v>
          </cell>
          <cell r="D2237">
            <v>514</v>
          </cell>
          <cell r="E2237">
            <v>69.086021505376337</v>
          </cell>
        </row>
        <row r="2238">
          <cell r="A2238">
            <v>23911</v>
          </cell>
          <cell r="B2238" t="str">
            <v>Afbryderplade for topmelder</v>
          </cell>
          <cell r="C2238" t="str">
            <v>Switch Cover for knife motor adjustment</v>
          </cell>
          <cell r="D2238">
            <v>149</v>
          </cell>
          <cell r="E2238">
            <v>20.026881720430108</v>
          </cell>
        </row>
        <row r="2239">
          <cell r="A2239">
            <v>23913</v>
          </cell>
          <cell r="B2239" t="str">
            <v>Vægspil 6114, 1000 kg</v>
          </cell>
          <cell r="C2239" t="str">
            <v>Winch 6114, 1000kg</v>
          </cell>
          <cell r="D2239">
            <v>10099</v>
          </cell>
          <cell r="E2239">
            <v>1357.3924731182794</v>
          </cell>
        </row>
        <row r="2240">
          <cell r="A2240">
            <v>23933</v>
          </cell>
          <cell r="B2240" t="str">
            <v>Pillekammer, Højre hængselet, komplet</v>
          </cell>
          <cell r="C2240" t="str">
            <v>Pellet chamber, right hinged, compl.</v>
          </cell>
          <cell r="D2240">
            <v>72610</v>
          </cell>
          <cell r="E2240">
            <v>9759.4086021505373</v>
          </cell>
        </row>
        <row r="2241">
          <cell r="A2241">
            <v>23937</v>
          </cell>
          <cell r="B2241" t="str">
            <v>Rulleaksle PM 707 SB</v>
          </cell>
          <cell r="C2241" t="str">
            <v xml:space="preserve">Roller shaft </v>
          </cell>
          <cell r="D2241">
            <v>9010</v>
          </cell>
          <cell r="E2241">
            <v>1211.0215053763441</v>
          </cell>
        </row>
        <row r="2242">
          <cell r="A2242">
            <v>23938</v>
          </cell>
          <cell r="B2242" t="str">
            <v>Bolt for rulleaksel</v>
          </cell>
          <cell r="C2242" t="str">
            <v>Bolt for roller shaft</v>
          </cell>
          <cell r="D2242">
            <v>1060</v>
          </cell>
          <cell r="E2242">
            <v>142.47311827956989</v>
          </cell>
        </row>
        <row r="2243">
          <cell r="A2243">
            <v>23939</v>
          </cell>
          <cell r="B2243" t="str">
            <v>Fødecylinder PM 717XW</v>
          </cell>
          <cell r="C2243" t="str">
            <v>Feed cone PM 717XW</v>
          </cell>
          <cell r="D2243">
            <v>13409</v>
          </cell>
          <cell r="E2243">
            <v>1802.2849462365591</v>
          </cell>
        </row>
        <row r="2244">
          <cell r="A2244">
            <v>23940</v>
          </cell>
          <cell r="B2244" t="str">
            <v xml:space="preserve">Afstandsring </v>
          </cell>
          <cell r="C2244" t="str">
            <v>Spacer ring</v>
          </cell>
          <cell r="D2244">
            <v>721</v>
          </cell>
          <cell r="E2244">
            <v>96.908602150537632</v>
          </cell>
        </row>
        <row r="2245">
          <cell r="A2245">
            <v>23941</v>
          </cell>
          <cell r="B2245" t="str">
            <v>Godsfordeler 1 M700XW</v>
          </cell>
          <cell r="C2245" t="str">
            <v>Deflector 1 M700XW</v>
          </cell>
          <cell r="D2245">
            <v>670</v>
          </cell>
          <cell r="E2245">
            <v>90.053763440860209</v>
          </cell>
        </row>
        <row r="2246">
          <cell r="A2246">
            <v>23942</v>
          </cell>
          <cell r="B2246" t="str">
            <v>Godsfordeler 2 M700XW</v>
          </cell>
          <cell r="C2246" t="str">
            <v>Deflector 2 M700XW</v>
          </cell>
          <cell r="D2246">
            <v>382</v>
          </cell>
          <cell r="E2246">
            <v>51.344086021505376</v>
          </cell>
        </row>
        <row r="2247">
          <cell r="A2247">
            <v>23943</v>
          </cell>
          <cell r="B2247" t="str">
            <v>Godsfordeler 3 M700XW</v>
          </cell>
          <cell r="C2247" t="str">
            <v>Deflector 3 M700XW</v>
          </cell>
          <cell r="D2247">
            <v>588</v>
          </cell>
          <cell r="E2247">
            <v>79.032258064516128</v>
          </cell>
        </row>
        <row r="2248">
          <cell r="A2248">
            <v>23944</v>
          </cell>
          <cell r="B2248" t="str">
            <v xml:space="preserve">Holder for godsfordeler </v>
          </cell>
          <cell r="C2248" t="str">
            <v>Holder for deflector</v>
          </cell>
          <cell r="D2248">
            <v>721</v>
          </cell>
          <cell r="E2248">
            <v>96.908602150537632</v>
          </cell>
        </row>
        <row r="2249">
          <cell r="A2249">
            <v>23945</v>
          </cell>
          <cell r="B2249" t="str">
            <v>Støtte f/godsfordeler nr. 3</v>
          </cell>
          <cell r="C2249" t="str">
            <v>Support f/deflector no.3</v>
          </cell>
          <cell r="D2249">
            <v>795</v>
          </cell>
          <cell r="E2249">
            <v>106.85483870967741</v>
          </cell>
        </row>
        <row r="2250">
          <cell r="A2250">
            <v>23961</v>
          </cell>
          <cell r="B2250" t="str">
            <v>Pillekammer, venstre hængslet, komplet</v>
          </cell>
          <cell r="C2250" t="str">
            <v>Pellet chamber Left</v>
          </cell>
          <cell r="D2250">
            <v>90100</v>
          </cell>
          <cell r="E2250">
            <v>12110.215053763441</v>
          </cell>
        </row>
        <row r="2251">
          <cell r="A2251">
            <v>23984</v>
          </cell>
          <cell r="B2251" t="str">
            <v>Hængsel for pillekammer</v>
          </cell>
          <cell r="C2251" t="str">
            <v>Hinge for pellet chamber</v>
          </cell>
          <cell r="D2251">
            <v>2597</v>
          </cell>
          <cell r="E2251">
            <v>349.05913978494624</v>
          </cell>
        </row>
        <row r="2252">
          <cell r="A2252">
            <v>25390</v>
          </cell>
          <cell r="B2252" t="str">
            <v>Sikkerhedsendestop Atlas 4, 220V</v>
          </cell>
          <cell r="C2252" t="str">
            <v>Safety switch Atlas 4, 220V</v>
          </cell>
          <cell r="D2252">
            <v>2158</v>
          </cell>
          <cell r="E2252">
            <v>290.05376344086022</v>
          </cell>
        </row>
        <row r="2253">
          <cell r="A2253">
            <v>25391</v>
          </cell>
          <cell r="B2253" t="str">
            <v>Nøgle for Guardmaster 3 sikkerhedsendestop</v>
          </cell>
          <cell r="C2253" t="str">
            <v>Key for safety stop Atlas 3</v>
          </cell>
          <cell r="D2253">
            <v>398</v>
          </cell>
          <cell r="E2253">
            <v>53.494623655913976</v>
          </cell>
        </row>
        <row r="2254">
          <cell r="A2254">
            <v>25427</v>
          </cell>
          <cell r="B2254" t="str">
            <v>Hydraulikslange 1/4" L=960</v>
          </cell>
          <cell r="C2254" t="str">
            <v xml:space="preserve">Hydraulic hose 1/4" L=960 </v>
          </cell>
          <cell r="D2254">
            <v>260</v>
          </cell>
          <cell r="E2254">
            <v>34.946236559139784</v>
          </cell>
        </row>
        <row r="2255">
          <cell r="A2255">
            <v>25451</v>
          </cell>
          <cell r="B2255" t="str">
            <v>Afstandsring</v>
          </cell>
          <cell r="C2255" t="str">
            <v>Distance ring</v>
          </cell>
          <cell r="D2255">
            <v>90</v>
          </cell>
          <cell r="E2255">
            <v>12.096774193548386</v>
          </cell>
        </row>
        <row r="2256">
          <cell r="A2256">
            <v>25452</v>
          </cell>
          <cell r="B2256" t="str">
            <v>Tap for løbekat</v>
          </cell>
          <cell r="C2256" t="str">
            <v>Spindle for crab</v>
          </cell>
          <cell r="D2256">
            <v>499</v>
          </cell>
          <cell r="E2256">
            <v>67.069892473118273</v>
          </cell>
        </row>
        <row r="2257">
          <cell r="A2257">
            <v>25453</v>
          </cell>
          <cell r="B2257" t="str">
            <v>Wirehjul Ø150</v>
          </cell>
          <cell r="C2257" t="str">
            <v>Wire wheel Ø150</v>
          </cell>
          <cell r="D2257">
            <v>1406</v>
          </cell>
          <cell r="E2257">
            <v>188.97849462365591</v>
          </cell>
        </row>
        <row r="2258">
          <cell r="A2258">
            <v>25454</v>
          </cell>
          <cell r="B2258" t="str">
            <v>Vægspil type 6116 2000kg</v>
          </cell>
          <cell r="C2258" t="str">
            <v>Winch type 6116 2000kg</v>
          </cell>
          <cell r="D2258">
            <v>16642</v>
          </cell>
          <cell r="E2258">
            <v>2236.827956989247</v>
          </cell>
        </row>
        <row r="2259">
          <cell r="A2259">
            <v>25455</v>
          </cell>
          <cell r="B2259" t="str">
            <v>Wire 6x19 filler ø14 x 4500</v>
          </cell>
          <cell r="C2259" t="str">
            <v>Wire 6x19  filler Ø14 x 4500</v>
          </cell>
          <cell r="D2259">
            <v>384</v>
          </cell>
          <cell r="E2259">
            <v>51.612903225806448</v>
          </cell>
        </row>
        <row r="2260">
          <cell r="A2260">
            <v>25457</v>
          </cell>
          <cell r="B2260" t="str">
            <v>Momentarm for elspil M909</v>
          </cell>
          <cell r="C2260" t="str">
            <v>Torque arm for electrical winch M909</v>
          </cell>
          <cell r="D2260">
            <v>773</v>
          </cell>
          <cell r="E2260">
            <v>103.89784946236558</v>
          </cell>
        </row>
        <row r="2261">
          <cell r="A2261">
            <v>25458</v>
          </cell>
          <cell r="B2261" t="str">
            <v>Gearmotor MVF 1,7 kW, 30/60 o/min, 3x380 V, 50 Hz</v>
          </cell>
          <cell r="C2261" t="str">
            <v>Gear moter MVF  1,7 kw</v>
          </cell>
          <cell r="D2261">
            <v>5618</v>
          </cell>
          <cell r="E2261">
            <v>755.10752688172045</v>
          </cell>
        </row>
        <row r="2262">
          <cell r="A2262">
            <v>25510</v>
          </cell>
          <cell r="B2262" t="str">
            <v xml:space="preserve">Pumpecentral, komplet </v>
          </cell>
          <cell r="C2262" t="str">
            <v>Pump central, compl.</v>
          </cell>
          <cell r="D2262">
            <v>9802</v>
          </cell>
          <cell r="E2262">
            <v>1317.4731182795699</v>
          </cell>
        </row>
        <row r="2263">
          <cell r="A2263">
            <v>25541</v>
          </cell>
          <cell r="B2263" t="str">
            <v>Gummigardin drev silicone, H500</v>
          </cell>
          <cell r="C2263" t="str">
            <v>Rubber curtain drive silicone H500</v>
          </cell>
          <cell r="D2263">
            <v>3975</v>
          </cell>
          <cell r="E2263">
            <v>534.27419354838707</v>
          </cell>
        </row>
        <row r="2264">
          <cell r="A2264">
            <v>25542</v>
          </cell>
          <cell r="B2264" t="str">
            <v>Gummigardin drev silicone +100, H700</v>
          </cell>
          <cell r="C2264" t="str">
            <v>Rubber curtain drive silicone +100,H700</v>
          </cell>
          <cell r="D2264">
            <v>3975</v>
          </cell>
          <cell r="E2264">
            <v>534.27419354838707</v>
          </cell>
        </row>
        <row r="2265">
          <cell r="A2265">
            <v>25550</v>
          </cell>
          <cell r="B2265" t="str">
            <v xml:space="preserve">Prop 1/8" RG for fedtfordeler </v>
          </cell>
          <cell r="C2265" t="str">
            <v xml:space="preserve">Plug 1/8" RG for grease distributor </v>
          </cell>
          <cell r="D2265">
            <v>0.4</v>
          </cell>
          <cell r="E2265">
            <v>5.3763440860215055E-2</v>
          </cell>
        </row>
        <row r="2266">
          <cell r="A2266">
            <v>25551</v>
          </cell>
          <cell r="B2266" t="str">
            <v>Pakning for fedtfordeler</v>
          </cell>
          <cell r="C2266" t="str">
            <v>Packing for grease distributor</v>
          </cell>
          <cell r="D2266">
            <v>0.6</v>
          </cell>
          <cell r="E2266">
            <v>8.0645161290322578E-2</v>
          </cell>
        </row>
        <row r="2267">
          <cell r="A2267">
            <v>25559</v>
          </cell>
          <cell r="B2267" t="str">
            <v>Pakningsplade, stål</v>
          </cell>
          <cell r="C2267" t="str">
            <v>Sealing plate, steel</v>
          </cell>
          <cell r="D2267">
            <v>22</v>
          </cell>
          <cell r="E2267">
            <v>2.956989247311828</v>
          </cell>
        </row>
        <row r="2268">
          <cell r="A2268">
            <v>25560</v>
          </cell>
          <cell r="B2268" t="str">
            <v>Pakningsplade, gummi</v>
          </cell>
          <cell r="C2268" t="str">
            <v>Sealing plate, rubber</v>
          </cell>
          <cell r="D2268">
            <v>13.8</v>
          </cell>
          <cell r="E2268">
            <v>1.8548387096774193</v>
          </cell>
        </row>
        <row r="2269">
          <cell r="A2269">
            <v>25584</v>
          </cell>
          <cell r="B2269" t="str">
            <v>Møtrik M12 FZB DIN934</v>
          </cell>
          <cell r="C2269" t="str">
            <v>Nut M12 FZB DIN934</v>
          </cell>
          <cell r="D2269">
            <v>3.3</v>
          </cell>
          <cell r="E2269">
            <v>0.44354838709677413</v>
          </cell>
        </row>
        <row r="2270">
          <cell r="A2270">
            <v>25605</v>
          </cell>
          <cell r="B2270" t="str">
            <v>Luftcylinder C52M-50-20-50</v>
          </cell>
          <cell r="C2270" t="str">
            <v>Air cylinder C52M-50-20-50</v>
          </cell>
          <cell r="D2270">
            <v>665</v>
          </cell>
          <cell r="E2270">
            <v>89.381720430107521</v>
          </cell>
        </row>
        <row r="2271">
          <cell r="A2271">
            <v>25636</v>
          </cell>
          <cell r="B2271" t="str">
            <v>Indløbstragt M700-M1100   M. klap</v>
          </cell>
          <cell r="C2271" t="str">
            <v>Dump shute M700-M1100  with dumping hatch</v>
          </cell>
          <cell r="D2271">
            <v>38690</v>
          </cell>
          <cell r="E2271">
            <v>5200.2688172043008</v>
          </cell>
        </row>
        <row r="2272">
          <cell r="A2272">
            <v>25666</v>
          </cell>
          <cell r="B2272" t="str">
            <v xml:space="preserve">Reed kontakt for cylinder </v>
          </cell>
          <cell r="C2272" t="str">
            <v xml:space="preserve">Reed switch for cylinder </v>
          </cell>
          <cell r="D2272">
            <v>196</v>
          </cell>
          <cell r="E2272">
            <v>26.344086021505376</v>
          </cell>
        </row>
        <row r="2273">
          <cell r="A2273">
            <v>25692</v>
          </cell>
          <cell r="B2273" t="str">
            <v>Låsering I 310 x 6,0 J DIN472</v>
          </cell>
          <cell r="C2273" t="str">
            <v>Lock ring I 310 x 6,0 J DIN472</v>
          </cell>
          <cell r="D2273">
            <v>313</v>
          </cell>
          <cell r="E2273">
            <v>42.06989247311828</v>
          </cell>
        </row>
        <row r="2274">
          <cell r="A2274">
            <v>25695</v>
          </cell>
          <cell r="B2274" t="str">
            <v>Spændeskive Ø28/Ø40 x 5</v>
          </cell>
          <cell r="C2274" t="str">
            <v>Washer Ø28/Ø40 x 5</v>
          </cell>
          <cell r="D2274">
            <v>25</v>
          </cell>
          <cell r="E2274">
            <v>3.3602150537634405</v>
          </cell>
        </row>
        <row r="2275">
          <cell r="A2275">
            <v>25719</v>
          </cell>
          <cell r="B2275" t="str">
            <v>Cyl. Skrue M24 x 65 8.8 DIN 912</v>
          </cell>
          <cell r="C2275" t="str">
            <v>Cyl. Screw M24 x 65 8.8 DIN 912</v>
          </cell>
          <cell r="D2275">
            <v>35</v>
          </cell>
          <cell r="E2275">
            <v>4.704301075268817</v>
          </cell>
        </row>
        <row r="2276">
          <cell r="A2276">
            <v>25745</v>
          </cell>
          <cell r="B2276" t="str">
            <v>Fordelerrør for damp, højre</v>
          </cell>
          <cell r="C2276" t="str">
            <v>Distributor pipe for steam, right</v>
          </cell>
          <cell r="D2276">
            <v>26442</v>
          </cell>
          <cell r="E2276">
            <v>3554.0322580645161</v>
          </cell>
        </row>
        <row r="2277">
          <cell r="A2277">
            <v>25746</v>
          </cell>
          <cell r="B2277" t="str">
            <v>Ventilkegle</v>
          </cell>
          <cell r="C2277" t="str">
            <v>Valve cone</v>
          </cell>
          <cell r="D2277">
            <v>796</v>
          </cell>
          <cell r="E2277">
            <v>106.98924731182795</v>
          </cell>
        </row>
        <row r="2278">
          <cell r="A2278">
            <v>25747</v>
          </cell>
          <cell r="B2278" t="str">
            <v>Ventilkegle for melasse</v>
          </cell>
          <cell r="C2278" t="str">
            <v>Valve cone for molasses</v>
          </cell>
          <cell r="D2278">
            <v>1691</v>
          </cell>
          <cell r="E2278">
            <v>227.28494623655914</v>
          </cell>
        </row>
        <row r="2279">
          <cell r="A2279">
            <v>25748</v>
          </cell>
          <cell r="B2279" t="str">
            <v>Manifoldventil komplet,</v>
          </cell>
          <cell r="C2279" t="str">
            <v>Manifold valve complete, 7</v>
          </cell>
          <cell r="D2279">
            <v>1627</v>
          </cell>
          <cell r="E2279">
            <v>218.68279569892471</v>
          </cell>
        </row>
        <row r="2280">
          <cell r="A2280">
            <v>25749</v>
          </cell>
          <cell r="B2280" t="str">
            <v xml:space="preserve">Melasseventil komplet, </v>
          </cell>
          <cell r="C2280" t="str">
            <v xml:space="preserve">Molasses valve complete, </v>
          </cell>
          <cell r="D2280">
            <v>4017</v>
          </cell>
          <cell r="E2280">
            <v>539.91935483870964</v>
          </cell>
        </row>
        <row r="2281">
          <cell r="A2281">
            <v>25756</v>
          </cell>
          <cell r="B2281" t="str">
            <v>Union 2" RG</v>
          </cell>
          <cell r="C2281" t="str">
            <v>Union 2" RG</v>
          </cell>
          <cell r="D2281">
            <v>210</v>
          </cell>
          <cell r="E2281">
            <v>28.2258064516129</v>
          </cell>
        </row>
        <row r="2282">
          <cell r="A2282">
            <v>25759</v>
          </cell>
          <cell r="B2282" t="str">
            <v>Fordelerrør for damp, venstre</v>
          </cell>
          <cell r="C2282" t="str">
            <v>Distributor pipe for steam, left</v>
          </cell>
          <cell r="D2282">
            <v>26442</v>
          </cell>
          <cell r="E2282">
            <v>3554.0322580645161</v>
          </cell>
        </row>
        <row r="2283">
          <cell r="A2283">
            <v>25816</v>
          </cell>
          <cell r="B2283" t="str">
            <v>Blandeaksel, komplet CM1101K</v>
          </cell>
          <cell r="C2283" t="str">
            <v>Mixing shaft, complete, CM1101K</v>
          </cell>
          <cell r="D2283">
            <v>65190</v>
          </cell>
          <cell r="E2283">
            <v>8762.0967741935474</v>
          </cell>
        </row>
        <row r="2284">
          <cell r="A2284">
            <v>25817</v>
          </cell>
          <cell r="B2284" t="str">
            <v>Motorplade</v>
          </cell>
          <cell r="C2284" t="str">
            <v>Motor plate</v>
          </cell>
          <cell r="D2284">
            <v>2671</v>
          </cell>
          <cell r="E2284">
            <v>359.00537634408602</v>
          </cell>
        </row>
        <row r="2285">
          <cell r="A2285">
            <v>25820</v>
          </cell>
          <cell r="B2285" t="str">
            <v>Remskærm</v>
          </cell>
          <cell r="C2285" t="str">
            <v>Belt guard</v>
          </cell>
          <cell r="D2285">
            <v>6673</v>
          </cell>
          <cell r="E2285">
            <v>896.9086021505376</v>
          </cell>
        </row>
        <row r="2286">
          <cell r="A2286">
            <v>25835</v>
          </cell>
          <cell r="B2286" t="str">
            <v>Pumpe  0,6 cm3/omdr</v>
          </cell>
          <cell r="C2286" t="str">
            <v>pump 0,6 cm3 pr. rpm</v>
          </cell>
          <cell r="D2286">
            <v>1590</v>
          </cell>
          <cell r="E2286">
            <v>213.70967741935482</v>
          </cell>
        </row>
        <row r="2287">
          <cell r="A2287">
            <v>25874</v>
          </cell>
          <cell r="B2287" t="str">
            <v>Udløser for sikkerhedsendestop</v>
          </cell>
          <cell r="C2287" t="str">
            <v>Release f. safety end stop</v>
          </cell>
          <cell r="D2287">
            <v>583</v>
          </cell>
          <cell r="E2287">
            <v>78.36021505376344</v>
          </cell>
        </row>
        <row r="2288">
          <cell r="A2288">
            <v>25890</v>
          </cell>
          <cell r="B2288" t="str">
            <v>Knivhoved 4-blads EX20</v>
          </cell>
          <cell r="C2288" t="str">
            <v>Knifehead 4-blade EX20</v>
          </cell>
          <cell r="D2288">
            <v>6680</v>
          </cell>
          <cell r="E2288">
            <v>897.84946236559131</v>
          </cell>
        </row>
        <row r="2289">
          <cell r="A2289">
            <v>25904</v>
          </cell>
          <cell r="B2289" t="str">
            <v>Kileremskive SPB 8, Ø800, TL 4545</v>
          </cell>
          <cell r="C2289" t="str">
            <v>V-belt pulley SPB 8, Ø800, TL 4545</v>
          </cell>
          <cell r="D2289">
            <v>3286</v>
          </cell>
          <cell r="E2289">
            <v>441.66666666666663</v>
          </cell>
        </row>
        <row r="2290">
          <cell r="A2290">
            <v>25908</v>
          </cell>
          <cell r="B2290" t="str">
            <v>Konsol for doseringsaggregat Ø315/Ø750</v>
          </cell>
          <cell r="C2290" t="str">
            <v>Console for feed screw Ø315/Ø750</v>
          </cell>
          <cell r="D2290">
            <v>991</v>
          </cell>
          <cell r="E2290">
            <v>133.19892473118279</v>
          </cell>
        </row>
        <row r="2291">
          <cell r="A2291">
            <v>25917</v>
          </cell>
          <cell r="B2291" t="str">
            <v>Fladremskive Ø200x100</v>
          </cell>
          <cell r="C2291" t="str">
            <v>Flat pulley, Ø200x100</v>
          </cell>
          <cell r="D2291">
            <v>721</v>
          </cell>
          <cell r="E2291">
            <v>96.908602150537632</v>
          </cell>
        </row>
        <row r="2292">
          <cell r="A2292">
            <v>25921</v>
          </cell>
          <cell r="B2292" t="str">
            <v>Leje for flangeleje UC318 Ø90</v>
          </cell>
          <cell r="C2292" t="str">
            <v>Bearing for flange bearing UC318 Ø90</v>
          </cell>
          <cell r="D2292">
            <v>1044</v>
          </cell>
          <cell r="E2292">
            <v>140.32258064516128</v>
          </cell>
        </row>
        <row r="2293">
          <cell r="A2293">
            <v>25922</v>
          </cell>
          <cell r="B2293" t="str">
            <v>6-kt. Skrue M30 x 100 DIN 931</v>
          </cell>
          <cell r="C2293" t="str">
            <v>Hex screw M30 x 100 DIN 931</v>
          </cell>
          <cell r="D2293">
            <v>69</v>
          </cell>
          <cell r="E2293">
            <v>9.2741935483870961</v>
          </cell>
        </row>
        <row r="2294">
          <cell r="A2294">
            <v>25923</v>
          </cell>
          <cell r="B2294" t="str">
            <v>Plade for akseltætning</v>
          </cell>
          <cell r="C2294" t="str">
            <v>Sealing plate for bearing</v>
          </cell>
          <cell r="D2294">
            <v>239</v>
          </cell>
          <cell r="E2294">
            <v>32.123655913978496</v>
          </cell>
        </row>
        <row r="2295">
          <cell r="A2295">
            <v>25926</v>
          </cell>
          <cell r="B2295" t="str">
            <v>Kileremskive SPB 8, Ø170, TL 3020</v>
          </cell>
          <cell r="C2295" t="str">
            <v>V-belt pulley, SPB8, Ø170, TL 3020</v>
          </cell>
          <cell r="D2295">
            <v>482</v>
          </cell>
          <cell r="E2295">
            <v>64.784946236559136</v>
          </cell>
        </row>
        <row r="2296">
          <cell r="A2296">
            <v>25928</v>
          </cell>
          <cell r="B2296" t="str">
            <v>Kilerem XPB 3350</v>
          </cell>
          <cell r="C2296" t="str">
            <v>V-belt XPB 3350</v>
          </cell>
          <cell r="D2296">
            <v>210</v>
          </cell>
          <cell r="E2296">
            <v>28.2258064516129</v>
          </cell>
        </row>
        <row r="2297">
          <cell r="A2297">
            <v>25951</v>
          </cell>
          <cell r="B2297" t="str">
            <v>Plade for akseltærning</v>
          </cell>
          <cell r="C2297" t="str">
            <v>Plate for shaft sealing</v>
          </cell>
          <cell r="D2297">
            <v>81</v>
          </cell>
          <cell r="E2297">
            <v>10.887096774193548</v>
          </cell>
        </row>
        <row r="2298">
          <cell r="A2298">
            <v>25955</v>
          </cell>
          <cell r="B2298" t="str">
            <v>Vinge 8-tands tromle, skraber</v>
          </cell>
          <cell r="C2298" t="str">
            <v>Wing 8-tooth drum, scraper</v>
          </cell>
          <cell r="D2298">
            <v>1325</v>
          </cell>
          <cell r="E2298">
            <v>178.09139784946237</v>
          </cell>
        </row>
        <row r="2299">
          <cell r="A2299">
            <v>25956</v>
          </cell>
          <cell r="B2299" t="str">
            <v>Fordæksel</v>
          </cell>
          <cell r="C2299" t="str">
            <v>Front cover</v>
          </cell>
          <cell r="D2299">
            <v>6932</v>
          </cell>
          <cell r="E2299">
            <v>931.72043010752679</v>
          </cell>
        </row>
        <row r="2300">
          <cell r="A2300">
            <v>25989</v>
          </cell>
          <cell r="B2300" t="str">
            <v>Møtrik spec.</v>
          </cell>
          <cell r="C2300" t="str">
            <v>Nut spec.</v>
          </cell>
          <cell r="D2300">
            <v>207</v>
          </cell>
          <cell r="E2300">
            <v>27.822580645161288</v>
          </cell>
        </row>
        <row r="2301">
          <cell r="A2301">
            <v>25994</v>
          </cell>
          <cell r="B2301" t="str">
            <v>Knivhoved 8-blads EX20</v>
          </cell>
          <cell r="C2301" t="str">
            <v>Knifehead 8-blade EX20</v>
          </cell>
          <cell r="D2301">
            <v>10400</v>
          </cell>
          <cell r="E2301">
            <v>1397.8494623655913</v>
          </cell>
        </row>
        <row r="2302">
          <cell r="A2302">
            <v>26101</v>
          </cell>
          <cell r="B2302" t="str">
            <v>Fedtfordelerblok SSV12-K</v>
          </cell>
          <cell r="C2302" t="str">
            <v>Grease distributor block SSV-12K</v>
          </cell>
          <cell r="D2302">
            <v>2067</v>
          </cell>
          <cell r="E2302">
            <v>277.82258064516128</v>
          </cell>
        </row>
        <row r="2303">
          <cell r="A2303">
            <v>26111</v>
          </cell>
          <cell r="B2303" t="str">
            <v>Slange Ø16/22 polyetyen</v>
          </cell>
          <cell r="C2303" t="str">
            <v>Hose Ø16/22 polyetyen</v>
          </cell>
          <cell r="D2303">
            <v>38</v>
          </cell>
          <cell r="E2303">
            <v>5.10752688172043</v>
          </cell>
        </row>
        <row r="2304">
          <cell r="A2304">
            <v>26117</v>
          </cell>
          <cell r="B2304" t="str">
            <v>Bremseensretter for 110/95V EOF</v>
          </cell>
          <cell r="C2304" t="str">
            <v>Brake rectifier for 110/95V EOF</v>
          </cell>
          <cell r="D2304">
            <v>207</v>
          </cell>
          <cell r="E2304">
            <v>27.822580645161288</v>
          </cell>
        </row>
        <row r="2305">
          <cell r="A2305">
            <v>26136</v>
          </cell>
          <cell r="B2305" t="str">
            <v>Slangestuds 5/8"</v>
          </cell>
          <cell r="C2305" t="str">
            <v>Hose socket 5/8"</v>
          </cell>
          <cell r="D2305">
            <v>943</v>
          </cell>
          <cell r="E2305">
            <v>126.74731182795698</v>
          </cell>
        </row>
        <row r="2306">
          <cell r="A2306">
            <v>26138</v>
          </cell>
          <cell r="B2306" t="str">
            <v>Holder for justerbolt</v>
          </cell>
          <cell r="C2306" t="str">
            <v>Holder for adjustment bolt</v>
          </cell>
          <cell r="D2306">
            <v>588</v>
          </cell>
          <cell r="E2306">
            <v>79.032258064516128</v>
          </cell>
        </row>
        <row r="2307">
          <cell r="A2307">
            <v>26144</v>
          </cell>
          <cell r="B2307" t="str">
            <v>Låsemøtrik</v>
          </cell>
          <cell r="C2307" t="str">
            <v>Locknut</v>
          </cell>
          <cell r="D2307">
            <v>28</v>
          </cell>
          <cell r="E2307">
            <v>3.7634408602150535</v>
          </cell>
        </row>
        <row r="2308">
          <cell r="A2308">
            <v>26167</v>
          </cell>
          <cell r="B2308" t="str">
            <v>Glasrude for inspektionslåge 1150x300</v>
          </cell>
          <cell r="C2308" t="str">
            <v>Glass pane for inspection door 1150x300</v>
          </cell>
          <cell r="D2308">
            <v>525</v>
          </cell>
          <cell r="E2308">
            <v>70.564516129032256</v>
          </cell>
        </row>
        <row r="2309">
          <cell r="A2309">
            <v>26169</v>
          </cell>
          <cell r="B2309" t="str">
            <v>Glasrude for inspektionslåge 650x300</v>
          </cell>
          <cell r="C2309" t="str">
            <v>Glass pane for inspection door 650x300</v>
          </cell>
          <cell r="D2309">
            <v>191</v>
          </cell>
          <cell r="E2309">
            <v>25.672043010752688</v>
          </cell>
        </row>
        <row r="2310">
          <cell r="A2310">
            <v>26178</v>
          </cell>
          <cell r="B2310" t="str">
            <v>Bagplade for lampe</v>
          </cell>
          <cell r="C2310" t="str">
            <v>Back plate for lamp</v>
          </cell>
          <cell r="D2310">
            <v>636</v>
          </cell>
          <cell r="E2310">
            <v>85.483870967741936</v>
          </cell>
        </row>
        <row r="2311">
          <cell r="A2311">
            <v>26179</v>
          </cell>
          <cell r="B2311" t="str">
            <v>Halogenlampe 10W - 12 VAC DL2120</v>
          </cell>
          <cell r="C2311" t="str">
            <v>Halogen lam,p 10W - 12 VAC DL2120</v>
          </cell>
          <cell r="D2311">
            <v>102</v>
          </cell>
          <cell r="E2311">
            <v>13.709677419354838</v>
          </cell>
        </row>
        <row r="2312">
          <cell r="A2312">
            <v>26308</v>
          </cell>
          <cell r="B2312" t="str">
            <v>Ledhoved, venstre</v>
          </cell>
          <cell r="C2312" t="str">
            <v>Link head, left</v>
          </cell>
          <cell r="D2312">
            <v>270</v>
          </cell>
          <cell r="E2312">
            <v>36.29032258064516</v>
          </cell>
        </row>
        <row r="2313">
          <cell r="A2313">
            <v>26406</v>
          </cell>
          <cell r="B2313" t="str">
            <v>Pumpestation, 0,4/1,6 l/min., 3 x 415 V, 50 Hz/110 V, 50/60 Hz, inkl. pos. 30, manøvreventil, magnetv., 110 V, 50/60 Hz</v>
          </cell>
          <cell r="C2313" t="str">
            <v>Pump station 0,4/1,6 l/min., 3 x 415 V, 50 Hz/110 V, 50/60 Hz, including pos. no. 30, solenoid control valve, 110 V, 50/60 Hz</v>
          </cell>
          <cell r="D2313">
            <v>10812</v>
          </cell>
          <cell r="E2313">
            <v>1453.2258064516129</v>
          </cell>
        </row>
        <row r="2314">
          <cell r="A2314">
            <v>26407</v>
          </cell>
          <cell r="B2314" t="str">
            <v>Pumpestation, 0,4/1,6 l/min., 3 x 220 V, 50 Hz/230 V, 50/60 Hz, inkl. pos. no. 30, manøvreventil, magnetv., 230 V, 50/60 Hz</v>
          </cell>
          <cell r="C2314" t="str">
            <v>Pump station 0,4/1,6 l/min., 3 x 220 V, 50 Hz/230 V, 50/60 Hz, including pos. no. 30, solenoid control valve, 230 V, 50/60 Hz</v>
          </cell>
          <cell r="D2314">
            <v>10812</v>
          </cell>
          <cell r="E2314">
            <v>1453.2258064516129</v>
          </cell>
        </row>
        <row r="2315">
          <cell r="A2315">
            <v>26413</v>
          </cell>
          <cell r="B2315" t="str">
            <v xml:space="preserve">Magnetventil 110 VAC, 50/60 Hz, kompl. </v>
          </cell>
          <cell r="C2315" t="str">
            <v xml:space="preserve">Solenoid valve 110 VAC, 50/60 Hz, cpl. </v>
          </cell>
          <cell r="D2315">
            <v>1659</v>
          </cell>
          <cell r="E2315">
            <v>222.98387096774192</v>
          </cell>
        </row>
        <row r="2316">
          <cell r="A2316">
            <v>26448</v>
          </cell>
          <cell r="B2316" t="str">
            <v>Pumpestation 0,4/1,6 l/min., 3 x 380 V, 50 Hz/220 V, 50/60 Hz, ,renoveret</v>
          </cell>
          <cell r="C2316" t="str">
            <v>Pump station 0,4/1,6 l/min., 3 x 380 V, 50 Hz/220 V, 50/60 Hz, Renovated</v>
          </cell>
          <cell r="D2316">
            <v>8800</v>
          </cell>
          <cell r="E2316">
            <v>1182.7956989247311</v>
          </cell>
        </row>
        <row r="2317">
          <cell r="A2317">
            <v>26464</v>
          </cell>
          <cell r="B2317" t="str">
            <v>Tætningsring AS Ø110 x Ø130 x 12 NBR</v>
          </cell>
          <cell r="C2317" t="str">
            <v>Sealing ring AS Ø110 x Ø130 x 12 NBR</v>
          </cell>
          <cell r="D2317">
            <v>27</v>
          </cell>
          <cell r="E2317">
            <v>3.629032258064516</v>
          </cell>
        </row>
        <row r="2318">
          <cell r="A2318">
            <v>26491</v>
          </cell>
          <cell r="B2318" t="str">
            <v>Motorplade</v>
          </cell>
          <cell r="C2318" t="str">
            <v>Motor plate</v>
          </cell>
          <cell r="D2318">
            <v>451</v>
          </cell>
          <cell r="E2318">
            <v>60.618279569892472</v>
          </cell>
        </row>
        <row r="2319">
          <cell r="A2319">
            <v>26505</v>
          </cell>
          <cell r="B2319" t="str">
            <v xml:space="preserve">Rør: Lynkobling ® cylinder, kompl. </v>
          </cell>
          <cell r="C2319" t="str">
            <v>Pipe: Snap coupling ® cylinder, cpl.</v>
          </cell>
          <cell r="D2319">
            <v>610</v>
          </cell>
          <cell r="E2319">
            <v>81.989247311827953</v>
          </cell>
        </row>
        <row r="2320">
          <cell r="A2320">
            <v>26506</v>
          </cell>
          <cell r="B2320" t="str">
            <v>Rør: Cylinder ® cylinder, kompl.</v>
          </cell>
          <cell r="C2320" t="str">
            <v xml:space="preserve">Pipe: Cylinder ® cylinder, cpl. </v>
          </cell>
          <cell r="D2320">
            <v>610</v>
          </cell>
          <cell r="E2320">
            <v>81.989247311827953</v>
          </cell>
        </row>
        <row r="2321">
          <cell r="A2321">
            <v>26517</v>
          </cell>
          <cell r="B2321" t="str">
            <v>Pindbolt M20 x 85  A" DIN 938</v>
          </cell>
          <cell r="C2321" t="str">
            <v>Threaded pin M20x85 A2 DIN 938</v>
          </cell>
          <cell r="D2321">
            <v>42</v>
          </cell>
          <cell r="E2321">
            <v>5.6451612903225801</v>
          </cell>
        </row>
        <row r="2322">
          <cell r="A2322">
            <v>26539</v>
          </cell>
          <cell r="B2322" t="str">
            <v>Pillekammer, venster hængslet, komplet  M 909 SB</v>
          </cell>
          <cell r="C2322" t="str">
            <v>Pellet chamber Left</v>
          </cell>
          <cell r="D2322">
            <v>90100</v>
          </cell>
          <cell r="E2322">
            <v>12110.215053763441</v>
          </cell>
        </row>
        <row r="2323">
          <cell r="A2323">
            <v>26551</v>
          </cell>
          <cell r="B2323" t="str">
            <v>Bagplade, remskærm</v>
          </cell>
          <cell r="C2323" t="str">
            <v>Backplate for screen</v>
          </cell>
          <cell r="D2323">
            <v>962</v>
          </cell>
          <cell r="E2323">
            <v>129.30107526881719</v>
          </cell>
        </row>
        <row r="2324">
          <cell r="A2324">
            <v>26554</v>
          </cell>
          <cell r="B2324" t="str">
            <v>Kilerem SPZ  1060</v>
          </cell>
          <cell r="C2324" t="str">
            <v>V-belt SPZ 1060</v>
          </cell>
          <cell r="D2324">
            <v>34</v>
          </cell>
          <cell r="E2324">
            <v>4.5698924731182791</v>
          </cell>
        </row>
        <row r="2325">
          <cell r="A2325">
            <v>26581</v>
          </cell>
          <cell r="B2325" t="str">
            <v>Brystnippel  ½" RG – 3/8”RG</v>
          </cell>
          <cell r="C2325" t="str">
            <v>Hexagon nipple ½" - 3/8"RG</v>
          </cell>
          <cell r="D2325">
            <v>29</v>
          </cell>
          <cell r="E2325">
            <v>3.897849462365591</v>
          </cell>
        </row>
        <row r="2326">
          <cell r="A2326">
            <v>26631</v>
          </cell>
          <cell r="B2326" t="str">
            <v>Møtrik M10 DIN 934</v>
          </cell>
          <cell r="C2326" t="str">
            <v>Nut M10  DIN 934</v>
          </cell>
          <cell r="D2326">
            <v>29</v>
          </cell>
          <cell r="E2326">
            <v>3.897849462365591</v>
          </cell>
        </row>
        <row r="2327">
          <cell r="A2327">
            <v>26673</v>
          </cell>
          <cell r="B2327" t="str">
            <v>Rør: Lynkobling - cylinder, kompl. med omløbere</v>
          </cell>
          <cell r="C2327" t="str">
            <v>Pipe: Snap coupling ® cylinder, compl. with union nuts</v>
          </cell>
          <cell r="D2327">
            <v>610</v>
          </cell>
          <cell r="E2327">
            <v>81.989247311827953</v>
          </cell>
        </row>
        <row r="2328">
          <cell r="A2328">
            <v>26674</v>
          </cell>
          <cell r="B2328" t="str">
            <v>Rør: Cylinder - cylinder, kompl. med omløbere</v>
          </cell>
          <cell r="C2328" t="str">
            <v>Pipe: Cylinder ® cylinder, complete with union nuts</v>
          </cell>
          <cell r="D2328">
            <v>610</v>
          </cell>
          <cell r="E2328">
            <v>81.989247311827953</v>
          </cell>
        </row>
        <row r="2329">
          <cell r="A2329">
            <v>26864</v>
          </cell>
          <cell r="B2329" t="str">
            <v>Remstrammer</v>
          </cell>
          <cell r="C2329" t="str">
            <v>Belt tensioner</v>
          </cell>
          <cell r="D2329">
            <v>7314</v>
          </cell>
          <cell r="E2329">
            <v>983.0645161290322</v>
          </cell>
        </row>
        <row r="2330">
          <cell r="A2330">
            <v>26883</v>
          </cell>
          <cell r="B2330" t="str">
            <v>Vippebøsning for remstrammer</v>
          </cell>
          <cell r="C2330" t="str">
            <v>Flap bushing for belt tensioner</v>
          </cell>
          <cell r="D2330">
            <v>398</v>
          </cell>
          <cell r="E2330">
            <v>53.494623655913976</v>
          </cell>
        </row>
        <row r="2331">
          <cell r="A2331">
            <v>26884</v>
          </cell>
          <cell r="B2331" t="str">
            <v>Ekcenter for remstrammer</v>
          </cell>
          <cell r="C2331" t="str">
            <v>Excenter for belt tensioner</v>
          </cell>
          <cell r="D2331">
            <v>2915</v>
          </cell>
          <cell r="E2331">
            <v>391.80107526881716</v>
          </cell>
        </row>
        <row r="2332">
          <cell r="A2332">
            <v>26889</v>
          </cell>
          <cell r="B2332" t="str">
            <v>Aksel for remstrammer</v>
          </cell>
          <cell r="C2332" t="str">
            <v>Shaft for belt tensioner</v>
          </cell>
          <cell r="D2332">
            <v>413</v>
          </cell>
          <cell r="E2332">
            <v>55.51075268817204</v>
          </cell>
        </row>
        <row r="2333">
          <cell r="A2333">
            <v>26919</v>
          </cell>
          <cell r="B2333" t="str">
            <v>Fladremskive Ø150 x 90</v>
          </cell>
          <cell r="C2333" t="str">
            <v>Flat belt pulley Ø150 x 130</v>
          </cell>
          <cell r="D2333">
            <v>901</v>
          </cell>
          <cell r="E2333">
            <v>121.1021505376344</v>
          </cell>
        </row>
        <row r="2334">
          <cell r="A2334">
            <v>26920</v>
          </cell>
          <cell r="B2334" t="str">
            <v>Pindbolt M10 x 20 8.8 DIN 938</v>
          </cell>
          <cell r="C2334" t="str">
            <v>Stud bolt M10 x 20 8.8 DIN 938</v>
          </cell>
          <cell r="D2334">
            <v>2.7</v>
          </cell>
          <cell r="E2334">
            <v>0.36290322580645162</v>
          </cell>
        </row>
        <row r="2335">
          <cell r="A2335">
            <v>26922</v>
          </cell>
          <cell r="B2335" t="str">
            <v>Kontramøtrik M22 DIN 439 FZB</v>
          </cell>
          <cell r="C2335" t="str">
            <v>Counter nut M22 DIN 439 FZB</v>
          </cell>
          <cell r="D2335">
            <v>6.9</v>
          </cell>
          <cell r="E2335">
            <v>0.92741935483870963</v>
          </cell>
        </row>
        <row r="2336">
          <cell r="A2336">
            <v>26923</v>
          </cell>
          <cell r="B2336" t="str">
            <v>Flangeleje JF 40 x 40</v>
          </cell>
          <cell r="C2336" t="str">
            <v>Flanged bearing JF 40 x 40</v>
          </cell>
          <cell r="D2336">
            <v>207</v>
          </cell>
          <cell r="E2336">
            <v>27.822580645161288</v>
          </cell>
        </row>
        <row r="2337">
          <cell r="A2337">
            <v>26925</v>
          </cell>
          <cell r="B2337" t="str">
            <v>Tallerkenfjeder Ø60,0 x 30,2 x 2,5</v>
          </cell>
          <cell r="C2337" t="str">
            <v>Disc spring Ø60,0 x 30,2 x 2,5</v>
          </cell>
          <cell r="D2337">
            <v>25</v>
          </cell>
          <cell r="E2337">
            <v>3.3602150537634405</v>
          </cell>
        </row>
        <row r="2338">
          <cell r="A2338">
            <v>26926</v>
          </cell>
          <cell r="B2338" t="str">
            <v>Fjederende trykstk. GN 615-M16-K</v>
          </cell>
          <cell r="C2338" t="str">
            <v>Spring end pressure pc GN 615-M16-K</v>
          </cell>
          <cell r="D2338">
            <v>54</v>
          </cell>
          <cell r="E2338">
            <v>7.258064516129032</v>
          </cell>
        </row>
        <row r="2339">
          <cell r="A2339">
            <v>26931</v>
          </cell>
          <cell r="B2339" t="str">
            <v>Aksel for venderulle</v>
          </cell>
          <cell r="C2339" t="str">
            <v>Shaft for turning roll</v>
          </cell>
          <cell r="D2339">
            <v>2385</v>
          </cell>
          <cell r="E2339">
            <v>320.56451612903226</v>
          </cell>
        </row>
        <row r="2340">
          <cell r="A2340">
            <v>26955</v>
          </cell>
          <cell r="B2340" t="str">
            <v>Afstandsplade 5</v>
          </cell>
          <cell r="C2340" t="str">
            <v>Distance plate 5</v>
          </cell>
          <cell r="D2340">
            <v>313</v>
          </cell>
          <cell r="E2340">
            <v>42.06989247311828</v>
          </cell>
        </row>
        <row r="2341">
          <cell r="A2341">
            <v>26957</v>
          </cell>
          <cell r="B2341" t="str">
            <v>Afstandsplade 2</v>
          </cell>
          <cell r="C2341" t="str">
            <v>Distance plate 2</v>
          </cell>
          <cell r="D2341">
            <v>27</v>
          </cell>
          <cell r="E2341">
            <v>3.629032258064516</v>
          </cell>
        </row>
        <row r="2342">
          <cell r="A2342">
            <v>26960</v>
          </cell>
          <cell r="B2342" t="str">
            <v>Beslag f/afstandsføler, venstre</v>
          </cell>
          <cell r="C2342" t="str">
            <v>Hinging f/distance sensor, left</v>
          </cell>
          <cell r="D2342">
            <v>265</v>
          </cell>
          <cell r="E2342">
            <v>35.618279569892472</v>
          </cell>
        </row>
        <row r="2343">
          <cell r="A2343">
            <v>26961</v>
          </cell>
          <cell r="B2343" t="str">
            <v>Beslag f/afstandsføler, højre</v>
          </cell>
          <cell r="C2343" t="str">
            <v>Hinging f/distance sensor, right</v>
          </cell>
          <cell r="D2343">
            <v>519</v>
          </cell>
          <cell r="E2343">
            <v>69.758064516129025</v>
          </cell>
        </row>
        <row r="2344">
          <cell r="A2344">
            <v>26967</v>
          </cell>
          <cell r="B2344" t="str">
            <v>Akseltap for strammerulle</v>
          </cell>
          <cell r="C2344" t="str">
            <v>Shaft pin f/tensioning roll</v>
          </cell>
          <cell r="D2344">
            <v>1617</v>
          </cell>
          <cell r="E2344">
            <v>217.33870967741933</v>
          </cell>
        </row>
        <row r="2345">
          <cell r="A2345">
            <v>26979</v>
          </cell>
          <cell r="B2345" t="str">
            <v>Kileremskive SPB3 Ø400 TL3535</v>
          </cell>
          <cell r="C2345" t="str">
            <v>V-belt pulley SPB3 Ø400 TL3535</v>
          </cell>
          <cell r="D2345">
            <v>583</v>
          </cell>
          <cell r="E2345">
            <v>78.36021505376344</v>
          </cell>
        </row>
        <row r="2346">
          <cell r="A2346">
            <v>26995</v>
          </cell>
          <cell r="B2346" t="str">
            <v>6-kt. Skrue M16 x 65 FZB DIN 933</v>
          </cell>
          <cell r="C2346" t="str">
            <v>Hex screw M16 x 65 FZB DIN 933</v>
          </cell>
          <cell r="D2346">
            <v>6.4</v>
          </cell>
          <cell r="E2346">
            <v>0.86021505376344087</v>
          </cell>
        </row>
        <row r="2347">
          <cell r="A2347">
            <v>26996</v>
          </cell>
          <cell r="B2347" t="str">
            <v>Topmøtrik M10</v>
          </cell>
          <cell r="C2347" t="str">
            <v>Top nut M10</v>
          </cell>
          <cell r="D2347">
            <v>4.7</v>
          </cell>
          <cell r="E2347">
            <v>0.63172043010752688</v>
          </cell>
        </row>
        <row r="2348">
          <cell r="A2348">
            <v>26998</v>
          </cell>
          <cell r="B2348" t="str">
            <v>Facetskive Ø4 A2 DIN125A</v>
          </cell>
          <cell r="C2348" t="str">
            <v>Washer Ø4 A2 DIN125A</v>
          </cell>
          <cell r="D2348">
            <v>0.1</v>
          </cell>
          <cell r="E2348">
            <v>1.3440860215053764E-2</v>
          </cell>
        </row>
        <row r="2349">
          <cell r="A2349">
            <v>27002</v>
          </cell>
          <cell r="B2349" t="str">
            <v>Cyl. kærvskrue M4 x 10 A2 DIN84A</v>
          </cell>
          <cell r="C2349" t="str">
            <v>Cyl. Screv M4 x 10 A2 DIN84A</v>
          </cell>
          <cell r="D2349">
            <v>0.3</v>
          </cell>
          <cell r="E2349">
            <v>4.0322580645161289E-2</v>
          </cell>
        </row>
        <row r="2350">
          <cell r="A2350">
            <v>27011</v>
          </cell>
          <cell r="B2350" t="str">
            <v>Bøsning Glacier</v>
          </cell>
          <cell r="C2350" t="str">
            <v xml:space="preserve">Bushing Glacier </v>
          </cell>
          <cell r="D2350">
            <v>42</v>
          </cell>
          <cell r="E2350">
            <v>5.6451612903225801</v>
          </cell>
        </row>
        <row r="2351">
          <cell r="A2351">
            <v>27028</v>
          </cell>
          <cell r="B2351" t="str">
            <v>Gummiplade 5mm silicone 80x845</v>
          </cell>
          <cell r="C2351" t="str">
            <v>Rubber plate 5 mm silicone 80 x 845</v>
          </cell>
          <cell r="D2351">
            <v>345</v>
          </cell>
          <cell r="E2351">
            <v>46.37096774193548</v>
          </cell>
        </row>
        <row r="2352">
          <cell r="A2352">
            <v>27056</v>
          </cell>
          <cell r="B2352" t="str">
            <v>Dobbelt læbetætning for lejehus</v>
          </cell>
          <cell r="C2352" t="str">
            <v>Double lip seal f/bearing housing</v>
          </cell>
          <cell r="D2352">
            <v>111</v>
          </cell>
          <cell r="E2352">
            <v>14.919354838709676</v>
          </cell>
        </row>
        <row r="2353">
          <cell r="A2353">
            <v>27060</v>
          </cell>
          <cell r="B2353" t="str">
            <v>Lejehus for leje SKF 22220 EK</v>
          </cell>
          <cell r="C2353" t="str">
            <v>Bearing housing f/bearing SKF 22220 EK</v>
          </cell>
          <cell r="D2353">
            <v>3286</v>
          </cell>
          <cell r="E2353">
            <v>441.66666666666663</v>
          </cell>
        </row>
        <row r="2354">
          <cell r="A2354">
            <v>27061</v>
          </cell>
          <cell r="B2354" t="str">
            <v>Lejedæksel</v>
          </cell>
          <cell r="C2354" t="str">
            <v>Bearing cover</v>
          </cell>
          <cell r="D2354">
            <v>1065</v>
          </cell>
          <cell r="E2354">
            <v>143.14516129032256</v>
          </cell>
        </row>
        <row r="2355">
          <cell r="A2355">
            <v>27088</v>
          </cell>
          <cell r="B2355" t="str">
            <v>Pinolskrue M6 x 20 14.9</v>
          </cell>
          <cell r="C2355" t="str">
            <v>Centre screw M6 x 20  14.9</v>
          </cell>
          <cell r="D2355">
            <v>1.1000000000000001</v>
          </cell>
          <cell r="E2355">
            <v>0.14784946236559141</v>
          </cell>
        </row>
        <row r="2356">
          <cell r="A2356">
            <v>27089</v>
          </cell>
          <cell r="B2356" t="str">
            <v>U-skrue M10 x 30 10.9 DIN7991</v>
          </cell>
          <cell r="C2356" t="str">
            <v>Counter sunk screw M10 x 30 10.9 DIN7991</v>
          </cell>
          <cell r="D2356">
            <v>2.4</v>
          </cell>
          <cell r="E2356">
            <v>0.32258064516129031</v>
          </cell>
        </row>
        <row r="2357">
          <cell r="A2357">
            <v>27091</v>
          </cell>
          <cell r="B2357" t="str">
            <v>Topmøtrik M8 A2 DIN1587</v>
          </cell>
          <cell r="C2357" t="str">
            <v>Top nut M8 A2 DIN1587</v>
          </cell>
          <cell r="D2357">
            <v>3.2</v>
          </cell>
          <cell r="E2357">
            <v>0.43010752688172044</v>
          </cell>
        </row>
        <row r="2358">
          <cell r="A2358">
            <v>27092</v>
          </cell>
          <cell r="B2358" t="str">
            <v>Topmøtrik M12 A2 DIN 1587</v>
          </cell>
          <cell r="C2358" t="str">
            <v>Cap nut M12 A2 DIN 1587</v>
          </cell>
          <cell r="D2358">
            <v>7.1</v>
          </cell>
          <cell r="E2358">
            <v>0.95430107526881713</v>
          </cell>
        </row>
        <row r="2359">
          <cell r="A2359">
            <v>27094</v>
          </cell>
          <cell r="B2359" t="str">
            <v>Holder for remstrammer</v>
          </cell>
          <cell r="C2359" t="str">
            <v>Holder for belt tensioner</v>
          </cell>
          <cell r="D2359">
            <v>1113</v>
          </cell>
          <cell r="E2359">
            <v>149.59677419354838</v>
          </cell>
        </row>
        <row r="2360">
          <cell r="A2360">
            <v>27221</v>
          </cell>
          <cell r="B2360" t="str">
            <v>Møtrik spec. M6 A2 DIN980V</v>
          </cell>
          <cell r="C2360" t="str">
            <v>Nut spec. M6 A2 DIN980V</v>
          </cell>
          <cell r="D2360">
            <v>1.5</v>
          </cell>
          <cell r="E2360">
            <v>0.20161290322580644</v>
          </cell>
        </row>
        <row r="2361">
          <cell r="A2361">
            <v>27234</v>
          </cell>
          <cell r="B2361" t="str">
            <v>Fjeder for kobling Winflex T9</v>
          </cell>
          <cell r="C2361" t="str">
            <v>Spring for coupling Winflex T9</v>
          </cell>
          <cell r="D2361">
            <v>6907</v>
          </cell>
          <cell r="E2361">
            <v>928.36021505376334</v>
          </cell>
        </row>
        <row r="2362">
          <cell r="A2362">
            <v>27243</v>
          </cell>
          <cell r="B2362" t="str">
            <v>Tromle f/vingegranulator uden skraber, komplet incl. pos. 2-10</v>
          </cell>
          <cell r="C2362" t="str">
            <v>Drum f/wing crumbler without scraper, complete incl. pos. 2-10</v>
          </cell>
          <cell r="D2362">
            <v>13515</v>
          </cell>
          <cell r="E2362">
            <v>1816.5322580645161</v>
          </cell>
        </row>
        <row r="2363">
          <cell r="A2363">
            <v>27244</v>
          </cell>
          <cell r="B2363" t="str">
            <v>Tromle f/vingegranulator med skraber, komplet incl. pos. 21-30</v>
          </cell>
          <cell r="C2363" t="str">
            <v>Drum f/wing crumbler with scrapber, complete incl. pos. 21-30</v>
          </cell>
          <cell r="D2363">
            <v>14522</v>
          </cell>
          <cell r="E2363">
            <v>1951.8817204301074</v>
          </cell>
        </row>
        <row r="2364">
          <cell r="A2364">
            <v>27245</v>
          </cell>
          <cell r="B2364" t="str">
            <v>Afstandsring for tromle L = 13.5</v>
          </cell>
          <cell r="C2364" t="str">
            <v>Distance ring for drum L = 13.5</v>
          </cell>
          <cell r="D2364">
            <v>292</v>
          </cell>
          <cell r="E2364">
            <v>39.247311827956985</v>
          </cell>
        </row>
        <row r="2365">
          <cell r="A2365">
            <v>27246</v>
          </cell>
          <cell r="B2365" t="str">
            <v>Afstandsring for tromle, L = 5</v>
          </cell>
          <cell r="C2365" t="str">
            <v>Distance ring f/drum, L = 5</v>
          </cell>
          <cell r="D2365">
            <v>223</v>
          </cell>
          <cell r="E2365">
            <v>29.973118279569892</v>
          </cell>
        </row>
        <row r="2366">
          <cell r="A2366">
            <v>27247</v>
          </cell>
          <cell r="B2366" t="str">
            <v>Vinge 8-tands tromle, skraber</v>
          </cell>
          <cell r="C2366" t="str">
            <v>Wing 8-tooth drum, scraper</v>
          </cell>
          <cell r="D2366">
            <v>901</v>
          </cell>
          <cell r="E2366">
            <v>121.1021505376344</v>
          </cell>
        </row>
        <row r="2367">
          <cell r="A2367">
            <v>27255</v>
          </cell>
          <cell r="B2367" t="str">
            <v>Cyl skrue M5x16 DIN912 A2</v>
          </cell>
          <cell r="C2367" t="str">
            <v>Round headed screw M5x16 A2 DIN912</v>
          </cell>
          <cell r="D2367">
            <v>0.8</v>
          </cell>
          <cell r="E2367">
            <v>0.10752688172043011</v>
          </cell>
        </row>
        <row r="2368">
          <cell r="A2368">
            <v>27256</v>
          </cell>
          <cell r="B2368" t="str">
            <v>6-kt. Skrue M6 x 25 FZB DIN 933</v>
          </cell>
          <cell r="C2368" t="str">
            <v>Hex screw M16 x 25 FZB DIN 933</v>
          </cell>
          <cell r="D2368">
            <v>0.5</v>
          </cell>
          <cell r="E2368">
            <v>6.7204301075268813E-2</v>
          </cell>
        </row>
        <row r="2369">
          <cell r="A2369">
            <v>27260</v>
          </cell>
          <cell r="B2369" t="str">
            <v xml:space="preserve">Flangeleje UCF 318, Ø90, komplet </v>
          </cell>
          <cell r="C2369" t="str">
            <v>Flange bearing UCF 318,, compl.</v>
          </cell>
          <cell r="D2369">
            <v>1691</v>
          </cell>
          <cell r="E2369">
            <v>227.28494623655914</v>
          </cell>
        </row>
        <row r="2370">
          <cell r="A2370">
            <v>27328</v>
          </cell>
          <cell r="B2370" t="str">
            <v>Cyl. skrue M20 x 55 8.8 DIN912</v>
          </cell>
          <cell r="C2370" t="str">
            <v>Cyl. screw M20 x 55 8.8 DIN912</v>
          </cell>
          <cell r="D2370">
            <v>12.2</v>
          </cell>
          <cell r="E2370">
            <v>1.639784946236559</v>
          </cell>
        </row>
        <row r="2371">
          <cell r="A2371">
            <v>27331</v>
          </cell>
          <cell r="B2371" t="str">
            <v>Hydr. Slange med lige studse Ø6x2250</v>
          </cell>
          <cell r="C2371" t="str">
            <v>Hydraulic hose with straight socket Ø6x2250</v>
          </cell>
          <cell r="D2371">
            <v>265</v>
          </cell>
          <cell r="E2371">
            <v>35.618279569892472</v>
          </cell>
        </row>
        <row r="2372">
          <cell r="A2372">
            <v>27347</v>
          </cell>
          <cell r="B2372" t="str">
            <v>Fedtfordelerblok SSV6-K</v>
          </cell>
          <cell r="C2372" t="str">
            <v>Grease distributor block SSV6-K</v>
          </cell>
          <cell r="D2372">
            <v>1537</v>
          </cell>
          <cell r="E2372">
            <v>206.58602150537632</v>
          </cell>
        </row>
        <row r="2373">
          <cell r="A2373">
            <v>27351</v>
          </cell>
          <cell r="B2373" t="str">
            <v>Hus f/vingegranulator, kompl. incl. Pos. 2-10</v>
          </cell>
          <cell r="C2373" t="str">
            <v>Housing f/wing crumbler, compl. incl. item 2-10</v>
          </cell>
          <cell r="D2373">
            <v>34980</v>
          </cell>
          <cell r="E2373">
            <v>4701.6129032258059</v>
          </cell>
        </row>
        <row r="2374">
          <cell r="A2374">
            <v>27352</v>
          </cell>
          <cell r="B2374" t="str">
            <v>Tromle f/vingegranulator med skaber, kompl. incl. pos. 26-30</v>
          </cell>
          <cell r="C2374" t="str">
            <v>Drum f/wing crumbler with scraper, compl. incl. item 26-30</v>
          </cell>
          <cell r="D2374">
            <v>18656</v>
          </cell>
          <cell r="E2374">
            <v>2507.5268817204301</v>
          </cell>
        </row>
        <row r="2375">
          <cell r="A2375">
            <v>27353</v>
          </cell>
          <cell r="B2375" t="str">
            <v>Tromle f/vingegranulator uden skraber, kompl. incl. pos. 16-20</v>
          </cell>
          <cell r="C2375" t="str">
            <v>Drum f/wing crumbler without scraper, compl. incl. item 16-20</v>
          </cell>
          <cell r="D2375">
            <v>17808</v>
          </cell>
          <cell r="E2375">
            <v>2393.5483870967741</v>
          </cell>
        </row>
        <row r="2376">
          <cell r="A2376">
            <v>27354</v>
          </cell>
          <cell r="B2376" t="str">
            <v>Vinge 8 tænder tromle</v>
          </cell>
          <cell r="C2376" t="str">
            <v>Wing 8 teeth drum</v>
          </cell>
          <cell r="D2376">
            <v>673</v>
          </cell>
          <cell r="E2376">
            <v>90.456989247311824</v>
          </cell>
        </row>
        <row r="2377">
          <cell r="A2377">
            <v>27355</v>
          </cell>
          <cell r="B2377" t="str">
            <v>Aksel for tromle</v>
          </cell>
          <cell r="C2377" t="str">
            <v>Shaft for drum</v>
          </cell>
          <cell r="D2377">
            <v>6625</v>
          </cell>
          <cell r="E2377">
            <v>890.45698924731175</v>
          </cell>
        </row>
        <row r="2378">
          <cell r="A2378">
            <v>27356</v>
          </cell>
          <cell r="B2378" t="str">
            <v>Kædeskærm for vingegranulator</v>
          </cell>
          <cell r="C2378" t="str">
            <v>Belt guard for wing crumbler</v>
          </cell>
          <cell r="D2378">
            <v>3191</v>
          </cell>
          <cell r="E2378">
            <v>428.89784946236557</v>
          </cell>
        </row>
        <row r="2379">
          <cell r="A2379">
            <v>27361</v>
          </cell>
          <cell r="B2379" t="str">
            <v>Remskive 80 tænder, HTD8M-85, TL 3020</v>
          </cell>
          <cell r="C2379" t="str">
            <v>Timing belt pulley 80 teeth, HTD8M-85, TL 3020</v>
          </cell>
          <cell r="D2379">
            <v>864</v>
          </cell>
          <cell r="E2379">
            <v>116.12903225806451</v>
          </cell>
        </row>
        <row r="2380">
          <cell r="A2380">
            <v>27362</v>
          </cell>
          <cell r="B2380" t="str">
            <v>Remskive 56 tænder, HTD8M-95, TL 2517</v>
          </cell>
          <cell r="C2380" t="str">
            <v>Timing belt pulley 56 teeth, HTD8M-95, TL 2517</v>
          </cell>
          <cell r="D2380">
            <v>345</v>
          </cell>
          <cell r="E2380">
            <v>46.37096774193548</v>
          </cell>
        </row>
        <row r="2381">
          <cell r="A2381">
            <v>27363</v>
          </cell>
          <cell r="B2381" t="str">
            <v>Remskive 40 tænder, HTD8M-85, TL 2012</v>
          </cell>
          <cell r="C2381" t="str">
            <v>Timing belt pulley 40 teeth, HTD8M-85, TL 2012</v>
          </cell>
          <cell r="D2381">
            <v>223</v>
          </cell>
          <cell r="E2381">
            <v>29.973118279569892</v>
          </cell>
        </row>
        <row r="2382">
          <cell r="A2382">
            <v>27364</v>
          </cell>
          <cell r="B2382" t="str">
            <v>Kæde 1800 D8M-85</v>
          </cell>
          <cell r="C2382" t="str">
            <v>Timing belt 1800 D8M-85</v>
          </cell>
          <cell r="D2382">
            <v>2205</v>
          </cell>
          <cell r="E2382">
            <v>296.37096774193549</v>
          </cell>
        </row>
        <row r="2383">
          <cell r="A2383">
            <v>27373</v>
          </cell>
          <cell r="B2383" t="str">
            <v>Øjebolt M20 x 150 DIN 444 - 4,6</v>
          </cell>
          <cell r="C2383" t="str">
            <v>Eye bolt M20 x 150 DIN 444 - 4,6</v>
          </cell>
          <cell r="D2383">
            <v>51</v>
          </cell>
          <cell r="E2383">
            <v>6.854838709677419</v>
          </cell>
        </row>
        <row r="2384">
          <cell r="A2384">
            <v>27376</v>
          </cell>
          <cell r="B2384" t="str">
            <v>Øjebolt M20 x 200 DIN 444 - 4,6</v>
          </cell>
          <cell r="C2384" t="str">
            <v>Eye bolt M20 x 200 DIN 444 - 4,6</v>
          </cell>
          <cell r="D2384">
            <v>57</v>
          </cell>
          <cell r="E2384">
            <v>7.661290322580645</v>
          </cell>
        </row>
        <row r="2385">
          <cell r="A2385">
            <v>27407</v>
          </cell>
          <cell r="B2385" t="str">
            <v>Nylonliste 50x5x1968</v>
          </cell>
          <cell r="C2385" t="str">
            <v>Nylon list 50x5x1968</v>
          </cell>
          <cell r="D2385">
            <v>270</v>
          </cell>
          <cell r="E2385">
            <v>36.29032258064516</v>
          </cell>
        </row>
        <row r="2386">
          <cell r="A2386">
            <v>27425</v>
          </cell>
          <cell r="B2386" t="str">
            <v>Blandeaksel, komplet CM1101</v>
          </cell>
          <cell r="C2386" t="str">
            <v>Mixing shaft, complete, CM1101</v>
          </cell>
          <cell r="D2386">
            <v>52470</v>
          </cell>
          <cell r="E2386">
            <v>7052.4193548387093</v>
          </cell>
        </row>
        <row r="2387">
          <cell r="A2387">
            <v>27435</v>
          </cell>
          <cell r="B2387" t="str">
            <v>6-kt. Skrue M6 x 20 D933</v>
          </cell>
          <cell r="C2387" t="str">
            <v>Hex screw M6 x 20 D933</v>
          </cell>
          <cell r="D2387">
            <v>0.4</v>
          </cell>
          <cell r="E2387">
            <v>5.3763440860215055E-2</v>
          </cell>
        </row>
        <row r="2388">
          <cell r="A2388">
            <v>27441</v>
          </cell>
          <cell r="B2388" t="str">
            <v>Cyl. skrue M12 x 70 DIN912</v>
          </cell>
          <cell r="C2388" t="str">
            <v>Cyl. Screv M12 x 70  DIN912</v>
          </cell>
          <cell r="D2388">
            <v>3.4</v>
          </cell>
          <cell r="E2388">
            <v>0.45698924731182794</v>
          </cell>
        </row>
        <row r="2389">
          <cell r="A2389">
            <v>27530</v>
          </cell>
          <cell r="B2389" t="str">
            <v>Gardinholder udløb/llagsk. F150, H700 forst.</v>
          </cell>
          <cell r="C2389" t="str">
            <v>Curtain holder oul./layer shift F150, H700</v>
          </cell>
          <cell r="D2389">
            <v>477</v>
          </cell>
          <cell r="E2389">
            <v>64.112903225806448</v>
          </cell>
        </row>
        <row r="2390">
          <cell r="A2390">
            <v>27533</v>
          </cell>
          <cell r="B2390" t="str">
            <v>Sfærisk rulleleje 2224 EK/C3</v>
          </cell>
          <cell r="C2390" t="str">
            <v>Spherical roller bearing 22224 EK/C3</v>
          </cell>
          <cell r="D2390">
            <v>1749</v>
          </cell>
          <cell r="E2390">
            <v>235.08064516129031</v>
          </cell>
        </row>
        <row r="2391">
          <cell r="A2391">
            <v>27534</v>
          </cell>
          <cell r="B2391" t="str">
            <v>Styrering FRB 14/215</v>
          </cell>
          <cell r="C2391" t="str">
            <v>Guide ring FRB 14/215</v>
          </cell>
          <cell r="D2391">
            <v>34</v>
          </cell>
          <cell r="E2391">
            <v>4.5698924731182791</v>
          </cell>
        </row>
        <row r="2392">
          <cell r="A2392">
            <v>27559</v>
          </cell>
          <cell r="B2392" t="str">
            <v>Vinge 8-tands tromle, skraber</v>
          </cell>
          <cell r="C2392" t="str">
            <v>Wing 8-tooth drum, scraper</v>
          </cell>
          <cell r="D2392">
            <v>1325</v>
          </cell>
          <cell r="E2392">
            <v>178.09139784946237</v>
          </cell>
        </row>
        <row r="2393">
          <cell r="A2393">
            <v>27575</v>
          </cell>
          <cell r="B2393" t="str">
            <v>Holder f/hægte og sikkerhedsswitch</v>
          </cell>
          <cell r="C2393" t="str">
            <v>Holder for Safety switch</v>
          </cell>
          <cell r="D2393">
            <v>1193</v>
          </cell>
          <cell r="E2393">
            <v>160.34946236559139</v>
          </cell>
        </row>
        <row r="2394">
          <cell r="A2394">
            <v>27576</v>
          </cell>
          <cell r="B2394" t="str">
            <v>6kt. Skrue M8 x 25 FZB DIN933</v>
          </cell>
          <cell r="C2394" t="str">
            <v>Hex. screw M8 x 25 FZB DIN933</v>
          </cell>
          <cell r="D2394">
            <v>0.6</v>
          </cell>
          <cell r="E2394">
            <v>8.0645161290322578E-2</v>
          </cell>
        </row>
        <row r="2395">
          <cell r="A2395">
            <v>27594</v>
          </cell>
          <cell r="B2395" t="str">
            <v>Koblingselement for Omega E69</v>
          </cell>
          <cell r="C2395" t="str">
            <v>Coupling element for Omega E69</v>
          </cell>
          <cell r="D2395">
            <v>4446</v>
          </cell>
          <cell r="E2395">
            <v>597.58064516129025</v>
          </cell>
        </row>
        <row r="2396">
          <cell r="A2396">
            <v>27679</v>
          </cell>
          <cell r="B2396" t="str">
            <v>Fæste</v>
          </cell>
          <cell r="C2396" t="str">
            <v>Fastening</v>
          </cell>
          <cell r="D2396">
            <v>281</v>
          </cell>
          <cell r="E2396">
            <v>37.768817204301072</v>
          </cell>
        </row>
        <row r="2397">
          <cell r="A2397">
            <v>27711</v>
          </cell>
          <cell r="B2397" t="str">
            <v>Beslag for gear</v>
          </cell>
          <cell r="C2397" t="str">
            <v>Hinging for gear</v>
          </cell>
          <cell r="D2397">
            <v>339</v>
          </cell>
          <cell r="E2397">
            <v>45.564516129032256</v>
          </cell>
        </row>
        <row r="2398">
          <cell r="A2398">
            <v>27714</v>
          </cell>
          <cell r="B2398" t="str">
            <v>Lejeplade, højre</v>
          </cell>
          <cell r="C2398" t="str">
            <v>Bearing plate, right</v>
          </cell>
          <cell r="D2398">
            <v>498</v>
          </cell>
          <cell r="E2398">
            <v>66.935483870967744</v>
          </cell>
        </row>
        <row r="2399">
          <cell r="A2399">
            <v>27715</v>
          </cell>
          <cell r="B2399" t="str">
            <v>Klembøsning H3124</v>
          </cell>
          <cell r="C2399" t="str">
            <v>Split bushing H 3124</v>
          </cell>
          <cell r="D2399">
            <v>398</v>
          </cell>
          <cell r="E2399">
            <v>53.494623655913976</v>
          </cell>
        </row>
        <row r="2400">
          <cell r="A2400">
            <v>27716</v>
          </cell>
          <cell r="B2400" t="str">
            <v>Cylinderbeslag</v>
          </cell>
          <cell r="C2400" t="str">
            <v>Cylinder hinging</v>
          </cell>
          <cell r="D2400">
            <v>779</v>
          </cell>
          <cell r="E2400">
            <v>104.70430107526882</v>
          </cell>
        </row>
        <row r="2401">
          <cell r="A2401">
            <v>27717</v>
          </cell>
          <cell r="B2401" t="str">
            <v>Tætningsring - filt, TSNA 524C</v>
          </cell>
          <cell r="C2401" t="str">
            <v>Oil seal - felt, TSNA 524C</v>
          </cell>
          <cell r="D2401">
            <v>133</v>
          </cell>
          <cell r="E2401">
            <v>17.876344086021504</v>
          </cell>
        </row>
        <row r="2402">
          <cell r="A2402">
            <v>27718</v>
          </cell>
          <cell r="B2402" t="str">
            <v xml:space="preserve">Arm for cylinder </v>
          </cell>
          <cell r="C2402" t="str">
            <v xml:space="preserve">Arm for cylinder </v>
          </cell>
          <cell r="D2402">
            <v>95</v>
          </cell>
          <cell r="E2402">
            <v>12.768817204301074</v>
          </cell>
        </row>
        <row r="2403">
          <cell r="A2403">
            <v>27722</v>
          </cell>
          <cell r="B2403" t="str">
            <v>Skive Ø50/Ø11 x 4</v>
          </cell>
          <cell r="C2403" t="str">
            <v>Disc Ø50/Ø11 x 4</v>
          </cell>
          <cell r="D2403">
            <v>2.1</v>
          </cell>
          <cell r="E2403">
            <v>0.282258064516129</v>
          </cell>
        </row>
        <row r="2404">
          <cell r="A2404">
            <v>27725</v>
          </cell>
          <cell r="B2404" t="str">
            <v>Luftcylinder PVA/8050</v>
          </cell>
          <cell r="C2404" t="str">
            <v>Air cylinder PVA/8050</v>
          </cell>
          <cell r="D2404">
            <v>731</v>
          </cell>
          <cell r="E2404">
            <v>98.252688172043008</v>
          </cell>
        </row>
        <row r="2405">
          <cell r="A2405">
            <v>27751</v>
          </cell>
          <cell r="B2405" t="str">
            <v>Valsejustering manuel</v>
          </cell>
          <cell r="C2405" t="str">
            <v>Roll adjustment manual</v>
          </cell>
          <cell r="D2405">
            <v>11130</v>
          </cell>
          <cell r="E2405">
            <v>1495.9677419354839</v>
          </cell>
        </row>
        <row r="2406">
          <cell r="A2406">
            <v>27752</v>
          </cell>
          <cell r="B2406" t="str">
            <v>Justeringsaksel</v>
          </cell>
          <cell r="C2406" t="str">
            <v>Adjustment shaft</v>
          </cell>
          <cell r="D2406">
            <v>2745</v>
          </cell>
          <cell r="E2406">
            <v>368.95161290322579</v>
          </cell>
        </row>
        <row r="2407">
          <cell r="A2407">
            <v>27753</v>
          </cell>
          <cell r="B2407" t="str">
            <v>Vippebøsning for valsejustering</v>
          </cell>
          <cell r="C2407" t="str">
            <v>Flap bushing for roller adjustment</v>
          </cell>
          <cell r="D2407">
            <v>2332</v>
          </cell>
          <cell r="E2407">
            <v>313.44086021505376</v>
          </cell>
        </row>
        <row r="2408">
          <cell r="A2408">
            <v>27754</v>
          </cell>
          <cell r="B2408" t="str">
            <v>Vippebøsning for lejeplade</v>
          </cell>
          <cell r="C2408" t="str">
            <v>Flap bushing for bearing plate</v>
          </cell>
          <cell r="D2408">
            <v>1484</v>
          </cell>
          <cell r="E2408">
            <v>199.46236559139783</v>
          </cell>
        </row>
        <row r="2409">
          <cell r="A2409">
            <v>27755</v>
          </cell>
          <cell r="B2409" t="str">
            <v>Trykskive for overlastsikring</v>
          </cell>
          <cell r="C2409" t="str">
            <v>Pressure disc for overload safety</v>
          </cell>
          <cell r="D2409">
            <v>223</v>
          </cell>
          <cell r="E2409">
            <v>29.973118279569892</v>
          </cell>
        </row>
        <row r="2410">
          <cell r="A2410">
            <v>27756</v>
          </cell>
          <cell r="B2410" t="str">
            <v>Skive for overlastsikring</v>
          </cell>
          <cell r="C2410" t="str">
            <v>Disc for overload safety</v>
          </cell>
          <cell r="D2410">
            <v>233</v>
          </cell>
          <cell r="E2410">
            <v>31.317204301075268</v>
          </cell>
        </row>
        <row r="2411">
          <cell r="A2411">
            <v>27757</v>
          </cell>
          <cell r="B2411" t="str">
            <v>Holder for drejningssikring</v>
          </cell>
          <cell r="C2411" t="str">
            <v>Holder for moving safety</v>
          </cell>
          <cell r="D2411">
            <v>392</v>
          </cell>
          <cell r="E2411">
            <v>52.688172043010752</v>
          </cell>
        </row>
        <row r="2412">
          <cell r="A2412">
            <v>27758</v>
          </cell>
          <cell r="B2412" t="str">
            <v>Tallerkenfjeder 100 x 41 x 5,0</v>
          </cell>
          <cell r="C2412" t="str">
            <v>Disc spring 100x41x5,0</v>
          </cell>
          <cell r="D2412">
            <v>85</v>
          </cell>
          <cell r="E2412">
            <v>11.424731182795698</v>
          </cell>
        </row>
        <row r="2413">
          <cell r="A2413">
            <v>27786</v>
          </cell>
          <cell r="B2413" t="str">
            <v>Remskærm</v>
          </cell>
          <cell r="C2413" t="str">
            <v>Belt guard</v>
          </cell>
          <cell r="D2413">
            <v>5830</v>
          </cell>
          <cell r="E2413">
            <v>783.60215053763432</v>
          </cell>
        </row>
        <row r="2414">
          <cell r="A2414">
            <v>27793</v>
          </cell>
          <cell r="B2414" t="str">
            <v>returskinne f 10,0 meter f150</v>
          </cell>
          <cell r="C2414" t="str">
            <v>Return rail F 10,0M F150</v>
          </cell>
          <cell r="D2414">
            <v>2014</v>
          </cell>
          <cell r="E2414">
            <v>270.69892473118279</v>
          </cell>
        </row>
        <row r="2415">
          <cell r="A2415">
            <v>27815</v>
          </cell>
          <cell r="B2415" t="str">
            <v>Kileremskive SPB3 Ø200 TL2517</v>
          </cell>
          <cell r="C2415" t="str">
            <v>V-belt pulley SPB3 Ø200 TL2517</v>
          </cell>
          <cell r="D2415">
            <v>154</v>
          </cell>
          <cell r="E2415">
            <v>20.698924731182796</v>
          </cell>
        </row>
        <row r="2416">
          <cell r="A2416">
            <v>27825</v>
          </cell>
          <cell r="B2416" t="str">
            <v>Aksel Ø45/Ø18 x 60</v>
          </cell>
          <cell r="C2416" t="str">
            <v>Shaft Ø45/Ø18 x 60</v>
          </cell>
          <cell r="D2416">
            <v>175</v>
          </cell>
          <cell r="E2416">
            <v>23.521505376344084</v>
          </cell>
        </row>
        <row r="2417">
          <cell r="A2417">
            <v>27845</v>
          </cell>
          <cell r="B2417" t="str">
            <v>Kilerem XPB 3000</v>
          </cell>
          <cell r="C2417" t="str">
            <v>V-belt XPB 3000</v>
          </cell>
          <cell r="D2417">
            <v>186</v>
          </cell>
          <cell r="E2417">
            <v>25</v>
          </cell>
        </row>
        <row r="2418">
          <cell r="A2418">
            <v>27856</v>
          </cell>
          <cell r="B2418" t="str">
            <v>Feder A 28x16x140</v>
          </cell>
          <cell r="C2418" t="str">
            <v>Parallel key A 28x16x140</v>
          </cell>
          <cell r="D2418">
            <v>80</v>
          </cell>
          <cell r="E2418">
            <v>10.75268817204301</v>
          </cell>
        </row>
        <row r="2419">
          <cell r="A2419">
            <v>27857</v>
          </cell>
          <cell r="B2419" t="str">
            <v>Feder AB28 x 16 x 125</v>
          </cell>
          <cell r="C2419" t="str">
            <v>Parellel key AB28 x 16 x 125</v>
          </cell>
          <cell r="D2419">
            <v>31</v>
          </cell>
          <cell r="E2419">
            <v>4.1666666666666661</v>
          </cell>
        </row>
        <row r="2420">
          <cell r="A2420">
            <v>27865</v>
          </cell>
          <cell r="B2420" t="str">
            <v>Afstandsring for tromle L = 47</v>
          </cell>
          <cell r="C2420" t="str">
            <v>Distance ring for drum L = 47</v>
          </cell>
          <cell r="D2420">
            <v>424</v>
          </cell>
          <cell r="E2420">
            <v>56.989247311827953</v>
          </cell>
        </row>
        <row r="2421">
          <cell r="A2421">
            <v>27870</v>
          </cell>
          <cell r="B2421" t="str">
            <v>Lejehus dok. med fedtretur</v>
          </cell>
          <cell r="C2421" t="str">
            <v>Bearing housing</v>
          </cell>
          <cell r="D2421">
            <v>33258</v>
          </cell>
          <cell r="E2421">
            <v>4470.1612903225805</v>
          </cell>
        </row>
        <row r="2422">
          <cell r="A2422">
            <v>27871</v>
          </cell>
          <cell r="B2422" t="str">
            <v>Lejehus dok. ved snegl med fedtretur</v>
          </cell>
          <cell r="C2422" t="str">
            <v>Bearing shell compl. incl. item 51</v>
          </cell>
          <cell r="D2422">
            <v>6713</v>
          </cell>
          <cell r="E2422">
            <v>902.28494623655911</v>
          </cell>
        </row>
        <row r="2423">
          <cell r="A2423">
            <v>27872</v>
          </cell>
          <cell r="B2423" t="str">
            <v>Plade for lejetætning</v>
          </cell>
          <cell r="C2423" t="str">
            <v>Plate for bearing sealing</v>
          </cell>
          <cell r="D2423">
            <v>322</v>
          </cell>
          <cell r="E2423">
            <v>43.279569892473113</v>
          </cell>
        </row>
        <row r="2424">
          <cell r="A2424">
            <v>27875</v>
          </cell>
          <cell r="B2424" t="str">
            <v>Slidring med afkaster kompl. inkl. pos. 64</v>
          </cell>
          <cell r="C2424" t="str">
            <v>Wear ring with ejector disc compl. incl. item 64</v>
          </cell>
          <cell r="D2424">
            <v>1860</v>
          </cell>
          <cell r="E2424">
            <v>250</v>
          </cell>
        </row>
        <row r="2425">
          <cell r="A2425">
            <v>27876</v>
          </cell>
          <cell r="B2425" t="str">
            <v>Slidring v remskærm dobbelttætning EX/FEX</v>
          </cell>
          <cell r="C2425" t="str">
            <v>Wear ring at belt screen double proofing EX/FEX</v>
          </cell>
          <cell r="D2425">
            <v>2532</v>
          </cell>
          <cell r="E2425">
            <v>340.32258064516128</v>
          </cell>
        </row>
        <row r="2426">
          <cell r="A2426">
            <v>27877</v>
          </cell>
          <cell r="B2426" t="str">
            <v>Lejedæksel med fedtretur FEX/EX</v>
          </cell>
          <cell r="C2426" t="str">
            <v>Bearing cover FEX/EX</v>
          </cell>
          <cell r="D2426">
            <v>2438</v>
          </cell>
          <cell r="E2426">
            <v>327.68817204301075</v>
          </cell>
        </row>
        <row r="2427">
          <cell r="A2427">
            <v>27938</v>
          </cell>
          <cell r="B2427" t="str">
            <v>Ophæng for hastighedsvagt</v>
          </cell>
          <cell r="C2427" t="str">
            <v>Hinge for speed guard</v>
          </cell>
          <cell r="D2427">
            <v>1617</v>
          </cell>
          <cell r="E2427">
            <v>217.33870967741933</v>
          </cell>
        </row>
        <row r="2428">
          <cell r="A2428">
            <v>27966</v>
          </cell>
          <cell r="B2428" t="str">
            <v>Flangeleje med dæksel CMUCF 307</v>
          </cell>
          <cell r="C2428" t="str">
            <v>Flange bearing with cover CMUCF 307</v>
          </cell>
          <cell r="D2428">
            <v>472</v>
          </cell>
          <cell r="E2428">
            <v>63.44086021505376</v>
          </cell>
        </row>
        <row r="2429">
          <cell r="A2429">
            <v>28023</v>
          </cell>
          <cell r="B2429" t="str">
            <v>Remskærm</v>
          </cell>
          <cell r="C2429" t="str">
            <v>Belt guard</v>
          </cell>
          <cell r="D2429">
            <v>800</v>
          </cell>
          <cell r="E2429">
            <v>107.5268817204301</v>
          </cell>
        </row>
        <row r="2430">
          <cell r="A2430">
            <v>28049</v>
          </cell>
          <cell r="B2430" t="str">
            <v>Strammeskinne</v>
          </cell>
          <cell r="C2430" t="str">
            <v>Tensioning rail</v>
          </cell>
          <cell r="D2430">
            <v>1420</v>
          </cell>
          <cell r="E2430">
            <v>190.86021505376343</v>
          </cell>
        </row>
        <row r="2431">
          <cell r="A2431">
            <v>28051</v>
          </cell>
          <cell r="B2431" t="str">
            <v>Modhold</v>
          </cell>
          <cell r="C2431" t="str">
            <v>Retainer</v>
          </cell>
          <cell r="D2431">
            <v>901</v>
          </cell>
          <cell r="E2431">
            <v>121.1021505376344</v>
          </cell>
        </row>
        <row r="2432">
          <cell r="A2432">
            <v>28052</v>
          </cell>
          <cell r="B2432" t="str">
            <v>Endedæksel</v>
          </cell>
          <cell r="C2432" t="str">
            <v>Endcover</v>
          </cell>
          <cell r="D2432">
            <v>1767</v>
          </cell>
          <cell r="E2432">
            <v>237.5</v>
          </cell>
        </row>
        <row r="2433">
          <cell r="A2433">
            <v>28053</v>
          </cell>
          <cell r="B2433" t="str">
            <v>Endedæksel</v>
          </cell>
          <cell r="C2433" t="str">
            <v>Endcover</v>
          </cell>
          <cell r="D2433">
            <v>1696</v>
          </cell>
          <cell r="E2433">
            <v>227.95698924731181</v>
          </cell>
        </row>
        <row r="2434">
          <cell r="A2434">
            <v>28054</v>
          </cell>
          <cell r="B2434" t="str">
            <v>Tætningskrave koncentrisk for stempelringstætn. M30</v>
          </cell>
          <cell r="C2434" t="str">
            <v>Seal sleeve concentric for piston ring proofing M30</v>
          </cell>
          <cell r="D2434">
            <v>455</v>
          </cell>
          <cell r="E2434">
            <v>61.155913978494624</v>
          </cell>
        </row>
        <row r="2435">
          <cell r="A2435">
            <v>28056</v>
          </cell>
          <cell r="B2435" t="str">
            <v>Tætningskrave excentisk for stempelringstætn. M30</v>
          </cell>
          <cell r="C2435" t="str">
            <v>Seal sleeve excentric for piston ring proofing M30</v>
          </cell>
          <cell r="D2435">
            <v>600</v>
          </cell>
          <cell r="E2435">
            <v>80.645161290322577</v>
          </cell>
        </row>
        <row r="2436">
          <cell r="A2436">
            <v>28059</v>
          </cell>
          <cell r="B2436" t="str">
            <v>Motorkonsol</v>
          </cell>
          <cell r="C2436" t="str">
            <v>Motor console</v>
          </cell>
          <cell r="D2436">
            <v>5883</v>
          </cell>
          <cell r="E2436">
            <v>790.72580645161281</v>
          </cell>
        </row>
        <row r="2437">
          <cell r="A2437">
            <v>28079</v>
          </cell>
          <cell r="B2437" t="str">
            <v>Stempelring ø230</v>
          </cell>
          <cell r="C2437" t="str">
            <v>Piston ring Ø230</v>
          </cell>
          <cell r="D2437">
            <v>442</v>
          </cell>
          <cell r="E2437">
            <v>59.408602150537632</v>
          </cell>
        </row>
        <row r="2438">
          <cell r="A2438">
            <v>28081</v>
          </cell>
          <cell r="B2438" t="str">
            <v>Stempelring ø250</v>
          </cell>
          <cell r="C2438" t="str">
            <v>Piston ring Ø250</v>
          </cell>
          <cell r="D2438">
            <v>470</v>
          </cell>
          <cell r="E2438">
            <v>63.172043010752688</v>
          </cell>
        </row>
        <row r="2439">
          <cell r="A2439">
            <v>28084</v>
          </cell>
          <cell r="B2439" t="str">
            <v>Drejebeslag for luftcylinder</v>
          </cell>
          <cell r="C2439" t="str">
            <v>Swivel hinging for air cylinder</v>
          </cell>
          <cell r="D2439">
            <v>541</v>
          </cell>
          <cell r="E2439">
            <v>72.715053763440849</v>
          </cell>
        </row>
        <row r="2440">
          <cell r="A2440">
            <v>28085</v>
          </cell>
          <cell r="B2440" t="str">
            <v>Beslag for Reed-kontakt</v>
          </cell>
          <cell r="C2440" t="str">
            <v>Hinging for Reed contact</v>
          </cell>
          <cell r="D2440">
            <v>71</v>
          </cell>
          <cell r="E2440">
            <v>9.543010752688172</v>
          </cell>
        </row>
        <row r="2441">
          <cell r="A2441">
            <v>28144</v>
          </cell>
          <cell r="B2441" t="str">
            <v>Sidedæksel for gearkasse</v>
          </cell>
          <cell r="C2441" t="str">
            <v>Side cover for gear box</v>
          </cell>
          <cell r="D2441">
            <v>2915</v>
          </cell>
          <cell r="E2441">
            <v>391.80107526881716</v>
          </cell>
        </row>
        <row r="2442">
          <cell r="A2442">
            <v>28152</v>
          </cell>
          <cell r="B2442" t="str">
            <v>returskinne f 12,0 meter f150</v>
          </cell>
          <cell r="C2442" t="str">
            <v xml:space="preserve">Return rail F 12,0M F150    BT </v>
          </cell>
          <cell r="D2442">
            <v>2460</v>
          </cell>
          <cell r="E2442">
            <v>330.64516129032256</v>
          </cell>
        </row>
        <row r="2443">
          <cell r="A2443">
            <v>28158</v>
          </cell>
          <cell r="B2443" t="str">
            <v>6kt skrue M6 x 8 A2 DIN 933</v>
          </cell>
          <cell r="C2443" t="str">
            <v>Hexagon screw M6 x 8 A2 DIN 933</v>
          </cell>
          <cell r="D2443">
            <v>3.7</v>
          </cell>
          <cell r="E2443">
            <v>0.49731182795698925</v>
          </cell>
        </row>
        <row r="2444">
          <cell r="A2444">
            <v>28186</v>
          </cell>
          <cell r="B2444" t="str">
            <v>6-kt. Skrue M6 x 12 D933</v>
          </cell>
          <cell r="C2444" t="str">
            <v>Hex screw M6 x 12 D933</v>
          </cell>
          <cell r="D2444">
            <v>0.5</v>
          </cell>
          <cell r="E2444">
            <v>6.7204301075268813E-2</v>
          </cell>
        </row>
        <row r="2445">
          <cell r="A2445">
            <v>28187</v>
          </cell>
          <cell r="B2445" t="str">
            <v>Dyse 90GR. 1,25 l/min ved 2 BAR</v>
          </cell>
          <cell r="C2445" t="str">
            <v>Nozzle 90GR. 1,25 l/min at 2 BAR</v>
          </cell>
          <cell r="D2445">
            <v>477</v>
          </cell>
          <cell r="E2445">
            <v>64.112903225806448</v>
          </cell>
        </row>
        <row r="2446">
          <cell r="A2446">
            <v>28199</v>
          </cell>
          <cell r="B2446" t="str">
            <v>Hus m/udveksl. f/lejetryk, kompl. inkl. pos. nr. (6) - (20) iflg. s. D 7.0</v>
          </cell>
          <cell r="C2446" t="str">
            <v>Housing f. transm., thrust signal compl. incl. items (6) - (20) according to p. D 7.0</v>
          </cell>
          <cell r="D2446">
            <v>2555</v>
          </cell>
          <cell r="E2446">
            <v>343.41397849462362</v>
          </cell>
        </row>
        <row r="2447">
          <cell r="A2447">
            <v>28227</v>
          </cell>
          <cell r="B2447" t="str">
            <v>Lejeplade, venstre</v>
          </cell>
          <cell r="C2447" t="str">
            <v>Bearing plate, left</v>
          </cell>
          <cell r="D2447">
            <v>498</v>
          </cell>
          <cell r="E2447">
            <v>66.935483870967744</v>
          </cell>
        </row>
        <row r="2448">
          <cell r="A2448">
            <v>28258</v>
          </cell>
          <cell r="B2448" t="str">
            <v>6kt. Skrue M30 x 60 A2 DIN931</v>
          </cell>
          <cell r="C2448" t="str">
            <v>Hex screw M30 x 60 A2 DIN931</v>
          </cell>
          <cell r="D2448">
            <v>58</v>
          </cell>
          <cell r="E2448">
            <v>7.7956989247311821</v>
          </cell>
        </row>
        <row r="2449">
          <cell r="A2449">
            <v>28281</v>
          </cell>
          <cell r="B2449" t="str">
            <v>Firkantprop 60 x 30 DBI</v>
          </cell>
          <cell r="C2449" t="str">
            <v>Square plug 60 x 30 DBI</v>
          </cell>
          <cell r="D2449">
            <v>7.4</v>
          </cell>
          <cell r="E2449">
            <v>0.9946236559139785</v>
          </cell>
        </row>
        <row r="2450">
          <cell r="A2450">
            <v>28294</v>
          </cell>
          <cell r="B2450" t="str">
            <v>Pinolskrue M6 x 10 DIN 912</v>
          </cell>
          <cell r="C2450" t="str">
            <v>Centre screw M6 x 10 DIN 912</v>
          </cell>
          <cell r="D2450">
            <v>1</v>
          </cell>
          <cell r="E2450">
            <v>0.13440860215053763</v>
          </cell>
        </row>
        <row r="2451">
          <cell r="A2451">
            <v>28296</v>
          </cell>
          <cell r="B2451" t="str">
            <v>Prop Ø8,4 DBI-DUT H01</v>
          </cell>
          <cell r="C2451" t="str">
            <v>Plug Ø8.4 DBI-DUT HO1</v>
          </cell>
          <cell r="D2451">
            <v>0.5</v>
          </cell>
          <cell r="E2451">
            <v>6.7204301075268813E-2</v>
          </cell>
        </row>
        <row r="2452">
          <cell r="A2452">
            <v>28300</v>
          </cell>
          <cell r="B2452" t="str">
            <v>Prop Ø11,8 DBI-DUT H2B</v>
          </cell>
          <cell r="C2452" t="str">
            <v>Plug Ø11.8 DBI-DUT HZB</v>
          </cell>
          <cell r="D2452">
            <v>0.5</v>
          </cell>
          <cell r="E2452">
            <v>6.7204301075268813E-2</v>
          </cell>
        </row>
        <row r="2453">
          <cell r="A2453">
            <v>28310</v>
          </cell>
          <cell r="B2453" t="str">
            <v>Cyl. skrue M8 x 16 A2 DIN912</v>
          </cell>
          <cell r="C2453" t="str">
            <v>Cyl. screw M8 x 16 A2 DIN912</v>
          </cell>
          <cell r="D2453">
            <v>2.5</v>
          </cell>
          <cell r="E2453">
            <v>0.33602150537634407</v>
          </cell>
        </row>
        <row r="2454">
          <cell r="A2454">
            <v>28338</v>
          </cell>
          <cell r="B2454" t="str">
            <v>Cyl. Skrue M12 x 25 12.9</v>
          </cell>
          <cell r="C2454" t="str">
            <v>Cyl. Screw M12 x 25 12.9</v>
          </cell>
          <cell r="D2454">
            <v>3.1</v>
          </cell>
          <cell r="E2454">
            <v>0.41666666666666663</v>
          </cell>
        </row>
        <row r="2455">
          <cell r="A2455">
            <v>28368</v>
          </cell>
          <cell r="B2455" t="str">
            <v>Rørstift Ø12 x 65 DIN 1481</v>
          </cell>
          <cell r="C2455" t="str">
            <v>Tube pin Ø12 x 65 DIN 1481</v>
          </cell>
          <cell r="D2455">
            <v>9.5</v>
          </cell>
          <cell r="E2455">
            <v>1.2768817204301075</v>
          </cell>
        </row>
        <row r="2456">
          <cell r="A2456">
            <v>28389</v>
          </cell>
          <cell r="B2456" t="str">
            <v>Forskruning PG 7 Polyamid</v>
          </cell>
          <cell r="C2456" t="str">
            <v>Joint screw PG 7 Polyamide</v>
          </cell>
          <cell r="D2456">
            <v>12.7</v>
          </cell>
          <cell r="E2456">
            <v>1.7069892473118278</v>
          </cell>
        </row>
        <row r="2457">
          <cell r="A2457">
            <v>28392</v>
          </cell>
          <cell r="B2457" t="str">
            <v>Gevindstang M22 8.8 FZB</v>
          </cell>
          <cell r="C2457" t="str">
            <v>Thread rod M22 8.8 FZB</v>
          </cell>
          <cell r="D2457">
            <v>80</v>
          </cell>
          <cell r="E2457">
            <v>10.75268817204301</v>
          </cell>
        </row>
        <row r="2458">
          <cell r="A2458">
            <v>28416</v>
          </cell>
          <cell r="B2458" t="str">
            <v>Beslag for valsejustering</v>
          </cell>
          <cell r="C2458" t="str">
            <v>Fittings for roll adjustment</v>
          </cell>
          <cell r="D2458">
            <v>859</v>
          </cell>
          <cell r="E2458">
            <v>115.45698924731182</v>
          </cell>
        </row>
        <row r="2459">
          <cell r="A2459">
            <v>28431</v>
          </cell>
          <cell r="B2459" t="str">
            <v>Dækplade – højre</v>
          </cell>
          <cell r="C2459" t="str">
            <v>Cover plate – right</v>
          </cell>
          <cell r="D2459">
            <v>1261</v>
          </cell>
          <cell r="E2459">
            <v>169.48924731182794</v>
          </cell>
        </row>
        <row r="2460">
          <cell r="A2460">
            <v>28433</v>
          </cell>
          <cell r="B2460" t="str">
            <v>Skive Ø40,5/Ø58 x 2</v>
          </cell>
          <cell r="C2460" t="str">
            <v>Dish Ø40,5/Ø58 x 2</v>
          </cell>
          <cell r="D2460">
            <v>5.3</v>
          </cell>
          <cell r="E2460">
            <v>0.71236559139784938</v>
          </cell>
        </row>
        <row r="2461">
          <cell r="A2461">
            <v>28434</v>
          </cell>
          <cell r="B2461" t="str">
            <v>Sporkugleleje 6309 2RS1</v>
          </cell>
          <cell r="C2461" t="str">
            <v>Step ball bearing 6309 2RS1</v>
          </cell>
          <cell r="D2461">
            <v>159</v>
          </cell>
          <cell r="E2461">
            <v>21.370967741935484</v>
          </cell>
        </row>
        <row r="2462">
          <cell r="A2462">
            <v>28436</v>
          </cell>
          <cell r="B2462" t="str">
            <v>Bøsning for inddækning</v>
          </cell>
          <cell r="C2462" t="str">
            <v>Bushing for cover</v>
          </cell>
          <cell r="D2462">
            <v>143</v>
          </cell>
          <cell r="E2462">
            <v>19.22043010752688</v>
          </cell>
        </row>
        <row r="2463">
          <cell r="A2463">
            <v>28443</v>
          </cell>
          <cell r="B2463" t="str">
            <v>Bøsning for remstrammer</v>
          </cell>
          <cell r="C2463" t="str">
            <v>Bushing for belt tensioner</v>
          </cell>
          <cell r="D2463">
            <v>212</v>
          </cell>
          <cell r="E2463">
            <v>28.494623655913976</v>
          </cell>
        </row>
        <row r="2464">
          <cell r="A2464">
            <v>28444</v>
          </cell>
          <cell r="B2464" t="str">
            <v>Skydeplade 2 - højre/venstre</v>
          </cell>
          <cell r="C2464" t="str">
            <v>Sliding plate 2 - right/left</v>
          </cell>
          <cell r="D2464">
            <v>1113</v>
          </cell>
          <cell r="E2464">
            <v>149.59677419354838</v>
          </cell>
        </row>
        <row r="2465">
          <cell r="A2465">
            <v>28452</v>
          </cell>
          <cell r="B2465" t="str">
            <v>Skydeplade 1 - højre/venstre</v>
          </cell>
          <cell r="C2465" t="str">
            <v>Sliding plate 1 - right/left</v>
          </cell>
          <cell r="D2465">
            <v>1113</v>
          </cell>
          <cell r="E2465">
            <v>149.59677419354838</v>
          </cell>
        </row>
        <row r="2466">
          <cell r="A2466">
            <v>28457</v>
          </cell>
          <cell r="B2466" t="str">
            <v>Prop for prøveudtag incl. pos. nr. 85</v>
          </cell>
          <cell r="C2466" t="str">
            <v>Plug f/sample outlet incl. Pos. no. 85</v>
          </cell>
          <cell r="D2466">
            <v>663</v>
          </cell>
          <cell r="E2466">
            <v>89.112903225806448</v>
          </cell>
        </row>
        <row r="2467">
          <cell r="A2467">
            <v>28466</v>
          </cell>
          <cell r="B2467" t="str">
            <v>6-kant skrue M20 x 140</v>
          </cell>
          <cell r="C2467" t="str">
            <v>Hex. Screw M20 x 140</v>
          </cell>
          <cell r="D2467">
            <v>23</v>
          </cell>
          <cell r="E2467">
            <v>3.0913978494623655</v>
          </cell>
        </row>
        <row r="2468">
          <cell r="A2468">
            <v>28474</v>
          </cell>
          <cell r="B2468" t="str">
            <v xml:space="preserve">Fedtføler, komplet </v>
          </cell>
          <cell r="C2468" t="str">
            <v>Grease sensor, compl. Adjustable</v>
          </cell>
          <cell r="D2468">
            <v>1341</v>
          </cell>
          <cell r="E2468">
            <v>180.24193548387095</v>
          </cell>
        </row>
        <row r="2469">
          <cell r="A2469">
            <v>28476</v>
          </cell>
          <cell r="B2469" t="str">
            <v>Bøsning for fedtføler</v>
          </cell>
          <cell r="C2469" t="str">
            <v xml:space="preserve">Bushing for grease sensor </v>
          </cell>
          <cell r="D2469">
            <v>403</v>
          </cell>
          <cell r="E2469">
            <v>54.166666666666664</v>
          </cell>
        </row>
        <row r="2470">
          <cell r="A2470">
            <v>28477</v>
          </cell>
          <cell r="B2470" t="str">
            <v>Låsering U22 x 1,2 DIN 471</v>
          </cell>
          <cell r="C2470" t="str">
            <v>Lock ring U22x1,2 DIN471</v>
          </cell>
          <cell r="D2470">
            <v>2.8</v>
          </cell>
          <cell r="E2470">
            <v>0.37634408602150532</v>
          </cell>
        </row>
        <row r="2471">
          <cell r="A2471">
            <v>28479</v>
          </cell>
          <cell r="B2471" t="str">
            <v>Rør for fedtføler</v>
          </cell>
          <cell r="C2471" t="str">
            <v>Pipe for grease sensor</v>
          </cell>
          <cell r="D2471">
            <v>744</v>
          </cell>
          <cell r="E2471">
            <v>100</v>
          </cell>
        </row>
        <row r="2472">
          <cell r="A2472">
            <v>28495</v>
          </cell>
          <cell r="B2472" t="str">
            <v>Dækplade – venstre</v>
          </cell>
          <cell r="C2472" t="str">
            <v>Cover plate – left</v>
          </cell>
          <cell r="D2472">
            <v>1261</v>
          </cell>
          <cell r="E2472">
            <v>169.48924731182794</v>
          </cell>
        </row>
        <row r="2473">
          <cell r="A2473">
            <v>28508</v>
          </cell>
          <cell r="B2473" t="str">
            <v>Stift Ø05 x 12</v>
          </cell>
          <cell r="C2473" t="str">
            <v>Pin Ø05 x 12</v>
          </cell>
          <cell r="D2473">
            <v>2.2999999999999998</v>
          </cell>
          <cell r="E2473">
            <v>0.30913978494623651</v>
          </cell>
        </row>
        <row r="2474">
          <cell r="A2474">
            <v>28511</v>
          </cell>
          <cell r="B2474" t="str">
            <v>Pumpestation 220V50Hz</v>
          </cell>
          <cell r="C2474" t="str">
            <v>Pump unit 220V 50Hz</v>
          </cell>
          <cell r="D2474">
            <v>18253</v>
          </cell>
          <cell r="E2474">
            <v>2453.3602150537631</v>
          </cell>
        </row>
        <row r="2475">
          <cell r="A2475">
            <v>28514</v>
          </cell>
          <cell r="B2475" t="str">
            <v>Mellemforing l=500, kompl. incl. pos. 24-28</v>
          </cell>
          <cell r="C2475" t="str">
            <v>Interm. barrel section l=500, compl. incl. item 24-28</v>
          </cell>
          <cell r="D2475">
            <v>16960</v>
          </cell>
          <cell r="E2475">
            <v>2279.5698924731182</v>
          </cell>
        </row>
        <row r="2476">
          <cell r="A2476">
            <v>28523</v>
          </cell>
          <cell r="B2476" t="str">
            <v>Ribbebåndskive TB 24PL 258 TL3535</v>
          </cell>
          <cell r="C2476" t="str">
            <v>Rib belt pulley TB 24PL 258 TL3535</v>
          </cell>
          <cell r="D2476">
            <v>2491</v>
          </cell>
          <cell r="E2476">
            <v>334.81182795698925</v>
          </cell>
        </row>
        <row r="2477">
          <cell r="A2477">
            <v>28525</v>
          </cell>
          <cell r="B2477" t="str">
            <v>Fladremskive B=130 Ø180 TL3535</v>
          </cell>
          <cell r="C2477" t="str">
            <v>Flat belt pulley B=130 Ø180 TL3535</v>
          </cell>
          <cell r="D2477">
            <v>1744</v>
          </cell>
          <cell r="E2477">
            <v>234.40860215053763</v>
          </cell>
        </row>
        <row r="2478">
          <cell r="A2478">
            <v>28526</v>
          </cell>
          <cell r="B2478" t="str">
            <v>Ribbebånd PL24 2020 LB</v>
          </cell>
          <cell r="C2478" t="str">
            <v>Rib belt PL24 2020 LB</v>
          </cell>
          <cell r="D2478">
            <v>943</v>
          </cell>
          <cell r="E2478">
            <v>126.74731182795698</v>
          </cell>
        </row>
        <row r="2479">
          <cell r="A2479">
            <v>28533</v>
          </cell>
          <cell r="B2479" t="str">
            <v>Børsteliste</v>
          </cell>
          <cell r="C2479" t="str">
            <v>Brush list</v>
          </cell>
          <cell r="D2479">
            <v>615</v>
          </cell>
          <cell r="E2479">
            <v>82.661290322580641</v>
          </cell>
        </row>
        <row r="2480">
          <cell r="A2480">
            <v>28537</v>
          </cell>
          <cell r="B2480" t="str">
            <v>O-ring Ø448,0 x 6,0 Nitril</v>
          </cell>
          <cell r="C2480" t="str">
            <v>O-ring Ø448,0 x 6,0 Nitril</v>
          </cell>
          <cell r="D2480">
            <v>159</v>
          </cell>
          <cell r="E2480">
            <v>21.370967741935484</v>
          </cell>
        </row>
        <row r="2481">
          <cell r="A2481">
            <v>28539</v>
          </cell>
          <cell r="B2481" t="str">
            <v>Klemprofil L = 942</v>
          </cell>
          <cell r="C2481" t="str">
            <v>Split profile L=942</v>
          </cell>
          <cell r="D2481">
            <v>33</v>
          </cell>
          <cell r="E2481">
            <v>4.435483870967742</v>
          </cell>
        </row>
        <row r="2482">
          <cell r="A2482">
            <v>28563</v>
          </cell>
          <cell r="B2482" t="str">
            <v>Købling Winflex T2</v>
          </cell>
          <cell r="C2482" t="str">
            <v xml:space="preserve">Coupling Winflex T2, </v>
          </cell>
          <cell r="D2482">
            <v>7897</v>
          </cell>
          <cell r="E2482">
            <v>1061.4247311827955</v>
          </cell>
        </row>
        <row r="2483">
          <cell r="A2483">
            <v>28564</v>
          </cell>
          <cell r="B2483" t="str">
            <v>erstattet af 501543</v>
          </cell>
          <cell r="C2483" t="str">
            <v>replaced by 501543</v>
          </cell>
          <cell r="D2483" t="str">
            <v>replaced</v>
          </cell>
          <cell r="E2483" t="e">
            <v>#VALUE!</v>
          </cell>
        </row>
        <row r="2484">
          <cell r="A2484">
            <v>28636</v>
          </cell>
          <cell r="B2484" t="str">
            <v>Bolt for knivhoved</v>
          </cell>
          <cell r="C2484" t="str">
            <v>Bolt for knifehead</v>
          </cell>
          <cell r="D2484">
            <v>512</v>
          </cell>
          <cell r="E2484">
            <v>68.817204301075265</v>
          </cell>
        </row>
        <row r="2485">
          <cell r="A2485">
            <v>28651</v>
          </cell>
          <cell r="B2485" t="str">
            <v>Leje permaglide Paw 42 P 10</v>
          </cell>
          <cell r="C2485" t="str">
            <v>Bearing Permaglide Paw 42 P 10</v>
          </cell>
          <cell r="D2485">
            <v>48</v>
          </cell>
          <cell r="E2485">
            <v>6.4516129032258061</v>
          </cell>
        </row>
        <row r="2486">
          <cell r="A2486">
            <v>28664</v>
          </cell>
          <cell r="B2486" t="str">
            <v>Slidring for akseltætning Ø80</v>
          </cell>
          <cell r="C2486" t="str">
            <v>Wearring for for shaft proofing Ø80</v>
          </cell>
          <cell r="D2486">
            <v>473</v>
          </cell>
          <cell r="E2486">
            <v>63.575268817204297</v>
          </cell>
        </row>
        <row r="2487">
          <cell r="A2487">
            <v>28676</v>
          </cell>
          <cell r="B2487" t="str">
            <v>Skærm f sikringsk M2/M5 M FEDT</v>
          </cell>
          <cell r="C2487" t="str">
            <v>Safety clutch guard M2/M5 with lubrication</v>
          </cell>
          <cell r="D2487">
            <v>1993</v>
          </cell>
          <cell r="E2487">
            <v>267.8763440860215</v>
          </cell>
        </row>
        <row r="2488">
          <cell r="A2488">
            <v>28678</v>
          </cell>
          <cell r="B2488" t="str">
            <v>Skærm f/sikringskobling</v>
          </cell>
          <cell r="C2488" t="str">
            <v>Screen for safety coupling</v>
          </cell>
          <cell r="D2488">
            <v>2496</v>
          </cell>
          <cell r="E2488">
            <v>335.48387096774189</v>
          </cell>
        </row>
        <row r="2489">
          <cell r="A2489">
            <v>28682</v>
          </cell>
          <cell r="B2489" t="str">
            <v>Gavl for dobbelttætning</v>
          </cell>
          <cell r="C2489" t="str">
            <v>Gable for double sealing</v>
          </cell>
          <cell r="D2489">
            <v>1081</v>
          </cell>
          <cell r="E2489">
            <v>145.29569892473117</v>
          </cell>
        </row>
        <row r="2490">
          <cell r="A2490">
            <v>28691</v>
          </cell>
          <cell r="B2490" t="str">
            <v>Skærm for kobling</v>
          </cell>
          <cell r="C2490" t="str">
            <v>Screen for cuopling</v>
          </cell>
          <cell r="D2490">
            <v>2825</v>
          </cell>
          <cell r="E2490">
            <v>379.7043010752688</v>
          </cell>
        </row>
        <row r="2491">
          <cell r="A2491">
            <v>28716</v>
          </cell>
          <cell r="B2491" t="str">
            <v>Dyseplade uden huller EX17</v>
          </cell>
          <cell r="C2491" t="str">
            <v>Die plate without holes EX17</v>
          </cell>
          <cell r="D2491">
            <v>2703</v>
          </cell>
          <cell r="E2491">
            <v>363.30645161290323</v>
          </cell>
        </row>
        <row r="2492">
          <cell r="A2492">
            <v>28778</v>
          </cell>
          <cell r="B2492" t="str">
            <v>Cyl. Skrue M20x200 8,8</v>
          </cell>
          <cell r="C2492" t="str">
            <v>Cyl. Screw M20zx200 8,8</v>
          </cell>
          <cell r="D2492">
            <v>32</v>
          </cell>
          <cell r="E2492">
            <v>4.301075268817204</v>
          </cell>
        </row>
        <row r="2493">
          <cell r="A2493">
            <v>28780</v>
          </cell>
          <cell r="B2493" t="str">
            <v>Ombygningssæt for M900 blandeaksel  2 simr.</v>
          </cell>
          <cell r="C2493" t="str">
            <v>Rebuildingsæt for mixer shaft</v>
          </cell>
          <cell r="D2493">
            <v>13900</v>
          </cell>
          <cell r="E2493">
            <v>1868.2795698924731</v>
          </cell>
        </row>
        <row r="2494">
          <cell r="A2494">
            <v>28782</v>
          </cell>
          <cell r="B2494" t="str">
            <v>Gavl for dobbelttætning</v>
          </cell>
          <cell r="C2494" t="str">
            <v>Gable fo double sealing</v>
          </cell>
          <cell r="D2494">
            <v>1431</v>
          </cell>
          <cell r="E2494">
            <v>192.33870967741933</v>
          </cell>
        </row>
        <row r="2495">
          <cell r="A2495">
            <v>28783</v>
          </cell>
          <cell r="B2495" t="str">
            <v>Gavlplade AISI 316</v>
          </cell>
          <cell r="C2495" t="str">
            <v>Gable plate AISI 316</v>
          </cell>
          <cell r="D2495">
            <v>901</v>
          </cell>
          <cell r="E2495">
            <v>121.1021505376344</v>
          </cell>
        </row>
        <row r="2496">
          <cell r="A2496">
            <v>28808</v>
          </cell>
          <cell r="B2496" t="str">
            <v>Forskruning PG 9 Makrolon</v>
          </cell>
          <cell r="C2496" t="str">
            <v>Joint screw PG 9 Makrolon</v>
          </cell>
          <cell r="D2496">
            <v>15.9</v>
          </cell>
          <cell r="E2496">
            <v>2.1370967741935485</v>
          </cell>
        </row>
        <row r="2497">
          <cell r="A2497">
            <v>28810</v>
          </cell>
          <cell r="B2497" t="str">
            <v xml:space="preserve">CAT pumpe 10-10 gear 1:7,   0,75 kW </v>
          </cell>
          <cell r="C2497" t="str">
            <v xml:space="preserve">CAT pumpe 10-10 gear 1:7,   0,75 kW </v>
          </cell>
          <cell r="D2497">
            <v>41870</v>
          </cell>
          <cell r="E2497">
            <v>5627.6881720430101</v>
          </cell>
        </row>
        <row r="2498">
          <cell r="A2498">
            <v>28813</v>
          </cell>
          <cell r="B2498" t="str">
            <v>Isoleringsbøsning L = 37</v>
          </cell>
          <cell r="C2498" t="str">
            <v>Insulation bushing L = 37</v>
          </cell>
          <cell r="D2498">
            <v>49</v>
          </cell>
          <cell r="E2498">
            <v>6.586021505376344</v>
          </cell>
        </row>
        <row r="2499">
          <cell r="A2499">
            <v>28814</v>
          </cell>
          <cell r="B2499" t="str">
            <v>Isoleringbøsning L = 30</v>
          </cell>
          <cell r="C2499" t="str">
            <v>Insulation bushing L = 30</v>
          </cell>
          <cell r="D2499">
            <v>49</v>
          </cell>
          <cell r="E2499">
            <v>6.586021505376344</v>
          </cell>
        </row>
        <row r="2500">
          <cell r="A2500">
            <v>28815</v>
          </cell>
          <cell r="B2500" t="str">
            <v>Følerlomme</v>
          </cell>
          <cell r="C2500" t="str">
            <v>Sensor pocket</v>
          </cell>
          <cell r="D2500">
            <v>360</v>
          </cell>
          <cell r="E2500">
            <v>48.387096774193544</v>
          </cell>
        </row>
        <row r="2501">
          <cell r="A2501">
            <v>28817</v>
          </cell>
          <cell r="B2501" t="str">
            <v>Slidring</v>
          </cell>
          <cell r="C2501" t="str">
            <v>Wear ring</v>
          </cell>
          <cell r="D2501">
            <v>3657</v>
          </cell>
          <cell r="E2501">
            <v>491.5322580645161</v>
          </cell>
        </row>
        <row r="2502">
          <cell r="A2502">
            <v>28823</v>
          </cell>
          <cell r="B2502" t="str">
            <v>CAT pumpe 10-10 gear 1:10, 0,75 kW</v>
          </cell>
          <cell r="C2502" t="str">
            <v>CAT pumpe 10-10 gear 1:10, 0,75 kW</v>
          </cell>
          <cell r="D2502">
            <v>41870</v>
          </cell>
          <cell r="E2502">
            <v>5627.6881720430101</v>
          </cell>
        </row>
        <row r="2503">
          <cell r="A2503">
            <v>28824</v>
          </cell>
          <cell r="B2503" t="str">
            <v>CAT pumpe 10-10 gear 1:30, 0,75  kW</v>
          </cell>
          <cell r="C2503" t="str">
            <v>CAT pumpe 10-10 gear 1:30, 0,75  kW</v>
          </cell>
          <cell r="D2503">
            <v>41870</v>
          </cell>
          <cell r="E2503">
            <v>5627.6881720430101</v>
          </cell>
        </row>
        <row r="2504">
          <cell r="A2504">
            <v>28825</v>
          </cell>
          <cell r="B2504" t="str">
            <v>CAT pumpe 10-10 gear 1:48, 0,75 kW</v>
          </cell>
          <cell r="C2504" t="str">
            <v>CAT pumpe 10-10 gear 1:48, 0,75 kW</v>
          </cell>
          <cell r="D2504">
            <v>41870</v>
          </cell>
          <cell r="E2504">
            <v>5627.6881720430101</v>
          </cell>
        </row>
        <row r="2505">
          <cell r="A2505">
            <v>28914</v>
          </cell>
          <cell r="B2505" t="str">
            <v>Skrue for trykmåler EX17</v>
          </cell>
          <cell r="C2505" t="str">
            <v>Screw for pressure gauge</v>
          </cell>
          <cell r="D2505">
            <v>73</v>
          </cell>
          <cell r="E2505">
            <v>9.8118279569892461</v>
          </cell>
        </row>
        <row r="2506">
          <cell r="A2506">
            <v>28939</v>
          </cell>
          <cell r="B2506" t="str">
            <v>Skærm for fedtfordeler, aut. Smøring</v>
          </cell>
          <cell r="C2506" t="str">
            <v>Screen for grease distributor, automatic greasing</v>
          </cell>
          <cell r="D2506">
            <v>2355</v>
          </cell>
          <cell r="E2506">
            <v>316.5322580645161</v>
          </cell>
        </row>
        <row r="2507">
          <cell r="A2507">
            <v>28942</v>
          </cell>
          <cell r="B2507" t="str">
            <v>6kt skrue M16x55 DIN933 FZB</v>
          </cell>
          <cell r="C2507" t="str">
            <v>Set screw M16x55 DIN933 FZB</v>
          </cell>
          <cell r="D2507">
            <v>4.8</v>
          </cell>
          <cell r="E2507">
            <v>0.64516129032258063</v>
          </cell>
        </row>
        <row r="2508">
          <cell r="A2508">
            <v>28943</v>
          </cell>
          <cell r="B2508" t="str">
            <v>6-kt. Skrue M16 x 100 FZB DIN 933</v>
          </cell>
          <cell r="C2508" t="str">
            <v>Hex screw M16 x 100 FZB DIN 933</v>
          </cell>
          <cell r="D2508">
            <v>10.6</v>
          </cell>
          <cell r="E2508">
            <v>1.4247311827956988</v>
          </cell>
        </row>
        <row r="2509">
          <cell r="A2509">
            <v>28945</v>
          </cell>
          <cell r="B2509" t="str">
            <v>6ktT skrue M24x90 DIN933 FZB</v>
          </cell>
          <cell r="C2509" t="str">
            <v>Set screw M24x90 DIN933 FZB</v>
          </cell>
          <cell r="D2509">
            <v>30</v>
          </cell>
          <cell r="E2509">
            <v>4.032258064516129</v>
          </cell>
        </row>
        <row r="2510">
          <cell r="A2510">
            <v>28946</v>
          </cell>
          <cell r="B2510" t="str">
            <v>Facetskive Ø30 DIN125B</v>
          </cell>
          <cell r="C2510" t="str">
            <v>Washer ø30 DIN 125 A</v>
          </cell>
          <cell r="D2510">
            <v>5.3</v>
          </cell>
          <cell r="E2510">
            <v>0.71236559139784938</v>
          </cell>
        </row>
        <row r="2511">
          <cell r="A2511">
            <v>28947</v>
          </cell>
          <cell r="B2511" t="str">
            <v>Cyl. skrue M6 x 35 DIN912</v>
          </cell>
          <cell r="C2511" t="str">
            <v>Cyl. Screw M6 x 35  DIN 912</v>
          </cell>
          <cell r="D2511">
            <v>5.3</v>
          </cell>
          <cell r="E2511">
            <v>0.71236559139784938</v>
          </cell>
        </row>
        <row r="2512">
          <cell r="A2512">
            <v>28948</v>
          </cell>
          <cell r="B2512" t="str">
            <v>Cyl. Skrue M16 x 70 8.8 DIN 912</v>
          </cell>
          <cell r="C2512" t="str">
            <v>Cyl. Screw M16 x 70 8.8 DIN 912</v>
          </cell>
          <cell r="D2512">
            <v>7.4</v>
          </cell>
          <cell r="E2512">
            <v>0.9946236559139785</v>
          </cell>
        </row>
        <row r="2513">
          <cell r="A2513">
            <v>30001</v>
          </cell>
          <cell r="B2513" t="str">
            <v>Vinkelforskruning 1/8 NPV indv./1/8 NPT udv. 67368 DK</v>
          </cell>
          <cell r="C2513" t="str">
            <v>Angle closure 1/8 NPV inner /1/8 NPT outer 67368 D</v>
          </cell>
          <cell r="D2513">
            <v>28</v>
          </cell>
          <cell r="E2513">
            <v>3.7634408602150535</v>
          </cell>
        </row>
        <row r="2514">
          <cell r="A2514">
            <v>30015</v>
          </cell>
          <cell r="B2514" t="str">
            <v>Induktiv føler XS1-M12MA230</v>
          </cell>
          <cell r="C2514" t="str">
            <v>Inductive sensor XS1-M12MA230</v>
          </cell>
          <cell r="D2514">
            <v>455</v>
          </cell>
          <cell r="E2514">
            <v>61.155913978494624</v>
          </cell>
        </row>
        <row r="2515">
          <cell r="A2515">
            <v>30038</v>
          </cell>
          <cell r="B2515" t="str">
            <v>Blandegevind H121 M24 kompl.</v>
          </cell>
          <cell r="C2515" t="str">
            <v>Mixing paddle H121 M24 compl.</v>
          </cell>
          <cell r="D2515">
            <v>509</v>
          </cell>
          <cell r="E2515">
            <v>68.413978494623649</v>
          </cell>
        </row>
        <row r="2516">
          <cell r="A2516">
            <v>30053</v>
          </cell>
          <cell r="B2516" t="str">
            <v>Rep. kit CAT Pumpe stempelstang</v>
          </cell>
          <cell r="C2516" t="str">
            <v>Repair  kit CAT pumpe  valves</v>
          </cell>
          <cell r="D2516">
            <v>1855</v>
          </cell>
          <cell r="E2516">
            <v>249.3279569892473</v>
          </cell>
        </row>
        <row r="2517">
          <cell r="A2517">
            <v>30069</v>
          </cell>
          <cell r="B2517" t="str">
            <v>6kt skrue M10x70 DIN933 FZB</v>
          </cell>
          <cell r="C2517" t="str">
            <v>Hex screw M10x70 DIN933 FZB</v>
          </cell>
          <cell r="D2517">
            <v>2.7</v>
          </cell>
          <cell r="E2517">
            <v>0.36290322580645162</v>
          </cell>
        </row>
        <row r="2518">
          <cell r="A2518">
            <v>30078</v>
          </cell>
          <cell r="B2518" t="str">
            <v>Temperaturmåler komplet, incl. pos. 96-99</v>
          </cell>
          <cell r="C2518" t="str">
            <v>Thermometer complete, incl. item 96-99</v>
          </cell>
          <cell r="D2518">
            <v>742</v>
          </cell>
          <cell r="E2518">
            <v>99.731182795698913</v>
          </cell>
        </row>
        <row r="2519">
          <cell r="A2519">
            <v>30093</v>
          </cell>
          <cell r="B2519" t="str">
            <v>Studs Ø16/Ø12 L = 62</v>
          </cell>
          <cell r="C2519" t="str">
            <v>Socket Ø16/Ø12 L = 62</v>
          </cell>
          <cell r="D2519">
            <v>398</v>
          </cell>
          <cell r="E2519">
            <v>53.494623655913976</v>
          </cell>
        </row>
        <row r="2520">
          <cell r="A2520">
            <v>30100</v>
          </cell>
          <cell r="B2520" t="str">
            <v>Brystnippel 1” - ½” BSP</v>
          </cell>
          <cell r="C2520" t="str">
            <v>Reducing nipple 1” - ½” BSP</v>
          </cell>
          <cell r="D2520">
            <v>46</v>
          </cell>
          <cell r="E2520">
            <v>6.182795698924731</v>
          </cell>
        </row>
        <row r="2521">
          <cell r="A2521">
            <v>30102</v>
          </cell>
          <cell r="B2521" t="str">
            <v>Brystnippel ½” x 1/4” RG</v>
          </cell>
          <cell r="C2521" t="str">
            <v>Nipple 1/2 " x1/4" RG</v>
          </cell>
          <cell r="D2521">
            <v>22</v>
          </cell>
          <cell r="E2521">
            <v>2.956989247311828</v>
          </cell>
        </row>
        <row r="2522">
          <cell r="A2522">
            <v>30105</v>
          </cell>
          <cell r="B2522" t="str">
            <v xml:space="preserve">Slange 1/2" </v>
          </cell>
          <cell r="C2522" t="str">
            <v>Hose 1/2"</v>
          </cell>
          <cell r="D2522">
            <v>159</v>
          </cell>
          <cell r="E2522">
            <v>21.370967741935484</v>
          </cell>
        </row>
        <row r="2523">
          <cell r="A2523">
            <v>30162</v>
          </cell>
          <cell r="B2523" t="str">
            <v>Kileremskive SPC10 Ø1250 TL5050</v>
          </cell>
          <cell r="C2523" t="str">
            <v>V-belt pulley SPC10 Ø1250 TL5050</v>
          </cell>
          <cell r="D2523">
            <v>14188</v>
          </cell>
          <cell r="E2523">
            <v>1906.989247311828</v>
          </cell>
        </row>
        <row r="2524">
          <cell r="A2524">
            <v>30175</v>
          </cell>
          <cell r="B2524" t="str">
            <v>Låsemøtrik M4 A2 DIN985</v>
          </cell>
          <cell r="C2524" t="str">
            <v>Lock nut M4 A2 DIN985</v>
          </cell>
          <cell r="D2524">
            <v>0.5</v>
          </cell>
          <cell r="E2524">
            <v>6.7204301075268813E-2</v>
          </cell>
        </row>
        <row r="2525">
          <cell r="A2525">
            <v>30194</v>
          </cell>
          <cell r="B2525" t="str">
            <v>Skueglas Ø128</v>
          </cell>
          <cell r="C2525" t="str">
            <v>Sight glass Ø128</v>
          </cell>
          <cell r="D2525">
            <v>59</v>
          </cell>
          <cell r="E2525">
            <v>7.93010752688172</v>
          </cell>
        </row>
        <row r="2526">
          <cell r="A2526">
            <v>30202</v>
          </cell>
          <cell r="B2526" t="str">
            <v>Cyl. Skrue M5 x 25 DIN 912</v>
          </cell>
          <cell r="C2526" t="str">
            <v>Cyl. screw M5 x 25 DIN 912</v>
          </cell>
          <cell r="D2526">
            <v>1.2</v>
          </cell>
          <cell r="E2526">
            <v>0.16129032258064516</v>
          </cell>
        </row>
        <row r="2527">
          <cell r="A2527">
            <v>30204</v>
          </cell>
          <cell r="B2527" t="str">
            <v>Skive Ø12 DIN 9021 B</v>
          </cell>
          <cell r="C2527" t="str">
            <v>Washer Ø12 DIN 9021 B</v>
          </cell>
          <cell r="D2527">
            <v>0.8</v>
          </cell>
          <cell r="E2527">
            <v>0.10752688172043011</v>
          </cell>
        </row>
        <row r="2528">
          <cell r="A2528">
            <v>30207</v>
          </cell>
          <cell r="B2528" t="str">
            <v>Gavl for dobbelttætning</v>
          </cell>
          <cell r="C2528" t="str">
            <v>Gable for double sealing</v>
          </cell>
          <cell r="D2528">
            <v>2173</v>
          </cell>
          <cell r="E2528">
            <v>292.06989247311827</v>
          </cell>
        </row>
        <row r="2529">
          <cell r="A2529">
            <v>30208</v>
          </cell>
          <cell r="B2529" t="str">
            <v>Gavlplade AISI 316</v>
          </cell>
          <cell r="C2529" t="str">
            <v>Gable plate AISI 316</v>
          </cell>
          <cell r="D2529">
            <v>965</v>
          </cell>
          <cell r="E2529">
            <v>129.7043010752688</v>
          </cell>
        </row>
        <row r="2530">
          <cell r="A2530">
            <v>30209</v>
          </cell>
          <cell r="B2530" t="str">
            <v>Slidring</v>
          </cell>
          <cell r="C2530" t="str">
            <v>Wear ring</v>
          </cell>
          <cell r="D2530">
            <v>546</v>
          </cell>
          <cell r="E2530">
            <v>73.387096774193552</v>
          </cell>
        </row>
        <row r="2531">
          <cell r="A2531">
            <v>30217</v>
          </cell>
          <cell r="B2531" t="str">
            <v>Sikringsstift  PM 909 " stifter.</v>
          </cell>
          <cell r="C2531" t="str">
            <v>Shear pin</v>
          </cell>
          <cell r="D2531">
            <v>186</v>
          </cell>
          <cell r="E2531">
            <v>25</v>
          </cell>
        </row>
        <row r="2532">
          <cell r="A2532">
            <v>30253</v>
          </cell>
          <cell r="B2532" t="str">
            <v>Hus for simmering</v>
          </cell>
          <cell r="C2532" t="str">
            <v>Housing for seal</v>
          </cell>
          <cell r="D2532">
            <v>2067</v>
          </cell>
          <cell r="E2532">
            <v>277.82258064516128</v>
          </cell>
        </row>
        <row r="2533">
          <cell r="A2533">
            <v>30256</v>
          </cell>
          <cell r="B2533" t="str">
            <v>Mikroswitch</v>
          </cell>
          <cell r="C2533" t="str">
            <v>Micro switch</v>
          </cell>
          <cell r="D2533">
            <v>663</v>
          </cell>
          <cell r="E2533">
            <v>89.112903225806448</v>
          </cell>
        </row>
        <row r="2534">
          <cell r="A2534">
            <v>30261</v>
          </cell>
          <cell r="B2534" t="str">
            <v>Lejeplade, højre</v>
          </cell>
          <cell r="C2534" t="str">
            <v>Bearing plate, right</v>
          </cell>
          <cell r="D2534">
            <v>1113</v>
          </cell>
          <cell r="E2534">
            <v>149.59677419354838</v>
          </cell>
        </row>
        <row r="2535">
          <cell r="A2535">
            <v>30262</v>
          </cell>
          <cell r="B2535" t="str">
            <v>Lejeplade, venstre</v>
          </cell>
          <cell r="C2535" t="str">
            <v>Bearing plate, left</v>
          </cell>
          <cell r="D2535">
            <v>1113</v>
          </cell>
          <cell r="E2535">
            <v>149.59677419354838</v>
          </cell>
        </row>
        <row r="2536">
          <cell r="A2536">
            <v>30282</v>
          </cell>
          <cell r="B2536" t="str">
            <v>Kileremskive SPC 8 Ø800 TL5050</v>
          </cell>
          <cell r="C2536" t="str">
            <v>V-belt pulley SPC 8 Ø800 TL5050</v>
          </cell>
          <cell r="D2536">
            <v>4611</v>
          </cell>
          <cell r="E2536">
            <v>619.75806451612902</v>
          </cell>
        </row>
        <row r="2537">
          <cell r="A2537">
            <v>30284</v>
          </cell>
          <cell r="B2537" t="str">
            <v>Kileremskive SPC 8 Ø265 TL3535</v>
          </cell>
          <cell r="C2537" t="str">
            <v>V-belt pulley SPC 8 Ø265 TL3535</v>
          </cell>
          <cell r="D2537">
            <v>3933</v>
          </cell>
          <cell r="E2537">
            <v>528.62903225806451</v>
          </cell>
        </row>
        <row r="2538">
          <cell r="A2538">
            <v>30285</v>
          </cell>
          <cell r="B2538" t="str">
            <v>Justerbeslag</v>
          </cell>
          <cell r="C2538" t="str">
            <v>Adjusting hinging</v>
          </cell>
          <cell r="D2538">
            <v>477</v>
          </cell>
          <cell r="E2538">
            <v>64.112903225806448</v>
          </cell>
        </row>
        <row r="2539">
          <cell r="A2539">
            <v>30292</v>
          </cell>
          <cell r="B2539" t="str">
            <v>Glideleje</v>
          </cell>
          <cell r="C2539" t="str">
            <v>Sleeve bearing</v>
          </cell>
          <cell r="D2539">
            <v>207</v>
          </cell>
          <cell r="E2539">
            <v>27.822580645161288</v>
          </cell>
        </row>
        <row r="2540">
          <cell r="A2540">
            <v>30294</v>
          </cell>
          <cell r="B2540" t="str">
            <v>Skive Ø13xØ50x5</v>
          </cell>
          <cell r="C2540" t="str">
            <v>Disc Ø13xØ50x5</v>
          </cell>
          <cell r="D2540">
            <v>239</v>
          </cell>
          <cell r="E2540">
            <v>32.123655913978496</v>
          </cell>
        </row>
        <row r="2541">
          <cell r="A2541">
            <v>30440</v>
          </cell>
          <cell r="B2541" t="str">
            <v>6-kt. Skrue M16x75</v>
          </cell>
          <cell r="C2541" t="str">
            <v>Hex screw M16x75</v>
          </cell>
          <cell r="D2541">
            <v>6.6</v>
          </cell>
          <cell r="E2541">
            <v>0.88709677419354827</v>
          </cell>
        </row>
        <row r="2542">
          <cell r="A2542">
            <v>30441</v>
          </cell>
          <cell r="B2542" t="str">
            <v>6-kt. Skrue M24 x 70 DIN 931</v>
          </cell>
          <cell r="C2542" t="str">
            <v>Hex screw M24 x 70 DIN 931</v>
          </cell>
          <cell r="D2542">
            <v>25</v>
          </cell>
          <cell r="E2542">
            <v>3.3602150537634405</v>
          </cell>
        </row>
        <row r="2543">
          <cell r="A2543">
            <v>30442</v>
          </cell>
          <cell r="B2543" t="str">
            <v>Cyl. skrue M20 x 45 DIN 912 A4</v>
          </cell>
          <cell r="C2543" t="str">
            <v>Cyl. screw M20 x 45 DIN 912 A4</v>
          </cell>
          <cell r="D2543">
            <v>35</v>
          </cell>
          <cell r="E2543">
            <v>4.704301075268817</v>
          </cell>
        </row>
        <row r="2544">
          <cell r="A2544">
            <v>30465</v>
          </cell>
          <cell r="B2544" t="str">
            <v>Møtrik M24 A2</v>
          </cell>
          <cell r="C2544" t="str">
            <v>Nut M24 A2</v>
          </cell>
          <cell r="D2544">
            <v>14.3</v>
          </cell>
          <cell r="E2544">
            <v>1.9220430107526882</v>
          </cell>
        </row>
        <row r="2545">
          <cell r="A2545">
            <v>30501</v>
          </cell>
          <cell r="B2545" t="str">
            <v>Cyl. skrue M20 x 45 DIN 912 FZB</v>
          </cell>
          <cell r="C2545" t="str">
            <v>Cyl. screw M20 x 45 DIN 912 FZB</v>
          </cell>
          <cell r="D2545">
            <v>12.7</v>
          </cell>
          <cell r="E2545">
            <v>1.7069892473118278</v>
          </cell>
        </row>
        <row r="2546">
          <cell r="A2546">
            <v>30504</v>
          </cell>
          <cell r="B2546" t="str">
            <v>Hus for simmerring</v>
          </cell>
          <cell r="C2546" t="str">
            <v>Housing for oil seal</v>
          </cell>
          <cell r="D2546">
            <v>3604</v>
          </cell>
          <cell r="E2546">
            <v>484.4086021505376</v>
          </cell>
        </row>
        <row r="2547">
          <cell r="A2547">
            <v>30505</v>
          </cell>
          <cell r="B2547" t="str">
            <v>Brystnippel 3/8”  BSP</v>
          </cell>
          <cell r="C2547" t="str">
            <v>Nipple 3/8” BSP/BSP</v>
          </cell>
          <cell r="D2547">
            <v>13.8</v>
          </cell>
          <cell r="E2547">
            <v>1.8548387096774193</v>
          </cell>
        </row>
        <row r="2548">
          <cell r="A2548">
            <v>30518</v>
          </cell>
          <cell r="B2548" t="str">
            <v>Labyrint tætning</v>
          </cell>
          <cell r="C2548" t="str">
            <v>Labyrinth packing</v>
          </cell>
          <cell r="D2548">
            <v>2735</v>
          </cell>
          <cell r="E2548">
            <v>367.60752688172039</v>
          </cell>
        </row>
        <row r="2549">
          <cell r="A2549">
            <v>30565</v>
          </cell>
          <cell r="B2549" t="str">
            <v>Pindbolt M20x90 8.8</v>
          </cell>
          <cell r="C2549" t="str">
            <v>Threaded pin M20x90 8.8</v>
          </cell>
          <cell r="D2549">
            <v>58</v>
          </cell>
          <cell r="E2549">
            <v>7.7956989247311821</v>
          </cell>
        </row>
        <row r="2550">
          <cell r="A2550">
            <v>30576</v>
          </cell>
          <cell r="B2550" t="str">
            <v>Nøgle for sikkerhedsendestop ATLAS 5</v>
          </cell>
          <cell r="C2550" t="str">
            <v>Key for safety switch ATLAS 5</v>
          </cell>
          <cell r="D2550">
            <v>395</v>
          </cell>
          <cell r="E2550">
            <v>53.091397849462361</v>
          </cell>
        </row>
        <row r="2551">
          <cell r="A2551">
            <v>30607</v>
          </cell>
          <cell r="B2551" t="str">
            <v>Hydr -slange lige studse ø6 x 1800</v>
          </cell>
          <cell r="C2551" t="str">
            <v>Hydraulic hose with straight socket Ø6x1800</v>
          </cell>
          <cell r="D2551">
            <v>173</v>
          </cell>
          <cell r="E2551">
            <v>23.252688172043008</v>
          </cell>
        </row>
        <row r="2552">
          <cell r="A2552">
            <v>30608</v>
          </cell>
          <cell r="B2552" t="str">
            <v>Hydr -slange lige studse ø6 x 2600</v>
          </cell>
          <cell r="C2552" t="str">
            <v>Hydraulic hose with straight socket Ø6x2600</v>
          </cell>
          <cell r="D2552">
            <v>170</v>
          </cell>
          <cell r="E2552">
            <v>22.849462365591396</v>
          </cell>
        </row>
        <row r="2553">
          <cell r="A2553">
            <v>30635</v>
          </cell>
          <cell r="B2553" t="str">
            <v>Slange 2" brandslange</v>
          </cell>
          <cell r="C2553" t="str">
            <v>Hose 2" fire hose</v>
          </cell>
          <cell r="D2553">
            <v>69</v>
          </cell>
          <cell r="E2553">
            <v>9.2741935483870961</v>
          </cell>
        </row>
        <row r="2554">
          <cell r="A2554">
            <v>30649</v>
          </cell>
          <cell r="B2554" t="str">
            <v>Gavlplade AISI 316</v>
          </cell>
          <cell r="C2554" t="str">
            <v>Gable plate AISI 316</v>
          </cell>
          <cell r="D2554">
            <v>514</v>
          </cell>
          <cell r="E2554">
            <v>69.086021505376337</v>
          </cell>
        </row>
        <row r="2555">
          <cell r="A2555">
            <v>30659</v>
          </cell>
          <cell r="B2555" t="str">
            <v>Cyl. Skrue M8 x 25 A2 DIN 912</v>
          </cell>
          <cell r="C2555" t="str">
            <v>Cyl. Screw M8 x 25 A2 DIN 912</v>
          </cell>
          <cell r="D2555">
            <v>4.5</v>
          </cell>
          <cell r="E2555">
            <v>0.60483870967741937</v>
          </cell>
        </row>
        <row r="2556">
          <cell r="A2556">
            <v>30705</v>
          </cell>
          <cell r="B2556" t="str">
            <v>Slid-mellemforing l=180</v>
          </cell>
          <cell r="C2556" t="str">
            <v>Interm. wear barrel section l=180</v>
          </cell>
          <cell r="D2556">
            <v>10388</v>
          </cell>
          <cell r="E2556">
            <v>1396.236559139785</v>
          </cell>
        </row>
        <row r="2557">
          <cell r="A2557">
            <v>30712</v>
          </cell>
          <cell r="B2557" t="str">
            <v>Vandkappe L=240</v>
          </cell>
          <cell r="C2557" t="str">
            <v xml:space="preserve">Water jacket L=240 EX17 </v>
          </cell>
          <cell r="D2557">
            <v>10176</v>
          </cell>
          <cell r="E2557">
            <v>1367.741935483871</v>
          </cell>
        </row>
        <row r="2558">
          <cell r="A2558">
            <v>30713</v>
          </cell>
          <cell r="B2558" t="str">
            <v>Vandkappe L=330</v>
          </cell>
          <cell r="C2558" t="str">
            <v xml:space="preserve">Water jacket L=330 EX17 </v>
          </cell>
          <cell r="D2558">
            <v>13250</v>
          </cell>
          <cell r="E2558">
            <v>1780.9139784946235</v>
          </cell>
        </row>
        <row r="2559">
          <cell r="A2559">
            <v>30720</v>
          </cell>
          <cell r="B2559" t="str">
            <v>Kileremskive SPB4, Ø125, TL2012</v>
          </cell>
          <cell r="C2559" t="str">
            <v>V-belt pulley SPB 4 Ø125, TL2012</v>
          </cell>
          <cell r="D2559">
            <v>138</v>
          </cell>
          <cell r="E2559">
            <v>18.548387096774192</v>
          </cell>
        </row>
        <row r="2560">
          <cell r="A2560">
            <v>30722</v>
          </cell>
          <cell r="B2560" t="str">
            <v>Termometer</v>
          </cell>
          <cell r="C2560" t="str">
            <v>Thermometer</v>
          </cell>
          <cell r="D2560">
            <v>127</v>
          </cell>
          <cell r="E2560">
            <v>17.06989247311828</v>
          </cell>
        </row>
        <row r="2561">
          <cell r="A2561">
            <v>30756</v>
          </cell>
          <cell r="B2561" t="str">
            <v>Konsol for doseringsaggregat Ø260/Ø500</v>
          </cell>
          <cell r="C2561" t="str">
            <v>Console for feed screw Ø260/Ø500</v>
          </cell>
          <cell r="D2561">
            <v>583</v>
          </cell>
          <cell r="E2561">
            <v>78.36021505376344</v>
          </cell>
        </row>
        <row r="2562">
          <cell r="A2562">
            <v>30794</v>
          </cell>
          <cell r="B2562" t="str">
            <v>Slidring forspændt hovedleje</v>
          </cell>
          <cell r="C2562" t="str">
            <v>Wear ring</v>
          </cell>
          <cell r="D2562">
            <v>4700</v>
          </cell>
          <cell r="E2562">
            <v>631.72043010752679</v>
          </cell>
        </row>
        <row r="2563">
          <cell r="A2563">
            <v>30810</v>
          </cell>
          <cell r="B2563" t="str">
            <v>Remskærm, venstre</v>
          </cell>
          <cell r="C2563" t="str">
            <v>Belt guard, left</v>
          </cell>
          <cell r="D2563">
            <v>18020</v>
          </cell>
          <cell r="E2563">
            <v>2422.0430107526881</v>
          </cell>
        </row>
        <row r="2564">
          <cell r="A2564">
            <v>30811</v>
          </cell>
          <cell r="B2564" t="str">
            <v>Forlagsaksel</v>
          </cell>
          <cell r="C2564" t="str">
            <v>Jack shaft</v>
          </cell>
          <cell r="D2564">
            <v>5406</v>
          </cell>
          <cell r="E2564">
            <v>726.61290322580646</v>
          </cell>
        </row>
        <row r="2565">
          <cell r="A2565">
            <v>30813</v>
          </cell>
          <cell r="B2565" t="str">
            <v>Dæksel ASNH-524-620</v>
          </cell>
          <cell r="C2565" t="str">
            <v>Cover ASNH-524-620</v>
          </cell>
          <cell r="D2565">
            <v>111</v>
          </cell>
          <cell r="E2565">
            <v>14.919354838709676</v>
          </cell>
        </row>
        <row r="2566">
          <cell r="A2566">
            <v>30816</v>
          </cell>
          <cell r="B2566" t="str">
            <v>Skærm for kobling, venstre</v>
          </cell>
          <cell r="C2566" t="str">
            <v>Guard for coupling, left</v>
          </cell>
          <cell r="D2566">
            <v>6466</v>
          </cell>
          <cell r="E2566">
            <v>869.08602150537627</v>
          </cell>
        </row>
        <row r="2567">
          <cell r="A2567">
            <v>30825</v>
          </cell>
          <cell r="B2567" t="str">
            <v>Skærm for kobling, højre</v>
          </cell>
          <cell r="C2567" t="str">
            <v>Guard for coupling, right</v>
          </cell>
          <cell r="D2567">
            <v>5618</v>
          </cell>
          <cell r="E2567">
            <v>755.10752688172045</v>
          </cell>
        </row>
        <row r="2568">
          <cell r="A2568">
            <v>30859</v>
          </cell>
          <cell r="B2568" t="str">
            <v>Følerlomme</v>
          </cell>
          <cell r="C2568" t="str">
            <v>Sensor pocket</v>
          </cell>
          <cell r="D2568">
            <v>657</v>
          </cell>
          <cell r="E2568">
            <v>88.306451612903217</v>
          </cell>
        </row>
        <row r="2569">
          <cell r="A2569">
            <v>30864</v>
          </cell>
          <cell r="B2569" t="str">
            <v>Remskærm, højre</v>
          </cell>
          <cell r="C2569" t="str">
            <v>Belt guard, right</v>
          </cell>
          <cell r="D2569">
            <v>18020</v>
          </cell>
          <cell r="E2569">
            <v>2422.0430107526881</v>
          </cell>
        </row>
        <row r="2570">
          <cell r="A2570">
            <v>30865</v>
          </cell>
          <cell r="B2570" t="str">
            <v>Kobling WF T9 Ø110 R7/Ø3 _" inkl. pos. 21</v>
          </cell>
          <cell r="C2570" t="str">
            <v>Coupling WF T9 Ø110 R7/Ø3 _" incl. item 21</v>
          </cell>
          <cell r="D2570">
            <v>17623</v>
          </cell>
          <cell r="E2570">
            <v>2368.6827956989246</v>
          </cell>
        </row>
        <row r="2571">
          <cell r="A2571">
            <v>30866</v>
          </cell>
          <cell r="B2571" t="str">
            <v>Kobling WF T9 Ø110 R7/Ø100 inkl. pos. 21</v>
          </cell>
          <cell r="C2571" t="str">
            <v>Coupling WF Ø110 R7/Ø100 incl. item 21</v>
          </cell>
          <cell r="D2571">
            <v>17713</v>
          </cell>
          <cell r="E2571">
            <v>2380.7795698924729</v>
          </cell>
        </row>
        <row r="2572">
          <cell r="A2572">
            <v>30877</v>
          </cell>
          <cell r="B2572" t="str">
            <v>Temperaturmåler komplet, incl. pos. 90-93</v>
          </cell>
          <cell r="C2572" t="str">
            <v>Thermometer complete, incl. item 90-93</v>
          </cell>
          <cell r="D2572">
            <v>1347</v>
          </cell>
          <cell r="E2572">
            <v>181.04838709677418</v>
          </cell>
        </row>
        <row r="2573">
          <cell r="A2573">
            <v>30981</v>
          </cell>
          <cell r="B2573" t="str">
            <v>Sikringsstift M707 170mm2 ( 2 stift  )</v>
          </cell>
          <cell r="C2573" t="str">
            <v>Safety pin M707 170mm2</v>
          </cell>
          <cell r="D2573">
            <v>230</v>
          </cell>
          <cell r="E2573">
            <v>30.913978494623656</v>
          </cell>
        </row>
        <row r="2574">
          <cell r="A2574">
            <v>30990</v>
          </cell>
          <cell r="B2574" t="str">
            <v>Gaffel for sikringsstift</v>
          </cell>
          <cell r="C2574" t="str">
            <v>Fork for saftety pin</v>
          </cell>
          <cell r="D2574">
            <v>35</v>
          </cell>
          <cell r="E2574">
            <v>4.704301075268817</v>
          </cell>
        </row>
        <row r="2575">
          <cell r="A2575">
            <v>31065</v>
          </cell>
          <cell r="B2575" t="str">
            <v>Manometer 0-6 bar ø100</v>
          </cell>
          <cell r="C2575" t="str">
            <v>Pressure gauge 0-6 bar ø 100</v>
          </cell>
          <cell r="D2575">
            <v>334</v>
          </cell>
          <cell r="E2575">
            <v>44.892473118279568</v>
          </cell>
        </row>
        <row r="2576">
          <cell r="A2576">
            <v>31118</v>
          </cell>
          <cell r="B2576" t="str">
            <v>Cyl. Skrue M16 x 55 8.8 DIN 912</v>
          </cell>
          <cell r="C2576" t="str">
            <v>Cyl. Screw M16 x 55 8.8 DIN 912</v>
          </cell>
          <cell r="D2576">
            <v>5.3</v>
          </cell>
          <cell r="E2576">
            <v>0.71236559139784938</v>
          </cell>
        </row>
        <row r="2577">
          <cell r="A2577">
            <v>31141</v>
          </cell>
          <cell r="B2577" t="str">
            <v>Indløbstragt Ø300 valser (for GRM 181)</v>
          </cell>
          <cell r="C2577" t="str">
            <v>Indløbstragt Ø300 valser (for GRM 181)</v>
          </cell>
          <cell r="D2577">
            <v>10070</v>
          </cell>
          <cell r="E2577">
            <v>1353.494623655914</v>
          </cell>
        </row>
        <row r="2578">
          <cell r="A2578">
            <v>31176</v>
          </cell>
          <cell r="B2578" t="str">
            <v>Aksel med vinger (for GRM 181)</v>
          </cell>
          <cell r="C2578" t="str">
            <v>Shaft with wings (for GRM 181)</v>
          </cell>
          <cell r="D2578">
            <v>10070</v>
          </cell>
          <cell r="E2578">
            <v>1353.494623655914</v>
          </cell>
        </row>
        <row r="2579">
          <cell r="A2579">
            <v>31183</v>
          </cell>
          <cell r="B2579" t="str">
            <v>Gavl for knivhusophæng</v>
          </cell>
          <cell r="C2579" t="str">
            <v>Gable plate for knife housing</v>
          </cell>
          <cell r="D2579">
            <v>5406</v>
          </cell>
          <cell r="E2579">
            <v>726.61290322580646</v>
          </cell>
        </row>
        <row r="2580">
          <cell r="A2580">
            <v>31206</v>
          </cell>
          <cell r="B2580" t="str">
            <v>Rep sæt CAT Pumpe Ventil</v>
          </cell>
          <cell r="C2580" t="str">
            <v>Repair  kit CAT pumpe  valves</v>
          </cell>
          <cell r="D2580">
            <v>2173</v>
          </cell>
          <cell r="E2580">
            <v>292.06989247311827</v>
          </cell>
        </row>
        <row r="2581">
          <cell r="A2581">
            <v>31224</v>
          </cell>
          <cell r="B2581" t="str">
            <v>Kilerem OPTIB. KPC 6000</v>
          </cell>
          <cell r="C2581" t="str">
            <v>V-belt OPTIB. KPC 6000</v>
          </cell>
          <cell r="D2581">
            <v>625</v>
          </cell>
          <cell r="E2581">
            <v>84.005376344086017</v>
          </cell>
        </row>
        <row r="2582">
          <cell r="A2582">
            <v>31259</v>
          </cell>
          <cell r="B2582" t="str">
            <v>Ventil Kuglevent. DN015 udveksl.+skala</v>
          </cell>
          <cell r="C2582" t="str">
            <v>Spherical valve DN015 exchance + scala</v>
          </cell>
          <cell r="D2582">
            <v>189</v>
          </cell>
          <cell r="E2582">
            <v>25.403225806451612</v>
          </cell>
        </row>
        <row r="2583">
          <cell r="A2583">
            <v>31260</v>
          </cell>
          <cell r="B2583" t="str">
            <v>Ventil Kuglevent. DN020 udveksl.+skala</v>
          </cell>
          <cell r="C2583" t="str">
            <v>Spherical valve DN020 exchance.+ scala</v>
          </cell>
          <cell r="D2583">
            <v>205</v>
          </cell>
          <cell r="E2583">
            <v>27.553763440860212</v>
          </cell>
        </row>
        <row r="2584">
          <cell r="A2584">
            <v>31272</v>
          </cell>
          <cell r="B2584" t="str">
            <v>Skærm for fedtfordelerblok, aut. smøring</v>
          </cell>
          <cell r="C2584" t="str">
            <v>Screen for grease distributor block, automatic greasing</v>
          </cell>
          <cell r="D2584">
            <v>2238</v>
          </cell>
          <cell r="E2584">
            <v>300.80645161290323</v>
          </cell>
        </row>
        <row r="2585">
          <cell r="A2585">
            <v>31273</v>
          </cell>
          <cell r="B2585" t="str">
            <v>Væsketilsætning snegl</v>
          </cell>
          <cell r="C2585" t="str">
            <v>Liquid additive screw</v>
          </cell>
          <cell r="D2585">
            <v>8785</v>
          </cell>
          <cell r="E2585">
            <v>1180.7795698924731</v>
          </cell>
        </row>
        <row r="2586">
          <cell r="A2586">
            <v>31274</v>
          </cell>
          <cell r="B2586" t="str">
            <v>6-kt. Skrue M24 x 60 DIN 933</v>
          </cell>
          <cell r="C2586" t="str">
            <v>Hex screw M24 x 60 DIN 933</v>
          </cell>
          <cell r="D2586">
            <v>19.100000000000001</v>
          </cell>
          <cell r="E2586">
            <v>2.567204301075269</v>
          </cell>
        </row>
        <row r="2587">
          <cell r="A2587">
            <v>31280</v>
          </cell>
          <cell r="B2587" t="str">
            <v>Stag for foringer EX6xx</v>
          </cell>
          <cell r="C2587" t="str">
            <v>Stay for sleeve EX6xx</v>
          </cell>
          <cell r="D2587">
            <v>1961</v>
          </cell>
          <cell r="E2587">
            <v>263.57526881720429</v>
          </cell>
        </row>
        <row r="2588">
          <cell r="A2588">
            <v>31293</v>
          </cell>
          <cell r="B2588" t="str">
            <v xml:space="preserve">Hovedaksel for indvendig stag EX6xx  </v>
          </cell>
          <cell r="C2588" t="str">
            <v>Mainshaft for inner stay EX6xx</v>
          </cell>
          <cell r="D2588">
            <v>12190</v>
          </cell>
          <cell r="E2588">
            <v>1638.4408602150536</v>
          </cell>
        </row>
        <row r="2589">
          <cell r="A2589">
            <v>31294</v>
          </cell>
          <cell r="B2589" t="str">
            <v>Stag indvendig for hovedaksel u/møtr. EX6xx</v>
          </cell>
          <cell r="C2589" t="str">
            <v>Stay, inner for mainshaft without nut EX6xx</v>
          </cell>
          <cell r="D2589">
            <v>2827</v>
          </cell>
          <cell r="E2589">
            <v>379.97311827956986</v>
          </cell>
        </row>
        <row r="2590">
          <cell r="A2590">
            <v>31299</v>
          </cell>
          <cell r="B2590" t="str">
            <v>Vejeceller</v>
          </cell>
          <cell r="C2590" t="str">
            <v>Loadcells</v>
          </cell>
          <cell r="D2590">
            <v>4452</v>
          </cell>
          <cell r="E2590">
            <v>598.38709677419354</v>
          </cell>
        </row>
        <row r="2591">
          <cell r="A2591">
            <v>31417</v>
          </cell>
          <cell r="B2591" t="str">
            <v>Hovedaksel for spændering PMV919</v>
          </cell>
          <cell r="C2591" t="str">
            <v>Mainshaft for tightening ring PMV919</v>
          </cell>
          <cell r="D2591">
            <v>53000</v>
          </cell>
          <cell r="E2591">
            <v>7123.655913978494</v>
          </cell>
        </row>
        <row r="2592">
          <cell r="A2592">
            <v>31455</v>
          </cell>
          <cell r="B2592" t="str">
            <v>Samlerør Oetiker Ø16</v>
          </cell>
          <cell r="C2592" t="str">
            <v>Collecting hose Oetiker Ø17</v>
          </cell>
          <cell r="D2592">
            <v>24</v>
          </cell>
          <cell r="E2592">
            <v>3.225806451612903</v>
          </cell>
        </row>
        <row r="2593">
          <cell r="A2593">
            <v>31456</v>
          </cell>
          <cell r="B2593" t="str">
            <v>Rørprop</v>
          </cell>
          <cell r="C2593" t="str">
            <v>Hose plug</v>
          </cell>
          <cell r="D2593">
            <v>477</v>
          </cell>
          <cell r="E2593">
            <v>64.112903225806448</v>
          </cell>
        </row>
        <row r="2594">
          <cell r="A2594">
            <v>31457</v>
          </cell>
          <cell r="B2594" t="str">
            <v>Injektor m/dyse Ø2,7</v>
          </cell>
          <cell r="C2594" t="str">
            <v>Injector w/nozzle Ø2.8</v>
          </cell>
          <cell r="D2594">
            <v>7806</v>
          </cell>
          <cell r="E2594">
            <v>1049.1935483870968</v>
          </cell>
        </row>
        <row r="2595">
          <cell r="A2595">
            <v>31458</v>
          </cell>
          <cell r="B2595" t="str">
            <v>Injektor m/dyse Ø1,9</v>
          </cell>
          <cell r="C2595" t="str">
            <v>Injector w/nozzle Ø1.10</v>
          </cell>
          <cell r="D2595">
            <v>7806</v>
          </cell>
          <cell r="E2595">
            <v>1049.1935483870968</v>
          </cell>
        </row>
        <row r="2596">
          <cell r="A2596">
            <v>31477</v>
          </cell>
          <cell r="B2596" t="str">
            <v>Lejehus SKF SNH 524 620 N</v>
          </cell>
          <cell r="C2596" t="str">
            <v>Bearing house SKF SNH 524 620 N</v>
          </cell>
          <cell r="D2596">
            <v>1691</v>
          </cell>
          <cell r="E2596">
            <v>227.28494623655914</v>
          </cell>
        </row>
        <row r="2597">
          <cell r="A2597">
            <v>31506</v>
          </cell>
          <cell r="B2597" t="str">
            <v>Kontramøtrik M16 FZB DIN 439</v>
          </cell>
          <cell r="C2597" t="str">
            <v>Counter nut M16 FZB DIN 439</v>
          </cell>
          <cell r="D2597">
            <v>2.1</v>
          </cell>
          <cell r="E2597">
            <v>0.282258064516129</v>
          </cell>
        </row>
        <row r="2598">
          <cell r="A2598">
            <v>31507</v>
          </cell>
          <cell r="B2598" t="str">
            <v>Pinolskrue M20 x 70 14.9 DIN 916</v>
          </cell>
          <cell r="C2598" t="str">
            <v>Centre screw M20 x 70 14.9 DIN 916</v>
          </cell>
          <cell r="D2598">
            <v>24</v>
          </cell>
          <cell r="E2598">
            <v>3.225806451612903</v>
          </cell>
        </row>
        <row r="2599">
          <cell r="A2599">
            <v>31520</v>
          </cell>
          <cell r="B2599" t="str">
            <v>O-ring Ø075,80 x 3,53 NBR</v>
          </cell>
          <cell r="C2599" t="str">
            <v>O-ring Ø075,80 x 3,53 NBR</v>
          </cell>
          <cell r="D2599">
            <v>2.1</v>
          </cell>
          <cell r="E2599">
            <v>0.282258064516129</v>
          </cell>
        </row>
        <row r="2600">
          <cell r="A2600">
            <v>31524</v>
          </cell>
          <cell r="B2600" t="str">
            <v>Feder AB 32 x 18 x 200</v>
          </cell>
          <cell r="C2600" t="str">
            <v>Parallel key AB 32 x 18 x 200</v>
          </cell>
          <cell r="D2600">
            <v>57</v>
          </cell>
          <cell r="E2600">
            <v>7.661290322580645</v>
          </cell>
        </row>
        <row r="2601">
          <cell r="A2601">
            <v>31526</v>
          </cell>
          <cell r="B2601" t="str">
            <v>Sfærisk rulleleje 22226</v>
          </cell>
          <cell r="C2601" t="str">
            <v>Spherical roller bearing 22226</v>
          </cell>
          <cell r="D2601">
            <v>1630</v>
          </cell>
          <cell r="E2601">
            <v>219.08602150537632</v>
          </cell>
        </row>
        <row r="2602">
          <cell r="A2602">
            <v>31530</v>
          </cell>
          <cell r="B2602" t="str">
            <v>Feder AB 1,5" x 1,5" x 82,55</v>
          </cell>
          <cell r="C2602" t="str">
            <v>Parallel key AB 1,5" x 1,5" x 82,55</v>
          </cell>
          <cell r="D2602">
            <v>482</v>
          </cell>
          <cell r="E2602">
            <v>64.784946236559136</v>
          </cell>
        </row>
        <row r="2603">
          <cell r="A2603">
            <v>31531</v>
          </cell>
          <cell r="B2603" t="str">
            <v>Feder B ½" x ½" x 127</v>
          </cell>
          <cell r="C2603" t="str">
            <v>Parallel key B ½" x ½" x 127</v>
          </cell>
          <cell r="D2603">
            <v>289</v>
          </cell>
          <cell r="E2603">
            <v>38.844086021505376</v>
          </cell>
        </row>
        <row r="2604">
          <cell r="A2604">
            <v>31532</v>
          </cell>
          <cell r="B2604" t="str">
            <v>6-kt. Skrue 3/8” x 25 UNC FZB</v>
          </cell>
          <cell r="C2604" t="str">
            <v>Hex screw 3/8 x 25 UNC FZB</v>
          </cell>
          <cell r="D2604">
            <v>5.0999999999999996</v>
          </cell>
          <cell r="E2604">
            <v>0.68548387096774188</v>
          </cell>
        </row>
        <row r="2605">
          <cell r="A2605">
            <v>31533</v>
          </cell>
          <cell r="B2605" t="str">
            <v>Hus for labyrint tætning</v>
          </cell>
          <cell r="C2605" t="str">
            <v>Housing for labyrinth seal</v>
          </cell>
          <cell r="D2605">
            <v>6600</v>
          </cell>
          <cell r="E2605">
            <v>887.0967741935483</v>
          </cell>
        </row>
        <row r="2606">
          <cell r="A2606">
            <v>31535</v>
          </cell>
          <cell r="B2606" t="str">
            <v xml:space="preserve">Ring for labyrinttætning  EX/FP </v>
          </cell>
          <cell r="C2606" t="str">
            <v>Ring fpr labyrinth seal</v>
          </cell>
          <cell r="D2606">
            <v>2336</v>
          </cell>
          <cell r="E2606">
            <v>313.97849462365588</v>
          </cell>
        </row>
        <row r="2607">
          <cell r="A2607">
            <v>31536</v>
          </cell>
          <cell r="B2607" t="str">
            <v>Slidring f. labyrinttætn. ved 0-snegl EX17</v>
          </cell>
          <cell r="C2607" t="str">
            <v>Wearring for proofing for 0-screw EX17</v>
          </cell>
          <cell r="D2607">
            <v>3975</v>
          </cell>
          <cell r="E2607">
            <v>534.27419354838707</v>
          </cell>
        </row>
        <row r="2608">
          <cell r="A2608">
            <v>31545</v>
          </cell>
          <cell r="B2608" t="str">
            <v>Aftræksring</v>
          </cell>
          <cell r="C2608" t="str">
            <v>Extraction ring</v>
          </cell>
          <cell r="D2608">
            <v>318</v>
          </cell>
          <cell r="E2608">
            <v>42.741935483870968</v>
          </cell>
        </row>
        <row r="2609">
          <cell r="A2609">
            <v>31547</v>
          </cell>
          <cell r="B2609" t="str">
            <v>O-ring Ø269,3x5,7 NBR</v>
          </cell>
          <cell r="C2609" t="str">
            <v>O-ring Ø269.3 x 5.7 NBR</v>
          </cell>
          <cell r="D2609">
            <v>19.100000000000001</v>
          </cell>
          <cell r="E2609">
            <v>2.567204301075269</v>
          </cell>
        </row>
        <row r="2610">
          <cell r="A2610">
            <v>31557</v>
          </cell>
          <cell r="B2610" t="str">
            <v>Låsering I 210 x 4,75 N1300-825</v>
          </cell>
          <cell r="C2610" t="str">
            <v>Lock ring I 210 x 4,75 N1300-825</v>
          </cell>
          <cell r="D2610">
            <v>177</v>
          </cell>
          <cell r="E2610">
            <v>23.79032258064516</v>
          </cell>
        </row>
        <row r="2611">
          <cell r="A2611">
            <v>31558</v>
          </cell>
          <cell r="B2611" t="str">
            <v>Låsering U 114x2,77 N1400-450</v>
          </cell>
          <cell r="C2611" t="str">
            <v>Lock ring U 114x2,77 N1400-450</v>
          </cell>
          <cell r="D2611">
            <v>24</v>
          </cell>
          <cell r="E2611">
            <v>3.225806451612903</v>
          </cell>
        </row>
        <row r="2612">
          <cell r="A2612">
            <v>31561</v>
          </cell>
          <cell r="B2612" t="str">
            <v>6-kt. Skrue M20 x 80 DIN 933</v>
          </cell>
          <cell r="C2612" t="str">
            <v>Hex screw M20 x 80 DIN 933</v>
          </cell>
          <cell r="D2612">
            <v>12.2</v>
          </cell>
          <cell r="E2612">
            <v>1.639784946236559</v>
          </cell>
        </row>
        <row r="2613">
          <cell r="A2613">
            <v>31579</v>
          </cell>
          <cell r="B2613" t="str">
            <v xml:space="preserve"> Tætningsring A Ø240 x Ø270 x 15 NBR</v>
          </cell>
          <cell r="C2613" t="str">
            <v>Sealing ring A Ø240 x Ø270 x 15 NBR</v>
          </cell>
          <cell r="D2613">
            <v>81</v>
          </cell>
          <cell r="E2613">
            <v>10.887096774193548</v>
          </cell>
        </row>
        <row r="2614">
          <cell r="A2614">
            <v>31584</v>
          </cell>
          <cell r="B2614" t="str">
            <v>O-ring Ø582,68 x 6,99 NBR</v>
          </cell>
          <cell r="C2614" t="str">
            <v>O-ring Ø582,68 x 6,99 NBR</v>
          </cell>
          <cell r="D2614">
            <v>48</v>
          </cell>
          <cell r="E2614">
            <v>6.4516129032258061</v>
          </cell>
        </row>
        <row r="2615">
          <cell r="A2615">
            <v>31586</v>
          </cell>
          <cell r="B2615" t="str">
            <v>Låsering U 215x5,0 A DIN 471</v>
          </cell>
          <cell r="C2615" t="str">
            <v>Lock ring U 215x5,0 A DIN 471</v>
          </cell>
          <cell r="D2615">
            <v>205</v>
          </cell>
          <cell r="E2615">
            <v>27.553763440860212</v>
          </cell>
        </row>
        <row r="2616">
          <cell r="A2616">
            <v>31588</v>
          </cell>
          <cell r="B2616" t="str">
            <v>Tallerkenfjeder 40 x 20,4 x 2,5 DIN 2093</v>
          </cell>
          <cell r="C2616" t="str">
            <v>Spring washer 40 x 20,4 x 2,5 DIN 2093</v>
          </cell>
          <cell r="D2616">
            <v>14.8</v>
          </cell>
          <cell r="E2616">
            <v>1.989247311827957</v>
          </cell>
        </row>
        <row r="2617">
          <cell r="A2617">
            <v>31598</v>
          </cell>
          <cell r="B2617" t="str">
            <v>Aksel med vinger (for GRM 121)</v>
          </cell>
          <cell r="C2617" t="str">
            <v>Shaft with wings (for GRM 121)</v>
          </cell>
          <cell r="D2617">
            <v>7738</v>
          </cell>
          <cell r="E2617">
            <v>1040.0537634408602</v>
          </cell>
        </row>
        <row r="2618">
          <cell r="A2618">
            <v>31615</v>
          </cell>
          <cell r="B2618" t="str">
            <v>Indløbstragt Ø300 valser (for GRM 121)</v>
          </cell>
          <cell r="C2618" t="str">
            <v>Inlet funnel, Ø300, rolls (for GRM 121)</v>
          </cell>
          <cell r="D2618">
            <v>6890</v>
          </cell>
          <cell r="E2618">
            <v>926.07526881720423</v>
          </cell>
        </row>
        <row r="2619">
          <cell r="A2619">
            <v>31637</v>
          </cell>
          <cell r="B2619" t="str">
            <v>6-kt. Skrue M24 x 75 DIN 931</v>
          </cell>
          <cell r="C2619" t="str">
            <v>Hex screw M24 x 75 DIN 931</v>
          </cell>
          <cell r="D2619">
            <v>19.100000000000001</v>
          </cell>
          <cell r="E2619">
            <v>2.567204301075269</v>
          </cell>
        </row>
        <row r="2620">
          <cell r="A2620">
            <v>31641</v>
          </cell>
          <cell r="B2620" t="str">
            <v>6-kt. Skrue M20 x 160 FZB DIN 931</v>
          </cell>
          <cell r="C2620" t="str">
            <v>Hex screw M20 x 160 FZB DIN 931</v>
          </cell>
          <cell r="D2620">
            <v>27</v>
          </cell>
          <cell r="E2620">
            <v>3.629032258064516</v>
          </cell>
        </row>
        <row r="2621">
          <cell r="A2621">
            <v>31642</v>
          </cell>
          <cell r="B2621" t="str">
            <v>Kontramøtrik M20 A2 DIN 439</v>
          </cell>
          <cell r="C2621" t="str">
            <v>Counter nut M20 A2 DIN 439</v>
          </cell>
          <cell r="D2621">
            <v>12.2</v>
          </cell>
          <cell r="E2621">
            <v>1.639784946236559</v>
          </cell>
        </row>
        <row r="2622">
          <cell r="A2622">
            <v>31642</v>
          </cell>
          <cell r="B2622" t="str">
            <v>Kontramøtrik M20 A2 DIN 439</v>
          </cell>
          <cell r="C2622" t="str">
            <v>Counter nut M20 A2 DIN 439</v>
          </cell>
          <cell r="D2622">
            <v>12.2</v>
          </cell>
          <cell r="E2622">
            <v>1.639784946236559</v>
          </cell>
        </row>
        <row r="2623">
          <cell r="A2623">
            <v>31643</v>
          </cell>
          <cell r="B2623" t="str">
            <v>6kt. Skrue M20 x 100 A2 DIN 933</v>
          </cell>
          <cell r="C2623" t="str">
            <v>Hex. screw M20 x 100 A2 DIN 933</v>
          </cell>
          <cell r="D2623">
            <v>28</v>
          </cell>
          <cell r="E2623">
            <v>3.7634408602150535</v>
          </cell>
        </row>
        <row r="2624">
          <cell r="A2624">
            <v>31646</v>
          </cell>
          <cell r="B2624" t="str">
            <v>Glideklods f/forplade</v>
          </cell>
          <cell r="C2624" t="str">
            <v>Sliding block f. frontplate</v>
          </cell>
          <cell r="D2624">
            <v>2046</v>
          </cell>
          <cell r="E2624">
            <v>275</v>
          </cell>
        </row>
        <row r="2625">
          <cell r="A2625">
            <v>31647</v>
          </cell>
          <cell r="B2625" t="str">
            <v>Glideklods f/rulleholderaksel</v>
          </cell>
          <cell r="C2625" t="str">
            <v>Sliding block f. rollershaft</v>
          </cell>
          <cell r="D2625">
            <v>4770</v>
          </cell>
          <cell r="E2625">
            <v>641.12903225806451</v>
          </cell>
        </row>
        <row r="2626">
          <cell r="A2626">
            <v>31661</v>
          </cell>
          <cell r="B2626" t="str">
            <v>O-ring Ø529,30 x 5,70 NBR</v>
          </cell>
          <cell r="C2626" t="str">
            <v>O-ring Ø529,30 x 5,70 NBR</v>
          </cell>
          <cell r="D2626">
            <v>16.399999999999999</v>
          </cell>
          <cell r="E2626">
            <v>2.204301075268817</v>
          </cell>
        </row>
        <row r="2627">
          <cell r="A2627">
            <v>31706</v>
          </cell>
          <cell r="B2627" t="str">
            <v>Håndhjul Elesa VCT. 32 p-M8 x 20</v>
          </cell>
          <cell r="C2627" t="str">
            <v>Handwheel Elesa VCT. 32 p-M8 x 20</v>
          </cell>
          <cell r="D2627">
            <v>33</v>
          </cell>
          <cell r="E2627">
            <v>4.435483870967742</v>
          </cell>
        </row>
        <row r="2628">
          <cell r="A2628">
            <v>31766</v>
          </cell>
          <cell r="B2628" t="str">
            <v>Luftfilterelement A8 L10</v>
          </cell>
          <cell r="C2628" t="str">
            <v>Airfilter element A8 L10</v>
          </cell>
          <cell r="D2628">
            <v>76</v>
          </cell>
          <cell r="E2628">
            <v>10.21505376344086</v>
          </cell>
        </row>
        <row r="2629">
          <cell r="A2629">
            <v>31769</v>
          </cell>
          <cell r="B2629" t="str">
            <v>Endebund for dyse</v>
          </cell>
          <cell r="C2629" t="str">
            <v>End plate for nozzle</v>
          </cell>
          <cell r="D2629">
            <v>7950</v>
          </cell>
          <cell r="E2629">
            <v>1068.5483870967741</v>
          </cell>
        </row>
        <row r="2630">
          <cell r="A2630">
            <v>31816</v>
          </cell>
          <cell r="B2630" t="str">
            <v>Labyrintring snegl materiale ind. EX</v>
          </cell>
          <cell r="C2630" t="str">
            <v>Labyrinth ring, screw material ins. EX</v>
          </cell>
          <cell r="D2630">
            <v>954</v>
          </cell>
          <cell r="E2630">
            <v>128.2258064516129</v>
          </cell>
        </row>
        <row r="2631">
          <cell r="A2631">
            <v>31817</v>
          </cell>
          <cell r="B2631" t="str">
            <v>Labyrintring hus materiale ind. EX</v>
          </cell>
          <cell r="C2631" t="str">
            <v>Labyrinth ring, house material ins. EX</v>
          </cell>
          <cell r="D2631">
            <v>795</v>
          </cell>
          <cell r="E2631">
            <v>106.85483870967741</v>
          </cell>
        </row>
        <row r="2632">
          <cell r="A2632">
            <v>31819</v>
          </cell>
          <cell r="B2632" t="str">
            <v>6-kt. Skrue M24 x 75 10.9 DIN 931</v>
          </cell>
          <cell r="C2632" t="str">
            <v>Hex screw M24 x 75 10.9 DIN 931</v>
          </cell>
          <cell r="D2632">
            <v>46</v>
          </cell>
          <cell r="E2632">
            <v>6.182795698924731</v>
          </cell>
        </row>
        <row r="2633">
          <cell r="A2633">
            <v>31838</v>
          </cell>
          <cell r="B2633" t="str">
            <v>Styreklods for knivmotorjustering</v>
          </cell>
          <cell r="C2633" t="str">
            <v>Control block for knife motor adjustment</v>
          </cell>
          <cell r="D2633">
            <v>969</v>
          </cell>
          <cell r="E2633">
            <v>130.24193548387098</v>
          </cell>
        </row>
        <row r="2634">
          <cell r="A2634">
            <v>31846</v>
          </cell>
          <cell r="B2634" t="str">
            <v>Cyl. Skrue M6 x 10 A2 DIN912</v>
          </cell>
          <cell r="C2634" t="str">
            <v>Cyl. Screw M6 x 10 A2 DIN912</v>
          </cell>
          <cell r="D2634">
            <v>1.2</v>
          </cell>
          <cell r="E2634">
            <v>0.16129032258064516</v>
          </cell>
        </row>
        <row r="2635">
          <cell r="A2635">
            <v>31866</v>
          </cell>
          <cell r="B2635" t="str">
            <v>Cyl. kærvskrue M4 x 6 A2 D84A</v>
          </cell>
          <cell r="C2635" t="str">
            <v>Cyl. Screw M4 x 6 D84A A2</v>
          </cell>
          <cell r="D2635">
            <v>0.4</v>
          </cell>
          <cell r="E2635">
            <v>5.3763440860215055E-2</v>
          </cell>
        </row>
        <row r="2636">
          <cell r="A2636">
            <v>31899</v>
          </cell>
          <cell r="B2636" t="str">
            <v>Kileremskive SPA 5, Ø500, TL 3535</v>
          </cell>
          <cell r="C2636" t="str">
            <v>V-belt pulley SPA 5, Ø630, TL 3535</v>
          </cell>
          <cell r="D2636">
            <v>901</v>
          </cell>
          <cell r="E2636">
            <v>121.1021505376344</v>
          </cell>
        </row>
        <row r="2637">
          <cell r="A2637">
            <v>31901</v>
          </cell>
          <cell r="B2637" t="str">
            <v>Kileremskive SPA 5, Ø630, TL 3535</v>
          </cell>
          <cell r="C2637" t="str">
            <v>V-belt pulley SPA 5, Ø630, TL 3535</v>
          </cell>
          <cell r="D2637">
            <v>1034</v>
          </cell>
          <cell r="E2637">
            <v>138.97849462365591</v>
          </cell>
        </row>
        <row r="2638">
          <cell r="A2638">
            <v>31903</v>
          </cell>
          <cell r="B2638" t="str">
            <v>Kileremskive SPB 5 Ø630 TL4040</v>
          </cell>
          <cell r="C2638" t="str">
            <v>V-belt pulley SPB Ø630 TL4040</v>
          </cell>
          <cell r="D2638">
            <v>1632</v>
          </cell>
          <cell r="E2638">
            <v>219.35483870967741</v>
          </cell>
        </row>
        <row r="2639">
          <cell r="A2639">
            <v>31905</v>
          </cell>
          <cell r="B2639" t="str">
            <v xml:space="preserve">Kileremsk SPC 6 Ø355 TL3535 T7   </v>
          </cell>
          <cell r="C2639" t="str">
            <v>V-belt pully Ø355 TL3535 T7</v>
          </cell>
          <cell r="D2639">
            <v>1447</v>
          </cell>
          <cell r="E2639">
            <v>194.48924731182794</v>
          </cell>
        </row>
        <row r="2640">
          <cell r="A2640">
            <v>31907</v>
          </cell>
          <cell r="B2640" t="str">
            <v xml:space="preserve">Kileremskive SPC 6 Ø400 TL4040 T7  </v>
          </cell>
          <cell r="C2640" t="str">
            <v>Pulley  SPC 6 Ø400 TL4040 T7</v>
          </cell>
          <cell r="D2640">
            <v>1643</v>
          </cell>
          <cell r="E2640">
            <v>220.83333333333331</v>
          </cell>
        </row>
        <row r="2641">
          <cell r="A2641">
            <v>31909</v>
          </cell>
          <cell r="B2641" t="str">
            <v>Endebund</v>
          </cell>
          <cell r="C2641" t="str">
            <v>Cast endcone</v>
          </cell>
          <cell r="D2641">
            <v>20511</v>
          </cell>
          <cell r="E2641">
            <v>2756.8548387096771</v>
          </cell>
        </row>
        <row r="2642">
          <cell r="A2642">
            <v>31969</v>
          </cell>
          <cell r="B2642" t="str">
            <v>Feder</v>
          </cell>
          <cell r="C2642" t="str">
            <v>Parallel key</v>
          </cell>
          <cell r="D2642">
            <v>3.7</v>
          </cell>
          <cell r="E2642">
            <v>0.49731182795698925</v>
          </cell>
        </row>
        <row r="2643">
          <cell r="A2643">
            <v>32005</v>
          </cell>
          <cell r="B2643" t="str">
            <v>Tætningsplade</v>
          </cell>
          <cell r="C2643" t="str">
            <v>Seal plate</v>
          </cell>
          <cell r="D2643">
            <v>651</v>
          </cell>
          <cell r="E2643">
            <v>87.5</v>
          </cell>
        </row>
        <row r="2644">
          <cell r="A2644">
            <v>32006</v>
          </cell>
          <cell r="B2644" t="str">
            <v>Ring for tætningsplade</v>
          </cell>
          <cell r="C2644" t="str">
            <v>Ring for tightening plate</v>
          </cell>
          <cell r="D2644">
            <v>1544</v>
          </cell>
          <cell r="E2644">
            <v>207.52688172043008</v>
          </cell>
        </row>
        <row r="2645">
          <cell r="A2645">
            <v>32012</v>
          </cell>
          <cell r="B2645" t="str">
            <v>Rulleholderaksel PMV919</v>
          </cell>
          <cell r="C2645" t="str">
            <v>Roller main shaft PMV919</v>
          </cell>
          <cell r="D2645">
            <v>143800</v>
          </cell>
          <cell r="E2645">
            <v>19327.956989247312</v>
          </cell>
        </row>
        <row r="2646">
          <cell r="A2646">
            <v>32013</v>
          </cell>
          <cell r="B2646" t="str">
            <v>Hovedaksel for bolt PMV919</v>
          </cell>
          <cell r="C2646" t="str">
            <v>Mainshaft for bolt PMV919</v>
          </cell>
          <cell r="D2646">
            <v>83140</v>
          </cell>
          <cell r="E2646">
            <v>11174.731182795698</v>
          </cell>
        </row>
        <row r="2647">
          <cell r="A2647">
            <v>32015</v>
          </cell>
          <cell r="B2647" t="str">
            <v>Nav for hovedaksel PMV919</v>
          </cell>
          <cell r="C2647" t="str">
            <v>Hub for mainshaft PMV919</v>
          </cell>
          <cell r="D2647">
            <v>68462</v>
          </cell>
          <cell r="E2647">
            <v>9201.8817204301067</v>
          </cell>
        </row>
        <row r="2648">
          <cell r="A2648">
            <v>32016</v>
          </cell>
          <cell r="B2648" t="str">
            <v>Dæksel Bag, for hovedaksel</v>
          </cell>
          <cell r="C2648" t="str">
            <v>Cover rear, seal for mainshaft</v>
          </cell>
          <cell r="D2648">
            <v>3074</v>
          </cell>
          <cell r="E2648">
            <v>413.17204301075265</v>
          </cell>
        </row>
        <row r="2649">
          <cell r="A2649">
            <v>32017</v>
          </cell>
          <cell r="B2649" t="str">
            <v>Dæksel for hovedaksel PMV919</v>
          </cell>
          <cell r="C2649" t="str">
            <v>Cover f. mainshaft PMV919</v>
          </cell>
          <cell r="D2649">
            <v>6466</v>
          </cell>
          <cell r="E2649">
            <v>869.08602150537627</v>
          </cell>
        </row>
        <row r="2650">
          <cell r="A2650">
            <v>32018</v>
          </cell>
          <cell r="B2650" t="str">
            <v>Afstrygerkniv for boltopspændt matrice PMV919</v>
          </cell>
          <cell r="C2650" t="str">
            <v>Scraper knife bolt PMV919</v>
          </cell>
          <cell r="D2650">
            <v>2002</v>
          </cell>
          <cell r="E2650">
            <v>269.08602150537632</v>
          </cell>
        </row>
        <row r="2651">
          <cell r="A2651">
            <v>32019</v>
          </cell>
          <cell r="B2651" t="str">
            <v>Tætningsring for hovedaksel PMV919</v>
          </cell>
          <cell r="C2651" t="str">
            <v>Sealing ring for mainshaft PMV919</v>
          </cell>
          <cell r="D2651">
            <v>6667</v>
          </cell>
          <cell r="E2651">
            <v>896.10215053763432</v>
          </cell>
        </row>
        <row r="2652">
          <cell r="A2652">
            <v>32020</v>
          </cell>
          <cell r="B2652" t="str">
            <v>Forstærkerring for matrice MV919 BOLT</v>
          </cell>
          <cell r="C2652" t="str">
            <v>Reinforcement ring for Die MV919 bolt</v>
          </cell>
          <cell r="D2652">
            <v>21253</v>
          </cell>
          <cell r="E2652">
            <v>2856.5860215053763</v>
          </cell>
        </row>
        <row r="2653">
          <cell r="A2653">
            <v>32025</v>
          </cell>
          <cell r="B2653" t="str">
            <v>Pillekammer, 1-vægs PMV919XW</v>
          </cell>
          <cell r="C2653" t="str">
            <v>Pellet chamber 1-wall PMV919XW</v>
          </cell>
          <cell r="D2653">
            <v>74200</v>
          </cell>
          <cell r="E2653">
            <v>9973.1182795698915</v>
          </cell>
        </row>
        <row r="2654">
          <cell r="A2654">
            <v>32029</v>
          </cell>
          <cell r="B2654" t="str">
            <v>Skærm for sikringskobling PMV919</v>
          </cell>
          <cell r="C2654" t="str">
            <v>Screen for safety coupling PMV919</v>
          </cell>
          <cell r="D2654">
            <v>2591</v>
          </cell>
          <cell r="E2654">
            <v>348.25268817204301</v>
          </cell>
        </row>
        <row r="2655">
          <cell r="A2655">
            <v>32031</v>
          </cell>
          <cell r="B2655" t="str">
            <v>Forplade PMV919XW</v>
          </cell>
          <cell r="C2655" t="str">
            <v>Frontplate PMV919XW</v>
          </cell>
          <cell r="D2655">
            <v>35775</v>
          </cell>
          <cell r="E2655">
            <v>4808.4677419354839</v>
          </cell>
        </row>
        <row r="2656">
          <cell r="A2656">
            <v>32032</v>
          </cell>
          <cell r="B2656" t="str">
            <v>Holder for godsfordeler 1-3 PMV919XW</v>
          </cell>
          <cell r="C2656" t="str">
            <v>Holder for deflector 1-3 PMV919XW</v>
          </cell>
          <cell r="D2656">
            <v>6360</v>
          </cell>
          <cell r="E2656">
            <v>854.83870967741927</v>
          </cell>
        </row>
        <row r="2657">
          <cell r="A2657">
            <v>32035</v>
          </cell>
          <cell r="B2657" t="str">
            <v>Slidring for Hovedaksel/Matrice PMV919 (Konisk Matrice)</v>
          </cell>
          <cell r="C2657" t="str">
            <v>Wearring for main shaft/Die PMV919 conical Die</v>
          </cell>
          <cell r="D2657">
            <v>5542</v>
          </cell>
          <cell r="E2657">
            <v>744.89247311827955</v>
          </cell>
        </row>
        <row r="2658">
          <cell r="A2658">
            <v>32037</v>
          </cell>
          <cell r="B2658" t="str">
            <v>Slidring Rulleholderaksel Bag PMV919</v>
          </cell>
          <cell r="C2658" t="str">
            <v>Wearring for roller shaft, rear PMV919</v>
          </cell>
          <cell r="D2658">
            <v>4749</v>
          </cell>
          <cell r="E2658">
            <v>638.30645161290317</v>
          </cell>
        </row>
        <row r="2659">
          <cell r="A2659">
            <v>32039</v>
          </cell>
          <cell r="B2659" t="str">
            <v>Slidring</v>
          </cell>
          <cell r="C2659" t="str">
            <v>Wear ring</v>
          </cell>
          <cell r="D2659">
            <v>4240</v>
          </cell>
          <cell r="E2659">
            <v>569.89247311827955</v>
          </cell>
        </row>
        <row r="2660">
          <cell r="A2660">
            <v>32043</v>
          </cell>
          <cell r="B2660" t="str">
            <v>Støtte for godsfordeler 3 PMV919XW</v>
          </cell>
          <cell r="C2660" t="str">
            <v>Support for deflector 3 PMV919XW</v>
          </cell>
          <cell r="D2660">
            <v>636</v>
          </cell>
          <cell r="E2660">
            <v>85.483870967741936</v>
          </cell>
        </row>
        <row r="2661">
          <cell r="A2661">
            <v>32044</v>
          </cell>
          <cell r="B2661" t="str">
            <v>Justeringsbolt for rullejustering PMV919</v>
          </cell>
          <cell r="C2661" t="str">
            <v>Adjusting bolt for rolleradjustment PMV919</v>
          </cell>
          <cell r="D2661">
            <v>73</v>
          </cell>
          <cell r="E2661">
            <v>9.8118279569892461</v>
          </cell>
        </row>
        <row r="2662">
          <cell r="A2662">
            <v>32047</v>
          </cell>
          <cell r="B2662" t="str">
            <v>Filtring 6 x 20 x 2100</v>
          </cell>
          <cell r="C2662" t="str">
            <v>Filt seal  6 x 20 x 2100</v>
          </cell>
          <cell r="D2662">
            <v>96</v>
          </cell>
          <cell r="E2662">
            <v>12.903225806451612</v>
          </cell>
        </row>
        <row r="2663">
          <cell r="A2663">
            <v>32053</v>
          </cell>
          <cell r="B2663" t="str">
            <v>Holder for godsfordeler 1-3 PMV909W</v>
          </cell>
          <cell r="C2663" t="str">
            <v>Holder for deflector 1-3 PMV909XW</v>
          </cell>
          <cell r="D2663">
            <v>6360</v>
          </cell>
          <cell r="E2663">
            <v>854.83870967741927</v>
          </cell>
        </row>
        <row r="2664">
          <cell r="A2664">
            <v>32060</v>
          </cell>
          <cell r="B2664" t="str">
            <v>Afstandsring for rulle PMV919XW</v>
          </cell>
          <cell r="C2664" t="str">
            <v>Spacer for roller PMV919XW</v>
          </cell>
          <cell r="D2664">
            <v>1135</v>
          </cell>
          <cell r="E2664">
            <v>152.55376344086019</v>
          </cell>
        </row>
        <row r="2665">
          <cell r="A2665">
            <v>32066</v>
          </cell>
          <cell r="B2665" t="str">
            <v>Afstandsring for rulle PMV919W</v>
          </cell>
          <cell r="C2665" t="str">
            <v>Spacer for roller PMV919W</v>
          </cell>
          <cell r="D2665">
            <v>636</v>
          </cell>
          <cell r="E2665">
            <v>85.483870967741936</v>
          </cell>
        </row>
        <row r="2666">
          <cell r="A2666">
            <v>32068</v>
          </cell>
          <cell r="B2666" t="str">
            <v>Forplade PMV919W  bearb 3 ruller 1 vejs</v>
          </cell>
          <cell r="C2666" t="str">
            <v>Frontplate PMV919W</v>
          </cell>
          <cell r="D2666">
            <v>37500</v>
          </cell>
          <cell r="E2666">
            <v>5040.322580645161</v>
          </cell>
        </row>
        <row r="2667">
          <cell r="A2667">
            <v>32069</v>
          </cell>
          <cell r="B2667" t="str">
            <v>Rulleaksel PMV919W</v>
          </cell>
          <cell r="C2667" t="str">
            <v>Roller shaft PMV919W</v>
          </cell>
          <cell r="D2667">
            <v>8586</v>
          </cell>
          <cell r="E2667">
            <v>1154.0322580645161</v>
          </cell>
        </row>
        <row r="2668">
          <cell r="A2668">
            <v>32100</v>
          </cell>
          <cell r="B2668" t="str">
            <v>Fødekonus for centrifeeder PMV919</v>
          </cell>
          <cell r="C2668" t="str">
            <v>Feed cone for centrifeeder PMV919</v>
          </cell>
          <cell r="D2668">
            <v>24703</v>
          </cell>
          <cell r="E2668">
            <v>3320.2956989247309</v>
          </cell>
        </row>
        <row r="2669">
          <cell r="A2669">
            <v>32113</v>
          </cell>
          <cell r="B2669" t="str">
            <v>Forlagsaksel PMV919</v>
          </cell>
          <cell r="C2669" t="str">
            <v>Jackshaft PMV919</v>
          </cell>
          <cell r="D2669">
            <v>6890</v>
          </cell>
          <cell r="E2669">
            <v>926.07526881720423</v>
          </cell>
        </row>
        <row r="2670">
          <cell r="A2670">
            <v>32117</v>
          </cell>
          <cell r="B2670" t="str">
            <v>Slidring rulleholderaksel, bag PMV717</v>
          </cell>
          <cell r="C2670" t="str">
            <v>Wearring for roller shaft, rear PMV717</v>
          </cell>
          <cell r="D2670">
            <v>2297</v>
          </cell>
          <cell r="E2670">
            <v>308.7365591397849</v>
          </cell>
        </row>
        <row r="2671">
          <cell r="A2671">
            <v>32118</v>
          </cell>
          <cell r="B2671" t="str">
            <v>Rullejusteringsarm PMV717</v>
          </cell>
          <cell r="C2671" t="str">
            <v>Roller adjustment arm PMV717</v>
          </cell>
          <cell r="D2671">
            <v>1548</v>
          </cell>
          <cell r="E2671">
            <v>208.06451612903226</v>
          </cell>
        </row>
        <row r="2672">
          <cell r="A2672">
            <v>32119</v>
          </cell>
          <cell r="B2672" t="str">
            <v>(Erstattet af 039496) Slidring</v>
          </cell>
          <cell r="C2672" t="str">
            <v>(Replaced by 039496) Wear Ring</v>
          </cell>
          <cell r="D2672" t="str">
            <v>replaced</v>
          </cell>
          <cell r="E2672" t="str">
            <v>replaced</v>
          </cell>
        </row>
        <row r="2673">
          <cell r="A2673">
            <v>32122</v>
          </cell>
          <cell r="B2673" t="str">
            <v>Bøsning for presseskelet PMV717</v>
          </cell>
          <cell r="C2673" t="str">
            <v>Bushing f. press frame</v>
          </cell>
          <cell r="D2673">
            <v>3675</v>
          </cell>
          <cell r="E2673">
            <v>493.95161290322579</v>
          </cell>
        </row>
        <row r="2674">
          <cell r="A2674">
            <v>32123</v>
          </cell>
          <cell r="B2674" t="str">
            <v>Dæksel for hovedaksel, bag PM717</v>
          </cell>
          <cell r="C2674" t="str">
            <v>Cover f. mainshaft rear PM717</v>
          </cell>
          <cell r="D2674">
            <v>2120</v>
          </cell>
          <cell r="E2674">
            <v>284.94623655913978</v>
          </cell>
        </row>
        <row r="2675">
          <cell r="A2675">
            <v>32125</v>
          </cell>
          <cell r="B2675" t="str">
            <v>Dæksel for hovedaksel, for PMV717</v>
          </cell>
          <cell r="C2675" t="str">
            <v>Cover f. mainshaft front PMV717</v>
          </cell>
          <cell r="D2675">
            <v>4711</v>
          </cell>
          <cell r="E2675">
            <v>633.19892473118273</v>
          </cell>
        </row>
        <row r="2676">
          <cell r="A2676">
            <v>32126</v>
          </cell>
          <cell r="B2676" t="str">
            <v>Forstærkerring, bolt,  for matr. med koniske skuldre PM615</v>
          </cell>
          <cell r="C2676" t="str">
            <v>Reinforcement ring for Die, conical shoulders PM615</v>
          </cell>
          <cell r="D2676">
            <v>12985</v>
          </cell>
          <cell r="E2676">
            <v>1745.2956989247311</v>
          </cell>
        </row>
        <row r="2677">
          <cell r="A2677">
            <v>32127</v>
          </cell>
          <cell r="B2677" t="str">
            <v>Erstattet af 061483</v>
          </cell>
          <cell r="C2677" t="str">
            <v>Replaced by 061483</v>
          </cell>
          <cell r="D2677" t="str">
            <v>replaced</v>
          </cell>
          <cell r="E2677" t="e">
            <v>#VALUE!</v>
          </cell>
        </row>
        <row r="2678">
          <cell r="A2678">
            <v>32128</v>
          </cell>
          <cell r="B2678" t="str">
            <v>Afstrygerkniv</v>
          </cell>
          <cell r="C2678" t="str">
            <v>Scraper knife</v>
          </cell>
          <cell r="D2678">
            <v>1437</v>
          </cell>
          <cell r="E2678">
            <v>193.14516129032256</v>
          </cell>
        </row>
        <row r="2679">
          <cell r="A2679">
            <v>32130</v>
          </cell>
          <cell r="B2679" t="str">
            <v>Forplade PM615W  2 ruller 1 vejs</v>
          </cell>
          <cell r="C2679" t="str">
            <v>Frontplate PM615W</v>
          </cell>
          <cell r="D2679">
            <v>12250</v>
          </cell>
          <cell r="E2679">
            <v>1646.505376344086</v>
          </cell>
        </row>
        <row r="2680">
          <cell r="A2680">
            <v>32131</v>
          </cell>
          <cell r="B2680" t="str">
            <v>Nav for hovedaksel PMV717</v>
          </cell>
          <cell r="C2680" t="str">
            <v>Hub for mainshaft PMV717</v>
          </cell>
          <cell r="D2680">
            <v>47859</v>
          </cell>
          <cell r="E2680">
            <v>6432.6612903225805</v>
          </cell>
        </row>
        <row r="2681">
          <cell r="A2681">
            <v>32133</v>
          </cell>
          <cell r="B2681" t="str">
            <v>Sikringskobling, nav PMV717</v>
          </cell>
          <cell r="C2681" t="str">
            <v>Safety coupling hub PMV717</v>
          </cell>
          <cell r="D2681">
            <v>8429</v>
          </cell>
          <cell r="E2681">
            <v>1132.9301075268816</v>
          </cell>
        </row>
        <row r="2682">
          <cell r="A2682">
            <v>32136</v>
          </cell>
          <cell r="B2682" t="str">
            <v>Tætningsring for hovedaksel PMV717</v>
          </cell>
          <cell r="C2682" t="str">
            <v>Sealing ring for mainshaft PMV717</v>
          </cell>
          <cell r="D2682">
            <v>6200</v>
          </cell>
          <cell r="E2682">
            <v>833.33333333333326</v>
          </cell>
        </row>
        <row r="2683">
          <cell r="A2683">
            <v>32137</v>
          </cell>
          <cell r="B2683" t="str">
            <v>Bagplade for pillekammer PMV717</v>
          </cell>
          <cell r="C2683" t="str">
            <v>Backplate for pellet chamber PM717</v>
          </cell>
          <cell r="D2683">
            <v>6732</v>
          </cell>
          <cell r="E2683">
            <v>904.83870967741927</v>
          </cell>
        </row>
        <row r="2684">
          <cell r="A2684">
            <v>32138</v>
          </cell>
          <cell r="B2684" t="str">
            <v>Tætningsplade (2 halvparter) PMV717</v>
          </cell>
          <cell r="C2684" t="str">
            <v>Seal plate (2 halfs) PMV717</v>
          </cell>
          <cell r="D2684">
            <v>544</v>
          </cell>
          <cell r="E2684">
            <v>73.118279569892465</v>
          </cell>
        </row>
        <row r="2685">
          <cell r="A2685">
            <v>32139</v>
          </cell>
          <cell r="B2685" t="str">
            <v>Ring for tætningsplade</v>
          </cell>
          <cell r="C2685" t="str">
            <v>Ring for tightening plate</v>
          </cell>
          <cell r="D2685">
            <v>1341</v>
          </cell>
          <cell r="E2685">
            <v>180.24193548387095</v>
          </cell>
        </row>
        <row r="2686">
          <cell r="A2686">
            <v>32142</v>
          </cell>
          <cell r="B2686" t="str">
            <v>Låsering U 159 x 3,96 A DIN 471</v>
          </cell>
          <cell r="C2686" t="str">
            <v>Lock ring U 159 x 3,96 A DIN 471</v>
          </cell>
          <cell r="D2686">
            <v>39</v>
          </cell>
          <cell r="E2686">
            <v>5.2419354838709671</v>
          </cell>
        </row>
        <row r="2687">
          <cell r="A2687">
            <v>32143</v>
          </cell>
          <cell r="B2687" t="str">
            <v>Tætningsring A Ø165 x Ø200 x 15 NBR</v>
          </cell>
          <cell r="C2687" t="str">
            <v>Sealing ring A Ø165 x Ø200 x 15 NBR</v>
          </cell>
          <cell r="D2687">
            <v>64</v>
          </cell>
          <cell r="E2687">
            <v>8.6021505376344081</v>
          </cell>
        </row>
        <row r="2688">
          <cell r="A2688">
            <v>32144</v>
          </cell>
          <cell r="B2688" t="str">
            <v>Tætningsring A Ø200 x Ø240 x 15 Viton</v>
          </cell>
          <cell r="C2688" t="str">
            <v>Sealing ring A Ø200 x Ø240 x 15 Viton</v>
          </cell>
          <cell r="D2688">
            <v>617</v>
          </cell>
          <cell r="E2688">
            <v>82.930107526881713</v>
          </cell>
        </row>
        <row r="2689">
          <cell r="A2689">
            <v>32145</v>
          </cell>
          <cell r="B2689" t="str">
            <v>Støtte for godsfordeler 3 PMV919W</v>
          </cell>
          <cell r="C2689" t="str">
            <v>Support for deflector 3 PMV919W</v>
          </cell>
          <cell r="D2689">
            <v>619</v>
          </cell>
          <cell r="E2689">
            <v>83.198924731182785</v>
          </cell>
        </row>
        <row r="2690">
          <cell r="A2690">
            <v>32154</v>
          </cell>
          <cell r="B2690" t="str">
            <v>Godsfordeler for centrifeeder</v>
          </cell>
          <cell r="C2690" t="str">
            <v>Deflector for centrifeeder</v>
          </cell>
          <cell r="D2690">
            <v>16154</v>
          </cell>
          <cell r="E2690">
            <v>2171.2365591397847</v>
          </cell>
        </row>
        <row r="2691">
          <cell r="A2691">
            <v>32158</v>
          </cell>
          <cell r="B2691" t="str">
            <v>Rulleaksel MV617</v>
          </cell>
          <cell r="C2691" t="str">
            <v>Roller shaft PMV617XW</v>
          </cell>
          <cell r="D2691">
            <v>5830</v>
          </cell>
          <cell r="E2691">
            <v>783.60215053763432</v>
          </cell>
        </row>
        <row r="2692">
          <cell r="A2692">
            <v>32159</v>
          </cell>
          <cell r="B2692" t="str">
            <v>Afstandsring for rulle PMV617XW</v>
          </cell>
          <cell r="C2692" t="str">
            <v>Spacer for roller PMV617XW</v>
          </cell>
          <cell r="D2692">
            <v>1378</v>
          </cell>
          <cell r="E2692">
            <v>185.21505376344086</v>
          </cell>
        </row>
        <row r="2693">
          <cell r="A2693">
            <v>32160</v>
          </cell>
          <cell r="B2693" t="str">
            <v>Slidring hovedaksel/matrice for konisk matr. PMV717</v>
          </cell>
          <cell r="C2693" t="str">
            <v>Wearring for main shaft/Die conical Die PMV717</v>
          </cell>
          <cell r="D2693">
            <v>2034</v>
          </cell>
          <cell r="E2693">
            <v>273.38709677419354</v>
          </cell>
        </row>
        <row r="2694">
          <cell r="A2694">
            <v>32164</v>
          </cell>
          <cell r="B2694" t="str">
            <v>Støtte for godsfordeler 3 PMV717W</v>
          </cell>
          <cell r="C2694" t="str">
            <v>Support for deflector 3 PMV717W</v>
          </cell>
          <cell r="D2694">
            <v>1084</v>
          </cell>
          <cell r="E2694">
            <v>145.69892473118279</v>
          </cell>
        </row>
        <row r="2695">
          <cell r="A2695">
            <v>32165</v>
          </cell>
          <cell r="B2695" t="str">
            <v>Afstandsring for rulle PMV717XW</v>
          </cell>
          <cell r="C2695" t="str">
            <v>Spacer for roller PMV717XW</v>
          </cell>
          <cell r="D2695">
            <v>1578</v>
          </cell>
          <cell r="E2695">
            <v>212.09677419354838</v>
          </cell>
        </row>
        <row r="2696">
          <cell r="A2696">
            <v>32166</v>
          </cell>
          <cell r="B2696" t="str">
            <v>Støtte for godsfordeler 3 PMV717XW</v>
          </cell>
          <cell r="C2696" t="str">
            <v>Support for deflector 3 PMV717XW</v>
          </cell>
          <cell r="D2696">
            <v>357</v>
          </cell>
          <cell r="E2696">
            <v>47.983870967741936</v>
          </cell>
        </row>
        <row r="2697">
          <cell r="A2697">
            <v>32167</v>
          </cell>
          <cell r="B2697" t="str">
            <v>Trykskive for rulleholderaksel PMV717</v>
          </cell>
          <cell r="C2697" t="str">
            <v>Thrust washer for roller shaft PMV717</v>
          </cell>
          <cell r="D2697">
            <v>621</v>
          </cell>
          <cell r="E2697">
            <v>83.467741935483872</v>
          </cell>
        </row>
        <row r="2698">
          <cell r="A2698">
            <v>32168</v>
          </cell>
          <cell r="B2698" t="str">
            <v xml:space="preserve">Afstrygerkniv for boltopspændt matr. PMV717 </v>
          </cell>
          <cell r="C2698" t="str">
            <v>Scraper knife bolt PMV717</v>
          </cell>
          <cell r="D2698">
            <v>1708</v>
          </cell>
          <cell r="E2698">
            <v>229.56989247311827</v>
          </cell>
        </row>
        <row r="2699">
          <cell r="A2699">
            <v>32169</v>
          </cell>
          <cell r="B2699" t="str">
            <v>Forstærkerring for matrice, bolt, for konisk matr. PMV717</v>
          </cell>
          <cell r="C2699" t="str">
            <v>Reinforcement ring for Die, bolt conical PMV717</v>
          </cell>
          <cell r="D2699">
            <v>16907</v>
          </cell>
          <cell r="E2699">
            <v>2272.4462365591398</v>
          </cell>
        </row>
        <row r="2700">
          <cell r="A2700">
            <v>32171</v>
          </cell>
          <cell r="B2700" t="str">
            <v>Rulleaksel PMV717W</v>
          </cell>
          <cell r="C2700" t="str">
            <v>Roller shaft PMV717W</v>
          </cell>
          <cell r="D2700">
            <v>5777</v>
          </cell>
          <cell r="E2700">
            <v>776.47849462365582</v>
          </cell>
        </row>
        <row r="2701">
          <cell r="A2701">
            <v>32174</v>
          </cell>
          <cell r="B2701" t="str">
            <v>Rulleaksel PMV717XW</v>
          </cell>
          <cell r="C2701" t="str">
            <v>Roller shaft PMV717XW</v>
          </cell>
          <cell r="D2701">
            <v>6148</v>
          </cell>
          <cell r="E2701">
            <v>826.34408602150529</v>
          </cell>
        </row>
        <row r="2702">
          <cell r="A2702">
            <v>32176</v>
          </cell>
          <cell r="B2702" t="str">
            <v>Rulleholderaksel PMV717</v>
          </cell>
          <cell r="C2702" t="str">
            <v>Roller main shaft PMV717</v>
          </cell>
          <cell r="D2702">
            <v>119727</v>
          </cell>
          <cell r="E2702">
            <v>16092.338709677419</v>
          </cell>
        </row>
        <row r="2703">
          <cell r="A2703">
            <v>32178</v>
          </cell>
          <cell r="B2703" t="str">
            <v>Hovedaksel for bolt, PMV717</v>
          </cell>
          <cell r="C2703" t="str">
            <v>Mainshaft for bolt PMV717</v>
          </cell>
          <cell r="D2703">
            <v>48500</v>
          </cell>
          <cell r="E2703">
            <v>6518.8172043010745</v>
          </cell>
        </row>
        <row r="2704">
          <cell r="A2704">
            <v>32181</v>
          </cell>
          <cell r="B2704" t="str">
            <v>Forplade PMV717W  Bearb 3 ruller 1 vej</v>
          </cell>
          <cell r="C2704" t="str">
            <v>Frontplate PMV717W</v>
          </cell>
          <cell r="D2704">
            <v>27030</v>
          </cell>
          <cell r="E2704">
            <v>3633.0645161290322</v>
          </cell>
        </row>
        <row r="2705">
          <cell r="A2705">
            <v>32182</v>
          </cell>
          <cell r="B2705" t="str">
            <v>Forplade PMV717XW  bearb 3 ruller 1 vejs</v>
          </cell>
          <cell r="C2705" t="str">
            <v>Frontplate PMV717XW</v>
          </cell>
          <cell r="D2705">
            <v>35881</v>
          </cell>
          <cell r="E2705">
            <v>4822.7150537634407</v>
          </cell>
        </row>
        <row r="2706">
          <cell r="A2706">
            <v>32183</v>
          </cell>
          <cell r="B2706" t="str">
            <v>Holder for godsfordeler 1-3 PMV717W</v>
          </cell>
          <cell r="C2706" t="str">
            <v>Holder for deflector 1-3 PMV717W</v>
          </cell>
          <cell r="D2706">
            <v>5418</v>
          </cell>
          <cell r="E2706">
            <v>728.22580645161281</v>
          </cell>
        </row>
        <row r="2707">
          <cell r="A2707">
            <v>32184</v>
          </cell>
          <cell r="B2707" t="str">
            <v>Holder for godsfordeler 1-3 PMV717XW</v>
          </cell>
          <cell r="C2707" t="str">
            <v>Holder for deflector 1-3 PMV717XW</v>
          </cell>
          <cell r="D2707">
            <v>5182</v>
          </cell>
          <cell r="E2707">
            <v>696.50537634408602</v>
          </cell>
        </row>
        <row r="2708">
          <cell r="A2708">
            <v>32203</v>
          </cell>
          <cell r="B2708" t="str">
            <v>Skærm for forlagsaksel, højre PMV717 (venstrehængslet pillekammer)</v>
          </cell>
          <cell r="C2708" t="str">
            <v>Screen for jack shaft, right PMV717 (left hinged pellet chamber)</v>
          </cell>
          <cell r="D2708">
            <v>3805</v>
          </cell>
          <cell r="E2708">
            <v>511.42473118279565</v>
          </cell>
        </row>
        <row r="2709">
          <cell r="A2709">
            <v>32204</v>
          </cell>
          <cell r="B2709" t="str">
            <v>Skærm for forlagsaksel, venstre PMV717 (højrehængslet pillekammer)</v>
          </cell>
          <cell r="C2709" t="str">
            <v>Screen for jack shaft, left PMV717 (right hinged pellet chamber)</v>
          </cell>
          <cell r="D2709">
            <v>3805</v>
          </cell>
          <cell r="E2709">
            <v>511.42473118279565</v>
          </cell>
        </row>
        <row r="2710">
          <cell r="A2710">
            <v>32209</v>
          </cell>
          <cell r="B2710" t="str">
            <v>Feder B 36 x 20 x 65</v>
          </cell>
          <cell r="C2710" t="str">
            <v>Parallel key B 36 x 20 x 65</v>
          </cell>
          <cell r="D2710">
            <v>45</v>
          </cell>
          <cell r="E2710">
            <v>6.0483870967741931</v>
          </cell>
        </row>
        <row r="2711">
          <cell r="A2711">
            <v>32210</v>
          </cell>
          <cell r="B2711" t="str">
            <v>Kileremskive SPC12 Ø1150</v>
          </cell>
          <cell r="C2711" t="str">
            <v>V-belt pulley SPC12 Ø1150</v>
          </cell>
          <cell r="D2711">
            <v>25074</v>
          </cell>
          <cell r="E2711">
            <v>3370.1612903225805</v>
          </cell>
        </row>
        <row r="2712">
          <cell r="A2712">
            <v>32260</v>
          </cell>
          <cell r="B2712" t="str">
            <v>Kileremskive SPC12 Ø400 TL 5050</v>
          </cell>
          <cell r="C2712" t="str">
            <v>V-belt pulley SPC12 Ø400 TL 5050</v>
          </cell>
          <cell r="D2712">
            <v>8422</v>
          </cell>
          <cell r="E2712">
            <v>1131.989247311828</v>
          </cell>
        </row>
        <row r="2713">
          <cell r="A2713">
            <v>32261</v>
          </cell>
          <cell r="B2713" t="str">
            <v>Kilerem SPC 4250 Aramid sæt á 12 stk.</v>
          </cell>
          <cell r="C2713" t="str">
            <v>V-belt SPC 4250 Aramid set of 12 pcs.</v>
          </cell>
          <cell r="D2713">
            <v>7118</v>
          </cell>
          <cell r="E2713">
            <v>956.72043010752679</v>
          </cell>
        </row>
        <row r="2714">
          <cell r="A2714">
            <v>32267</v>
          </cell>
          <cell r="B2714" t="str">
            <v>Afstandsring for rulle PMV919TW</v>
          </cell>
          <cell r="C2714" t="str">
            <v>Spacer for roller PMV919TW</v>
          </cell>
          <cell r="D2714">
            <v>1219</v>
          </cell>
          <cell r="E2714">
            <v>163.84408602150538</v>
          </cell>
        </row>
        <row r="2715">
          <cell r="A2715">
            <v>32269</v>
          </cell>
          <cell r="B2715" t="str">
            <v>Forplade PMV919TW berab 3 ruller 1 vej</v>
          </cell>
          <cell r="C2715" t="str">
            <v>Frontplate PMV919TW</v>
          </cell>
          <cell r="D2715">
            <v>42500</v>
          </cell>
          <cell r="E2715">
            <v>5712.3655913978491</v>
          </cell>
        </row>
        <row r="2716">
          <cell r="A2716">
            <v>32270</v>
          </cell>
          <cell r="B2716" t="str">
            <v>Kileremskive SPC16 Ø1400</v>
          </cell>
          <cell r="C2716" t="str">
            <v>V-belt pulley SPC16 Ø1400</v>
          </cell>
          <cell r="D2716">
            <v>38224</v>
          </cell>
          <cell r="E2716">
            <v>5137.63440860215</v>
          </cell>
        </row>
        <row r="2717">
          <cell r="A2717">
            <v>32271</v>
          </cell>
          <cell r="B2717" t="str">
            <v>Sfærisk rulleleje 23228</v>
          </cell>
          <cell r="C2717" t="str">
            <v>Spherical roller bearing 23228</v>
          </cell>
          <cell r="D2717">
            <v>2703</v>
          </cell>
          <cell r="E2717">
            <v>363.30645161290323</v>
          </cell>
        </row>
        <row r="2718">
          <cell r="A2718">
            <v>32272</v>
          </cell>
          <cell r="B2718" t="str">
            <v>Forlagsaksel PMV919 Heavy Duty</v>
          </cell>
          <cell r="C2718" t="str">
            <v>Jackshaft PMV919 heavy duty</v>
          </cell>
          <cell r="D2718">
            <v>8437</v>
          </cell>
          <cell r="E2718">
            <v>1134.005376344086</v>
          </cell>
        </row>
        <row r="2719">
          <cell r="A2719">
            <v>32274</v>
          </cell>
          <cell r="B2719" t="str">
            <v>Dæksel for forlagsaksel PMV919 Heavy Duty</v>
          </cell>
          <cell r="C2719" t="str">
            <v>Cover f. Jack shaft PMV919 Heavy Duty</v>
          </cell>
          <cell r="D2719">
            <v>2309</v>
          </cell>
          <cell r="E2719">
            <v>310.34946236559136</v>
          </cell>
        </row>
        <row r="2720">
          <cell r="A2720">
            <v>32275</v>
          </cell>
          <cell r="B2720" t="str">
            <v>Lejehus for forlagsaksel PMV919 Heavy Duty, hængslet</v>
          </cell>
          <cell r="C2720" t="str">
            <v>Bearing house for jack shaft PMV919 heavy duty, hinged</v>
          </cell>
          <cell r="D2720">
            <v>18432</v>
          </cell>
          <cell r="E2720">
            <v>2477.4193548387098</v>
          </cell>
        </row>
        <row r="2721">
          <cell r="A2721">
            <v>32277</v>
          </cell>
          <cell r="B2721" t="str">
            <v>Forlagsaksel PMV919 Heavy Duty, hængslet</v>
          </cell>
          <cell r="C2721" t="str">
            <v>Jackshaft PMV919 heavy duty, hinged</v>
          </cell>
          <cell r="D2721">
            <v>37524</v>
          </cell>
          <cell r="E2721">
            <v>5043.5483870967737</v>
          </cell>
        </row>
        <row r="2722">
          <cell r="A2722">
            <v>32283</v>
          </cell>
          <cell r="B2722" t="str">
            <v>Holder for knivblad PM919</v>
          </cell>
          <cell r="C2722" t="str">
            <v>Holder for knifeblade PM919</v>
          </cell>
          <cell r="D2722">
            <v>590</v>
          </cell>
          <cell r="E2722">
            <v>79.3010752688172</v>
          </cell>
        </row>
        <row r="2723">
          <cell r="A2723">
            <v>32295</v>
          </cell>
          <cell r="B2723" t="str">
            <v>Kileremskive SPC16 Ø440 TL 5050</v>
          </cell>
          <cell r="C2723" t="str">
            <v>V-belt pulley SPC16 Ø440 TL 5050</v>
          </cell>
          <cell r="D2723">
            <v>14692</v>
          </cell>
          <cell r="E2723">
            <v>1974.7311827956987</v>
          </cell>
        </row>
        <row r="2724">
          <cell r="A2724">
            <v>32296</v>
          </cell>
          <cell r="B2724" t="str">
            <v>Kileremskive SPC12 Ø1000 TL 5050</v>
          </cell>
          <cell r="C2724" t="str">
            <v>V-belt pulley SPC12 Ø1000 TL 5050</v>
          </cell>
          <cell r="D2724">
            <v>20829</v>
          </cell>
          <cell r="E2724">
            <v>2799.5967741935483</v>
          </cell>
        </row>
        <row r="2725">
          <cell r="A2725">
            <v>32297</v>
          </cell>
          <cell r="B2725" t="str">
            <v>Kilerem SPC 5100 ARIMID sæt á 16 stk.</v>
          </cell>
          <cell r="C2725" t="str">
            <v>V-belt SPC 5100 ARIMID set of 16 pcs.</v>
          </cell>
          <cell r="D2725">
            <v>16266</v>
          </cell>
          <cell r="E2725">
            <v>2186.2903225806449</v>
          </cell>
        </row>
        <row r="2726">
          <cell r="A2726">
            <v>32390</v>
          </cell>
          <cell r="B2726" t="str">
            <v>Cyl. Rulleleje NU2226E/C2</v>
          </cell>
          <cell r="C2726" t="str">
            <v>Cyl. Rollerbearing NU2226E/C2</v>
          </cell>
          <cell r="D2726">
            <v>3043</v>
          </cell>
          <cell r="E2726">
            <v>409.00537634408602</v>
          </cell>
        </row>
        <row r="2727">
          <cell r="A2727">
            <v>32391</v>
          </cell>
          <cell r="B2727" t="str">
            <v>Trykring PM615</v>
          </cell>
          <cell r="C2727" t="str">
            <v>Pressure ring PM615</v>
          </cell>
          <cell r="D2727">
            <v>1583</v>
          </cell>
          <cell r="E2727">
            <v>212.76881720430106</v>
          </cell>
        </row>
        <row r="2728">
          <cell r="A2728">
            <v>32392</v>
          </cell>
          <cell r="B2728" t="str">
            <v>Akselmøtrik</v>
          </cell>
          <cell r="C2728" t="str">
            <v>Nut for shaft</v>
          </cell>
          <cell r="D2728">
            <v>1295</v>
          </cell>
          <cell r="E2728">
            <v>174.05913978494624</v>
          </cell>
        </row>
        <row r="2729">
          <cell r="A2729">
            <v>32393</v>
          </cell>
          <cell r="B2729" t="str">
            <v>Shim sæt for sikringskobling PM615</v>
          </cell>
          <cell r="C2729" t="str">
            <v>Shim set for safety coupling PM615</v>
          </cell>
          <cell r="D2729">
            <v>676</v>
          </cell>
          <cell r="E2729">
            <v>90.86021505376344</v>
          </cell>
        </row>
        <row r="2730">
          <cell r="A2730">
            <v>32394</v>
          </cell>
          <cell r="B2730" t="str">
            <v>Afstandsring</v>
          </cell>
          <cell r="C2730" t="str">
            <v>Distance ring</v>
          </cell>
          <cell r="D2730">
            <v>1490</v>
          </cell>
          <cell r="E2730">
            <v>200.26881720430106</v>
          </cell>
        </row>
        <row r="2731">
          <cell r="A2731">
            <v>32396</v>
          </cell>
          <cell r="B2731" t="str">
            <v>Beslag for switch</v>
          </cell>
          <cell r="C2731" t="str">
            <v>Fitting for switch</v>
          </cell>
          <cell r="D2731">
            <v>464</v>
          </cell>
          <cell r="E2731">
            <v>62.365591397849457</v>
          </cell>
        </row>
        <row r="2732">
          <cell r="A2732">
            <v>32397</v>
          </cell>
          <cell r="B2732" t="str">
            <v>Følerplade for switch</v>
          </cell>
          <cell r="C2732" t="str">
            <v>Sensor plate for switch</v>
          </cell>
          <cell r="D2732">
            <v>628</v>
          </cell>
          <cell r="E2732">
            <v>84.408602150537632</v>
          </cell>
        </row>
        <row r="2733">
          <cell r="A2733">
            <v>32400</v>
          </cell>
          <cell r="B2733" t="str">
            <v>Beslag for hægte</v>
          </cell>
          <cell r="C2733" t="str">
            <v>Fitting for hook</v>
          </cell>
          <cell r="D2733">
            <v>494</v>
          </cell>
          <cell r="E2733">
            <v>66.397849462365585</v>
          </cell>
        </row>
        <row r="2734">
          <cell r="A2734">
            <v>32413</v>
          </cell>
          <cell r="B2734" t="str">
            <v>Beslag for omdrejningsvagt</v>
          </cell>
          <cell r="C2734" t="str">
            <v>Fitting for rotation guard</v>
          </cell>
          <cell r="D2734">
            <v>33</v>
          </cell>
          <cell r="E2734">
            <v>4.435483870967742</v>
          </cell>
        </row>
        <row r="2735">
          <cell r="A2735">
            <v>32414</v>
          </cell>
          <cell r="B2735" t="str">
            <v>Afstrygerkniv for spænderingsopspændt matrice PMV919</v>
          </cell>
          <cell r="C2735" t="str">
            <v>Scraper knife clamp PMV919</v>
          </cell>
          <cell r="D2735">
            <v>3192</v>
          </cell>
          <cell r="E2735">
            <v>429.0322580645161</v>
          </cell>
        </row>
        <row r="2736">
          <cell r="A2736">
            <v>32416</v>
          </cell>
          <cell r="B2736" t="str">
            <v>Skive Ø70/Ø46x8</v>
          </cell>
          <cell r="C2736" t="str">
            <v>Disc Ø70/Ø46x8</v>
          </cell>
          <cell r="D2736">
            <v>319</v>
          </cell>
          <cell r="E2736">
            <v>42.876344086021504</v>
          </cell>
        </row>
        <row r="2737">
          <cell r="A2737">
            <v>32418</v>
          </cell>
          <cell r="B2737" t="str">
            <v>Dæksel for skærm PMV919</v>
          </cell>
          <cell r="C2737" t="str">
            <v>Cover f. screen PMV 919</v>
          </cell>
          <cell r="D2737">
            <v>321</v>
          </cell>
          <cell r="E2737">
            <v>43.145161290322577</v>
          </cell>
        </row>
        <row r="2738">
          <cell r="A2738">
            <v>32419</v>
          </cell>
          <cell r="B2738" t="str">
            <v>Beslag for mikroswitch G0</v>
          </cell>
          <cell r="C2738" t="str">
            <v>Fitting for microswitch G0</v>
          </cell>
          <cell r="D2738">
            <v>667</v>
          </cell>
          <cell r="E2738">
            <v>89.650537634408593</v>
          </cell>
        </row>
        <row r="2739">
          <cell r="A2739">
            <v>32420</v>
          </cell>
          <cell r="B2739" t="str">
            <v>Beslag for føler XS1-M18MA230</v>
          </cell>
          <cell r="C2739" t="str">
            <v>Fitting for sensor XS1-M18MA230</v>
          </cell>
          <cell r="D2739">
            <v>136</v>
          </cell>
          <cell r="E2739">
            <v>18.279569892473116</v>
          </cell>
        </row>
        <row r="2740">
          <cell r="A2740">
            <v>32424</v>
          </cell>
          <cell r="B2740" t="str">
            <v>Beslag f rulleskift m/ma MV919</v>
          </cell>
          <cell r="C2740" t="str">
            <v>Toll for exchange of rollers/w die</v>
          </cell>
          <cell r="D2740">
            <v>510</v>
          </cell>
          <cell r="E2740">
            <v>68.548387096774192</v>
          </cell>
        </row>
        <row r="2741">
          <cell r="A2741">
            <v>32427</v>
          </cell>
          <cell r="B2741" t="str">
            <v>Remskærm, 10 spor PMV919</v>
          </cell>
          <cell r="C2741" t="str">
            <v>Belt screen 10 track PMV919</v>
          </cell>
          <cell r="D2741">
            <v>10600</v>
          </cell>
          <cell r="E2741">
            <v>1424.7311827956989</v>
          </cell>
        </row>
        <row r="2742">
          <cell r="A2742">
            <v>32430</v>
          </cell>
          <cell r="B2742" t="str">
            <v>Labyrinttætning - indvendig for rulle PMV717</v>
          </cell>
          <cell r="C2742" t="str">
            <v>Labyrinth seal - inner for roll PMV717</v>
          </cell>
          <cell r="D2742">
            <v>458</v>
          </cell>
          <cell r="E2742">
            <v>61.559139784946233</v>
          </cell>
        </row>
        <row r="2743">
          <cell r="A2743">
            <v>32431</v>
          </cell>
          <cell r="B2743" t="str">
            <v>Labyrinttætning - udvendig for rulle PMV717</v>
          </cell>
          <cell r="C2743" t="str">
            <v>Labyrinth seal - outer for roll PMV717</v>
          </cell>
          <cell r="D2743">
            <v>500</v>
          </cell>
          <cell r="E2743">
            <v>67.204301075268816</v>
          </cell>
        </row>
        <row r="2744">
          <cell r="A2744">
            <v>32432</v>
          </cell>
          <cell r="B2744" t="str">
            <v>Rulleaksel PMV617W</v>
          </cell>
          <cell r="C2744" t="str">
            <v>Roller shaft PMV617W</v>
          </cell>
          <cell r="D2744">
            <v>5406</v>
          </cell>
          <cell r="E2744">
            <v>726.61290322580646</v>
          </cell>
        </row>
        <row r="2745">
          <cell r="A2745">
            <v>32433</v>
          </cell>
          <cell r="B2745" t="str">
            <v>Afstandsring for rulle PMV617W</v>
          </cell>
          <cell r="C2745" t="str">
            <v>Spacer for roller PMV617W</v>
          </cell>
          <cell r="D2745">
            <v>626</v>
          </cell>
          <cell r="E2745">
            <v>84.13978494623656</v>
          </cell>
        </row>
        <row r="2746">
          <cell r="A2746">
            <v>32434</v>
          </cell>
          <cell r="B2746" t="str">
            <v>Akselmøtrik AN19</v>
          </cell>
          <cell r="C2746" t="str">
            <v>Nut for shaft AN19</v>
          </cell>
          <cell r="D2746">
            <v>619</v>
          </cell>
          <cell r="E2746">
            <v>83.198924731182785</v>
          </cell>
        </row>
        <row r="2747">
          <cell r="A2747">
            <v>32435</v>
          </cell>
          <cell r="B2747" t="str">
            <v>Låseblik W 19</v>
          </cell>
          <cell r="C2747" t="str">
            <v>Lock washer W 19</v>
          </cell>
          <cell r="D2747">
            <v>73</v>
          </cell>
          <cell r="E2747">
            <v>9.8118279569892461</v>
          </cell>
        </row>
        <row r="2748">
          <cell r="A2748">
            <v>32436</v>
          </cell>
          <cell r="B2748" t="str">
            <v>Låsering I 184 x 4,75 N1300-725</v>
          </cell>
          <cell r="C2748" t="str">
            <v>Lock ring I 184 x 4,75 N1300-725</v>
          </cell>
          <cell r="D2748">
            <v>186</v>
          </cell>
          <cell r="E2748">
            <v>25</v>
          </cell>
        </row>
        <row r="2749">
          <cell r="A2749">
            <v>32437</v>
          </cell>
          <cell r="B2749" t="str">
            <v>Låsering U 98,4 x 2,77 N1400-387</v>
          </cell>
          <cell r="C2749" t="str">
            <v>Lock ring U 98,4 x 2,77 N1400-387</v>
          </cell>
          <cell r="D2749">
            <v>29</v>
          </cell>
          <cell r="E2749">
            <v>3.897849462365591</v>
          </cell>
        </row>
        <row r="2750">
          <cell r="A2750">
            <v>32438</v>
          </cell>
          <cell r="B2750" t="str">
            <v>Konisk rulleleje HH 421210, inderpart</v>
          </cell>
          <cell r="C2750" t="str">
            <v>Roller bearing, tapered HH 421210, inner part</v>
          </cell>
          <cell r="D2750">
            <v>1314</v>
          </cell>
          <cell r="E2750">
            <v>176.61290322580643</v>
          </cell>
        </row>
        <row r="2751">
          <cell r="A2751">
            <v>32439</v>
          </cell>
          <cell r="B2751" t="str">
            <v>Akselmøtrik AN-19</v>
          </cell>
          <cell r="C2751" t="str">
            <v>Nut for shaft AN19</v>
          </cell>
          <cell r="D2751">
            <v>149</v>
          </cell>
          <cell r="E2751">
            <v>20.026881720430108</v>
          </cell>
        </row>
        <row r="2752">
          <cell r="A2752">
            <v>32446</v>
          </cell>
          <cell r="B2752" t="str">
            <v>Stopkrave for kniv PMV717</v>
          </cell>
          <cell r="C2752" t="str">
            <v>Stopsleeve for knife PMV717</v>
          </cell>
          <cell r="D2752">
            <v>484</v>
          </cell>
          <cell r="E2752">
            <v>65.053763440860209</v>
          </cell>
        </row>
        <row r="2753">
          <cell r="A2753">
            <v>32504</v>
          </cell>
          <cell r="B2753" t="str">
            <v>Konisk rulleholderleje JHM 840449-90N01</v>
          </cell>
          <cell r="C2753" t="str">
            <v>Roller bearing, tapered JHM 840449-90N01</v>
          </cell>
          <cell r="D2753">
            <v>9683</v>
          </cell>
          <cell r="E2753">
            <v>1301.4784946236559</v>
          </cell>
        </row>
        <row r="2754">
          <cell r="A2754">
            <v>32505</v>
          </cell>
          <cell r="B2754" t="str">
            <v>Cyl. Rulleleje 220 RU 91</v>
          </cell>
          <cell r="C2754" t="str">
            <v>Cyl. Rollerbearing 220 RU 91</v>
          </cell>
          <cell r="D2754">
            <v>20458</v>
          </cell>
          <cell r="E2754">
            <v>2749.7311827956987</v>
          </cell>
        </row>
        <row r="2755">
          <cell r="A2755">
            <v>32507</v>
          </cell>
          <cell r="B2755" t="str">
            <v>Labyrinttætning - udvendig PMV909</v>
          </cell>
          <cell r="C2755" t="str">
            <v>Labyrinth seal - outer for roll PMV909</v>
          </cell>
          <cell r="D2755">
            <v>687</v>
          </cell>
          <cell r="E2755">
            <v>92.338709677419345</v>
          </cell>
        </row>
        <row r="2756">
          <cell r="A2756">
            <v>32508</v>
          </cell>
          <cell r="B2756" t="str">
            <v>Labyrinttætning – indvendig rulle PMV909</v>
          </cell>
          <cell r="C2756" t="str">
            <v>Labyrinth seal - inner for roll PMV909</v>
          </cell>
          <cell r="D2756">
            <v>774</v>
          </cell>
          <cell r="E2756">
            <v>104.03225806451613</v>
          </cell>
        </row>
        <row r="2757">
          <cell r="A2757">
            <v>32509</v>
          </cell>
          <cell r="B2757" t="str">
            <v>Rulleaksel PMV919XW</v>
          </cell>
          <cell r="C2757" t="str">
            <v>Roller shaft PMV919XW</v>
          </cell>
          <cell r="D2757">
            <v>6996</v>
          </cell>
          <cell r="E2757">
            <v>940.32258064516122</v>
          </cell>
        </row>
        <row r="2758">
          <cell r="A2758">
            <v>32510</v>
          </cell>
          <cell r="B2758" t="str">
            <v>Konisk rulleleje HH 224346/224310</v>
          </cell>
          <cell r="C2758" t="str">
            <v>Roller bearing, tapered HH 224346/224310</v>
          </cell>
          <cell r="D2758">
            <v>2226</v>
          </cell>
          <cell r="E2758">
            <v>299.19354838709677</v>
          </cell>
        </row>
        <row r="2759">
          <cell r="A2759">
            <v>32512</v>
          </cell>
          <cell r="B2759" t="str">
            <v>Akselmøtrik AN 22 4,25"x12 ANSI</v>
          </cell>
          <cell r="C2759" t="str">
            <v>Nut for shaft AN 22 4,25"x12 ANSI</v>
          </cell>
          <cell r="D2759">
            <v>325</v>
          </cell>
          <cell r="E2759">
            <v>43.682795698924728</v>
          </cell>
        </row>
        <row r="2760">
          <cell r="A2760">
            <v>32513</v>
          </cell>
          <cell r="B2760" t="str">
            <v>Låseblik TW 122</v>
          </cell>
          <cell r="C2760" t="str">
            <v>Lock washer TW 122</v>
          </cell>
          <cell r="D2760">
            <v>76</v>
          </cell>
          <cell r="E2760">
            <v>10.21505376344086</v>
          </cell>
        </row>
        <row r="2761">
          <cell r="A2761">
            <v>32514</v>
          </cell>
          <cell r="B2761" t="str">
            <v>Sikringskobling PMV919</v>
          </cell>
          <cell r="C2761" t="str">
            <v>Safety coupling PM919</v>
          </cell>
          <cell r="D2761">
            <v>15651</v>
          </cell>
          <cell r="E2761">
            <v>2103.6290322580644</v>
          </cell>
        </row>
        <row r="2762">
          <cell r="A2762">
            <v>32515</v>
          </cell>
          <cell r="B2762" t="str">
            <v>Borebøsning A25,4x44,45 DIN 172</v>
          </cell>
          <cell r="C2762" t="str">
            <v>Bushing A25,4x44,45 DIN 172</v>
          </cell>
          <cell r="D2762">
            <v>310</v>
          </cell>
          <cell r="E2762">
            <v>41.666666666666664</v>
          </cell>
        </row>
        <row r="2763">
          <cell r="A2763">
            <v>32516</v>
          </cell>
          <cell r="B2763" t="str">
            <v>Bøsning</v>
          </cell>
          <cell r="C2763" t="str">
            <v>Bushing</v>
          </cell>
          <cell r="D2763">
            <v>5014</v>
          </cell>
          <cell r="E2763">
            <v>673.92473118279565</v>
          </cell>
        </row>
        <row r="2764">
          <cell r="A2764">
            <v>32517</v>
          </cell>
          <cell r="B2764" t="str">
            <v>Rullejusteringsarm PMV909</v>
          </cell>
          <cell r="C2764" t="str">
            <v>Roller adjustment arm PMV909</v>
          </cell>
          <cell r="D2764">
            <v>1608</v>
          </cell>
          <cell r="E2764">
            <v>216.12903225806451</v>
          </cell>
        </row>
        <row r="2765">
          <cell r="A2765">
            <v>32527</v>
          </cell>
          <cell r="B2765" t="str">
            <v>Hægtelukker 2800/T2 Speedy-Blok</v>
          </cell>
          <cell r="C2765" t="str">
            <v>Hook lock 2800/T2 Speedy-Blok</v>
          </cell>
          <cell r="D2765">
            <v>1190</v>
          </cell>
          <cell r="E2765">
            <v>159.94623655913978</v>
          </cell>
        </row>
        <row r="2766">
          <cell r="A2766">
            <v>32529</v>
          </cell>
          <cell r="B2766" t="str">
            <v>Spændegreb GN 212.3-33-M16-40-E</v>
          </cell>
          <cell r="C2766" t="str">
            <v>Tightening handle GN 212.3-33-M16-40-E</v>
          </cell>
          <cell r="D2766">
            <v>212</v>
          </cell>
          <cell r="E2766">
            <v>28.494623655913976</v>
          </cell>
        </row>
        <row r="2767">
          <cell r="A2767">
            <v>32530</v>
          </cell>
          <cell r="B2767" t="str">
            <v xml:space="preserve">(Erstattet af 043257) Stiftholder for sikringsstift PMV919  </v>
          </cell>
          <cell r="C2767" t="str">
            <v xml:space="preserve">(Replaced by 043257) Holder for shear pin PMV919 </v>
          </cell>
          <cell r="D2767" t="str">
            <v>replaced</v>
          </cell>
          <cell r="E2767" t="str">
            <v>replaced</v>
          </cell>
        </row>
        <row r="2768">
          <cell r="A2768">
            <v>32538</v>
          </cell>
          <cell r="B2768" t="str">
            <v>Kamrulle McGill CFH-2-5</v>
          </cell>
          <cell r="C2768" t="str">
            <v>Tappet roller McGill CFH-2-5</v>
          </cell>
          <cell r="D2768">
            <v>557</v>
          </cell>
          <cell r="E2768">
            <v>74.865591397849457</v>
          </cell>
        </row>
        <row r="2769">
          <cell r="A2769">
            <v>32542</v>
          </cell>
          <cell r="B2769" t="str">
            <v>Trykskive for rulleholderaksel PMV919</v>
          </cell>
          <cell r="C2769" t="str">
            <v>Thrust washer for roller shaft PMV919</v>
          </cell>
          <cell r="D2769">
            <v>1117</v>
          </cell>
          <cell r="E2769">
            <v>150.13440860215053</v>
          </cell>
        </row>
        <row r="2770">
          <cell r="A2770">
            <v>32550</v>
          </cell>
          <cell r="B2770" t="str">
            <v>Pillekammer, 2-vægs, incl. pos. 16-25 PMV919XW</v>
          </cell>
          <cell r="C2770" t="str">
            <v>Pellet chamber 2-wall incl. pos. 16-25 PMV919XW</v>
          </cell>
          <cell r="D2770">
            <v>90100</v>
          </cell>
          <cell r="E2770">
            <v>12110.215053763441</v>
          </cell>
        </row>
        <row r="2771">
          <cell r="A2771">
            <v>32553</v>
          </cell>
          <cell r="B2771" t="str">
            <v>Stopkrave for kniv</v>
          </cell>
          <cell r="C2771" t="str">
            <v>Stopsleeve for knife</v>
          </cell>
          <cell r="D2771">
            <v>484</v>
          </cell>
          <cell r="E2771">
            <v>65.053763440860209</v>
          </cell>
        </row>
        <row r="2772">
          <cell r="A2772">
            <v>32568</v>
          </cell>
          <cell r="B2772" t="str">
            <v>Magnetventil 110V AC VGD15-ER-S-5</v>
          </cell>
          <cell r="C2772" t="str">
            <v>Solenoid valve 110V AC VGD15-ER-S-5</v>
          </cell>
          <cell r="D2772">
            <v>482</v>
          </cell>
          <cell r="E2772">
            <v>64.784946236559136</v>
          </cell>
        </row>
        <row r="2773">
          <cell r="A2773">
            <v>32570</v>
          </cell>
          <cell r="B2773" t="str">
            <v>Magnetventil 110VAC VGD-25-ER-ER-2CQ</v>
          </cell>
          <cell r="C2773" t="str">
            <v>Solenoid valve 110VAC VGD-25-ER-ER-2CQ</v>
          </cell>
          <cell r="D2773">
            <v>620</v>
          </cell>
          <cell r="E2773">
            <v>83.333333333333329</v>
          </cell>
        </row>
        <row r="2774">
          <cell r="A2774">
            <v>32572</v>
          </cell>
          <cell r="B2774" t="str">
            <v>Magnetventil 230V AC VGD15-ER-S-5</v>
          </cell>
          <cell r="C2774" t="str">
            <v>Solenoid valve 230V AC VGD15-ER-S-5</v>
          </cell>
          <cell r="D2774">
            <v>493</v>
          </cell>
          <cell r="E2774">
            <v>66.263440860215056</v>
          </cell>
        </row>
        <row r="2775">
          <cell r="A2775">
            <v>32574</v>
          </cell>
          <cell r="B2775" t="str">
            <v>Magnetventil 230VAC VGD-25-ER-ER-2CQ</v>
          </cell>
          <cell r="C2775" t="str">
            <v>Solenoid valve 230VAC VGD-25-ER-ER-2CQ</v>
          </cell>
          <cell r="D2775">
            <v>790</v>
          </cell>
          <cell r="E2775">
            <v>106.18279569892472</v>
          </cell>
        </row>
        <row r="2776">
          <cell r="A2776">
            <v>32575</v>
          </cell>
          <cell r="B2776" t="str">
            <v>Beslag for REED</v>
          </cell>
          <cell r="C2776" t="str">
            <v>Bracket for REED</v>
          </cell>
          <cell r="D2776">
            <v>69</v>
          </cell>
          <cell r="E2776">
            <v>9.2741935483870961</v>
          </cell>
        </row>
        <row r="2777">
          <cell r="A2777">
            <v>32576</v>
          </cell>
          <cell r="B2777" t="str">
            <v>Ventil, magnetventil Parker 1/8” – 5/2 24VDC med 1 spole</v>
          </cell>
          <cell r="C2777" t="str">
            <v>Solenoid valve Parker Parker 1/8” – 5/2 24VDC with 1 spool</v>
          </cell>
          <cell r="D2777">
            <v>505</v>
          </cell>
          <cell r="E2777">
            <v>67.876344086021504</v>
          </cell>
        </row>
        <row r="2778">
          <cell r="A2778">
            <v>32582</v>
          </cell>
          <cell r="B2778" t="str">
            <v>Bagplade for pillekammer</v>
          </cell>
          <cell r="C2778" t="str">
            <v xml:space="preserve">Backplate for pellet chamber </v>
          </cell>
          <cell r="D2778">
            <v>8904</v>
          </cell>
          <cell r="E2778">
            <v>1196.7741935483871</v>
          </cell>
        </row>
        <row r="2779">
          <cell r="A2779">
            <v>32585</v>
          </cell>
          <cell r="B2779" t="str">
            <v>Lejehus for forlagsaksel PMV919, hængslet</v>
          </cell>
          <cell r="C2779" t="str">
            <v>Bearing house for jack shaft PMV919 hinged</v>
          </cell>
          <cell r="D2779">
            <v>38176</v>
          </cell>
          <cell r="E2779">
            <v>5131.1827956989246</v>
          </cell>
        </row>
        <row r="2780">
          <cell r="A2780">
            <v>32588</v>
          </cell>
          <cell r="B2780" t="str">
            <v>Skærm for forlagsaksel, højre PMV919</v>
          </cell>
          <cell r="C2780" t="str">
            <v>Screen for jack shaft, right PMV919</v>
          </cell>
          <cell r="D2780">
            <v>8480</v>
          </cell>
          <cell r="E2780">
            <v>1139.7849462365591</v>
          </cell>
        </row>
        <row r="2781">
          <cell r="A2781">
            <v>32589</v>
          </cell>
          <cell r="B2781" t="str">
            <v>Forlagsaksel, komplet PMV919</v>
          </cell>
          <cell r="C2781" t="str">
            <v>Jackshaft complete PMV919</v>
          </cell>
          <cell r="D2781">
            <v>50880</v>
          </cell>
          <cell r="E2781">
            <v>6838.7096774193542</v>
          </cell>
        </row>
        <row r="2782">
          <cell r="A2782">
            <v>32590</v>
          </cell>
          <cell r="B2782" t="str">
            <v>Spændeaksel</v>
          </cell>
          <cell r="C2782" t="str">
            <v>Fixing shaft</v>
          </cell>
          <cell r="D2782">
            <v>1216</v>
          </cell>
          <cell r="E2782">
            <v>163.44086021505376</v>
          </cell>
        </row>
        <row r="2783">
          <cell r="A2783">
            <v>32591</v>
          </cell>
          <cell r="B2783" t="str">
            <v>Øjebolt M36x370 DIN444</v>
          </cell>
          <cell r="C2783" t="str">
            <v>Eye bolt M36 x 370   DIN 444</v>
          </cell>
          <cell r="D2783">
            <v>555</v>
          </cell>
          <cell r="E2783">
            <v>74.596774193548384</v>
          </cell>
        </row>
        <row r="2784">
          <cell r="A2784">
            <v>32592</v>
          </cell>
          <cell r="B2784" t="str">
            <v>Aksel Ø45x492</v>
          </cell>
          <cell r="C2784" t="str">
            <v>Shaft Ø45 x 492</v>
          </cell>
          <cell r="D2784">
            <v>477</v>
          </cell>
          <cell r="E2784">
            <v>64.112903225806448</v>
          </cell>
        </row>
        <row r="2785">
          <cell r="A2785">
            <v>32593</v>
          </cell>
          <cell r="B2785" t="str">
            <v>Skærm for forlagsaksel, venstre PMV919</v>
          </cell>
          <cell r="C2785" t="str">
            <v>Screen for jack shaft, left PMV919</v>
          </cell>
          <cell r="D2785">
            <v>8480</v>
          </cell>
          <cell r="E2785">
            <v>1139.7849462365591</v>
          </cell>
        </row>
        <row r="2786">
          <cell r="A2786">
            <v>32594</v>
          </cell>
          <cell r="B2786" t="str">
            <v xml:space="preserve">Dæksel for forlagsaksel PMV919  </v>
          </cell>
          <cell r="C2786" t="str">
            <v>Cover f. Jack shaft PMV919</v>
          </cell>
          <cell r="D2786">
            <v>1708</v>
          </cell>
          <cell r="E2786">
            <v>229.56989247311827</v>
          </cell>
        </row>
        <row r="2787">
          <cell r="A2787">
            <v>32595</v>
          </cell>
          <cell r="B2787" t="str">
            <v>Skærm for presseskelet, venstre PMV919</v>
          </cell>
          <cell r="C2787" t="str">
            <v>Screen for press skeleton, left PMV919</v>
          </cell>
          <cell r="D2787">
            <v>1247</v>
          </cell>
          <cell r="E2787">
            <v>167.60752688172042</v>
          </cell>
        </row>
        <row r="2788">
          <cell r="A2788">
            <v>32596</v>
          </cell>
          <cell r="B2788" t="str">
            <v>Skærm for presseskelet, højre PMV919</v>
          </cell>
          <cell r="C2788" t="str">
            <v>Screen for press skeleton, right PMV919</v>
          </cell>
          <cell r="D2788">
            <v>1247</v>
          </cell>
          <cell r="E2788">
            <v>167.60752688172042</v>
          </cell>
        </row>
        <row r="2789">
          <cell r="A2789">
            <v>32597</v>
          </cell>
          <cell r="B2789" t="str">
            <v>Remskærm, 12 spor PMV919</v>
          </cell>
          <cell r="C2789" t="str">
            <v xml:space="preserve">Belt screen 12 track PMV919 </v>
          </cell>
          <cell r="D2789">
            <v>10600</v>
          </cell>
          <cell r="E2789">
            <v>1424.7311827956989</v>
          </cell>
        </row>
        <row r="2790">
          <cell r="A2790">
            <v>32598</v>
          </cell>
          <cell r="B2790" t="str">
            <v>Tætningsring CRWI Ø125 x Ø160 x 12</v>
          </cell>
          <cell r="C2790" t="str">
            <v>Sealing ring CRWI Ø125 x Ø160 x 12</v>
          </cell>
          <cell r="D2790">
            <v>138</v>
          </cell>
          <cell r="E2790">
            <v>18.548387096774192</v>
          </cell>
        </row>
        <row r="2791">
          <cell r="A2791">
            <v>32599</v>
          </cell>
          <cell r="B2791" t="str">
            <v>Speedy sleeve</v>
          </cell>
          <cell r="C2791" t="str">
            <v xml:space="preserve">Speedi Sleeve </v>
          </cell>
          <cell r="D2791">
            <v>328</v>
          </cell>
          <cell r="E2791">
            <v>44.086021505376344</v>
          </cell>
        </row>
        <row r="2792">
          <cell r="A2792">
            <v>32612</v>
          </cell>
          <cell r="B2792" t="str">
            <v>Rulleholderaksel M615</v>
          </cell>
          <cell r="C2792" t="str">
            <v>Roller main shaft M615</v>
          </cell>
          <cell r="D2792">
            <v>91224</v>
          </cell>
          <cell r="E2792">
            <v>12261.290322580644</v>
          </cell>
        </row>
        <row r="2793">
          <cell r="A2793">
            <v>32614</v>
          </cell>
          <cell r="B2793" t="str">
            <v>Kniv, komplet, MV617W incl. pos. 26-30</v>
          </cell>
          <cell r="C2793" t="str">
            <v>Knife complete MV617W incl. pos. 26-30</v>
          </cell>
          <cell r="D2793">
            <v>1527</v>
          </cell>
          <cell r="E2793">
            <v>205.24193548387095</v>
          </cell>
        </row>
        <row r="2794">
          <cell r="A2794">
            <v>32616</v>
          </cell>
          <cell r="B2794" t="str">
            <v>Lejehus for rulleholderaksel PM615</v>
          </cell>
          <cell r="C2794" t="str">
            <v>Bearing house for rollershaft</v>
          </cell>
          <cell r="D2794">
            <v>24401</v>
          </cell>
          <cell r="E2794">
            <v>3279.7043010752686</v>
          </cell>
        </row>
        <row r="2795">
          <cell r="A2795">
            <v>32621</v>
          </cell>
          <cell r="B2795" t="str">
            <v>Hægtelukke, incl. beslag</v>
          </cell>
          <cell r="C2795" t="str">
            <v>Hook lock - fitting included</v>
          </cell>
          <cell r="D2795">
            <v>1468</v>
          </cell>
          <cell r="E2795">
            <v>197.31182795698925</v>
          </cell>
        </row>
        <row r="2796">
          <cell r="A2796">
            <v>32624</v>
          </cell>
          <cell r="B2796" t="str">
            <v>Oliekaster for drivaksel  PM 615</v>
          </cell>
          <cell r="C2796" t="str">
            <v>Oil Flinger.</v>
          </cell>
          <cell r="D2796">
            <v>1738</v>
          </cell>
          <cell r="E2796">
            <v>233.6021505376344</v>
          </cell>
        </row>
        <row r="2797">
          <cell r="A2797">
            <v>32625</v>
          </cell>
          <cell r="B2797" t="str">
            <v>Dæksel for rulleholderaksel</v>
          </cell>
          <cell r="C2797" t="str">
            <v>Cover f. rollerbearing shaft</v>
          </cell>
          <cell r="D2797">
            <v>2344</v>
          </cell>
          <cell r="E2797">
            <v>315.05376344086022</v>
          </cell>
        </row>
        <row r="2798">
          <cell r="A2798">
            <v>32626</v>
          </cell>
          <cell r="B2798" t="str">
            <v>Tætningsskål for hovedleje PM615</v>
          </cell>
          <cell r="C2798" t="str">
            <v>Sealing bowl for main bearing PM615</v>
          </cell>
          <cell r="D2798">
            <v>9045</v>
          </cell>
          <cell r="E2798">
            <v>1215.7258064516129</v>
          </cell>
        </row>
        <row r="2799">
          <cell r="A2799">
            <v>32627</v>
          </cell>
          <cell r="B2799" t="str">
            <v>Dæksel for drivaksel</v>
          </cell>
          <cell r="C2799" t="str">
            <v>Cover f. drive shaft</v>
          </cell>
          <cell r="D2799">
            <v>1151</v>
          </cell>
          <cell r="E2799">
            <v>154.7043010752688</v>
          </cell>
        </row>
        <row r="2800">
          <cell r="A2800">
            <v>32628</v>
          </cell>
          <cell r="B2800" t="str">
            <v>Lejehus for drivaksel</v>
          </cell>
          <cell r="C2800" t="str">
            <v>Bearing house for drive shaft</v>
          </cell>
          <cell r="D2800">
            <v>4226</v>
          </cell>
          <cell r="E2800">
            <v>568.01075268817203</v>
          </cell>
        </row>
        <row r="2801">
          <cell r="A2801">
            <v>32631</v>
          </cell>
          <cell r="B2801" t="str">
            <v>Slidring for matrice</v>
          </cell>
          <cell r="C2801" t="str">
            <v xml:space="preserve">Wearring for Die </v>
          </cell>
          <cell r="D2801">
            <v>2328</v>
          </cell>
          <cell r="E2801">
            <v>312.90322580645159</v>
          </cell>
        </row>
        <row r="2802">
          <cell r="A2802">
            <v>32632</v>
          </cell>
          <cell r="B2802" t="str">
            <v>Lem for pillekammer</v>
          </cell>
          <cell r="C2802" t="str">
            <v>Hatch for pelletchamber</v>
          </cell>
          <cell r="D2802">
            <v>984</v>
          </cell>
          <cell r="E2802">
            <v>132.25806451612902</v>
          </cell>
        </row>
        <row r="2803">
          <cell r="A2803">
            <v>32633</v>
          </cell>
          <cell r="B2803" t="str">
            <v>Afkasterring for drivaksel</v>
          </cell>
          <cell r="C2803" t="str">
            <v>Discharge ring drive shaft</v>
          </cell>
          <cell r="D2803">
            <v>1226</v>
          </cell>
          <cell r="E2803">
            <v>164.78494623655914</v>
          </cell>
        </row>
        <row r="2804">
          <cell r="A2804">
            <v>32634</v>
          </cell>
          <cell r="B2804" t="str">
            <v>Hængsel for pillekammer, top M615</v>
          </cell>
          <cell r="C2804" t="str">
            <v>Hinge for pellet chamber top M615</v>
          </cell>
          <cell r="D2804">
            <v>1472</v>
          </cell>
          <cell r="E2804">
            <v>197.84946236559139</v>
          </cell>
        </row>
        <row r="2805">
          <cell r="A2805">
            <v>32635</v>
          </cell>
          <cell r="B2805" t="str">
            <v>Stiftholder for sikringsstift</v>
          </cell>
          <cell r="C2805" t="str">
            <v>Needleholder for shear pin</v>
          </cell>
          <cell r="D2805">
            <v>127</v>
          </cell>
          <cell r="E2805">
            <v>17.06989247311828</v>
          </cell>
        </row>
        <row r="2806">
          <cell r="A2806">
            <v>32639</v>
          </cell>
          <cell r="B2806" t="str">
            <v>Nav for hovedaksel PM615</v>
          </cell>
          <cell r="C2806" t="str">
            <v>Hub for mainshaft PM615</v>
          </cell>
          <cell r="D2806">
            <v>35283</v>
          </cell>
          <cell r="E2806">
            <v>4742.3387096774195</v>
          </cell>
        </row>
        <row r="2807">
          <cell r="A2807">
            <v>32640</v>
          </cell>
          <cell r="B2807" t="str">
            <v>Hovedaksel PM615</v>
          </cell>
          <cell r="C2807" t="str">
            <v>Mainshaft PM615</v>
          </cell>
          <cell r="D2807">
            <v>38860</v>
          </cell>
          <cell r="E2807">
            <v>5223.1182795698924</v>
          </cell>
        </row>
        <row r="2808">
          <cell r="A2808">
            <v>32641</v>
          </cell>
          <cell r="B2808" t="str">
            <v>Skærm for sikringskobling, manuel smøring PM615</v>
          </cell>
          <cell r="C2808" t="str">
            <v>Screen for safety coupling, manual greasing PM615</v>
          </cell>
          <cell r="D2808">
            <v>2615</v>
          </cell>
          <cell r="E2808">
            <v>351.47849462365588</v>
          </cell>
        </row>
        <row r="2809">
          <cell r="A2809">
            <v>32643</v>
          </cell>
          <cell r="B2809" t="str">
            <v>Hængsel for pillekammer, bund, venstre M615</v>
          </cell>
          <cell r="C2809" t="str">
            <v>Hinge for pellet chamber bottom, left M615</v>
          </cell>
          <cell r="D2809">
            <v>2002</v>
          </cell>
          <cell r="E2809">
            <v>269.08602150537632</v>
          </cell>
        </row>
        <row r="2810">
          <cell r="A2810">
            <v>32645</v>
          </cell>
          <cell r="B2810" t="str">
            <v>Shim sæt 5mm lamineret PM615</v>
          </cell>
          <cell r="C2810" t="str">
            <v>Shim set 5mm laminated PM615</v>
          </cell>
          <cell r="D2810">
            <v>4162</v>
          </cell>
          <cell r="E2810">
            <v>559.4086021505376</v>
          </cell>
        </row>
        <row r="2811">
          <cell r="A2811">
            <v>32651</v>
          </cell>
          <cell r="B2811" t="str">
            <v>Sikringskobling S2 PM615</v>
          </cell>
          <cell r="C2811" t="str">
            <v>Safety coupling S2 PM615</v>
          </cell>
          <cell r="D2811">
            <v>6837</v>
          </cell>
          <cell r="E2811">
            <v>918.95161290322574</v>
          </cell>
        </row>
        <row r="2812">
          <cell r="A2812">
            <v>32654</v>
          </cell>
          <cell r="B2812" t="str">
            <v>Sidedæksel, incl. pos. 40</v>
          </cell>
          <cell r="C2812" t="str">
            <v>Sidecover pos. 40 incl.</v>
          </cell>
          <cell r="D2812">
            <v>1024</v>
          </cell>
          <cell r="E2812">
            <v>137.63440860215053</v>
          </cell>
        </row>
        <row r="2813">
          <cell r="A2813">
            <v>32655</v>
          </cell>
          <cell r="B2813" t="str">
            <v>Inspektions dæksel for gearbox</v>
          </cell>
          <cell r="C2813" t="str">
            <v>Inspection cover for gearbox</v>
          </cell>
          <cell r="D2813">
            <v>1651</v>
          </cell>
          <cell r="E2813">
            <v>221.90860215053763</v>
          </cell>
        </row>
        <row r="2814">
          <cell r="A2814">
            <v>32661</v>
          </cell>
          <cell r="B2814" t="str">
            <v>Bronzebøsning</v>
          </cell>
          <cell r="C2814" t="str">
            <v xml:space="preserve">Bronze sleve </v>
          </cell>
          <cell r="D2814">
            <v>1331</v>
          </cell>
          <cell r="E2814">
            <v>178.89784946236557</v>
          </cell>
        </row>
        <row r="2815">
          <cell r="A2815">
            <v>32663</v>
          </cell>
          <cell r="B2815" t="str">
            <v>Bøsning for sikringsstift</v>
          </cell>
          <cell r="C2815" t="str">
            <v>Bushing f. safety pin</v>
          </cell>
          <cell r="D2815">
            <v>518</v>
          </cell>
          <cell r="E2815">
            <v>69.623655913978496</v>
          </cell>
        </row>
        <row r="2816">
          <cell r="A2816">
            <v>32664</v>
          </cell>
          <cell r="B2816" t="str">
            <v>Bøsning for sikringsstift</v>
          </cell>
          <cell r="C2816" t="str">
            <v>Bushing f. safety pin</v>
          </cell>
          <cell r="D2816">
            <v>199</v>
          </cell>
          <cell r="E2816">
            <v>26.747311827956988</v>
          </cell>
        </row>
        <row r="2817">
          <cell r="A2817">
            <v>32671</v>
          </cell>
          <cell r="B2817" t="str">
            <v>Justeringsbolt for rullejustering</v>
          </cell>
          <cell r="C2817" t="str">
            <v>Adjusting bolt for rolleradjustment</v>
          </cell>
          <cell r="D2817">
            <v>102</v>
          </cell>
          <cell r="E2817">
            <v>13.709677419354838</v>
          </cell>
        </row>
        <row r="2818">
          <cell r="A2818">
            <v>32672</v>
          </cell>
          <cell r="B2818" t="str">
            <v>Knivskaft MV617W</v>
          </cell>
          <cell r="C2818" t="str">
            <v>Knifeshaft MV617W</v>
          </cell>
          <cell r="D2818">
            <v>944</v>
          </cell>
          <cell r="E2818">
            <v>126.88172043010752</v>
          </cell>
        </row>
        <row r="2819">
          <cell r="A2819">
            <v>32673</v>
          </cell>
          <cell r="B2819" t="str">
            <v>Knivblad MV617W ASB T3 B159</v>
          </cell>
          <cell r="C2819" t="str">
            <v>Knife blade MV617W ASB T3 B159</v>
          </cell>
          <cell r="D2819">
            <v>227</v>
          </cell>
          <cell r="E2819">
            <v>30.51075268817204</v>
          </cell>
        </row>
        <row r="2820">
          <cell r="A2820">
            <v>32678</v>
          </cell>
          <cell r="B2820" t="str">
            <v>Cyl. Rulleleje NU2313EC/C3</v>
          </cell>
          <cell r="C2820" t="str">
            <v>Cyl. Rollerbearing NU2313EC/C3</v>
          </cell>
          <cell r="D2820">
            <v>1271</v>
          </cell>
          <cell r="E2820">
            <v>170.83333333333331</v>
          </cell>
        </row>
        <row r="2821">
          <cell r="A2821">
            <v>32679</v>
          </cell>
          <cell r="B2821" t="str">
            <v>Sfærisk rulleleje 22313E/C3</v>
          </cell>
          <cell r="C2821" t="str">
            <v>Spherical roller bearing 22313E/C3</v>
          </cell>
          <cell r="D2821">
            <v>909</v>
          </cell>
          <cell r="E2821">
            <v>122.1774193548387</v>
          </cell>
        </row>
        <row r="2822">
          <cell r="A2822">
            <v>32681</v>
          </cell>
          <cell r="B2822" t="str">
            <v>Tætningsring AS Ø380 x Ø420 x 20 viton</v>
          </cell>
          <cell r="C2822" t="str">
            <v>Sealing ring AS Ø380 x Ø420 x 20 viton</v>
          </cell>
          <cell r="D2822">
            <v>1927</v>
          </cell>
          <cell r="E2822">
            <v>259.00537634408602</v>
          </cell>
        </row>
        <row r="2823">
          <cell r="A2823">
            <v>32683</v>
          </cell>
          <cell r="B2823" t="str">
            <v>Tætningsring AX Ø180 x Ø200 x 13 viton</v>
          </cell>
          <cell r="C2823" t="str">
            <v>Sealing ring AX Ø180 x Ø200 x 13 viton</v>
          </cell>
          <cell r="D2823">
            <v>1613</v>
          </cell>
          <cell r="E2823">
            <v>216.80107526881719</v>
          </cell>
        </row>
        <row r="2824">
          <cell r="A2824">
            <v>32684</v>
          </cell>
          <cell r="B2824" t="str">
            <v>Tætningsring C Ø120 x Ø150 x 12 viton</v>
          </cell>
          <cell r="C2824" t="str">
            <v>Sealing ring C Ø120 x Ø150 x 12 viton</v>
          </cell>
          <cell r="D2824">
            <v>207</v>
          </cell>
          <cell r="E2824">
            <v>27.822580645161288</v>
          </cell>
        </row>
        <row r="2825">
          <cell r="A2825">
            <v>32685</v>
          </cell>
          <cell r="B2825" t="str">
            <v>Låsering WSM-1250 Smalley</v>
          </cell>
          <cell r="C2825" t="str">
            <v>Lock ring WSM-1250 Smalley</v>
          </cell>
          <cell r="D2825">
            <v>681</v>
          </cell>
          <cell r="E2825">
            <v>91.532258064516128</v>
          </cell>
        </row>
        <row r="2826">
          <cell r="A2826">
            <v>32686</v>
          </cell>
          <cell r="B2826" t="str">
            <v>Låsering WSM-1300 Smalley</v>
          </cell>
          <cell r="C2826" t="str">
            <v>Lock ring WSM-1300 Smalley</v>
          </cell>
          <cell r="D2826">
            <v>697</v>
          </cell>
          <cell r="E2826">
            <v>93.682795698924721</v>
          </cell>
        </row>
        <row r="2827">
          <cell r="A2827">
            <v>32693</v>
          </cell>
          <cell r="B2827" t="str">
            <v>Beslag for switch for sikringskobling</v>
          </cell>
          <cell r="C2827" t="str">
            <v>Fitting for switch for safety coupling</v>
          </cell>
          <cell r="D2827">
            <v>80</v>
          </cell>
          <cell r="E2827">
            <v>10.75268817204301</v>
          </cell>
        </row>
        <row r="2828">
          <cell r="A2828">
            <v>32697</v>
          </cell>
          <cell r="B2828" t="str">
            <v>Godsfordeler PM615</v>
          </cell>
          <cell r="C2828" t="str">
            <v>Deflector PM615</v>
          </cell>
          <cell r="D2828">
            <v>2438</v>
          </cell>
          <cell r="E2828">
            <v>327.68817204301075</v>
          </cell>
        </row>
        <row r="2829">
          <cell r="A2829">
            <v>32705</v>
          </cell>
          <cell r="B2829" t="str">
            <v>Forstærkerring, bolt, for matr. med koniske skuldre PMV515</v>
          </cell>
          <cell r="C2829" t="str">
            <v>Reinforcement ring, bolt for Die, conical shoulders PMV515</v>
          </cell>
          <cell r="D2829">
            <v>12190</v>
          </cell>
          <cell r="E2829">
            <v>1638.4408602150536</v>
          </cell>
        </row>
        <row r="2830">
          <cell r="A2830">
            <v>32707</v>
          </cell>
          <cell r="B2830" t="str">
            <v>Forplade PMV515</v>
          </cell>
          <cell r="C2830" t="str">
            <v>Frontplate PMV515</v>
          </cell>
          <cell r="D2830">
            <v>11554</v>
          </cell>
          <cell r="E2830">
            <v>1552.9569892473116</v>
          </cell>
        </row>
        <row r="2831">
          <cell r="A2831">
            <v>32709</v>
          </cell>
          <cell r="B2831" t="str">
            <v>Fødecylinder med vinger PMV515</v>
          </cell>
          <cell r="C2831" t="str">
            <v>Feed cone with wings PMV515</v>
          </cell>
          <cell r="D2831">
            <v>9116</v>
          </cell>
          <cell r="E2831">
            <v>1225.2688172043011</v>
          </cell>
        </row>
        <row r="2832">
          <cell r="A2832">
            <v>32714</v>
          </cell>
          <cell r="B2832" t="str">
            <v>Slidring for hovedaksel/matrice for matr. med koniske skuldre PMV515</v>
          </cell>
          <cell r="C2832" t="str">
            <v>Wearring for main shaft/Die conical PMV515</v>
          </cell>
          <cell r="D2832">
            <v>1536</v>
          </cell>
          <cell r="E2832">
            <v>206.45161290322579</v>
          </cell>
        </row>
        <row r="2833">
          <cell r="A2833">
            <v>32717</v>
          </cell>
          <cell r="B2833" t="str">
            <v>Godsfordeler PM515</v>
          </cell>
          <cell r="C2833" t="str">
            <v>Deflector PM515</v>
          </cell>
          <cell r="D2833">
            <v>2650</v>
          </cell>
          <cell r="E2833">
            <v>356.18279569892474</v>
          </cell>
        </row>
        <row r="2834">
          <cell r="A2834">
            <v>32737</v>
          </cell>
          <cell r="B2834" t="str">
            <v>Hængsel for pillekammer, bund, højre M615</v>
          </cell>
          <cell r="C2834" t="str">
            <v>Hinge for pellet chamber bottom, right M615</v>
          </cell>
          <cell r="D2834">
            <v>1590</v>
          </cell>
          <cell r="E2834">
            <v>213.70967741935482</v>
          </cell>
        </row>
        <row r="2835">
          <cell r="A2835">
            <v>32750</v>
          </cell>
          <cell r="B2835" t="str">
            <v>Forplade PM 615 XW 2 ruller 1 vejs</v>
          </cell>
          <cell r="C2835" t="str">
            <v>Frontplate PM615 XW</v>
          </cell>
          <cell r="D2835">
            <v>12990</v>
          </cell>
          <cell r="E2835">
            <v>1745.9677419354837</v>
          </cell>
        </row>
        <row r="2836">
          <cell r="A2836">
            <v>32764</v>
          </cell>
          <cell r="B2836" t="str">
            <v>Kniv konplet</v>
          </cell>
          <cell r="C2836" t="str">
            <v xml:space="preserve">Knife complete </v>
          </cell>
          <cell r="D2836">
            <v>1420</v>
          </cell>
          <cell r="E2836">
            <v>190.86021505376343</v>
          </cell>
        </row>
        <row r="2837">
          <cell r="A2837">
            <v>32765</v>
          </cell>
          <cell r="B2837" t="str">
            <v>Knivblad  T3 B190</v>
          </cell>
          <cell r="C2837" t="str">
            <v xml:space="preserve">Knife blade T3 B190 </v>
          </cell>
          <cell r="D2837">
            <v>233</v>
          </cell>
          <cell r="E2837">
            <v>31.317204301075268</v>
          </cell>
        </row>
        <row r="2838">
          <cell r="A2838">
            <v>32798</v>
          </cell>
          <cell r="B2838" t="str">
            <v>Påfyldningsprop Lentz</v>
          </cell>
          <cell r="C2838" t="str">
            <v>Refilling plug Lentz</v>
          </cell>
          <cell r="D2838">
            <v>379</v>
          </cell>
          <cell r="E2838">
            <v>50.94086021505376</v>
          </cell>
        </row>
        <row r="2839">
          <cell r="A2839">
            <v>32803</v>
          </cell>
          <cell r="B2839" t="str">
            <v>Lejehus for rulleholderaksel, bag (Komplet)  PM717</v>
          </cell>
          <cell r="C2839" t="str">
            <v>Bearing house for rollershaft, back compl. PM717</v>
          </cell>
          <cell r="D2839">
            <v>34821</v>
          </cell>
          <cell r="E2839">
            <v>4680.2419354838703</v>
          </cell>
        </row>
        <row r="2840">
          <cell r="A2840">
            <v>32806</v>
          </cell>
          <cell r="B2840" t="str">
            <v>Sidedæksel for gearboks PM717</v>
          </cell>
          <cell r="C2840" t="str">
            <v>Sidecover for gearbox PM717</v>
          </cell>
          <cell r="D2840">
            <v>1713</v>
          </cell>
          <cell r="E2840">
            <v>230.24193548387095</v>
          </cell>
        </row>
        <row r="2841">
          <cell r="A2841">
            <v>32807</v>
          </cell>
          <cell r="B2841" t="str">
            <v>Dæksel for rulleholderleje, for PM717</v>
          </cell>
          <cell r="C2841" t="str">
            <v>Cover f. rollerbearing PM717</v>
          </cell>
          <cell r="D2841">
            <v>2179</v>
          </cell>
          <cell r="E2841">
            <v>292.8763440860215</v>
          </cell>
        </row>
        <row r="2842">
          <cell r="A2842">
            <v>32808</v>
          </cell>
          <cell r="B2842" t="str">
            <v>Lejehus hovedaksel, for PM717</v>
          </cell>
          <cell r="C2842" t="str">
            <v>Bearing house mainshaft for PM717</v>
          </cell>
          <cell r="D2842">
            <v>13239</v>
          </cell>
          <cell r="E2842">
            <v>1779.4354838709676</v>
          </cell>
        </row>
        <row r="2843">
          <cell r="A2843">
            <v>32810</v>
          </cell>
          <cell r="B2843" t="str">
            <v>Drivaksel    9,56:1 PM717</v>
          </cell>
          <cell r="C2843" t="str">
            <v>Drive shaft 9,56:1 PM717</v>
          </cell>
          <cell r="D2843">
            <v>12010</v>
          </cell>
          <cell r="E2843">
            <v>1614.247311827957</v>
          </cell>
        </row>
        <row r="2844">
          <cell r="A2844">
            <v>32811</v>
          </cell>
          <cell r="B2844" t="str">
            <v>Hængsel for pillekammer top PM717 USA</v>
          </cell>
          <cell r="C2844" t="str">
            <v>Hinge for pellet chamber top PM717 USA</v>
          </cell>
          <cell r="D2844">
            <v>2238</v>
          </cell>
          <cell r="E2844">
            <v>300.80645161290323</v>
          </cell>
        </row>
        <row r="2845">
          <cell r="A2845">
            <v>32813</v>
          </cell>
          <cell r="B2845" t="str">
            <v>Hovedaksel for bolt PM717</v>
          </cell>
          <cell r="C2845" t="str">
            <v>Mainshaft for bolt PM717</v>
          </cell>
          <cell r="D2845">
            <v>58830</v>
          </cell>
          <cell r="E2845">
            <v>7907.2580645161288</v>
          </cell>
        </row>
        <row r="2846">
          <cell r="A2846">
            <v>32815</v>
          </cell>
          <cell r="B2846" t="str">
            <v>Hængsel for pillekammer bund PM717 USA</v>
          </cell>
          <cell r="C2846" t="str">
            <v>Hinge for pellet chamber bottom PM717 USA</v>
          </cell>
          <cell r="D2846">
            <v>2238</v>
          </cell>
          <cell r="E2846">
            <v>300.80645161290323</v>
          </cell>
        </row>
        <row r="2847">
          <cell r="A2847">
            <v>32817</v>
          </cell>
          <cell r="B2847" t="str">
            <v xml:space="preserve">Rulleholderaksel PM717 </v>
          </cell>
          <cell r="C2847" t="str">
            <v>Roller main shaft PM717</v>
          </cell>
          <cell r="D2847">
            <v>90736</v>
          </cell>
          <cell r="E2847">
            <v>12195.698924731181</v>
          </cell>
        </row>
        <row r="2848">
          <cell r="A2848">
            <v>32819</v>
          </cell>
          <cell r="B2848" t="str">
            <v>Sikringskobling PM717</v>
          </cell>
          <cell r="C2848" t="str">
            <v>Safety coupling PM717</v>
          </cell>
          <cell r="D2848">
            <v>13886</v>
          </cell>
          <cell r="E2848">
            <v>1866.3978494623655</v>
          </cell>
        </row>
        <row r="2849">
          <cell r="A2849">
            <v>32821</v>
          </cell>
          <cell r="B2849" t="str">
            <v>Slidring hovedaksel, for PM717</v>
          </cell>
          <cell r="C2849" t="str">
            <v>Wearring for main shaft for PMV717</v>
          </cell>
          <cell r="D2849">
            <v>9069</v>
          </cell>
          <cell r="E2849">
            <v>1218.9516129032259</v>
          </cell>
        </row>
        <row r="2850">
          <cell r="A2850">
            <v>32824</v>
          </cell>
          <cell r="B2850" t="str">
            <v>Feder AB 32 x 18 x 140 DIN6880</v>
          </cell>
          <cell r="C2850" t="str">
            <v>Parallel key AB 32 x 18 x 140 DIN6880</v>
          </cell>
          <cell r="D2850">
            <v>93</v>
          </cell>
          <cell r="E2850">
            <v>12.5</v>
          </cell>
        </row>
        <row r="2851">
          <cell r="A2851">
            <v>32825</v>
          </cell>
          <cell r="B2851" t="str">
            <v>Shim sæt 5mm lamineret PM717</v>
          </cell>
          <cell r="C2851" t="str">
            <v>Shim set 5mm laminated PM717</v>
          </cell>
          <cell r="D2851">
            <v>4299</v>
          </cell>
          <cell r="E2851">
            <v>577.82258064516122</v>
          </cell>
        </row>
        <row r="2852">
          <cell r="A2852">
            <v>32826</v>
          </cell>
          <cell r="B2852" t="str">
            <v>Lejehus åben for drivaksel PM717</v>
          </cell>
          <cell r="C2852" t="str">
            <v>Bearing house, open for drive shaft PM717</v>
          </cell>
          <cell r="D2852">
            <v>9487</v>
          </cell>
          <cell r="E2852">
            <v>1275.1344086021504</v>
          </cell>
        </row>
        <row r="2853">
          <cell r="A2853">
            <v>32827</v>
          </cell>
          <cell r="B2853" t="str">
            <v>Afkasterring for drivaksel</v>
          </cell>
          <cell r="C2853" t="str">
            <v>Discharge ring drive shaft</v>
          </cell>
          <cell r="D2853">
            <v>1401</v>
          </cell>
          <cell r="E2853">
            <v>188.3064516129032</v>
          </cell>
        </row>
        <row r="2854">
          <cell r="A2854">
            <v>32829</v>
          </cell>
          <cell r="B2854" t="str">
            <v>Lejehus lukket for drivaksel PM717</v>
          </cell>
          <cell r="C2854" t="str">
            <v>Bearing house, closed for drive shaft PM717</v>
          </cell>
          <cell r="D2854">
            <v>4648</v>
          </cell>
          <cell r="E2854">
            <v>624.73118279569894</v>
          </cell>
        </row>
        <row r="2855">
          <cell r="A2855">
            <v>32831</v>
          </cell>
          <cell r="B2855" t="str">
            <v>Drivaksel    7,64:1 PM717</v>
          </cell>
          <cell r="C2855" t="str">
            <v xml:space="preserve">Drive shaft 7,64:1 PM717 </v>
          </cell>
          <cell r="D2855">
            <v>12010</v>
          </cell>
          <cell r="E2855">
            <v>1614.247311827957</v>
          </cell>
        </row>
        <row r="2856">
          <cell r="A2856">
            <v>32833</v>
          </cell>
          <cell r="B2856" t="str">
            <v>Nav for hovedaksel PM717</v>
          </cell>
          <cell r="C2856" t="str">
            <v>Hub for mainshaft PM717</v>
          </cell>
          <cell r="D2856">
            <v>46640</v>
          </cell>
          <cell r="E2856">
            <v>6268.8172043010745</v>
          </cell>
        </row>
        <row r="2857">
          <cell r="A2857">
            <v>32835</v>
          </cell>
          <cell r="B2857" t="str">
            <v>Låsering SMALLEY SPECIAL</v>
          </cell>
          <cell r="C2857" t="str">
            <v>Lock ring SMALLEY SPECIAL</v>
          </cell>
          <cell r="D2857">
            <v>323</v>
          </cell>
          <cell r="E2857">
            <v>43.413978494623656</v>
          </cell>
        </row>
        <row r="2858">
          <cell r="A2858">
            <v>32836</v>
          </cell>
          <cell r="B2858" t="str">
            <v>Låsering SMALLEY SPECIAL</v>
          </cell>
          <cell r="C2858" t="str">
            <v>Lock ring SMALLEY SPECIAL</v>
          </cell>
          <cell r="D2858">
            <v>271</v>
          </cell>
          <cell r="E2858">
            <v>36.424731182795696</v>
          </cell>
        </row>
        <row r="2859">
          <cell r="A2859">
            <v>32839</v>
          </cell>
          <cell r="B2859" t="str">
            <v>Tætningsring Ø440 x Ø480 x 20 CS Viton</v>
          </cell>
          <cell r="C2859" t="str">
            <v>Sealing ring Ø440 x Ø480 x 20 CS Viton</v>
          </cell>
          <cell r="D2859">
            <v>2120</v>
          </cell>
          <cell r="E2859">
            <v>284.94623655913978</v>
          </cell>
        </row>
        <row r="2860">
          <cell r="A2860">
            <v>32840</v>
          </cell>
          <cell r="B2860" t="str">
            <v>Tætningsring Ø140 x Ø160 x 13 C NB</v>
          </cell>
          <cell r="C2860" t="str">
            <v>Sealing ring Ø140 x Ø160 x 13 C NB</v>
          </cell>
          <cell r="D2860">
            <v>149</v>
          </cell>
          <cell r="E2860">
            <v>20.026881720430108</v>
          </cell>
        </row>
        <row r="2861">
          <cell r="A2861">
            <v>32841</v>
          </cell>
          <cell r="B2861" t="str">
            <v>Tætningsring Ø165 x Ø200 x 15 C NB</v>
          </cell>
          <cell r="C2861" t="str">
            <v>Sealing ring Ø165 x Ø200 x 15 C NB</v>
          </cell>
          <cell r="D2861">
            <v>95</v>
          </cell>
          <cell r="E2861">
            <v>12.768817204301074</v>
          </cell>
        </row>
        <row r="2862">
          <cell r="A2862">
            <v>32842</v>
          </cell>
          <cell r="B2862" t="str">
            <v>Konisk rulleleje EE231462/231975</v>
          </cell>
          <cell r="C2862" t="str">
            <v>Roller bearing, tapered EE231462/231975</v>
          </cell>
          <cell r="D2862">
            <v>40635</v>
          </cell>
          <cell r="E2862">
            <v>5461.6935483870966</v>
          </cell>
        </row>
        <row r="2863">
          <cell r="A2863">
            <v>32843</v>
          </cell>
          <cell r="B2863" t="str">
            <v>Konisk rulleleje M244249-M244210</v>
          </cell>
          <cell r="C2863" t="str">
            <v>Roller bearing, tapered M244249-M244210</v>
          </cell>
          <cell r="D2863">
            <v>12576</v>
          </cell>
          <cell r="E2863">
            <v>1690.3225806451612</v>
          </cell>
        </row>
        <row r="2864">
          <cell r="A2864">
            <v>32845</v>
          </cell>
          <cell r="B2864" t="str">
            <v>Cyl. Rulleleje 170 RU91-R3</v>
          </cell>
          <cell r="C2864" t="str">
            <v>Cyl. Roller bearing 170 RU91-R3</v>
          </cell>
          <cell r="D2864">
            <v>26325</v>
          </cell>
          <cell r="E2864">
            <v>3538.3064516129029</v>
          </cell>
        </row>
        <row r="2865">
          <cell r="A2865">
            <v>32849</v>
          </cell>
          <cell r="B2865" t="str">
            <v>Tætningsring A Ø195 x Ø230 x 15 NB</v>
          </cell>
          <cell r="C2865" t="str">
            <v>Sealing ring A Ø195 x Ø230 x 15 NB</v>
          </cell>
          <cell r="D2865">
            <v>453</v>
          </cell>
          <cell r="E2865">
            <v>60.887096774193544</v>
          </cell>
        </row>
        <row r="2866">
          <cell r="A2866">
            <v>32859</v>
          </cell>
          <cell r="B2866" t="str">
            <v>Glideleje JF Ø140</v>
          </cell>
          <cell r="C2866" t="str">
            <v>Slide bearing JF Ø140</v>
          </cell>
          <cell r="D2866">
            <v>1648</v>
          </cell>
          <cell r="E2866">
            <v>221.50537634408602</v>
          </cell>
        </row>
        <row r="2867">
          <cell r="A2867">
            <v>32881</v>
          </cell>
          <cell r="B2867" t="str">
            <v>Forplade PM919XW 3 ruller 1 vejs</v>
          </cell>
          <cell r="C2867" t="str">
            <v>Frontplate PM919XW</v>
          </cell>
          <cell r="D2867">
            <v>39964</v>
          </cell>
          <cell r="E2867">
            <v>5371.5053763440856</v>
          </cell>
        </row>
        <row r="2868">
          <cell r="A2868">
            <v>32897</v>
          </cell>
          <cell r="B2868" t="str">
            <v>Kniv, komplet, incl. pos. 31-38 PM919XW</v>
          </cell>
          <cell r="C2868" t="str">
            <v>Knife complete, incl. pos. 31-38 PM919XW</v>
          </cell>
          <cell r="D2868">
            <v>1299</v>
          </cell>
          <cell r="E2868">
            <v>174.59677419354838</v>
          </cell>
        </row>
        <row r="2869">
          <cell r="A2869">
            <v>32927</v>
          </cell>
          <cell r="B2869" t="str">
            <v>Rulleholderaksel PM919</v>
          </cell>
          <cell r="C2869" t="str">
            <v>Roller main shaft PM919</v>
          </cell>
          <cell r="D2869">
            <v>120000</v>
          </cell>
          <cell r="E2869">
            <v>16129.032258064515</v>
          </cell>
        </row>
        <row r="2870">
          <cell r="A2870">
            <v>32928</v>
          </cell>
          <cell r="B2870" t="str">
            <v>Hovedaksel for bolt PM919</v>
          </cell>
          <cell r="C2870" t="str">
            <v>Mainshaft for bolt PM919</v>
          </cell>
          <cell r="D2870">
            <v>96460</v>
          </cell>
          <cell r="E2870">
            <v>12965.053763440859</v>
          </cell>
        </row>
        <row r="2871">
          <cell r="A2871">
            <v>32931</v>
          </cell>
          <cell r="B2871" t="str">
            <v>Shim sæt 5mm lamineret PM919</v>
          </cell>
          <cell r="C2871" t="str">
            <v>Shim set 5mm laminated PM919</v>
          </cell>
          <cell r="D2871">
            <v>7377</v>
          </cell>
          <cell r="E2871">
            <v>991.5322580645161</v>
          </cell>
        </row>
        <row r="2872">
          <cell r="A2872">
            <v>32937</v>
          </cell>
          <cell r="B2872" t="str">
            <v>Lejehus for rulleholderaksel</v>
          </cell>
          <cell r="C2872" t="str">
            <v>Bearing house for rollershaft main shaft</v>
          </cell>
          <cell r="D2872">
            <v>20670</v>
          </cell>
          <cell r="E2872">
            <v>2778.2258064516127</v>
          </cell>
        </row>
        <row r="2873">
          <cell r="A2873">
            <v>32945</v>
          </cell>
          <cell r="B2873" t="str">
            <v>Dæksel for rulleholder leje PM919</v>
          </cell>
          <cell r="C2873" t="str">
            <v>Cover f. rollerbearing PM919</v>
          </cell>
          <cell r="D2873">
            <v>4181</v>
          </cell>
          <cell r="E2873">
            <v>561.96236559139777</v>
          </cell>
        </row>
        <row r="2874">
          <cell r="A2874">
            <v>32946</v>
          </cell>
          <cell r="B2874" t="str">
            <v>Lejehus hovedaksel, for PM919</v>
          </cell>
          <cell r="C2874" t="str">
            <v>Bearing house mainshaft for PM919</v>
          </cell>
          <cell r="D2874">
            <v>25043</v>
          </cell>
          <cell r="E2874">
            <v>3365.994623655914</v>
          </cell>
        </row>
        <row r="2875">
          <cell r="A2875">
            <v>32947</v>
          </cell>
          <cell r="B2875" t="str">
            <v>Lejehus lukket for drivaksel PM919</v>
          </cell>
          <cell r="C2875" t="str">
            <v>Bearing house, closed for drive shaft PM919</v>
          </cell>
          <cell r="D2875">
            <v>7632</v>
          </cell>
          <cell r="E2875">
            <v>1025.8064516129032</v>
          </cell>
        </row>
        <row r="2876">
          <cell r="A2876">
            <v>32948</v>
          </cell>
          <cell r="B2876" t="str">
            <v>Lejehus åben for drivaksel PM919</v>
          </cell>
          <cell r="C2876" t="str">
            <v>Bearing house, open for drive shaft PM919</v>
          </cell>
          <cell r="D2876">
            <v>10738</v>
          </cell>
          <cell r="E2876">
            <v>1443.2795698924731</v>
          </cell>
        </row>
        <row r="2877">
          <cell r="A2877">
            <v>32949</v>
          </cell>
          <cell r="B2877" t="str">
            <v>Nav for hovedaksel PM919</v>
          </cell>
          <cell r="C2877" t="str">
            <v>Hub for mainshaft PM919</v>
          </cell>
          <cell r="D2877">
            <v>63480</v>
          </cell>
          <cell r="E2877">
            <v>8532.2580645161288</v>
          </cell>
        </row>
        <row r="2878">
          <cell r="A2878">
            <v>32957</v>
          </cell>
          <cell r="B2878" t="str">
            <v>Sikringskobling nav PM919</v>
          </cell>
          <cell r="C2878" t="str">
            <v>Safety coupling hub PM919</v>
          </cell>
          <cell r="D2878">
            <v>16430</v>
          </cell>
          <cell r="E2878">
            <v>2208.333333333333</v>
          </cell>
        </row>
        <row r="2879">
          <cell r="A2879">
            <v>32958</v>
          </cell>
          <cell r="B2879" t="str">
            <v>Feder AB 36 x 20 x 145 DS96</v>
          </cell>
          <cell r="C2879" t="str">
            <v>Parallel key AB 36 x 20 x 145 DS96</v>
          </cell>
          <cell r="D2879">
            <v>57</v>
          </cell>
          <cell r="E2879">
            <v>7.661290322580645</v>
          </cell>
        </row>
        <row r="2880">
          <cell r="A2880">
            <v>32959</v>
          </cell>
          <cell r="B2880" t="str">
            <v>Afstandsring for leje Rulleholderaksel PM919</v>
          </cell>
          <cell r="C2880" t="str">
            <v>Spacer for bearing</v>
          </cell>
          <cell r="D2880">
            <v>347</v>
          </cell>
          <cell r="E2880">
            <v>46.63978494623656</v>
          </cell>
        </row>
        <row r="2881">
          <cell r="A2881">
            <v>32960</v>
          </cell>
          <cell r="B2881" t="str">
            <v>Konisk rulleleje M249749-M249710</v>
          </cell>
          <cell r="C2881" t="str">
            <v>Roller bearing, tapered M249749-M249710</v>
          </cell>
          <cell r="D2881">
            <v>5724</v>
          </cell>
          <cell r="E2881">
            <v>769.35483870967732</v>
          </cell>
        </row>
        <row r="2882">
          <cell r="A2882">
            <v>32961</v>
          </cell>
          <cell r="B2882" t="str">
            <v>Cyl. Rulleleje 200 RU91-R3</v>
          </cell>
          <cell r="C2882" t="str">
            <v>Cyl. Rollerbearing 200 RU91-R3</v>
          </cell>
          <cell r="D2882">
            <v>19928</v>
          </cell>
          <cell r="E2882">
            <v>2678.494623655914</v>
          </cell>
        </row>
        <row r="2883">
          <cell r="A2883">
            <v>32962</v>
          </cell>
          <cell r="B2883" t="str">
            <v>Cyl. Rulleleje NU 2317E.M1/C3</v>
          </cell>
          <cell r="C2883" t="str">
            <v>Cyl. Rollerbearing NU 2317E.M1/C3</v>
          </cell>
          <cell r="D2883">
            <v>4159</v>
          </cell>
          <cell r="E2883">
            <v>559.00537634408602</v>
          </cell>
        </row>
        <row r="2884">
          <cell r="A2884">
            <v>32963</v>
          </cell>
          <cell r="B2884" t="str">
            <v>Tætningsring AB Ø530 x Ø580 x 25 Viton</v>
          </cell>
          <cell r="C2884" t="str">
            <v>Sealing ring AB Ø530 x Ø580 x 25 Viton</v>
          </cell>
          <cell r="D2884">
            <v>4548</v>
          </cell>
          <cell r="E2884">
            <v>611.29032258064512</v>
          </cell>
        </row>
        <row r="2885">
          <cell r="A2885">
            <v>32964</v>
          </cell>
          <cell r="B2885" t="str">
            <v>Tætningsring A Ø240 x Ø270 x 15 NB</v>
          </cell>
          <cell r="C2885" t="str">
            <v>Sealing ring A Ø240 x Ø270 x 15 NB</v>
          </cell>
          <cell r="D2885">
            <v>112</v>
          </cell>
          <cell r="E2885">
            <v>15.053763440860214</v>
          </cell>
        </row>
        <row r="2886">
          <cell r="A2886">
            <v>32968</v>
          </cell>
          <cell r="B2886" t="str">
            <v>Låsering DNH - 190  DIN 472</v>
          </cell>
          <cell r="C2886" t="str">
            <v>Lock ring DNH-190   DIN 974</v>
          </cell>
          <cell r="D2886">
            <v>253</v>
          </cell>
          <cell r="E2886">
            <v>34.005376344086017</v>
          </cell>
        </row>
        <row r="2887">
          <cell r="A2887">
            <v>32969</v>
          </cell>
          <cell r="B2887" t="str">
            <v>Låsering DNH-200 DIN 471</v>
          </cell>
          <cell r="C2887" t="str">
            <v>Lock ring DNH-200 DIN 471</v>
          </cell>
          <cell r="D2887">
            <v>358</v>
          </cell>
          <cell r="E2887">
            <v>48.118279569892472</v>
          </cell>
        </row>
        <row r="2888">
          <cell r="A2888">
            <v>32970</v>
          </cell>
          <cell r="B2888" t="str">
            <v>Knivblad T4 B270 PM919XW</v>
          </cell>
          <cell r="C2888" t="str">
            <v>Knife blade T4 B270 PM919XW</v>
          </cell>
          <cell r="D2888">
            <v>293</v>
          </cell>
          <cell r="E2888">
            <v>39.381720430107528</v>
          </cell>
        </row>
        <row r="2889">
          <cell r="A2889">
            <v>32973</v>
          </cell>
          <cell r="B2889" t="str">
            <v>Afkasterring for drivaksel PM919</v>
          </cell>
          <cell r="C2889" t="str">
            <v>Discharge ring drive shaft PM919</v>
          </cell>
          <cell r="D2889">
            <v>2002</v>
          </cell>
          <cell r="E2889">
            <v>269.08602150537632</v>
          </cell>
        </row>
        <row r="2890">
          <cell r="A2890">
            <v>32976</v>
          </cell>
          <cell r="B2890" t="str">
            <v>Tætningsring A Ø190 x Ø220 x 15 NB</v>
          </cell>
          <cell r="C2890" t="str">
            <v>Sealing ring A Ø190 x Ø220 x 15 NB</v>
          </cell>
          <cell r="D2890">
            <v>73</v>
          </cell>
          <cell r="E2890">
            <v>9.8118279569892461</v>
          </cell>
        </row>
        <row r="2891">
          <cell r="A2891">
            <v>32977</v>
          </cell>
          <cell r="B2891" t="str">
            <v>Glideleje JF Ø160</v>
          </cell>
          <cell r="C2891" t="str">
            <v>Slide bearing JF Ø160</v>
          </cell>
          <cell r="D2891">
            <v>1649</v>
          </cell>
          <cell r="E2891">
            <v>221.63978494623655</v>
          </cell>
        </row>
        <row r="2892">
          <cell r="A2892">
            <v>32978</v>
          </cell>
          <cell r="B2892" t="str">
            <v>erstattet af 002371</v>
          </cell>
          <cell r="C2892" t="str">
            <v>Replaced by 002371</v>
          </cell>
          <cell r="D2892" t="str">
            <v>replaced</v>
          </cell>
          <cell r="E2892" t="e">
            <v>#VALUE!</v>
          </cell>
        </row>
        <row r="2893">
          <cell r="A2893">
            <v>32980</v>
          </cell>
          <cell r="B2893" t="str">
            <v>Sidedæksel for gearboks PM919</v>
          </cell>
          <cell r="C2893" t="str">
            <v>Sidecover for gearbox PM919</v>
          </cell>
          <cell r="D2893">
            <v>2044</v>
          </cell>
          <cell r="E2893">
            <v>274.73118279569889</v>
          </cell>
        </row>
        <row r="2894">
          <cell r="A2894">
            <v>32989</v>
          </cell>
          <cell r="B2894" t="str">
            <v>Slidring Hovedaksel For PM919</v>
          </cell>
          <cell r="C2894" t="str">
            <v xml:space="preserve">Wearring for main shaft for PM919 </v>
          </cell>
          <cell r="D2894">
            <v>11307</v>
          </cell>
          <cell r="E2894">
            <v>1519.758064516129</v>
          </cell>
        </row>
        <row r="2895">
          <cell r="A2895">
            <v>32993</v>
          </cell>
          <cell r="B2895" t="str">
            <v>Konisk rulleleje B-42292 Timken</v>
          </cell>
          <cell r="C2895" t="str">
            <v>Roller bearing, tapered B-42292 Timken</v>
          </cell>
          <cell r="D2895">
            <v>4770</v>
          </cell>
          <cell r="E2895">
            <v>641.12903225806451</v>
          </cell>
        </row>
        <row r="2896">
          <cell r="A2896">
            <v>33026</v>
          </cell>
          <cell r="B2896" t="str">
            <v>Motor ABB 1,5 kW, 1400 o/min.</v>
          </cell>
          <cell r="C2896" t="str">
            <v>Motor ABB 1,5 kW, 1400 o/min.</v>
          </cell>
          <cell r="D2896">
            <v>1247</v>
          </cell>
          <cell r="E2896">
            <v>167.60752688172042</v>
          </cell>
        </row>
        <row r="2897">
          <cell r="A2897">
            <v>33050</v>
          </cell>
          <cell r="B2897" t="str">
            <v>Luftregulator 8-8456</v>
          </cell>
          <cell r="C2897" t="str">
            <v>Air regulator 8-8456</v>
          </cell>
          <cell r="D2897">
            <v>610</v>
          </cell>
          <cell r="E2897">
            <v>81.989247311827953</v>
          </cell>
        </row>
        <row r="2898">
          <cell r="A2898">
            <v>33052</v>
          </cell>
          <cell r="B2898" t="str">
            <v>Ventil, magnetventil 1/4" 8-8788</v>
          </cell>
          <cell r="C2898" t="str">
            <v>Solenoid valve 1/4" 8-8788</v>
          </cell>
          <cell r="D2898">
            <v>1517</v>
          </cell>
          <cell r="E2898">
            <v>203.89784946236557</v>
          </cell>
        </row>
        <row r="2899">
          <cell r="A2899">
            <v>33053</v>
          </cell>
          <cell r="B2899" t="str">
            <v>Ventil, magnetventil højtryk, 220 V, 8-8057, 2 eller 3 stk.</v>
          </cell>
          <cell r="C2899" t="str">
            <v>Solenoid valve high pressure, 220V 8-8057 2 or 3 pcs.</v>
          </cell>
          <cell r="D2899">
            <v>6819</v>
          </cell>
          <cell r="E2899">
            <v>916.5322580645161</v>
          </cell>
        </row>
        <row r="2900">
          <cell r="A2900">
            <v>33054</v>
          </cell>
          <cell r="B2900" t="str">
            <v>Pumpe 2½" luftdrevet 82054</v>
          </cell>
          <cell r="C2900" t="str">
            <v>Pump 2½" airdriven 82054</v>
          </cell>
          <cell r="D2900">
            <v>5067</v>
          </cell>
          <cell r="E2900">
            <v>681.04838709677415</v>
          </cell>
        </row>
        <row r="2901">
          <cell r="A2901">
            <v>33055</v>
          </cell>
          <cell r="B2901" t="str">
            <v>Reparationssæt for pumpe 82054</v>
          </cell>
          <cell r="C2901" t="str">
            <v>Repairset for pump 82054</v>
          </cell>
          <cell r="D2901">
            <v>4137</v>
          </cell>
          <cell r="E2901">
            <v>556.04838709677415</v>
          </cell>
        </row>
        <row r="2902">
          <cell r="A2902">
            <v>33056</v>
          </cell>
          <cell r="B2902" t="str">
            <v>Reparationssæt for pumperør 83001</v>
          </cell>
          <cell r="C2902" t="str">
            <v>Repairset for pump pipe 83001</v>
          </cell>
          <cell r="D2902">
            <v>1680</v>
          </cell>
          <cell r="E2902">
            <v>225.8064516129032</v>
          </cell>
        </row>
        <row r="2903">
          <cell r="A2903">
            <v>33066</v>
          </cell>
          <cell r="B2903" t="str">
            <v>Slange 1/2" 1000 90gr, lige omløber</v>
          </cell>
          <cell r="C2903" t="str">
            <v>Hose 1/2" 1000 90gr, straight circulation</v>
          </cell>
          <cell r="D2903">
            <v>426</v>
          </cell>
          <cell r="E2903">
            <v>57.258064516129032</v>
          </cell>
        </row>
        <row r="2904">
          <cell r="A2904">
            <v>33068</v>
          </cell>
          <cell r="B2904" t="str">
            <v>Kileremskive SPC14 Ø1400</v>
          </cell>
          <cell r="C2904" t="str">
            <v>V-belt pulley SPC14 Ø1400</v>
          </cell>
          <cell r="D2904">
            <v>34689</v>
          </cell>
          <cell r="E2904">
            <v>4662.5</v>
          </cell>
        </row>
        <row r="2905">
          <cell r="A2905">
            <v>33069</v>
          </cell>
          <cell r="B2905" t="str">
            <v>Kileremskive SPC14 Ø375 TL 5050</v>
          </cell>
          <cell r="C2905" t="str">
            <v>V-belt pulley SPC14 Ø375 TL 5050</v>
          </cell>
          <cell r="D2905">
            <v>10849</v>
          </cell>
          <cell r="E2905">
            <v>1458.1989247311826</v>
          </cell>
        </row>
        <row r="2906">
          <cell r="A2906">
            <v>33116</v>
          </cell>
          <cell r="B2906" t="str">
            <v>Arm for cylinder</v>
          </cell>
          <cell r="C2906" t="str">
            <v>Arm for cylinder</v>
          </cell>
          <cell r="D2906">
            <v>111</v>
          </cell>
          <cell r="E2906">
            <v>14.919354838709676</v>
          </cell>
        </row>
        <row r="2907">
          <cell r="A2907">
            <v>33118</v>
          </cell>
          <cell r="B2907" t="str">
            <v>Aksel med vinger</v>
          </cell>
          <cell r="C2907" t="str">
            <v>Shaft with wings</v>
          </cell>
          <cell r="D2907">
            <v>9858</v>
          </cell>
          <cell r="E2907">
            <v>1325</v>
          </cell>
        </row>
        <row r="2908">
          <cell r="A2908">
            <v>33119</v>
          </cell>
          <cell r="B2908" t="str">
            <v>Beslag for gear</v>
          </cell>
          <cell r="C2908" t="str">
            <v>Hinging for gear</v>
          </cell>
          <cell r="D2908">
            <v>710</v>
          </cell>
          <cell r="E2908">
            <v>95.430107526881713</v>
          </cell>
        </row>
        <row r="2909">
          <cell r="A2909">
            <v>33120</v>
          </cell>
          <cell r="B2909" t="str">
            <v>Cylinderbeslag</v>
          </cell>
          <cell r="C2909" t="str">
            <v>Cylinder hinging</v>
          </cell>
          <cell r="D2909">
            <v>456</v>
          </cell>
          <cell r="E2909">
            <v>61.29032258064516</v>
          </cell>
        </row>
        <row r="2910">
          <cell r="A2910">
            <v>33135</v>
          </cell>
          <cell r="B2910" t="str">
            <v>Hængetryk med nødstop</v>
          </cell>
          <cell r="C2910" t="str">
            <v xml:space="preserve">Emergency stop </v>
          </cell>
          <cell r="D2910">
            <v>1007</v>
          </cell>
          <cell r="E2910">
            <v>135.34946236559139</v>
          </cell>
        </row>
        <row r="2911">
          <cell r="A2911">
            <v>33145</v>
          </cell>
          <cell r="B2911" t="str">
            <v>Aksel for el-spil</v>
          </cell>
          <cell r="C2911" t="str">
            <v>Shaft for winch std.3</v>
          </cell>
          <cell r="D2911">
            <v>1413</v>
          </cell>
          <cell r="E2911">
            <v>189.91935483870967</v>
          </cell>
        </row>
        <row r="2912">
          <cell r="A2912">
            <v>33146</v>
          </cell>
          <cell r="B2912" t="str">
            <v>Aksel for el-spil</v>
          </cell>
          <cell r="C2912" t="str">
            <v>Shaft for winch</v>
          </cell>
          <cell r="D2912">
            <v>817</v>
          </cell>
          <cell r="E2912">
            <v>109.81182795698925</v>
          </cell>
        </row>
        <row r="2913">
          <cell r="A2913">
            <v>33198</v>
          </cell>
          <cell r="B2913" t="str">
            <v>Kileremskive SPC12 Ø800 TL 5050</v>
          </cell>
          <cell r="C2913" t="str">
            <v>V-belt pulley SPC12 Ø800 TL 5050</v>
          </cell>
          <cell r="D2913">
            <v>15899</v>
          </cell>
          <cell r="E2913">
            <v>2136.9623655913979</v>
          </cell>
        </row>
        <row r="2914">
          <cell r="A2914">
            <v>33199</v>
          </cell>
          <cell r="B2914" t="str">
            <v>Kileremskive SPC12 Ø300 TL 5050</v>
          </cell>
          <cell r="C2914" t="str">
            <v>V-belt pulley SPC12 Ø300 TL 5050</v>
          </cell>
          <cell r="D2914">
            <v>6516</v>
          </cell>
          <cell r="E2914">
            <v>875.80645161290317</v>
          </cell>
        </row>
        <row r="2915">
          <cell r="A2915">
            <v>33200</v>
          </cell>
          <cell r="B2915" t="str">
            <v>Kilerem SPC 3750 – Red Power</v>
          </cell>
          <cell r="C2915" t="str">
            <v>V-belt SPC 3750 - Red Power</v>
          </cell>
          <cell r="D2915">
            <v>382</v>
          </cell>
          <cell r="E2915">
            <v>51.344086021505376</v>
          </cell>
        </row>
        <row r="2916">
          <cell r="A2916">
            <v>33202</v>
          </cell>
          <cell r="B2916" t="str">
            <v>Gearmotor 0,90 kW 30/60 o/min 380V/50Hz</v>
          </cell>
          <cell r="C2916" t="str">
            <v>Gearmotor 0,90 kW 30/60 o/min 380V/50Hz</v>
          </cell>
          <cell r="D2916">
            <v>6343</v>
          </cell>
          <cell r="E2916">
            <v>852.55376344086017</v>
          </cell>
        </row>
        <row r="2917">
          <cell r="A2917">
            <v>33203</v>
          </cell>
          <cell r="B2917" t="str">
            <v>Gearmotor 1,6 kW 30/60 o/min 380V/50Hz</v>
          </cell>
          <cell r="C2917" t="str">
            <v>Gearmotor 1,6 kW 30/60 o/min 380V/50Hz</v>
          </cell>
          <cell r="D2917">
            <v>6541</v>
          </cell>
          <cell r="E2917">
            <v>879.16666666666663</v>
          </cell>
        </row>
        <row r="2918">
          <cell r="A2918">
            <v>33204</v>
          </cell>
          <cell r="B2918" t="str">
            <v>Cyl. Skrue M5 x 30 A2 DIN 912</v>
          </cell>
          <cell r="C2918" t="str">
            <v>Cheese-head screw M5 x 30 A2 DIN 912</v>
          </cell>
          <cell r="D2918">
            <v>1.1000000000000001</v>
          </cell>
          <cell r="E2918">
            <v>0.14784946236559141</v>
          </cell>
        </row>
        <row r="2919">
          <cell r="A2919">
            <v>33207</v>
          </cell>
          <cell r="B2919" t="str">
            <v>Ring for labyrint tætning</v>
          </cell>
          <cell r="C2919" t="str">
            <v>Ring for labyrinth proofing</v>
          </cell>
          <cell r="D2919">
            <v>2434</v>
          </cell>
          <cell r="E2919">
            <v>327.15053763440858</v>
          </cell>
        </row>
        <row r="2920">
          <cell r="A2920">
            <v>33217</v>
          </cell>
          <cell r="B2920" t="str">
            <v>Kileremskive SPC 14 - Ø400 TL 5050</v>
          </cell>
          <cell r="C2920" t="str">
            <v>V-belt pulley SPC 14 - Ø400 TL 5050</v>
          </cell>
          <cell r="D2920">
            <v>11236</v>
          </cell>
          <cell r="E2920">
            <v>1510.2150537634409</v>
          </cell>
        </row>
        <row r="2921">
          <cell r="A2921">
            <v>33236</v>
          </cell>
          <cell r="B2921" t="str">
            <v>Magnetventil 1/8" 341L9101 5/2 24VDC</v>
          </cell>
          <cell r="C2921" t="str">
            <v>Solenoid valve 1/8" 341L9101 5/2 24VDC</v>
          </cell>
          <cell r="D2921">
            <v>2025</v>
          </cell>
          <cell r="E2921">
            <v>272.17741935483872</v>
          </cell>
        </row>
        <row r="2922">
          <cell r="A2922">
            <v>33271</v>
          </cell>
          <cell r="B2922" t="str">
            <v>Spændeelement TL 5050 - Ø120</v>
          </cell>
          <cell r="C2922" t="str">
            <v>Shaft adapter, taper-lock  TL 5050 - Ø120</v>
          </cell>
          <cell r="D2922">
            <v>449</v>
          </cell>
          <cell r="E2922">
            <v>60.349462365591393</v>
          </cell>
        </row>
        <row r="2923">
          <cell r="A2923">
            <v>33272</v>
          </cell>
          <cell r="B2923" t="str">
            <v>Kilerem SPC 3550 – Red Power</v>
          </cell>
          <cell r="C2923" t="str">
            <v>V-belt SPC 3550 - Red Power</v>
          </cell>
          <cell r="D2923">
            <v>360</v>
          </cell>
          <cell r="E2923">
            <v>48.387096774193544</v>
          </cell>
        </row>
        <row r="2924">
          <cell r="A2924">
            <v>33275</v>
          </cell>
          <cell r="B2924" t="str">
            <v>Facetskive Ø36 FZB DIN 125B</v>
          </cell>
          <cell r="C2924" t="str">
            <v>Washer Ø36 FZB DIN 125B</v>
          </cell>
          <cell r="D2924">
            <v>9</v>
          </cell>
          <cell r="E2924">
            <v>1.2096774193548387</v>
          </cell>
        </row>
        <row r="2925">
          <cell r="A2925">
            <v>33279</v>
          </cell>
          <cell r="B2925" t="str">
            <v>Stopring Ø80/Ø45 x 14</v>
          </cell>
          <cell r="C2925" t="str">
            <v>Stop ring Ø80/Ø45 x 14</v>
          </cell>
          <cell r="D2925">
            <v>140</v>
          </cell>
          <cell r="E2925">
            <v>18.817204301075268</v>
          </cell>
        </row>
        <row r="2926">
          <cell r="A2926">
            <v>33306</v>
          </cell>
          <cell r="B2926" t="str">
            <v>Aksel med vinger</v>
          </cell>
          <cell r="C2926" t="str">
            <v>Shaft with wings</v>
          </cell>
          <cell r="D2926">
            <v>8194</v>
          </cell>
          <cell r="E2926">
            <v>1101.3440860215053</v>
          </cell>
        </row>
        <row r="2927">
          <cell r="A2927">
            <v>33311</v>
          </cell>
          <cell r="B2927" t="str">
            <v>Aksel med vinger</v>
          </cell>
          <cell r="C2927" t="str">
            <v>Shaft with wings</v>
          </cell>
          <cell r="D2927">
            <v>7102</v>
          </cell>
          <cell r="E2927">
            <v>954.56989247311822</v>
          </cell>
        </row>
        <row r="2928">
          <cell r="A2928">
            <v>33335</v>
          </cell>
          <cell r="B2928" t="str">
            <v>Kileremskive SPC10 Ø800 TL 5050</v>
          </cell>
          <cell r="C2928" t="str">
            <v>V-belt pulley SPC10 Ø800 TL 5050</v>
          </cell>
          <cell r="D2928">
            <v>9434</v>
          </cell>
          <cell r="E2928">
            <v>1268.010752688172</v>
          </cell>
        </row>
        <row r="2929">
          <cell r="A2929">
            <v>33397</v>
          </cell>
          <cell r="B2929" t="str">
            <v>Quicklub type 203 – 4 kg elpumpe</v>
          </cell>
          <cell r="C2929" t="str">
            <v>Quicklub type 203 – 4 kg electrical pump</v>
          </cell>
          <cell r="D2929">
            <v>11973</v>
          </cell>
          <cell r="E2929">
            <v>1609.2741935483871</v>
          </cell>
        </row>
        <row r="2930">
          <cell r="A2930">
            <v>33443</v>
          </cell>
          <cell r="B2930" t="str">
            <v>Slidsnegl støbt</v>
          </cell>
          <cell r="C2930" t="str">
            <v>Wear worm, cast</v>
          </cell>
          <cell r="D2930">
            <v>10176</v>
          </cell>
          <cell r="E2930">
            <v>1367.741935483871</v>
          </cell>
        </row>
        <row r="2931">
          <cell r="A2931">
            <v>33453</v>
          </cell>
          <cell r="B2931" t="str">
            <v>Injektor m/dyse Ø2,4</v>
          </cell>
          <cell r="C2931" t="str">
            <v>Injector w/nozzle Ø2.5</v>
          </cell>
          <cell r="D2931">
            <v>7806</v>
          </cell>
          <cell r="E2931">
            <v>1049.1935483870968</v>
          </cell>
        </row>
        <row r="2932">
          <cell r="A2932">
            <v>33467</v>
          </cell>
          <cell r="B2932" t="str">
            <v>Hydr -slange lige studse ø6 x 1330</v>
          </cell>
          <cell r="C2932" t="str">
            <v>Hydraulic hose with straight socket Ø6x1330</v>
          </cell>
          <cell r="D2932">
            <v>144</v>
          </cell>
          <cell r="E2932">
            <v>19.35483870967742</v>
          </cell>
        </row>
        <row r="2933">
          <cell r="A2933">
            <v>33468</v>
          </cell>
          <cell r="B2933" t="str">
            <v>Hydr -slange lige studse ø6 x 1190</v>
          </cell>
          <cell r="C2933" t="str">
            <v>Hydraulic hose with straight socket Ø6x1190</v>
          </cell>
          <cell r="D2933">
            <v>140</v>
          </cell>
          <cell r="E2933">
            <v>18.817204301075268</v>
          </cell>
        </row>
        <row r="2934">
          <cell r="A2934">
            <v>33469</v>
          </cell>
          <cell r="B2934" t="str">
            <v>Nippel for fedt fordeler</v>
          </cell>
          <cell r="C2934" t="str">
            <v>Nipple for grease distributor</v>
          </cell>
          <cell r="D2934">
            <v>27</v>
          </cell>
          <cell r="E2934">
            <v>3.629032258064516</v>
          </cell>
        </row>
        <row r="2935">
          <cell r="A2935">
            <v>33515</v>
          </cell>
          <cell r="B2935" t="str">
            <v>Følgeplade til fad 83366</v>
          </cell>
          <cell r="C2935" t="str">
            <v>String plate for FAD 83366</v>
          </cell>
          <cell r="D2935">
            <v>1102</v>
          </cell>
          <cell r="E2935">
            <v>148.11827956989248</v>
          </cell>
        </row>
        <row r="2936">
          <cell r="A2936">
            <v>33574</v>
          </cell>
          <cell r="B2936" t="str">
            <v>Flowmåler 0-1000 l/h</v>
          </cell>
          <cell r="C2936" t="str">
            <v>Flowmeter 0-1000I/h</v>
          </cell>
          <cell r="D2936">
            <v>2401</v>
          </cell>
          <cell r="E2936">
            <v>322.71505376344084</v>
          </cell>
        </row>
        <row r="2937">
          <cell r="A2937">
            <v>33576</v>
          </cell>
          <cell r="B2937" t="str">
            <v>Flowmåler 0-400 l/h ¾”</v>
          </cell>
          <cell r="C2937" t="str">
            <v>Flowmeter 0-400 l/h ¾”</v>
          </cell>
          <cell r="D2937">
            <v>2401</v>
          </cell>
          <cell r="E2937">
            <v>322.71505376344084</v>
          </cell>
        </row>
        <row r="2938">
          <cell r="A2938">
            <v>33593</v>
          </cell>
          <cell r="B2938" t="str">
            <v>Gaffelnøgle NV30</v>
          </cell>
          <cell r="C2938" t="str">
            <v>Fixed spanner  30 mm</v>
          </cell>
          <cell r="D2938">
            <v>62</v>
          </cell>
          <cell r="E2938">
            <v>8.3333333333333321</v>
          </cell>
        </row>
        <row r="2939">
          <cell r="A2939">
            <v>33612</v>
          </cell>
          <cell r="B2939" t="str">
            <v>Kilerem SPC 5000 Kevlar sæt á 14 stk.</v>
          </cell>
          <cell r="C2939" t="str">
            <v>V-belt SPC 5000 Kevlar set of 14 pcs.</v>
          </cell>
          <cell r="D2939">
            <v>9906</v>
          </cell>
          <cell r="E2939">
            <v>1331.4516129032256</v>
          </cell>
        </row>
        <row r="2940">
          <cell r="A2940">
            <v>33635</v>
          </cell>
          <cell r="B2940" t="str">
            <v>Beslag for omdrejningsvagt</v>
          </cell>
          <cell r="C2940" t="str">
            <v>Fitting for rotation guard</v>
          </cell>
          <cell r="D2940">
            <v>270</v>
          </cell>
          <cell r="E2940">
            <v>36.29032258064516</v>
          </cell>
        </row>
        <row r="2941">
          <cell r="A2941">
            <v>33636</v>
          </cell>
          <cell r="B2941" t="str">
            <v>Beslag for smørenippel forlagsaksel PMV919</v>
          </cell>
          <cell r="C2941" t="str">
            <v>Fitting for grease nipple frontshaft PMV 919</v>
          </cell>
          <cell r="D2941">
            <v>251</v>
          </cell>
          <cell r="E2941">
            <v>33.736559139784944</v>
          </cell>
        </row>
        <row r="2942">
          <cell r="A2942">
            <v>33761</v>
          </cell>
          <cell r="B2942" t="str">
            <v>Mikroswitch G0 21-11110-00</v>
          </cell>
          <cell r="C2942" t="str">
            <v>Mikro switch G0 21-11110-00</v>
          </cell>
          <cell r="D2942">
            <v>1815</v>
          </cell>
          <cell r="E2942">
            <v>243.95161290322579</v>
          </cell>
        </row>
        <row r="2943">
          <cell r="A2943">
            <v>33830</v>
          </cell>
          <cell r="B2943" t="str">
            <v>Konisk rulleleje HH 421246, yderpart</v>
          </cell>
          <cell r="C2943" t="str">
            <v>Roller bearing, tapered HH 421246, outer part</v>
          </cell>
          <cell r="D2943">
            <v>537</v>
          </cell>
          <cell r="E2943">
            <v>72.177419354838705</v>
          </cell>
        </row>
        <row r="2944">
          <cell r="A2944">
            <v>33834</v>
          </cell>
          <cell r="B2944" t="str">
            <v>Gummiplade</v>
          </cell>
          <cell r="C2944" t="str">
            <v>Rubber plate</v>
          </cell>
          <cell r="D2944">
            <v>48</v>
          </cell>
          <cell r="E2944">
            <v>6.4516129032258061</v>
          </cell>
        </row>
        <row r="2945">
          <cell r="A2945">
            <v>33839</v>
          </cell>
          <cell r="B2945" t="str">
            <v>O-ring Ø473,00 x 7,00 NBR</v>
          </cell>
          <cell r="C2945" t="str">
            <v>O-ring Ø473,00 x 7,00 NBR</v>
          </cell>
          <cell r="D2945">
            <v>106</v>
          </cell>
          <cell r="E2945">
            <v>14.247311827956988</v>
          </cell>
        </row>
        <row r="2946">
          <cell r="A2946">
            <v>33844</v>
          </cell>
          <cell r="B2946" t="str">
            <v>Lem incl. Pos. 17-18</v>
          </cell>
          <cell r="C2946" t="str">
            <v>Hatch inc. Pos 17-18</v>
          </cell>
          <cell r="D2946">
            <v>2508</v>
          </cell>
          <cell r="E2946">
            <v>337.09677419354836</v>
          </cell>
        </row>
        <row r="2947">
          <cell r="A2947">
            <v>33847</v>
          </cell>
          <cell r="B2947" t="str">
            <v>6-kt. Skrue M16 x 50 A2 DIN 933</v>
          </cell>
          <cell r="C2947" t="str">
            <v>Hex screw M16 x 50 A2 DIN 933</v>
          </cell>
          <cell r="D2947">
            <v>7.4</v>
          </cell>
          <cell r="E2947">
            <v>0.9946236559139785</v>
          </cell>
        </row>
        <row r="2948">
          <cell r="A2948">
            <v>33849</v>
          </cell>
          <cell r="B2948" t="str">
            <v>Skive Ø16 A2 DIN 9021</v>
          </cell>
          <cell r="C2948" t="str">
            <v>Washer Ø16 A2 DIN 9021</v>
          </cell>
          <cell r="D2948">
            <v>4.2</v>
          </cell>
          <cell r="E2948">
            <v>0.56451612903225801</v>
          </cell>
        </row>
        <row r="2949">
          <cell r="A2949">
            <v>33850</v>
          </cell>
          <cell r="B2949" t="str">
            <v>Spændeskive Ø24 Hærdet DIN 6916</v>
          </cell>
          <cell r="C2949" t="str">
            <v>Washer Ø24 hardened DIN 6916</v>
          </cell>
          <cell r="D2949">
            <v>4.5999999999999996</v>
          </cell>
          <cell r="E2949">
            <v>0.61827956989247301</v>
          </cell>
        </row>
        <row r="2950">
          <cell r="A2950">
            <v>33851</v>
          </cell>
          <cell r="B2950" t="str">
            <v>6-kt. Skrue M20 x 70  FZB DIN 931</v>
          </cell>
          <cell r="C2950" t="str">
            <v>Hex screw M20 x 70  FZB DIN 931</v>
          </cell>
          <cell r="D2950">
            <v>19.100000000000001</v>
          </cell>
          <cell r="E2950">
            <v>2.567204301075269</v>
          </cell>
        </row>
        <row r="2951">
          <cell r="A2951">
            <v>33857</v>
          </cell>
          <cell r="B2951" t="str">
            <v>Drejespjæld GK 121</v>
          </cell>
          <cell r="C2951" t="str">
            <v>Swivel draught</v>
          </cell>
          <cell r="D2951">
            <v>8268</v>
          </cell>
          <cell r="E2951">
            <v>1111.2903225806451</v>
          </cell>
        </row>
        <row r="2952">
          <cell r="A2952">
            <v>33869</v>
          </cell>
          <cell r="B2952" t="str">
            <v>Smørenippel 1/8"RG lige, lang</v>
          </cell>
          <cell r="C2952" t="str">
            <v>Grease nipple 1/8"RG straight, long</v>
          </cell>
          <cell r="D2952">
            <v>22</v>
          </cell>
          <cell r="E2952">
            <v>2.956989247311828</v>
          </cell>
        </row>
        <row r="2953">
          <cell r="A2953">
            <v>33873</v>
          </cell>
          <cell r="B2953" t="str">
            <v>Spændeplade</v>
          </cell>
          <cell r="C2953" t="str">
            <v>Five hole washer</v>
          </cell>
          <cell r="D2953">
            <v>7420</v>
          </cell>
          <cell r="E2953">
            <v>997.31182795698919</v>
          </cell>
        </row>
        <row r="2954">
          <cell r="A2954">
            <v>33880</v>
          </cell>
          <cell r="B2954" t="str">
            <v>Feder A 28 x 16 x 85 DS95</v>
          </cell>
          <cell r="C2954" t="str">
            <v>Parallel key A 28 x 16 x 85 DS95</v>
          </cell>
          <cell r="D2954">
            <v>24</v>
          </cell>
          <cell r="E2954">
            <v>3.225806451612903</v>
          </cell>
        </row>
        <row r="2955">
          <cell r="A2955">
            <v>33907</v>
          </cell>
          <cell r="B2955" t="str">
            <v>O-ring Ø050,8 x 3,53 Nitril</v>
          </cell>
          <cell r="C2955" t="str">
            <v>O-ring Ø050,8 x 3,53 Nitril</v>
          </cell>
          <cell r="D2955">
            <v>1.3</v>
          </cell>
          <cell r="E2955">
            <v>0.17473118279569891</v>
          </cell>
        </row>
        <row r="2956">
          <cell r="A2956">
            <v>33908</v>
          </cell>
          <cell r="B2956" t="str">
            <v>Prop 1/8” A2  DIN906</v>
          </cell>
          <cell r="C2956" t="str">
            <v>Plug 1/8” A2  DIN906</v>
          </cell>
          <cell r="D2956">
            <v>32</v>
          </cell>
          <cell r="E2956">
            <v>4.301075268817204</v>
          </cell>
        </row>
        <row r="2957">
          <cell r="A2957">
            <v>33923</v>
          </cell>
          <cell r="B2957" t="str">
            <v>6-kt. Skrue M20 x 130 FZB DIN 931</v>
          </cell>
          <cell r="C2957" t="str">
            <v>Hex screw M20 x 120 DIN 933</v>
          </cell>
          <cell r="D2957">
            <v>16.399999999999999</v>
          </cell>
          <cell r="E2957">
            <v>2.204301075268817</v>
          </cell>
        </row>
        <row r="2958">
          <cell r="A2958">
            <v>33928</v>
          </cell>
          <cell r="B2958" t="str">
            <v>Feder AB 5/8” x 5/8” x 3 ¾”</v>
          </cell>
          <cell r="C2958" t="str">
            <v>Parallel key AB 5/8” x 5/8” x 3 ¾”</v>
          </cell>
          <cell r="D2958">
            <v>193</v>
          </cell>
          <cell r="E2958">
            <v>25.94086021505376</v>
          </cell>
        </row>
        <row r="2959">
          <cell r="A2959">
            <v>33931</v>
          </cell>
          <cell r="B2959" t="str">
            <v>Filter</v>
          </cell>
          <cell r="C2959" t="str">
            <v>Filter</v>
          </cell>
          <cell r="D2959">
            <v>4585</v>
          </cell>
          <cell r="E2959">
            <v>616.26344086021504</v>
          </cell>
        </row>
        <row r="2960">
          <cell r="A2960">
            <v>33933</v>
          </cell>
          <cell r="B2960" t="str">
            <v>Filterindsats</v>
          </cell>
          <cell r="C2960" t="str">
            <v>Filter</v>
          </cell>
          <cell r="D2960">
            <v>1670</v>
          </cell>
          <cell r="E2960">
            <v>224.46236559139783</v>
          </cell>
        </row>
        <row r="2961">
          <cell r="A2961">
            <v>33935</v>
          </cell>
          <cell r="B2961" t="str">
            <v>Melder RN 3001G-VA-MAXI  24 VDC</v>
          </cell>
          <cell r="C2961" t="str">
            <v>Sensor RN 3001G-VA-MAXI  24 VDC</v>
          </cell>
          <cell r="D2961">
            <v>5830</v>
          </cell>
          <cell r="E2961">
            <v>783.60215053763432</v>
          </cell>
        </row>
        <row r="2962">
          <cell r="A2962">
            <v>33947</v>
          </cell>
          <cell r="B2962" t="str">
            <v>Smørenippel 3/16"RG glat</v>
          </cell>
          <cell r="C2962" t="str">
            <v>Grease nipple 3/16"RG smooth</v>
          </cell>
          <cell r="D2962">
            <v>25</v>
          </cell>
          <cell r="E2962">
            <v>3.3602150537634405</v>
          </cell>
        </row>
        <row r="2963">
          <cell r="A2963">
            <v>33948</v>
          </cell>
          <cell r="B2963" t="str">
            <v>Dysebase EX17</v>
          </cell>
          <cell r="C2963" t="str">
            <v>Die base EX17</v>
          </cell>
          <cell r="D2963">
            <v>14019</v>
          </cell>
          <cell r="E2963">
            <v>1884.2741935483871</v>
          </cell>
        </row>
        <row r="2964">
          <cell r="A2964">
            <v>33972</v>
          </cell>
          <cell r="B2964" t="str">
            <v>6-kt. Skrue M16 x 50 A4 DIN 932</v>
          </cell>
          <cell r="C2964" t="str">
            <v>Hex screw M16 x 50 A4 DIN 932</v>
          </cell>
          <cell r="D2964">
            <v>11.1</v>
          </cell>
          <cell r="E2964">
            <v>1.4919354838709675</v>
          </cell>
        </row>
        <row r="2965">
          <cell r="A2965">
            <v>33973</v>
          </cell>
          <cell r="B2965" t="str">
            <v>Cyl. Skrue M12 x 55 12.9 DIN 911</v>
          </cell>
          <cell r="C2965" t="str">
            <v>Cyl. Screw M12 x 55 12.9 DIN 911</v>
          </cell>
          <cell r="D2965">
            <v>4.0999999999999996</v>
          </cell>
          <cell r="E2965">
            <v>0.55107526881720426</v>
          </cell>
        </row>
        <row r="2966">
          <cell r="A2966">
            <v>33975</v>
          </cell>
          <cell r="B2966" t="str">
            <v>Prop ¼” A2 DIN 905</v>
          </cell>
          <cell r="C2966" t="str">
            <v>Plug ¼” A2 DIN 905</v>
          </cell>
          <cell r="D2966">
            <v>4.0999999999999996</v>
          </cell>
          <cell r="E2966">
            <v>0.55107526881720426</v>
          </cell>
        </row>
        <row r="2967">
          <cell r="A2967">
            <v>33978</v>
          </cell>
          <cell r="B2967" t="str">
            <v>Cyl. Skrue M16 x 70 12.9 DIN 911</v>
          </cell>
          <cell r="C2967" t="str">
            <v>Cyl. Screw M16 x 70 12.9 DIN 911</v>
          </cell>
          <cell r="D2967">
            <v>9.5</v>
          </cell>
          <cell r="E2967">
            <v>1.2768817204301075</v>
          </cell>
        </row>
        <row r="2968">
          <cell r="A2968">
            <v>33981</v>
          </cell>
          <cell r="B2968" t="str">
            <v>6-kt. Skrue M16 x 60 10.9 DIN 932</v>
          </cell>
          <cell r="C2968" t="str">
            <v>Hex screw M16 x 60 10.9 DIN 932</v>
          </cell>
          <cell r="D2968">
            <v>9.5</v>
          </cell>
          <cell r="E2968">
            <v>1.2768817204301075</v>
          </cell>
        </row>
        <row r="2969">
          <cell r="A2969">
            <v>33986</v>
          </cell>
          <cell r="B2969" t="str">
            <v>Pumpestation 0,4/1,6 l/min., 3 x415 V, 50 Hz/115 V, 50/ Hz, Renoveret</v>
          </cell>
          <cell r="C2969" t="str">
            <v>Pump station 0,4/1,6 l/min., 3 x 415 V, 50 Hz/115 V, 50 Hz, Renovated</v>
          </cell>
          <cell r="D2969">
            <v>8800</v>
          </cell>
          <cell r="E2969">
            <v>1182.7956989247311</v>
          </cell>
        </row>
        <row r="2970">
          <cell r="A2970">
            <v>33987</v>
          </cell>
          <cell r="B2970" t="str">
            <v>Tallerkenfjeder 34 x 16.3 x 1.4</v>
          </cell>
          <cell r="C2970" t="str">
            <v>Spring washer 34 x 16.3 x 1.4</v>
          </cell>
          <cell r="D2970">
            <v>8.5</v>
          </cell>
          <cell r="E2970">
            <v>1.1424731182795698</v>
          </cell>
        </row>
        <row r="2971">
          <cell r="A2971">
            <v>33988</v>
          </cell>
          <cell r="B2971" t="str">
            <v>Tallerkenfjeder 40 x 20.4 x 2.24</v>
          </cell>
          <cell r="C2971" t="str">
            <v>Spring washer 40 x 20.4 x 2.24</v>
          </cell>
          <cell r="D2971">
            <v>13.3</v>
          </cell>
          <cell r="E2971">
            <v>1.7876344086021505</v>
          </cell>
        </row>
        <row r="2972">
          <cell r="A2972">
            <v>33989</v>
          </cell>
          <cell r="B2972" t="str">
            <v>Tallerkenfjeder 50 x 25 x 2,4</v>
          </cell>
          <cell r="C2972" t="str">
            <v>Spring washer 50 x 25 x 2,4</v>
          </cell>
          <cell r="D2972">
            <v>23</v>
          </cell>
          <cell r="E2972">
            <v>3.0913978494623655</v>
          </cell>
        </row>
        <row r="2973">
          <cell r="A2973">
            <v>33993</v>
          </cell>
          <cell r="B2973" t="str">
            <v>6-kt. Skrue M16 x 75 10.9 DIN 932</v>
          </cell>
          <cell r="C2973" t="str">
            <v>Hex screw M16 x 75 10.9 DIN 93</v>
          </cell>
          <cell r="D2973">
            <v>13.3</v>
          </cell>
          <cell r="E2973">
            <v>1.7876344086021505</v>
          </cell>
        </row>
        <row r="2974">
          <cell r="A2974">
            <v>33995</v>
          </cell>
          <cell r="B2974" t="str">
            <v>Pinolskrue M6 x 12 DIN 913</v>
          </cell>
          <cell r="C2974" t="str">
            <v>Centre screw M6 x 12 DIN 913</v>
          </cell>
          <cell r="D2974">
            <v>1</v>
          </cell>
          <cell r="E2974">
            <v>0.13440860215053763</v>
          </cell>
        </row>
        <row r="2975">
          <cell r="A2975">
            <v>33996</v>
          </cell>
          <cell r="B2975" t="str">
            <v>6-kt. Skrue M24 x 100 10.9 DIN 931</v>
          </cell>
          <cell r="C2975" t="str">
            <v>Hex screw M24 x 100 10.9 DIN 931</v>
          </cell>
          <cell r="D2975">
            <v>24</v>
          </cell>
          <cell r="E2975">
            <v>3.225806451612903</v>
          </cell>
        </row>
        <row r="2976">
          <cell r="A2976">
            <v>34005</v>
          </cell>
          <cell r="B2976" t="str">
            <v>O-ring Ø430.66 x Ø5.33 nitril</v>
          </cell>
          <cell r="C2976" t="str">
            <v>O-ring Ø430.66 x Ø5.33 nitril</v>
          </cell>
          <cell r="D2976">
            <v>24</v>
          </cell>
          <cell r="E2976">
            <v>3.225806451612903</v>
          </cell>
        </row>
        <row r="2977">
          <cell r="A2977">
            <v>34006</v>
          </cell>
          <cell r="B2977" t="str">
            <v>O-ring Ø227.97 x Ø5.33 nitril</v>
          </cell>
          <cell r="C2977" t="str">
            <v>O-ring Ø227.97 x Ø5.33 nitril</v>
          </cell>
          <cell r="D2977">
            <v>13.8</v>
          </cell>
          <cell r="E2977">
            <v>1.8548387096774193</v>
          </cell>
        </row>
        <row r="2978">
          <cell r="A2978">
            <v>34009</v>
          </cell>
          <cell r="B2978" t="str">
            <v>Cyl. Skrue M12 x 55 A4 DIN 911</v>
          </cell>
          <cell r="C2978" t="str">
            <v>Cyl. Screw M12 x 55 A4 DIN 911</v>
          </cell>
          <cell r="D2978">
            <v>11.7</v>
          </cell>
          <cell r="E2978">
            <v>1.57258064516129</v>
          </cell>
        </row>
        <row r="2979">
          <cell r="A2979">
            <v>34011</v>
          </cell>
          <cell r="B2979" t="str">
            <v>Pinolskrue M16 x 20 A4 DIN913</v>
          </cell>
          <cell r="C2979" t="str">
            <v>Centre screw M16 x 20 A4 DIN913</v>
          </cell>
          <cell r="D2979">
            <v>19.100000000000001</v>
          </cell>
          <cell r="E2979">
            <v>2.567204301075269</v>
          </cell>
        </row>
        <row r="2980">
          <cell r="A2980">
            <v>34020</v>
          </cell>
          <cell r="B2980" t="str">
            <v>O-ring Ø148.6 x Ø5.33 nitril</v>
          </cell>
          <cell r="C2980" t="str">
            <v>O-ring Ø148.6 x Ø5.33 nitril</v>
          </cell>
          <cell r="D2980">
            <v>6.4</v>
          </cell>
          <cell r="E2980">
            <v>0.86021505376344087</v>
          </cell>
        </row>
        <row r="2981">
          <cell r="A2981">
            <v>34021</v>
          </cell>
          <cell r="B2981" t="str">
            <v>O-ring Ø129.54 x Ø5.33 nitril</v>
          </cell>
          <cell r="C2981" t="str">
            <v>O-ring Ø129.54 x Ø5.33 nitril</v>
          </cell>
          <cell r="D2981">
            <v>5.8</v>
          </cell>
          <cell r="E2981">
            <v>0.77956989247311825</v>
          </cell>
        </row>
        <row r="2982">
          <cell r="A2982">
            <v>34034</v>
          </cell>
          <cell r="B2982" t="str">
            <v>Cyl. Skrue M10 x 30 A4 DIN 911</v>
          </cell>
          <cell r="C2982" t="str">
            <v>Cyl. Screw M10 x 30 A4 DIN 911</v>
          </cell>
          <cell r="D2982">
            <v>4.2</v>
          </cell>
          <cell r="E2982">
            <v>0.56451612903225801</v>
          </cell>
        </row>
        <row r="2983">
          <cell r="A2983">
            <v>34055</v>
          </cell>
          <cell r="B2983" t="str">
            <v>Pakning</v>
          </cell>
          <cell r="C2983" t="str">
            <v>Packing</v>
          </cell>
          <cell r="D2983">
            <v>111</v>
          </cell>
          <cell r="E2983">
            <v>14.919354838709676</v>
          </cell>
        </row>
        <row r="2984">
          <cell r="A2984">
            <v>34089</v>
          </cell>
          <cell r="B2984" t="str">
            <v>Bolt for spændeflange</v>
          </cell>
          <cell r="C2984" t="str">
            <v>Pin bolt for expander dischange head</v>
          </cell>
          <cell r="D2984">
            <v>959</v>
          </cell>
          <cell r="E2984">
            <v>128.89784946236557</v>
          </cell>
        </row>
        <row r="2985">
          <cell r="A2985">
            <v>34098</v>
          </cell>
          <cell r="B2985" t="str">
            <v>Spændingsplade</v>
          </cell>
          <cell r="C2985" t="str">
            <v>Tension flange</v>
          </cell>
          <cell r="D2985">
            <v>15264</v>
          </cell>
          <cell r="E2985">
            <v>2051.6129032258063</v>
          </cell>
        </row>
        <row r="2986">
          <cell r="A2986">
            <v>34107</v>
          </cell>
          <cell r="B2986" t="str">
            <v>Bøsning for spændeplade</v>
          </cell>
          <cell r="C2986" t="str">
            <v>Bushing for tension flange</v>
          </cell>
          <cell r="D2986">
            <v>1288</v>
          </cell>
          <cell r="E2986">
            <v>173.11827956989245</v>
          </cell>
        </row>
        <row r="2987">
          <cell r="A2987">
            <v>34111</v>
          </cell>
          <cell r="B2987" t="str">
            <v>Bolt for endebund</v>
          </cell>
          <cell r="C2987" t="str">
            <v>Socket screw M30 x 400</v>
          </cell>
          <cell r="D2987">
            <v>488</v>
          </cell>
          <cell r="E2987">
            <v>65.591397849462368</v>
          </cell>
        </row>
        <row r="2988">
          <cell r="A2988">
            <v>34112</v>
          </cell>
          <cell r="B2988" t="str">
            <v>Slidforing</v>
          </cell>
          <cell r="C2988" t="str">
            <v>Wear barrel section</v>
          </cell>
          <cell r="D2988">
            <v>19228</v>
          </cell>
          <cell r="E2988">
            <v>2584.4086021505377</v>
          </cell>
        </row>
        <row r="2989">
          <cell r="A2989">
            <v>34127</v>
          </cell>
          <cell r="B2989" t="str">
            <v>Bolt for snegl</v>
          </cell>
          <cell r="C2989" t="str">
            <v>Bolt for tension of worms</v>
          </cell>
          <cell r="D2989">
            <v>159</v>
          </cell>
          <cell r="E2989">
            <v>21.370967741935484</v>
          </cell>
        </row>
        <row r="2990">
          <cell r="A2990">
            <v>34140</v>
          </cell>
          <cell r="B2990" t="str">
            <v>Cyl. Skrue M30x60 8.8 DIN 912</v>
          </cell>
          <cell r="C2990" t="str">
            <v>Cyl. Screw M30x60 8.8 DIN 912</v>
          </cell>
          <cell r="D2990">
            <v>58</v>
          </cell>
          <cell r="E2990">
            <v>7.7956989247311821</v>
          </cell>
        </row>
        <row r="2991">
          <cell r="A2991">
            <v>34158</v>
          </cell>
          <cell r="B2991" t="str">
            <v>Borebøsning A25,4 x 44,5 DIN 179</v>
          </cell>
          <cell r="C2991" t="str">
            <v xml:space="preserve">Bushing A25,4 x 44,5 DIN 179 </v>
          </cell>
          <cell r="D2991">
            <v>207</v>
          </cell>
          <cell r="E2991">
            <v>27.822580645161288</v>
          </cell>
        </row>
        <row r="2992">
          <cell r="A2992">
            <v>34160</v>
          </cell>
          <cell r="B2992" t="str">
            <v>Borebøsning A20,6x34,9 DIN 179</v>
          </cell>
          <cell r="C2992" t="str">
            <v>Bushing A20,6x34,9 DIN 179</v>
          </cell>
          <cell r="D2992">
            <v>231</v>
          </cell>
          <cell r="E2992">
            <v>31.048387096774192</v>
          </cell>
        </row>
        <row r="2993">
          <cell r="A2993">
            <v>34239</v>
          </cell>
          <cell r="B2993" t="str">
            <v>Dysetip Bete  EF050</v>
          </cell>
          <cell r="C2993" t="str">
            <v>Nozzle tip  EF050</v>
          </cell>
          <cell r="D2993">
            <v>3562</v>
          </cell>
          <cell r="E2993">
            <v>478.76344086021504</v>
          </cell>
        </row>
        <row r="2994">
          <cell r="A2994">
            <v>34357</v>
          </cell>
          <cell r="B2994" t="str">
            <v>Omdrejningsvagt</v>
          </cell>
          <cell r="C2994" t="str">
            <v>Speed sensor</v>
          </cell>
          <cell r="D2994">
            <v>1325</v>
          </cell>
          <cell r="E2994">
            <v>178.09139784946237</v>
          </cell>
        </row>
        <row r="2995">
          <cell r="A2995">
            <v>34388</v>
          </cell>
          <cell r="B2995" t="str">
            <v>Termostat</v>
          </cell>
          <cell r="C2995" t="str">
            <v>Termostate</v>
          </cell>
          <cell r="D2995">
            <v>1450</v>
          </cell>
          <cell r="E2995">
            <v>194.89247311827955</v>
          </cell>
        </row>
        <row r="2996">
          <cell r="A2996">
            <v>34390</v>
          </cell>
          <cell r="B2996" t="str">
            <v>Reguleringsventil 43-6</v>
          </cell>
          <cell r="C2996" t="str">
            <v>Adjusting valve 43-6</v>
          </cell>
          <cell r="D2996">
            <v>3339</v>
          </cell>
          <cell r="E2996">
            <v>448.79032258064512</v>
          </cell>
        </row>
        <row r="2997">
          <cell r="A2997">
            <v>34444</v>
          </cell>
          <cell r="B2997" t="str">
            <v>Rør udløb 1 ½”</v>
          </cell>
          <cell r="C2997" t="str">
            <v>Drain pipe 1 ½”</v>
          </cell>
          <cell r="D2997">
            <v>72</v>
          </cell>
          <cell r="E2997">
            <v>9.67741935483871</v>
          </cell>
        </row>
        <row r="2998">
          <cell r="A2998">
            <v>34486</v>
          </cell>
          <cell r="B2998" t="str">
            <v>Nav for hovedaksel PMV515</v>
          </cell>
          <cell r="C2998" t="str">
            <v>Hub for mainshaft PMV515</v>
          </cell>
          <cell r="D2998">
            <v>15741</v>
          </cell>
          <cell r="E2998">
            <v>2115.7258064516127</v>
          </cell>
        </row>
        <row r="2999">
          <cell r="A2999">
            <v>34509</v>
          </cell>
          <cell r="B2999" t="str">
            <v>Drejespjæld  GK  81</v>
          </cell>
          <cell r="C2999" t="str">
            <v>Swivel draught</v>
          </cell>
          <cell r="D2999">
            <v>769</v>
          </cell>
          <cell r="E2999">
            <v>103.36021505376344</v>
          </cell>
        </row>
        <row r="3000">
          <cell r="A3000">
            <v>34513</v>
          </cell>
          <cell r="B3000" t="str">
            <v>VB Skrabevinge  65 gr.</v>
          </cell>
          <cell r="C3000" t="str">
            <v>Scraper wing 65 degr.</v>
          </cell>
          <cell r="D3000">
            <v>1050</v>
          </cell>
          <cell r="E3000">
            <v>141.12903225806451</v>
          </cell>
        </row>
        <row r="3001">
          <cell r="A3001">
            <v>34514</v>
          </cell>
          <cell r="B3001" t="str">
            <v>VB Skrabevinge 115 gr.</v>
          </cell>
          <cell r="C3001" t="str">
            <v>Scraper wing  115 degr.</v>
          </cell>
          <cell r="D3001">
            <v>1050</v>
          </cell>
          <cell r="E3001">
            <v>141.12903225806451</v>
          </cell>
        </row>
        <row r="3002">
          <cell r="A3002">
            <v>34520</v>
          </cell>
          <cell r="B3002" t="str">
            <v>Hovedaksel for boltopspændt matr. PMV515</v>
          </cell>
          <cell r="C3002" t="str">
            <v>Mainshaft for bolt PMV515</v>
          </cell>
          <cell r="D3002">
            <v>24670</v>
          </cell>
          <cell r="E3002">
            <v>3315.8602150537631</v>
          </cell>
        </row>
        <row r="3003">
          <cell r="A3003">
            <v>34529</v>
          </cell>
          <cell r="B3003" t="str">
            <v>Hovedaksel for spændering PMV717</v>
          </cell>
          <cell r="C3003" t="str">
            <v>Mainshaft for tightening ring PMV717</v>
          </cell>
          <cell r="D3003">
            <v>35500</v>
          </cell>
          <cell r="E3003">
            <v>4771.5053763440856</v>
          </cell>
        </row>
        <row r="3004">
          <cell r="A3004">
            <v>34540</v>
          </cell>
          <cell r="B3004" t="str">
            <v>Rulleholderaksel PMV515</v>
          </cell>
          <cell r="C3004" t="str">
            <v>Roller main shaft PMV515</v>
          </cell>
          <cell r="D3004">
            <v>92050</v>
          </cell>
          <cell r="E3004">
            <v>12372.311827956988</v>
          </cell>
        </row>
        <row r="3005">
          <cell r="A3005">
            <v>34555</v>
          </cell>
          <cell r="B3005" t="str">
            <v>Kileremskive SPB10 1000/10</v>
          </cell>
          <cell r="C3005" t="str">
            <v>V-belt pulley SPB10 1000/10</v>
          </cell>
          <cell r="D3005">
            <v>14808</v>
          </cell>
          <cell r="E3005">
            <v>1990.3225806451612</v>
          </cell>
        </row>
        <row r="3006">
          <cell r="A3006">
            <v>34576</v>
          </cell>
          <cell r="B3006" t="str">
            <v>Remskærm, 10 spor PMV717</v>
          </cell>
          <cell r="C3006" t="str">
            <v>Belt screen 10 track PMV717</v>
          </cell>
          <cell r="D3006">
            <v>10600</v>
          </cell>
          <cell r="E3006">
            <v>1424.7311827956989</v>
          </cell>
        </row>
        <row r="3007">
          <cell r="A3007">
            <v>34577</v>
          </cell>
          <cell r="B3007" t="str">
            <v>Kileremskive SPC10 Ø265 TL 5050</v>
          </cell>
          <cell r="C3007" t="str">
            <v>V-belt pulley SPC10 Ø265 TL 5050</v>
          </cell>
          <cell r="D3007">
            <v>5015</v>
          </cell>
          <cell r="E3007">
            <v>674.05913978494618</v>
          </cell>
        </row>
        <row r="3008">
          <cell r="A3008">
            <v>34582</v>
          </cell>
          <cell r="B3008" t="str">
            <v>Kilerem SPC 3000 - Red Power</v>
          </cell>
          <cell r="C3008" t="str">
            <v>V-belt SPC 3000 - Red Power</v>
          </cell>
          <cell r="D3008">
            <v>321</v>
          </cell>
          <cell r="E3008">
            <v>43.145161290322577</v>
          </cell>
        </row>
        <row r="3009">
          <cell r="A3009">
            <v>34585</v>
          </cell>
          <cell r="B3009" t="str">
            <v>Bagplade for pillekammer PMV515</v>
          </cell>
          <cell r="C3009" t="str">
            <v>Backplate for pellet chamber PM515</v>
          </cell>
          <cell r="D3009">
            <v>9035</v>
          </cell>
          <cell r="E3009">
            <v>1214.3817204301074</v>
          </cell>
        </row>
        <row r="3010">
          <cell r="A3010">
            <v>34590</v>
          </cell>
          <cell r="B3010" t="str">
            <v>Remskærm, primær H+V PMV515</v>
          </cell>
          <cell r="C3010" t="str">
            <v>Belt screen primary L+R PMV515</v>
          </cell>
          <cell r="D3010">
            <v>4122</v>
          </cell>
          <cell r="E3010">
            <v>554.0322580645161</v>
          </cell>
        </row>
        <row r="3011">
          <cell r="A3011">
            <v>34611</v>
          </cell>
          <cell r="B3011" t="str">
            <v>Knivskaft komplet, incl. Pos. 33-35</v>
          </cell>
          <cell r="C3011" t="str">
            <v>Knifeshaft compl inc. Pos 33-35</v>
          </cell>
          <cell r="D3011">
            <v>1478</v>
          </cell>
          <cell r="E3011">
            <v>198.65591397849462</v>
          </cell>
        </row>
        <row r="3012">
          <cell r="A3012">
            <v>34621</v>
          </cell>
          <cell r="B3012" t="str">
            <v>Kniv, komplet, incl. pos. 31-35 PMV919W</v>
          </cell>
          <cell r="C3012" t="str">
            <v>Knife complete, incl. pos. 31-35 PMV919W</v>
          </cell>
          <cell r="D3012">
            <v>1965</v>
          </cell>
          <cell r="E3012">
            <v>264.11290322580646</v>
          </cell>
        </row>
        <row r="3013">
          <cell r="A3013">
            <v>34622</v>
          </cell>
          <cell r="B3013" t="str">
            <v>Pillekammer, 2-vægs, incl. pos. 16-25 PM717W</v>
          </cell>
          <cell r="C3013" t="str">
            <v>Pellet chamber 2-wall incl. pos. 16-25 PM717W</v>
          </cell>
          <cell r="D3013">
            <v>68900</v>
          </cell>
          <cell r="E3013">
            <v>9260.7526881720423</v>
          </cell>
        </row>
        <row r="3014">
          <cell r="A3014">
            <v>34642</v>
          </cell>
          <cell r="B3014" t="str">
            <v>6-kt. Skrue M20 x 75 10.9 DIN 931</v>
          </cell>
          <cell r="C3014" t="str">
            <v>Hex screw M20 x 75 10.9 DIN 931</v>
          </cell>
          <cell r="D3014">
            <v>25</v>
          </cell>
          <cell r="E3014">
            <v>3.3602150537634405</v>
          </cell>
        </row>
        <row r="3015">
          <cell r="A3015">
            <v>34669</v>
          </cell>
          <cell r="B3015" t="str">
            <v>Spændeskive Ø20 Hærdet DIN 6916</v>
          </cell>
          <cell r="C3015" t="str">
            <v>Washer Ø20 hardened DIN 6916</v>
          </cell>
          <cell r="D3015">
            <v>3.4</v>
          </cell>
          <cell r="E3015">
            <v>0.45698924731182794</v>
          </cell>
        </row>
        <row r="3016">
          <cell r="A3016">
            <v>34670</v>
          </cell>
          <cell r="B3016" t="str">
            <v>Afstrygerkniv for spænderingsopspændt matr. PMV717</v>
          </cell>
          <cell r="C3016" t="str">
            <v>Scraper knife clamp PMV717</v>
          </cell>
          <cell r="D3016">
            <v>2002</v>
          </cell>
          <cell r="E3016">
            <v>269.08602150537632</v>
          </cell>
        </row>
        <row r="3017">
          <cell r="A3017">
            <v>34690</v>
          </cell>
          <cell r="B3017" t="str">
            <v>Håndhjul</v>
          </cell>
          <cell r="C3017" t="str">
            <v>Hand wheel</v>
          </cell>
          <cell r="D3017">
            <v>101</v>
          </cell>
          <cell r="E3017">
            <v>13.5752688172043</v>
          </cell>
        </row>
        <row r="3018">
          <cell r="A3018">
            <v>34692</v>
          </cell>
          <cell r="B3018" t="str">
            <v>Lejedæksel, for,  PMV515</v>
          </cell>
          <cell r="C3018" t="str">
            <v>Bearing cover, front PMV515</v>
          </cell>
          <cell r="D3018">
            <v>3545</v>
          </cell>
          <cell r="E3018">
            <v>476.47849462365588</v>
          </cell>
        </row>
        <row r="3019">
          <cell r="A3019">
            <v>34717</v>
          </cell>
          <cell r="B3019" t="str">
            <v>Stiftholder PMV515</v>
          </cell>
          <cell r="C3019" t="str">
            <v>Holder for disc PMV515</v>
          </cell>
          <cell r="D3019">
            <v>4122</v>
          </cell>
          <cell r="E3019">
            <v>554.0322580645161</v>
          </cell>
        </row>
        <row r="3020">
          <cell r="A3020">
            <v>34731</v>
          </cell>
          <cell r="B3020" t="str">
            <v>T union</v>
          </cell>
          <cell r="C3020" t="str">
            <v>T-union</v>
          </cell>
          <cell r="D3020">
            <v>366</v>
          </cell>
          <cell r="E3020">
            <v>49.193548387096769</v>
          </cell>
        </row>
        <row r="3021">
          <cell r="A3021">
            <v>34738</v>
          </cell>
          <cell r="B3021" t="str">
            <v>Lejedæksel, bag, PMV515</v>
          </cell>
          <cell r="C3021" t="str">
            <v>Bearing cover, back PMV515</v>
          </cell>
          <cell r="D3021">
            <v>1355</v>
          </cell>
          <cell r="E3021">
            <v>182.1236559139785</v>
          </cell>
        </row>
        <row r="3022">
          <cell r="A3022">
            <v>34740</v>
          </cell>
          <cell r="B3022" t="str">
            <v>Vinkel union</v>
          </cell>
          <cell r="C3022" t="str">
            <v>Angular union</v>
          </cell>
          <cell r="D3022">
            <v>244</v>
          </cell>
          <cell r="E3022">
            <v>32.795698924731184</v>
          </cell>
        </row>
        <row r="3023">
          <cell r="A3023">
            <v>34741</v>
          </cell>
          <cell r="B3023" t="str">
            <v>Knivblad T3 B250 PM717XW / 919XW</v>
          </cell>
          <cell r="C3023" t="str">
            <v>Knife blade T3 B250 PM717XW / 919XW</v>
          </cell>
          <cell r="D3023">
            <v>236</v>
          </cell>
          <cell r="E3023">
            <v>31.72043010752688</v>
          </cell>
        </row>
        <row r="3024">
          <cell r="A3024">
            <v>34742</v>
          </cell>
          <cell r="B3024" t="str">
            <v>Knivblad T3 B190 PM717W / 919W</v>
          </cell>
          <cell r="C3024" t="str">
            <v>Knife blade T3 B190 PM717W / 919W</v>
          </cell>
          <cell r="D3024">
            <v>236</v>
          </cell>
          <cell r="E3024">
            <v>31.72043010752688</v>
          </cell>
        </row>
        <row r="3025">
          <cell r="A3025">
            <v>34749</v>
          </cell>
          <cell r="B3025" t="str">
            <v>Rør adapter</v>
          </cell>
          <cell r="C3025" t="str">
            <v>Pipe adapter</v>
          </cell>
          <cell r="D3025">
            <v>159</v>
          </cell>
          <cell r="E3025">
            <v>21.370967741935484</v>
          </cell>
        </row>
        <row r="3026">
          <cell r="A3026">
            <v>34761</v>
          </cell>
          <cell r="B3026" t="str">
            <v>Kontraventil</v>
          </cell>
          <cell r="C3026" t="str">
            <v>Non-return valve</v>
          </cell>
          <cell r="D3026">
            <v>1071</v>
          </cell>
          <cell r="E3026">
            <v>143.95161290322579</v>
          </cell>
        </row>
        <row r="3027">
          <cell r="A3027">
            <v>34766</v>
          </cell>
          <cell r="B3027" t="str">
            <v>Slidring for rulleholderaksel, bag PMV515</v>
          </cell>
          <cell r="C3027" t="str">
            <v>Wearring for roller shaft, rear PMV515</v>
          </cell>
          <cell r="D3027">
            <v>1861</v>
          </cell>
          <cell r="E3027">
            <v>250.13440860215053</v>
          </cell>
        </row>
        <row r="3028">
          <cell r="A3028">
            <v>34767</v>
          </cell>
          <cell r="B3028" t="str">
            <v>Speedi Sleeve 165 x 25.4</v>
          </cell>
          <cell r="C3028" t="str">
            <v>Speedi Sleeve 165 x 25.4</v>
          </cell>
          <cell r="D3028">
            <v>590</v>
          </cell>
          <cell r="E3028">
            <v>79.3010752688172</v>
          </cell>
        </row>
        <row r="3029">
          <cell r="A3029">
            <v>34774</v>
          </cell>
          <cell r="B3029" t="str">
            <v>Vinkel 90° 1/8"</v>
          </cell>
          <cell r="C3029" t="str">
            <v>Angle 90degr. Ø10 skr. - 1/4"RG</v>
          </cell>
          <cell r="D3029">
            <v>233</v>
          </cell>
          <cell r="E3029">
            <v>31.317204301075268</v>
          </cell>
        </row>
        <row r="3030">
          <cell r="A3030">
            <v>34776</v>
          </cell>
          <cell r="B3030" t="str">
            <v>Indløbstragt PMV515</v>
          </cell>
          <cell r="C3030" t="str">
            <v>Dump shute PMV515</v>
          </cell>
          <cell r="D3030">
            <v>12190</v>
          </cell>
          <cell r="E3030">
            <v>1638.4408602150536</v>
          </cell>
        </row>
        <row r="3031">
          <cell r="A3031">
            <v>34806</v>
          </cell>
          <cell r="B3031" t="str">
            <v>Prop 1½” AISI316</v>
          </cell>
          <cell r="C3031" t="str">
            <v>Plug 1 1/2" AISI316</v>
          </cell>
          <cell r="D3031">
            <v>25</v>
          </cell>
          <cell r="E3031">
            <v>3.3602150537634405</v>
          </cell>
        </row>
        <row r="3032">
          <cell r="A3032">
            <v>34811</v>
          </cell>
          <cell r="B3032" t="str">
            <v>Feder A 28 x 16 x 63 DS 96</v>
          </cell>
          <cell r="C3032" t="str">
            <v>Parallel key A 28 x 16 x 63 DS 96</v>
          </cell>
          <cell r="D3032">
            <v>22</v>
          </cell>
          <cell r="E3032">
            <v>2.956989247311828</v>
          </cell>
        </row>
        <row r="3033">
          <cell r="A3033">
            <v>34818</v>
          </cell>
          <cell r="B3033" t="str">
            <v>Kniv, komplet, incl. pos. 31-35 PMV919XW</v>
          </cell>
          <cell r="C3033" t="str">
            <v>Knife complete, incl. pos. 31-35 PMV919XW</v>
          </cell>
          <cell r="D3033">
            <v>1965</v>
          </cell>
          <cell r="E3033">
            <v>264.11290322580646</v>
          </cell>
        </row>
        <row r="3034">
          <cell r="A3034">
            <v>34839</v>
          </cell>
          <cell r="B3034" t="str">
            <v>Tallerkenfjeder 35.5 x 18.3 x 2</v>
          </cell>
          <cell r="C3034" t="str">
            <v>Spring washer 35.5 x 18.3 x 2</v>
          </cell>
          <cell r="D3034">
            <v>11.1</v>
          </cell>
          <cell r="E3034">
            <v>1.4919354838709675</v>
          </cell>
        </row>
        <row r="3035">
          <cell r="A3035">
            <v>34849</v>
          </cell>
          <cell r="B3035" t="str">
            <v>Tætningsring for hovedaksel PMV515</v>
          </cell>
          <cell r="C3035" t="str">
            <v>Sealing ring for mainshaft PMV515</v>
          </cell>
          <cell r="D3035">
            <v>2473</v>
          </cell>
          <cell r="E3035">
            <v>332.39247311827955</v>
          </cell>
        </row>
        <row r="3036">
          <cell r="A3036">
            <v>34850</v>
          </cell>
          <cell r="B3036" t="str">
            <v>Sikringsstift Ø21 PMV919</v>
          </cell>
          <cell r="C3036" t="str">
            <v>Safety pin Ø21 PMV919</v>
          </cell>
          <cell r="D3036">
            <v>191</v>
          </cell>
          <cell r="E3036">
            <v>25.672043010752688</v>
          </cell>
        </row>
        <row r="3037">
          <cell r="A3037">
            <v>34851</v>
          </cell>
          <cell r="B3037" t="str">
            <v>Sikringsstift Ø17,5mm PMV717</v>
          </cell>
          <cell r="C3037" t="str">
            <v>Safety pin Ø17,5mm PMV717</v>
          </cell>
          <cell r="D3037">
            <v>180</v>
          </cell>
          <cell r="E3037">
            <v>24.193548387096772</v>
          </cell>
        </row>
        <row r="3038">
          <cell r="A3038">
            <v>34852</v>
          </cell>
          <cell r="B3038" t="str">
            <v>Afstrygerkniv bolt PMV515</v>
          </cell>
          <cell r="C3038" t="str">
            <v>Scraper knife bolt PMV515</v>
          </cell>
          <cell r="D3038">
            <v>1961</v>
          </cell>
          <cell r="E3038">
            <v>263.57526881720429</v>
          </cell>
        </row>
        <row r="3039">
          <cell r="A3039">
            <v>34854</v>
          </cell>
          <cell r="B3039" t="str">
            <v>Konisk rulleleje 33024 2 DE</v>
          </cell>
          <cell r="C3039" t="str">
            <v>Roller bearing, tapered 33024 2 DE</v>
          </cell>
          <cell r="D3039">
            <v>795</v>
          </cell>
          <cell r="E3039">
            <v>106.85483870967741</v>
          </cell>
        </row>
        <row r="3040">
          <cell r="A3040">
            <v>34860</v>
          </cell>
          <cell r="B3040" t="str">
            <v>Tætningsring A Ø165 x Ø190 x 13 viton</v>
          </cell>
          <cell r="C3040" t="str">
            <v>Sealing ring A Ø165 x Ø190 x 13 viton</v>
          </cell>
          <cell r="D3040">
            <v>243</v>
          </cell>
          <cell r="E3040">
            <v>32.661290322580641</v>
          </cell>
        </row>
        <row r="3041">
          <cell r="A3041">
            <v>34885</v>
          </cell>
          <cell r="B3041" t="str">
            <v>Skærm for sikringskobling PMV515</v>
          </cell>
          <cell r="C3041" t="str">
            <v>Screen for safety coupling PMV515</v>
          </cell>
          <cell r="D3041">
            <v>2002</v>
          </cell>
          <cell r="E3041">
            <v>269.08602150537632</v>
          </cell>
        </row>
        <row r="3042">
          <cell r="A3042">
            <v>34908</v>
          </cell>
          <cell r="B3042" t="str">
            <v>Sikkerhedsendestop Atlas 4 24V</v>
          </cell>
          <cell r="C3042" t="str">
            <v>Safety switch Atlas 4 24V</v>
          </cell>
          <cell r="D3042">
            <v>2158</v>
          </cell>
          <cell r="E3042">
            <v>290.05376344086022</v>
          </cell>
        </row>
        <row r="3043">
          <cell r="A3043">
            <v>34912</v>
          </cell>
          <cell r="B3043" t="str">
            <v>Remskærm, sekundær H+V PMV515</v>
          </cell>
          <cell r="C3043" t="str">
            <v>Belt screen secondary L+R PMV515</v>
          </cell>
          <cell r="D3043">
            <v>2238</v>
          </cell>
          <cell r="E3043">
            <v>300.80645161290323</v>
          </cell>
        </row>
        <row r="3044">
          <cell r="A3044">
            <v>34918</v>
          </cell>
          <cell r="B3044" t="str">
            <v>Pillekammer, højrehængslet PMV515</v>
          </cell>
          <cell r="C3044" t="str">
            <v>Pellet chamber right hinged PMV515</v>
          </cell>
          <cell r="D3044">
            <v>47930</v>
          </cell>
          <cell r="E3044">
            <v>6442.2043010752686</v>
          </cell>
        </row>
        <row r="3045">
          <cell r="A3045">
            <v>34924</v>
          </cell>
          <cell r="B3045" t="str">
            <v>Rulleaksel M30 L413 for køling</v>
          </cell>
          <cell r="C3045" t="str">
            <v>Roller shaft M30 L 413 for cooling</v>
          </cell>
          <cell r="D3045">
            <v>12200</v>
          </cell>
          <cell r="E3045">
            <v>1639.7849462365591</v>
          </cell>
        </row>
        <row r="3046">
          <cell r="A3046">
            <v>34928</v>
          </cell>
          <cell r="B3046" t="str">
            <v>Dæksel for vandkøling af rulleaksel</v>
          </cell>
          <cell r="C3046" t="str">
            <v>Cover f. watercooling of rollershaft</v>
          </cell>
          <cell r="D3046">
            <v>1961</v>
          </cell>
          <cell r="E3046">
            <v>263.57526881720429</v>
          </cell>
        </row>
        <row r="3047">
          <cell r="A3047">
            <v>34929</v>
          </cell>
          <cell r="B3047" t="str">
            <v>Bøsning Glacier Ø115 x Ø120 L 70</v>
          </cell>
          <cell r="C3047" t="str">
            <v>Bushing Glacier Ø115 x Ø120 L 70</v>
          </cell>
          <cell r="D3047">
            <v>482</v>
          </cell>
          <cell r="E3047">
            <v>64.784946236559136</v>
          </cell>
        </row>
        <row r="3048">
          <cell r="A3048">
            <v>34949</v>
          </cell>
          <cell r="B3048" t="str">
            <v>Hængsel for pillekammer PMV515</v>
          </cell>
          <cell r="C3048" t="str">
            <v>Hinge for pellet chamber PMV515</v>
          </cell>
          <cell r="D3048">
            <v>1378</v>
          </cell>
          <cell r="E3048">
            <v>185.21505376344086</v>
          </cell>
        </row>
        <row r="3049">
          <cell r="A3049">
            <v>34959</v>
          </cell>
          <cell r="B3049" t="str">
            <v>Hægteholder for pillekammer PMV515</v>
          </cell>
          <cell r="C3049" t="str">
            <v>Hook holder for pelletchamber PMV515</v>
          </cell>
          <cell r="D3049">
            <v>617</v>
          </cell>
          <cell r="E3049">
            <v>82.930107526881713</v>
          </cell>
        </row>
        <row r="3050">
          <cell r="A3050">
            <v>34967</v>
          </cell>
          <cell r="B3050" t="str">
            <v>Pillekammer, venstrehængslet PMV515</v>
          </cell>
          <cell r="C3050" t="str">
            <v>Pellet chamber left hinged PMV515</v>
          </cell>
          <cell r="D3050">
            <v>47930</v>
          </cell>
          <cell r="E3050">
            <v>6442.2043010752686</v>
          </cell>
        </row>
        <row r="3051">
          <cell r="A3051">
            <v>34977</v>
          </cell>
          <cell r="B3051" t="str">
            <v>Tap for pillekammerhængsel</v>
          </cell>
          <cell r="C3051" t="str">
            <v>Spindle for pellet chamber hinge</v>
          </cell>
          <cell r="D3051">
            <v>848</v>
          </cell>
          <cell r="E3051">
            <v>113.97849462365591</v>
          </cell>
        </row>
        <row r="3052">
          <cell r="A3052">
            <v>34978</v>
          </cell>
          <cell r="B3052" t="str">
            <v>Pillekammer for centrifeeder, 2-vægs, PMV919TW</v>
          </cell>
          <cell r="C3052" t="str">
            <v>Pellet chamber for centrifeeder, 2-wall, incl. pos. 16-25 PMV919TW</v>
          </cell>
          <cell r="D3052">
            <v>95612</v>
          </cell>
          <cell r="E3052">
            <v>12851.075268817203</v>
          </cell>
        </row>
        <row r="3053">
          <cell r="A3053">
            <v>34979</v>
          </cell>
          <cell r="B3053" t="str">
            <v>Knivskaft for enkeltvægget pillekammer PMV515</v>
          </cell>
          <cell r="C3053" t="str">
            <v>Knifeshaft for single wall pelletchamber PMV515</v>
          </cell>
          <cell r="D3053">
            <v>1413</v>
          </cell>
          <cell r="E3053">
            <v>189.91935483870967</v>
          </cell>
        </row>
        <row r="3054">
          <cell r="A3054">
            <v>34980</v>
          </cell>
          <cell r="B3054" t="str">
            <v>Knivblad T3 B156 PMV515</v>
          </cell>
          <cell r="C3054" t="str">
            <v>Knife blade T3 B156 PMV515</v>
          </cell>
          <cell r="D3054">
            <v>196</v>
          </cell>
          <cell r="E3054">
            <v>26.344086021505376</v>
          </cell>
        </row>
        <row r="3055">
          <cell r="A3055">
            <v>34987</v>
          </cell>
          <cell r="B3055" t="str">
            <v>Dæksel for skærm, manuel smøring</v>
          </cell>
          <cell r="C3055" t="str">
            <v>Cover f. screen manual greasing</v>
          </cell>
          <cell r="D3055">
            <v>337</v>
          </cell>
          <cell r="E3055">
            <v>45.295698924731184</v>
          </cell>
        </row>
        <row r="3056">
          <cell r="A3056">
            <v>34988</v>
          </cell>
          <cell r="B3056" t="str">
            <v>Kniv S3, komplet, PMV515</v>
          </cell>
          <cell r="C3056" t="str">
            <v>Knife S3, complete, PMV515</v>
          </cell>
          <cell r="D3056">
            <v>2254</v>
          </cell>
          <cell r="E3056">
            <v>302.95698924731181</v>
          </cell>
        </row>
        <row r="3057">
          <cell r="A3057">
            <v>34990</v>
          </cell>
          <cell r="B3057" t="str">
            <v>Beslag for fedtfordeler SSV8-K</v>
          </cell>
          <cell r="C3057" t="str">
            <v>Fitting for grease distributer SSV8-K</v>
          </cell>
          <cell r="D3057">
            <v>371</v>
          </cell>
          <cell r="E3057">
            <v>49.865591397849457</v>
          </cell>
        </row>
        <row r="3058">
          <cell r="A3058">
            <v>35008</v>
          </cell>
          <cell r="B3058" t="str">
            <v>Strammeskinne S280/20 GS</v>
          </cell>
          <cell r="C3058" t="str">
            <v>Tightening rail S280/20 GS</v>
          </cell>
          <cell r="D3058">
            <v>3145</v>
          </cell>
          <cell r="E3058">
            <v>422.71505376344084</v>
          </cell>
        </row>
        <row r="3059">
          <cell r="A3059">
            <v>35027</v>
          </cell>
          <cell r="B3059" t="str">
            <v>Kileremskive SPB10 Ø180</v>
          </cell>
          <cell r="C3059" t="str">
            <v>V-belt pulley SPB10 Ø180</v>
          </cell>
          <cell r="D3059">
            <v>2379</v>
          </cell>
          <cell r="E3059">
            <v>319.75806451612902</v>
          </cell>
        </row>
        <row r="3060">
          <cell r="A3060">
            <v>35034</v>
          </cell>
          <cell r="B3060" t="str">
            <v>Kilerem SPB 4250 Red Power</v>
          </cell>
          <cell r="C3060" t="str">
            <v>V-belt SPB 4250 Red Power</v>
          </cell>
          <cell r="D3060">
            <v>304</v>
          </cell>
          <cell r="E3060">
            <v>40.86021505376344</v>
          </cell>
        </row>
        <row r="3061">
          <cell r="A3061">
            <v>35036</v>
          </cell>
          <cell r="B3061" t="str">
            <v>Beslag for nøgle ATLAS 4</v>
          </cell>
          <cell r="C3061" t="str">
            <v>Fitting for key ATLAS 4</v>
          </cell>
          <cell r="D3061">
            <v>219</v>
          </cell>
          <cell r="E3061">
            <v>29.43548387096774</v>
          </cell>
        </row>
        <row r="3062">
          <cell r="A3062">
            <v>35037</v>
          </cell>
          <cell r="B3062" t="str">
            <v>Gummiophæng for nøgle ATLAS 4</v>
          </cell>
          <cell r="C3062" t="str">
            <v>Rubber mounting for key ATLAS 4</v>
          </cell>
          <cell r="D3062">
            <v>22</v>
          </cell>
          <cell r="E3062">
            <v>2.956989247311828</v>
          </cell>
        </row>
        <row r="3063">
          <cell r="A3063">
            <v>35111</v>
          </cell>
          <cell r="B3063" t="str">
            <v>Drejespjæld  GK 161</v>
          </cell>
          <cell r="C3063" t="str">
            <v>Swivel draught</v>
          </cell>
          <cell r="D3063">
            <v>8904</v>
          </cell>
          <cell r="E3063">
            <v>1196.7741935483871</v>
          </cell>
        </row>
        <row r="3064">
          <cell r="A3064">
            <v>35176</v>
          </cell>
          <cell r="B3064" t="str">
            <v>Kniv, komplet, incl. pos. 31-35 PMV919TW</v>
          </cell>
          <cell r="C3064" t="str">
            <v>Knife complete, incl. pos. 31-35 PMV919TW</v>
          </cell>
          <cell r="D3064">
            <v>1954</v>
          </cell>
          <cell r="E3064">
            <v>262.63440860215053</v>
          </cell>
        </row>
        <row r="3065">
          <cell r="A3065">
            <v>35191</v>
          </cell>
          <cell r="B3065" t="str">
            <v>Knivblad T3 B300 PMV919TW</v>
          </cell>
          <cell r="C3065" t="str">
            <v>Knife blade T3 B300 PMV919TW</v>
          </cell>
          <cell r="D3065">
            <v>219</v>
          </cell>
          <cell r="E3065">
            <v>29.43548387096774</v>
          </cell>
        </row>
        <row r="3066">
          <cell r="A3066">
            <v>35247</v>
          </cell>
          <cell r="B3066" t="str">
            <v>Prop 1½” BSP</v>
          </cell>
          <cell r="C3066" t="str">
            <v>Plug 1½” BSP</v>
          </cell>
          <cell r="D3066">
            <v>74</v>
          </cell>
          <cell r="E3066">
            <v>9.9462365591397841</v>
          </cell>
        </row>
        <row r="3067">
          <cell r="A3067">
            <v>35249</v>
          </cell>
          <cell r="B3067" t="str">
            <v>Bonded seal 1½”</v>
          </cell>
          <cell r="C3067" t="str">
            <v>Bonded seal 1½”</v>
          </cell>
          <cell r="D3067">
            <v>32</v>
          </cell>
          <cell r="E3067">
            <v>4.301075268817204</v>
          </cell>
        </row>
        <row r="3068">
          <cell r="A3068">
            <v>35250</v>
          </cell>
          <cell r="B3068" t="str">
            <v>Prop ¼” BSP</v>
          </cell>
          <cell r="C3068" t="str">
            <v>Plug ¼” BSP</v>
          </cell>
          <cell r="D3068">
            <v>34</v>
          </cell>
          <cell r="E3068">
            <v>4.5698924731182791</v>
          </cell>
        </row>
        <row r="3069">
          <cell r="A3069">
            <v>35271</v>
          </cell>
          <cell r="B3069" t="str">
            <v>Cyl. Skrue M6 x 60 A2 DIN912</v>
          </cell>
          <cell r="C3069" t="str">
            <v>Cyl. Screw M6 x 60 A2 DIN912</v>
          </cell>
          <cell r="D3069">
            <v>2</v>
          </cell>
          <cell r="E3069">
            <v>0.26881720430107525</v>
          </cell>
        </row>
        <row r="3070">
          <cell r="A3070">
            <v>35274</v>
          </cell>
          <cell r="B3070" t="str">
            <v>Radiatorforskruning ½”</v>
          </cell>
          <cell r="C3070" t="str">
            <v>Radiatorforskruning ½”</v>
          </cell>
          <cell r="D3070">
            <v>29</v>
          </cell>
          <cell r="E3070">
            <v>3.897849462365591</v>
          </cell>
        </row>
        <row r="3071">
          <cell r="A3071">
            <v>35276</v>
          </cell>
          <cell r="B3071" t="str">
            <v>Nippelrør ½” messing</v>
          </cell>
          <cell r="C3071" t="str">
            <v>Nipple ½” brass</v>
          </cell>
          <cell r="D3071">
            <v>29</v>
          </cell>
          <cell r="E3071">
            <v>3.897849462365591</v>
          </cell>
        </row>
        <row r="3072">
          <cell r="A3072">
            <v>35279</v>
          </cell>
          <cell r="B3072" t="str">
            <v>Prop Ø44,4 DBI41</v>
          </cell>
          <cell r="C3072" t="str">
            <v>Plug Ø44,4 DBI41</v>
          </cell>
          <cell r="D3072">
            <v>3.7</v>
          </cell>
          <cell r="E3072">
            <v>0.49731182795698925</v>
          </cell>
        </row>
        <row r="3073">
          <cell r="A3073">
            <v>35286</v>
          </cell>
          <cell r="B3073" t="str">
            <v>Kobling El Robatic 9/540.1100</v>
          </cell>
          <cell r="C3073" t="str">
            <v>Coupling El Robatic 9/540.1100</v>
          </cell>
          <cell r="D3073">
            <v>10023</v>
          </cell>
          <cell r="E3073">
            <v>1347.1774193548385</v>
          </cell>
        </row>
        <row r="3074">
          <cell r="A3074">
            <v>35296</v>
          </cell>
          <cell r="B3074" t="str">
            <v>Bøsnimng for rep. Af pillekammer</v>
          </cell>
          <cell r="C3074" t="str">
            <v>Bushing for rep of pelletchamber</v>
          </cell>
          <cell r="D3074">
            <v>475</v>
          </cell>
          <cell r="E3074">
            <v>63.844086021505376</v>
          </cell>
        </row>
        <row r="3075">
          <cell r="A3075">
            <v>35300</v>
          </cell>
          <cell r="B3075" t="str">
            <v>Kobling Winflex T2 Ø70/Ø75</v>
          </cell>
          <cell r="C3075" t="str">
            <v>Coupling Winflex T2 Ø70/Ø75</v>
          </cell>
          <cell r="D3075">
            <v>7473</v>
          </cell>
          <cell r="E3075">
            <v>1004.4354838709677</v>
          </cell>
        </row>
        <row r="3076">
          <cell r="A3076">
            <v>35325</v>
          </cell>
          <cell r="B3076" t="str">
            <v>Holder for fedtfordeler, aut. Smøring</v>
          </cell>
          <cell r="C3076" t="str">
            <v>Holder for greasedistributor aut. Greasing</v>
          </cell>
          <cell r="D3076">
            <v>658</v>
          </cell>
          <cell r="E3076">
            <v>88.44086021505376</v>
          </cell>
        </row>
        <row r="3077">
          <cell r="A3077">
            <v>35333</v>
          </cell>
          <cell r="B3077" t="str">
            <v>Sikkerhedsventil Quicklub</v>
          </cell>
          <cell r="C3077" t="str">
            <v>Safety valve Quickclub</v>
          </cell>
          <cell r="D3077">
            <v>369</v>
          </cell>
          <cell r="E3077">
            <v>49.596774193548384</v>
          </cell>
        </row>
        <row r="3078">
          <cell r="A3078">
            <v>35341</v>
          </cell>
          <cell r="B3078" t="str">
            <v xml:space="preserve">Kobling WINFLEX T2 Ø085/090 </v>
          </cell>
          <cell r="C3078" t="str">
            <v>Coupling Winflex T2 Ø85/Ø65</v>
          </cell>
          <cell r="D3078">
            <v>7473</v>
          </cell>
          <cell r="E3078">
            <v>1004.4354838709677</v>
          </cell>
        </row>
        <row r="3079">
          <cell r="A3079">
            <v>35411</v>
          </cell>
          <cell r="B3079" t="str">
            <v>Rulleaksel PMV919TW</v>
          </cell>
          <cell r="C3079" t="str">
            <v>Roller shaft PMV919TW</v>
          </cell>
          <cell r="D3079">
            <v>8268</v>
          </cell>
          <cell r="E3079">
            <v>1111.2903225806451</v>
          </cell>
        </row>
        <row r="3080">
          <cell r="A3080">
            <v>35452</v>
          </cell>
          <cell r="B3080" t="str">
            <v>K250 plastskraber M80 85X50X10</v>
          </cell>
          <cell r="C3080" t="str">
            <v>K250 plastic scraper M80 80x50x10</v>
          </cell>
          <cell r="D3080">
            <v>34</v>
          </cell>
          <cell r="E3080">
            <v>4.5698924731182791</v>
          </cell>
        </row>
        <row r="3081">
          <cell r="A3081">
            <v>35627</v>
          </cell>
          <cell r="B3081" t="str">
            <v>Cyl. Skrue M10 x 50 DIN912</v>
          </cell>
          <cell r="C3081" t="str">
            <v>Cyl. Screw M10 x 50 DIN912</v>
          </cell>
          <cell r="D3081">
            <v>2.4</v>
          </cell>
          <cell r="E3081">
            <v>0.32258064516129031</v>
          </cell>
        </row>
        <row r="3082">
          <cell r="A3082">
            <v>35656</v>
          </cell>
          <cell r="B3082" t="str">
            <v>Smørenippel M10x1 lige, 3 stk. ved manuel smøring</v>
          </cell>
          <cell r="C3082" t="str">
            <v>Grease nipple M10x1 lige, 3 pcs. Manual greasing</v>
          </cell>
          <cell r="D3082">
            <v>2.4</v>
          </cell>
          <cell r="E3082">
            <v>0.32258064516129031</v>
          </cell>
        </row>
        <row r="3083">
          <cell r="A3083">
            <v>35658</v>
          </cell>
          <cell r="B3083" t="str">
            <v>Låsering DH0-139</v>
          </cell>
          <cell r="C3083" t="str">
            <v>Lock ring DH0-139</v>
          </cell>
          <cell r="D3083">
            <v>253</v>
          </cell>
          <cell r="E3083">
            <v>34.005376344086017</v>
          </cell>
        </row>
        <row r="3084">
          <cell r="A3084">
            <v>35659</v>
          </cell>
          <cell r="B3084" t="str">
            <v>Låsering DSH-64</v>
          </cell>
          <cell r="C3084" t="str">
            <v>Lock ring DSH-64</v>
          </cell>
          <cell r="D3084">
            <v>9</v>
          </cell>
          <cell r="E3084">
            <v>1.2096774193548387</v>
          </cell>
        </row>
        <row r="3085">
          <cell r="A3085">
            <v>35666</v>
          </cell>
          <cell r="B3085" t="str">
            <v>Omdrejningsvagt Telemecanique XSA-V12801, 24-220 VAC</v>
          </cell>
          <cell r="C3085" t="str">
            <v>RPM sensor Telemecanique XSA-V12801, 24-220 VAC</v>
          </cell>
          <cell r="D3085">
            <v>1489</v>
          </cell>
          <cell r="E3085">
            <v>200.13440860215053</v>
          </cell>
        </row>
        <row r="3086">
          <cell r="A3086">
            <v>35670</v>
          </cell>
          <cell r="B3086" t="str">
            <v>Pakning for sidedæksel PM615</v>
          </cell>
          <cell r="C3086" t="str">
            <v>Packing for sidecover PM615</v>
          </cell>
          <cell r="D3086">
            <v>222</v>
          </cell>
          <cell r="E3086">
            <v>29.838709677419352</v>
          </cell>
        </row>
        <row r="3087">
          <cell r="A3087">
            <v>35671</v>
          </cell>
          <cell r="B3087" t="str">
            <v>Pakning for inspektions dæksel PM615</v>
          </cell>
          <cell r="C3087" t="str">
            <v>Packing for inspection cover PM615</v>
          </cell>
          <cell r="D3087">
            <v>135</v>
          </cell>
          <cell r="E3087">
            <v>18.14516129032258</v>
          </cell>
        </row>
        <row r="3088">
          <cell r="A3088">
            <v>35672</v>
          </cell>
          <cell r="B3088" t="str">
            <v>Luftfilter P. Monroe A-100-PP</v>
          </cell>
          <cell r="C3088" t="str">
            <v>Airfilter P. Monroe A-100-PP</v>
          </cell>
          <cell r="D3088">
            <v>268</v>
          </cell>
          <cell r="E3088">
            <v>36.021505376344081</v>
          </cell>
        </row>
        <row r="3089">
          <cell r="A3089">
            <v>35673</v>
          </cell>
          <cell r="B3089" t="str">
            <v>Oliestandsglas</v>
          </cell>
          <cell r="C3089" t="str">
            <v>Oil level gauge</v>
          </cell>
          <cell r="D3089">
            <v>58</v>
          </cell>
          <cell r="E3089">
            <v>7.7956989247311821</v>
          </cell>
        </row>
        <row r="3090">
          <cell r="A3090">
            <v>35674</v>
          </cell>
          <cell r="B3090" t="str">
            <v>Termometer Ashcroft 30-A1-60R</v>
          </cell>
          <cell r="C3090" t="str">
            <v>Thermometer</v>
          </cell>
          <cell r="D3090">
            <v>917</v>
          </cell>
          <cell r="E3090">
            <v>123.25268817204301</v>
          </cell>
        </row>
        <row r="3091">
          <cell r="A3091">
            <v>35688</v>
          </cell>
          <cell r="B3091" t="str">
            <v>6-kt. Skrue M20 x 210 FZB DIN 931</v>
          </cell>
          <cell r="C3091" t="str">
            <v>Hex screw M20 x 210 FZB DIN 931</v>
          </cell>
          <cell r="D3091">
            <v>52</v>
          </cell>
          <cell r="E3091">
            <v>6.989247311827957</v>
          </cell>
        </row>
        <row r="3092">
          <cell r="A3092">
            <v>35700</v>
          </cell>
          <cell r="B3092" t="str">
            <v>Gearmotor 1,1 kW STM 25 B3 50Hz</v>
          </cell>
          <cell r="C3092" t="str">
            <v>Gearmotor 1,1 kW STM 25 B3 50Hz</v>
          </cell>
          <cell r="D3092">
            <v>3263</v>
          </cell>
          <cell r="E3092">
            <v>438.57526881720429</v>
          </cell>
        </row>
        <row r="3093">
          <cell r="A3093">
            <v>35705</v>
          </cell>
          <cell r="B3093" t="str">
            <v>Aksel for RMI85 Gear</v>
          </cell>
          <cell r="C3093" t="str">
            <v>Shaft for RMI85 gear</v>
          </cell>
          <cell r="D3093">
            <v>219</v>
          </cell>
          <cell r="E3093">
            <v>29.43548387096774</v>
          </cell>
        </row>
        <row r="3094">
          <cell r="A3094">
            <v>35715</v>
          </cell>
          <cell r="B3094" t="str">
            <v>Indløbstragt M615W med dumpingklap, komplet incl. pos. 2-14</v>
          </cell>
          <cell r="C3094" t="str">
            <v>Dump shute M615W with dumping hatch, compl incl pos 2-14</v>
          </cell>
          <cell r="D3094">
            <v>23002</v>
          </cell>
          <cell r="E3094">
            <v>3091.6666666666665</v>
          </cell>
        </row>
        <row r="3095">
          <cell r="A3095">
            <v>35716</v>
          </cell>
          <cell r="B3095" t="str">
            <v>Kobling Winflex T2, Ø80H7/Ø65</v>
          </cell>
          <cell r="C3095" t="str">
            <v>Coupling Winflex T2, Ø80H7/Ø65</v>
          </cell>
          <cell r="D3095">
            <v>7473</v>
          </cell>
          <cell r="E3095">
            <v>1004.4354838709677</v>
          </cell>
        </row>
        <row r="3096">
          <cell r="A3096">
            <v>35727</v>
          </cell>
          <cell r="B3096" t="str">
            <v>Nippelmuffe 3/4" U-1/2”I</v>
          </cell>
          <cell r="C3096" t="str">
            <v>Nipple sleeve 3/4" U-1/2”I</v>
          </cell>
          <cell r="D3096">
            <v>50</v>
          </cell>
          <cell r="E3096">
            <v>6.7204301075268811</v>
          </cell>
        </row>
        <row r="3097">
          <cell r="A3097">
            <v>35741</v>
          </cell>
          <cell r="B3097" t="str">
            <v>Skærm for kobling PM615</v>
          </cell>
          <cell r="C3097" t="str">
            <v>Screen for coupling PM615</v>
          </cell>
          <cell r="D3097">
            <v>2591</v>
          </cell>
          <cell r="E3097">
            <v>348.25268817204301</v>
          </cell>
        </row>
        <row r="3098">
          <cell r="A3098">
            <v>35752</v>
          </cell>
          <cell r="B3098" t="str">
            <v>Kobling Winflex T2 Ø90/Ø65</v>
          </cell>
          <cell r="C3098" t="str">
            <v>Coupling Winflex T2 Ø90/Ø65</v>
          </cell>
          <cell r="D3098">
            <v>7473</v>
          </cell>
          <cell r="E3098">
            <v>1004.4354838709677</v>
          </cell>
        </row>
        <row r="3099">
          <cell r="A3099">
            <v>35755</v>
          </cell>
          <cell r="B3099" t="str">
            <v>Momentarm for elkobling MV919</v>
          </cell>
          <cell r="C3099" t="str">
            <v>Torque arm for electrical coupling MV919</v>
          </cell>
          <cell r="D3099">
            <v>650</v>
          </cell>
          <cell r="E3099">
            <v>87.365591397849457</v>
          </cell>
        </row>
        <row r="3100">
          <cell r="A3100">
            <v>35768</v>
          </cell>
          <cell r="B3100" t="str">
            <v>Skive Ø52/Ø11x6</v>
          </cell>
          <cell r="C3100" t="str">
            <v>Washer Ø52/Ø11x6</v>
          </cell>
          <cell r="D3100">
            <v>316</v>
          </cell>
          <cell r="E3100">
            <v>42.473118279569889</v>
          </cell>
        </row>
        <row r="3101">
          <cell r="A3101">
            <v>35770</v>
          </cell>
          <cell r="B3101" t="str">
            <v>Skive Ø52/Ø11 undersænket</v>
          </cell>
          <cell r="C3101" t="str">
            <v>Washer Ø52/Ø11 countersunk</v>
          </cell>
          <cell r="D3101">
            <v>494</v>
          </cell>
          <cell r="E3101">
            <v>66.397849462365585</v>
          </cell>
        </row>
        <row r="3102">
          <cell r="A3102">
            <v>35783</v>
          </cell>
          <cell r="B3102" t="str">
            <v>Centrifeeder svejst</v>
          </cell>
          <cell r="C3102" t="str">
            <v>Centrifeeder welded</v>
          </cell>
          <cell r="D3102">
            <v>47700</v>
          </cell>
          <cell r="E3102">
            <v>6411.2903225806449</v>
          </cell>
        </row>
        <row r="3103">
          <cell r="A3103">
            <v>35784</v>
          </cell>
          <cell r="B3103" t="str">
            <v>Slidring Centrifeeder PMV919</v>
          </cell>
          <cell r="C3103" t="str">
            <v>Wearring for centrifeeder PMV919</v>
          </cell>
          <cell r="D3103">
            <v>8306</v>
          </cell>
          <cell r="E3103">
            <v>1116.3978494623655</v>
          </cell>
        </row>
        <row r="3104">
          <cell r="A3104">
            <v>35791</v>
          </cell>
          <cell r="B3104" t="str">
            <v>Motorplade for centrifeeder</v>
          </cell>
          <cell r="C3104" t="str">
            <v>Motor plate for centrifeeder</v>
          </cell>
          <cell r="D3104">
            <v>1262</v>
          </cell>
          <cell r="E3104">
            <v>169.6236559139785</v>
          </cell>
        </row>
        <row r="3105">
          <cell r="A3105">
            <v>35796</v>
          </cell>
          <cell r="B3105" t="str">
            <v>Lejehus – flange SKF 722512 DB</v>
          </cell>
          <cell r="C3105" t="str">
            <v>Bearing house - flange SKF 722512 DB</v>
          </cell>
          <cell r="D3105">
            <v>561</v>
          </cell>
          <cell r="E3105">
            <v>75.403225806451616</v>
          </cell>
        </row>
        <row r="3106">
          <cell r="A3106">
            <v>35798</v>
          </cell>
          <cell r="B3106" t="str">
            <v>Sfærisk rulleleje 22212EK</v>
          </cell>
          <cell r="C3106" t="str">
            <v>Spherical roller bearing 22212EK</v>
          </cell>
          <cell r="D3106">
            <v>355</v>
          </cell>
          <cell r="E3106">
            <v>47.715053763440856</v>
          </cell>
        </row>
        <row r="3107">
          <cell r="A3107">
            <v>35800</v>
          </cell>
          <cell r="B3107" t="str">
            <v>Afstandsring ZW90 x 110</v>
          </cell>
          <cell r="C3107" t="str">
            <v>Distance ring ZW90 x 110</v>
          </cell>
          <cell r="D3107">
            <v>14.3</v>
          </cell>
          <cell r="E3107">
            <v>1.9220430107526882</v>
          </cell>
        </row>
        <row r="3108">
          <cell r="A3108">
            <v>35801</v>
          </cell>
          <cell r="B3108" t="str">
            <v>Tætningsfilt FS260</v>
          </cell>
          <cell r="C3108" t="str">
            <v>Seal filt FS260</v>
          </cell>
          <cell r="D3108">
            <v>2.7</v>
          </cell>
          <cell r="E3108">
            <v>0.36290322580645162</v>
          </cell>
        </row>
        <row r="3109">
          <cell r="A3109">
            <v>35814</v>
          </cell>
          <cell r="B3109" t="str">
            <v>Låseplade for gear</v>
          </cell>
          <cell r="C3109" t="str">
            <v>Lock plate for gear</v>
          </cell>
          <cell r="D3109">
            <v>493</v>
          </cell>
          <cell r="E3109">
            <v>66.263440860215056</v>
          </cell>
        </row>
        <row r="3110">
          <cell r="A3110">
            <v>35815</v>
          </cell>
          <cell r="B3110" t="str">
            <v>Kileremskive SPA2 Ø250</v>
          </cell>
          <cell r="C3110" t="str">
            <v>V-belt pulley SPA2 Ø250</v>
          </cell>
          <cell r="D3110">
            <v>204</v>
          </cell>
          <cell r="E3110">
            <v>27.419354838709676</v>
          </cell>
        </row>
        <row r="3111">
          <cell r="A3111">
            <v>35817</v>
          </cell>
          <cell r="B3111" t="str">
            <v>Cyl. Rulleleje NU2232 EC C3</v>
          </cell>
          <cell r="C3111" t="str">
            <v>Cyl. Rollerbearing NU2232 EC C3</v>
          </cell>
          <cell r="D3111">
            <v>4306</v>
          </cell>
          <cell r="E3111">
            <v>578.76344086021504</v>
          </cell>
        </row>
        <row r="3112">
          <cell r="A3112">
            <v>35822</v>
          </cell>
          <cell r="B3112" t="str">
            <v>Skærm for bypass klap for centrifeeder</v>
          </cell>
          <cell r="C3112" t="str">
            <v>Screen for bypass clap for centrifeeder</v>
          </cell>
          <cell r="D3112">
            <v>3674</v>
          </cell>
          <cell r="E3112">
            <v>493.81720430107526</v>
          </cell>
        </row>
        <row r="3113">
          <cell r="A3113">
            <v>35833</v>
          </cell>
          <cell r="B3113" t="str">
            <v>Kileremskive SPA2 Ø90</v>
          </cell>
          <cell r="C3113" t="str">
            <v>V-belt pulley SPA2 Ø90</v>
          </cell>
          <cell r="D3113">
            <v>63</v>
          </cell>
          <cell r="E3113">
            <v>8.4677419354838701</v>
          </cell>
        </row>
        <row r="3114">
          <cell r="A3114">
            <v>35846</v>
          </cell>
          <cell r="B3114" t="str">
            <v>Kilerem XPA 1250</v>
          </cell>
          <cell r="C3114" t="str">
            <v>V-belt XPA 1250</v>
          </cell>
          <cell r="D3114">
            <v>49</v>
          </cell>
          <cell r="E3114">
            <v>6.586021505376344</v>
          </cell>
        </row>
        <row r="3115">
          <cell r="A3115">
            <v>35849</v>
          </cell>
          <cell r="B3115" t="str">
            <v>Skærm for tørnedrev</v>
          </cell>
          <cell r="C3115" t="str">
            <v>Screen for turning drive</v>
          </cell>
          <cell r="D3115">
            <v>3681</v>
          </cell>
          <cell r="E3115">
            <v>494.75806451612902</v>
          </cell>
        </row>
        <row r="3116">
          <cell r="A3116">
            <v>35853</v>
          </cell>
          <cell r="B3116" t="str">
            <v>Holder for fedtfordelerblok PM 615</v>
          </cell>
          <cell r="C3116" t="str">
            <v>Holder for grease distributor block</v>
          </cell>
          <cell r="D3116">
            <v>265</v>
          </cell>
          <cell r="E3116">
            <v>35.618279569892472</v>
          </cell>
        </row>
        <row r="3117">
          <cell r="A3117">
            <v>35912</v>
          </cell>
          <cell r="B3117" t="str">
            <v>Borebøsning ASA Ø1"x Ø1-3/4" x 1-3/4"</v>
          </cell>
          <cell r="C3117" t="str">
            <v>Bushing ASA Ø1"x Ø1-3/4" x 1-3/4"</v>
          </cell>
          <cell r="D3117">
            <v>181</v>
          </cell>
          <cell r="E3117">
            <v>24.327956989247312</v>
          </cell>
        </row>
        <row r="3118">
          <cell r="A3118">
            <v>35914</v>
          </cell>
          <cell r="B3118" t="str">
            <v>Remskærm for centrifeeder PMV919</v>
          </cell>
          <cell r="C3118" t="str">
            <v>Belt screen for centrifeeder PMV919</v>
          </cell>
          <cell r="D3118">
            <v>2219</v>
          </cell>
          <cell r="E3118">
            <v>298.25268817204301</v>
          </cell>
        </row>
        <row r="3119">
          <cell r="A3119">
            <v>35920</v>
          </cell>
          <cell r="B3119" t="str">
            <v>Låsering U150x4 A DIN 471</v>
          </cell>
          <cell r="C3119" t="str">
            <v>Lock ring U150x4 A DIN 471</v>
          </cell>
          <cell r="D3119">
            <v>33</v>
          </cell>
          <cell r="E3119">
            <v>4.435483870967742</v>
          </cell>
        </row>
        <row r="3120">
          <cell r="A3120">
            <v>35960</v>
          </cell>
          <cell r="B3120" t="str">
            <v>Vinkelnippel ¼”</v>
          </cell>
          <cell r="C3120" t="str">
            <v>Angel nipple ¼”</v>
          </cell>
          <cell r="D3120">
            <v>51</v>
          </cell>
          <cell r="E3120">
            <v>6.854838709677419</v>
          </cell>
        </row>
        <row r="3121">
          <cell r="A3121">
            <v>35968</v>
          </cell>
          <cell r="B3121" t="str">
            <v>6-kt. Skrue M24 x 200 DIN 933</v>
          </cell>
          <cell r="C3121" t="str">
            <v>Hex screw M24 x 200 DIN 933</v>
          </cell>
          <cell r="D3121">
            <v>75</v>
          </cell>
          <cell r="E3121">
            <v>10.080645161290322</v>
          </cell>
        </row>
        <row r="3122">
          <cell r="A3122">
            <v>35969</v>
          </cell>
          <cell r="B3122" t="str">
            <v>Møtrik M24 FZB DIN 935</v>
          </cell>
          <cell r="C3122" t="str">
            <v>Nut M24 FZB DIN 935</v>
          </cell>
          <cell r="D3122">
            <v>22</v>
          </cell>
          <cell r="E3122">
            <v>2.956989247311828</v>
          </cell>
        </row>
        <row r="3123">
          <cell r="A3123">
            <v>35973</v>
          </cell>
          <cell r="B3123" t="str">
            <v>6-kt. Skrue M8 x 35 DIN 931</v>
          </cell>
          <cell r="C3123" t="str">
            <v>Hex screw M8 x 35 DIN 931</v>
          </cell>
          <cell r="D3123">
            <v>1</v>
          </cell>
          <cell r="E3123">
            <v>0.13440860215053763</v>
          </cell>
        </row>
        <row r="3124">
          <cell r="A3124">
            <v>35974</v>
          </cell>
          <cell r="B3124" t="str">
            <v>Facetskive Ø8 FZB DIN125A</v>
          </cell>
          <cell r="C3124" t="str">
            <v>Washer Ø8 FZB DIN125A</v>
          </cell>
          <cell r="D3124">
            <v>0.2</v>
          </cell>
          <cell r="E3124">
            <v>2.6881720430107527E-2</v>
          </cell>
        </row>
        <row r="3125">
          <cell r="A3125">
            <v>35986</v>
          </cell>
          <cell r="B3125" t="str">
            <v>Leje WC24DX ø26 x 44 x 1,5</v>
          </cell>
          <cell r="C3125" t="str">
            <v>Bearing WC24DX ø26 x 44 x 1,5</v>
          </cell>
          <cell r="D3125">
            <v>34</v>
          </cell>
          <cell r="E3125">
            <v>4.5698924731182791</v>
          </cell>
        </row>
        <row r="3126">
          <cell r="A3126">
            <v>36871</v>
          </cell>
          <cell r="B3126" t="str">
            <v>Knivhoved 5-blads EX17</v>
          </cell>
          <cell r="C3126" t="str">
            <v>Knifehead 5-blade EX17</v>
          </cell>
          <cell r="D3126">
            <v>6890</v>
          </cell>
          <cell r="E3126">
            <v>926.07526881720423</v>
          </cell>
        </row>
        <row r="3127">
          <cell r="A3127">
            <v>36970</v>
          </cell>
          <cell r="B3127" t="str">
            <v>6-kt. Skrue M10 x 12 A2 DIN 933</v>
          </cell>
          <cell r="C3127" t="str">
            <v>Hex screw M10 x 12 A2 DIN 933</v>
          </cell>
          <cell r="D3127">
            <v>2</v>
          </cell>
          <cell r="E3127">
            <v>0.26881720430107525</v>
          </cell>
        </row>
        <row r="3128">
          <cell r="A3128">
            <v>36977</v>
          </cell>
          <cell r="B3128" t="str">
            <v>Skærm Indløbstragt m/klap M615</v>
          </cell>
          <cell r="C3128" t="str">
            <v>Screen for dumpschute M615</v>
          </cell>
          <cell r="D3128">
            <v>2743</v>
          </cell>
          <cell r="E3128">
            <v>368.68279569892474</v>
          </cell>
        </row>
        <row r="3129">
          <cell r="A3129">
            <v>36978</v>
          </cell>
          <cell r="B3129" t="str">
            <v>Dumpingklap</v>
          </cell>
          <cell r="C3129" t="str">
            <v>Dumping hatch</v>
          </cell>
          <cell r="D3129">
            <v>9989</v>
          </cell>
          <cell r="E3129">
            <v>1342.6075268817203</v>
          </cell>
        </row>
        <row r="3130">
          <cell r="A3130">
            <v>36984</v>
          </cell>
          <cell r="B3130" t="str">
            <v>Luftcylinder Parker C52M-32-12-79</v>
          </cell>
          <cell r="C3130" t="str">
            <v>Air cylinder Parker C52M-32-12-79</v>
          </cell>
          <cell r="D3130">
            <v>536</v>
          </cell>
          <cell r="E3130">
            <v>72.043010752688161</v>
          </cell>
        </row>
        <row r="3131">
          <cell r="A3131">
            <v>37076</v>
          </cell>
          <cell r="B3131" t="str">
            <v>Sikringsstift PM615</v>
          </cell>
          <cell r="C3131" t="str">
            <v>Safety pin PM615</v>
          </cell>
          <cell r="D3131">
            <v>154</v>
          </cell>
          <cell r="E3131">
            <v>20.698924731182796</v>
          </cell>
        </row>
        <row r="3132">
          <cell r="A3132">
            <v>37113</v>
          </cell>
          <cell r="B3132" t="str">
            <v>Permanent magnet 200 x 205 x 87</v>
          </cell>
          <cell r="C3132" t="str">
            <v>Solid magnet 200 x 205 x 87</v>
          </cell>
          <cell r="D3132">
            <v>3027</v>
          </cell>
          <cell r="E3132">
            <v>406.85483870967738</v>
          </cell>
        </row>
        <row r="3133">
          <cell r="A3133">
            <v>37176</v>
          </cell>
          <cell r="B3133" t="str">
            <v>Snegl med belægning, kompl.</v>
          </cell>
          <cell r="C3133" t="str">
            <v>Worm with hard layer double flight</v>
          </cell>
          <cell r="D3133">
            <v>34556</v>
          </cell>
          <cell r="E3133">
            <v>4644.6236559139779</v>
          </cell>
        </row>
        <row r="3134">
          <cell r="A3134">
            <v>37179</v>
          </cell>
          <cell r="B3134" t="str">
            <v>Slidsnegl</v>
          </cell>
          <cell r="C3134" t="str">
            <v>Wear worm double flight</v>
          </cell>
          <cell r="D3134">
            <v>23850</v>
          </cell>
          <cell r="E3134">
            <v>3205.6451612903224</v>
          </cell>
        </row>
        <row r="3135">
          <cell r="A3135">
            <v>37245</v>
          </cell>
          <cell r="B3135" t="str">
            <v>Plade for sikkerhedsendestop</v>
          </cell>
          <cell r="C3135" t="str">
            <v>Plate for safety endstop</v>
          </cell>
          <cell r="D3135">
            <v>251</v>
          </cell>
          <cell r="E3135">
            <v>33.736559139784944</v>
          </cell>
        </row>
        <row r="3136">
          <cell r="A3136">
            <v>37247</v>
          </cell>
          <cell r="B3136" t="str">
            <v>Beslag for nøgle</v>
          </cell>
          <cell r="C3136" t="str">
            <v>Fitting for key</v>
          </cell>
          <cell r="D3136">
            <v>509</v>
          </cell>
          <cell r="E3136">
            <v>68.413978494623649</v>
          </cell>
        </row>
        <row r="3137">
          <cell r="A3137">
            <v>37305</v>
          </cell>
          <cell r="B3137" t="str">
            <v>Vægspil 6211, 250 kg</v>
          </cell>
          <cell r="C3137" t="str">
            <v>Winch 6211, 250kg</v>
          </cell>
          <cell r="D3137">
            <v>4711</v>
          </cell>
          <cell r="E3137">
            <v>633.19892473118273</v>
          </cell>
        </row>
        <row r="3138">
          <cell r="A3138">
            <v>37332</v>
          </cell>
          <cell r="B3138" t="str">
            <v>Poseholder 1800 T  AS  Galvaniseret</v>
          </cell>
          <cell r="C3138" t="str">
            <v>Filter bag cage 1800 T  AS  Galvanized</v>
          </cell>
          <cell r="D3138">
            <v>345</v>
          </cell>
          <cell r="E3138">
            <v>46.37096774193548</v>
          </cell>
        </row>
        <row r="3139">
          <cell r="A3139">
            <v>37378</v>
          </cell>
          <cell r="B3139" t="str">
            <v>Indløbstragt M615W</v>
          </cell>
          <cell r="C3139" t="str">
            <v>Dump shute M615W</v>
          </cell>
          <cell r="D3139">
            <v>14310</v>
          </cell>
          <cell r="E3139">
            <v>1923.3870967741934</v>
          </cell>
        </row>
        <row r="3140">
          <cell r="A3140">
            <v>37415</v>
          </cell>
          <cell r="B3140" t="str">
            <v>Feder A 32 x 18 x 200</v>
          </cell>
          <cell r="C3140" t="str">
            <v>Parallel key A 32 x 18 x 200</v>
          </cell>
          <cell r="D3140">
            <v>52</v>
          </cell>
          <cell r="E3140">
            <v>6.989247311827957</v>
          </cell>
        </row>
        <row r="3141">
          <cell r="A3141">
            <v>37509</v>
          </cell>
          <cell r="B3141" t="str">
            <v>Kobling Winflex T1 Ø75/Ø60</v>
          </cell>
          <cell r="C3141" t="str">
            <v>Coupling Winflex T2 Ø75/Ø60</v>
          </cell>
          <cell r="D3141">
            <v>5350</v>
          </cell>
          <cell r="E3141">
            <v>719.08602150537627</v>
          </cell>
        </row>
        <row r="3142">
          <cell r="A3142">
            <v>37519</v>
          </cell>
          <cell r="B3142" t="str">
            <v>Pillekammer, højrehængslet PM615</v>
          </cell>
          <cell r="C3142" t="str">
            <v>Pellet chamber right hinged PM615</v>
          </cell>
          <cell r="D3142">
            <v>48520</v>
          </cell>
          <cell r="E3142">
            <v>6521.5053763440856</v>
          </cell>
        </row>
        <row r="3143">
          <cell r="A3143">
            <v>37579</v>
          </cell>
          <cell r="B3143" t="str">
            <v>Afbryderplade for 2Tons matricekran</v>
          </cell>
          <cell r="C3143" t="str">
            <v>Switch Cover for 2 ton Die crane</v>
          </cell>
          <cell r="D3143">
            <v>313</v>
          </cell>
          <cell r="E3143">
            <v>42.06989247311828</v>
          </cell>
        </row>
        <row r="3144">
          <cell r="A3144">
            <v>37702</v>
          </cell>
          <cell r="B3144" t="str">
            <v>Rensenål for injektor ø 4,2</v>
          </cell>
          <cell r="C3144" t="str">
            <v>Cleaning needle for nozzle Ø4,2</v>
          </cell>
          <cell r="D3144">
            <v>716</v>
          </cell>
          <cell r="E3144">
            <v>96.236559139784944</v>
          </cell>
        </row>
        <row r="3145">
          <cell r="A3145">
            <v>37703</v>
          </cell>
          <cell r="B3145" t="str">
            <v>Rensenål for injektor ø 3,4</v>
          </cell>
          <cell r="C3145" t="str">
            <v>Cleaning needle for nozzle Ø 3,4</v>
          </cell>
          <cell r="D3145">
            <v>716</v>
          </cell>
          <cell r="E3145">
            <v>96.236559139784944</v>
          </cell>
        </row>
        <row r="3146">
          <cell r="A3146">
            <v>37705</v>
          </cell>
          <cell r="B3146" t="str">
            <v>Dyse Ø3,4 - 40o afbøjning</v>
          </cell>
          <cell r="C3146" t="str">
            <v>Nozzle Ø3.4 - 40o bending</v>
          </cell>
          <cell r="D3146">
            <v>371</v>
          </cell>
          <cell r="E3146">
            <v>49.865591397849457</v>
          </cell>
        </row>
        <row r="3147">
          <cell r="A3147">
            <v>37706</v>
          </cell>
          <cell r="B3147" t="str">
            <v>Dyse Ø4,2 - 40o afbøjning</v>
          </cell>
          <cell r="C3147" t="str">
            <v>Nozzle Ø4,2 - 40o bending</v>
          </cell>
          <cell r="D3147">
            <v>371</v>
          </cell>
          <cell r="E3147">
            <v>49.865591397849457</v>
          </cell>
        </row>
        <row r="3148">
          <cell r="A3148">
            <v>37847</v>
          </cell>
          <cell r="B3148" t="str">
            <v>Slange Ø12,5/Ø21,4</v>
          </cell>
          <cell r="C3148" t="str">
            <v>Hose Ø12,5/Ø21,4</v>
          </cell>
          <cell r="D3148">
            <v>48</v>
          </cell>
          <cell r="E3148">
            <v>6.4516129032258061</v>
          </cell>
        </row>
        <row r="3149">
          <cell r="A3149">
            <v>37851</v>
          </cell>
          <cell r="B3149" t="str">
            <v>Slangestuds ½”</v>
          </cell>
          <cell r="C3149" t="str">
            <v>Hose connector ½”</v>
          </cell>
          <cell r="D3149">
            <v>41</v>
          </cell>
          <cell r="E3149">
            <v>5.510752688172043</v>
          </cell>
        </row>
        <row r="3150">
          <cell r="A3150">
            <v>37852</v>
          </cell>
          <cell r="B3150" t="str">
            <v>Påskruningskappe ½”</v>
          </cell>
          <cell r="C3150" t="str">
            <v>Union for ½” hose connector</v>
          </cell>
          <cell r="D3150">
            <v>32</v>
          </cell>
          <cell r="E3150">
            <v>4.301075268817204</v>
          </cell>
        </row>
        <row r="3151">
          <cell r="A3151">
            <v>37853</v>
          </cell>
          <cell r="B3151" t="str">
            <v>Slange Ø38/Ø52</v>
          </cell>
          <cell r="C3151" t="str">
            <v>Hose Ø38/Ø52</v>
          </cell>
          <cell r="D3151">
            <v>170</v>
          </cell>
          <cell r="E3151">
            <v>22.849462365591396</v>
          </cell>
        </row>
        <row r="3152">
          <cell r="A3152">
            <v>37856</v>
          </cell>
          <cell r="B3152" t="str">
            <v>Slangestuds 1 ½” BSP</v>
          </cell>
          <cell r="C3152" t="str">
            <v>Hose connector 1 ½” BSP</v>
          </cell>
          <cell r="D3152">
            <v>111</v>
          </cell>
          <cell r="E3152">
            <v>14.919354838709676</v>
          </cell>
        </row>
        <row r="3153">
          <cell r="A3153">
            <v>37858</v>
          </cell>
          <cell r="B3153" t="str">
            <v>Spændebånd 1 ½”</v>
          </cell>
          <cell r="C3153" t="str">
            <v>Clamp 1 ½”</v>
          </cell>
          <cell r="D3153">
            <v>74</v>
          </cell>
          <cell r="E3153">
            <v>9.9462365591397841</v>
          </cell>
        </row>
        <row r="3154">
          <cell r="A3154">
            <v>37865</v>
          </cell>
          <cell r="B3154" t="str">
            <v>Drivaksel    7,09:1 PM615 S2</v>
          </cell>
          <cell r="C3154" t="str">
            <v>Drive shaft 7,09:1 PM615 S2</v>
          </cell>
          <cell r="D3154">
            <v>12263</v>
          </cell>
          <cell r="E3154">
            <v>1648.252688172043</v>
          </cell>
        </row>
        <row r="3155">
          <cell r="A3155">
            <v>37871</v>
          </cell>
          <cell r="B3155" t="str">
            <v>Indløbstragt M700-M1100</v>
          </cell>
          <cell r="C3155" t="str">
            <v>Dump shute M700-M1100</v>
          </cell>
          <cell r="D3155">
            <v>22313</v>
          </cell>
          <cell r="E3155">
            <v>2999.0591397849462</v>
          </cell>
        </row>
        <row r="3156">
          <cell r="A3156">
            <v>37920</v>
          </cell>
          <cell r="B3156" t="str">
            <v>Fæste</v>
          </cell>
          <cell r="C3156" t="str">
            <v>Fastening</v>
          </cell>
          <cell r="D3156">
            <v>217</v>
          </cell>
          <cell r="E3156">
            <v>29.166666666666664</v>
          </cell>
        </row>
        <row r="3157">
          <cell r="A3157">
            <v>37938</v>
          </cell>
          <cell r="B3157" t="str">
            <v>Kileremskive SPB 6 ø630</v>
          </cell>
          <cell r="C3157" t="str">
            <v xml:space="preserve">V-belt pulley SPB 6, Ø630 </v>
          </cell>
          <cell r="D3157">
            <v>1988</v>
          </cell>
          <cell r="E3157">
            <v>267.2043010752688</v>
          </cell>
        </row>
        <row r="3158">
          <cell r="A3158">
            <v>37947</v>
          </cell>
          <cell r="B3158" t="str">
            <v>Løftekrog for ruller</v>
          </cell>
          <cell r="C3158" t="str">
            <v>Lifting hook for roller</v>
          </cell>
          <cell r="D3158">
            <v>3143</v>
          </cell>
          <cell r="E3158">
            <v>422.44623655913978</v>
          </cell>
        </row>
        <row r="3159">
          <cell r="A3159">
            <v>37951</v>
          </cell>
          <cell r="B3159" t="str">
            <v>Løftekrog for matrice</v>
          </cell>
          <cell r="C3159" t="str">
            <v>Lifting hook for Die</v>
          </cell>
          <cell r="D3159">
            <v>4005</v>
          </cell>
          <cell r="E3159">
            <v>538.30645161290317</v>
          </cell>
        </row>
        <row r="3160">
          <cell r="A3160">
            <v>37952</v>
          </cell>
          <cell r="B3160" t="str">
            <v>Lav vinkel 1/4”-ø6</v>
          </cell>
          <cell r="C3160" t="str">
            <v>Low elbow</v>
          </cell>
          <cell r="D3160">
            <v>25</v>
          </cell>
          <cell r="E3160">
            <v>3.3602150537634405</v>
          </cell>
        </row>
        <row r="3161">
          <cell r="A3161">
            <v>38048</v>
          </cell>
          <cell r="B3161" t="str">
            <v>Låsering U 105 x 4,00 A  DIN471</v>
          </cell>
          <cell r="C3161" t="str">
            <v>Lock ring U 105 x 4,00 A  DIN471</v>
          </cell>
          <cell r="D3161">
            <v>41</v>
          </cell>
          <cell r="E3161">
            <v>5.510752688172043</v>
          </cell>
        </row>
        <row r="3162">
          <cell r="A3162">
            <v>38095</v>
          </cell>
          <cell r="B3162" t="str">
            <v>6kt skrue M12x18 FZB DIN933</v>
          </cell>
          <cell r="C3162" t="str">
            <v>Set screw M12x18 FZB DIN933</v>
          </cell>
          <cell r="D3162">
            <v>2.9</v>
          </cell>
          <cell r="E3162">
            <v>0.38978494623655913</v>
          </cell>
        </row>
        <row r="3163">
          <cell r="A3163">
            <v>38122</v>
          </cell>
          <cell r="B3163" t="str">
            <v>Dæksel</v>
          </cell>
          <cell r="C3163" t="str">
            <v>Cover</v>
          </cell>
          <cell r="D3163">
            <v>212</v>
          </cell>
          <cell r="E3163">
            <v>28.494623655913976</v>
          </cell>
        </row>
        <row r="3164">
          <cell r="A3164">
            <v>38145</v>
          </cell>
          <cell r="B3164" t="str">
            <v>Lejehus for dok</v>
          </cell>
          <cell r="C3164" t="str">
            <v>Bearing housing prepared for oil cooler</v>
          </cell>
          <cell r="D3164">
            <v>61480</v>
          </cell>
          <cell r="E3164">
            <v>8263.4408602150525</v>
          </cell>
        </row>
        <row r="3165">
          <cell r="A3165">
            <v>38149</v>
          </cell>
          <cell r="B3165" t="str">
            <v>Lejehus</v>
          </cell>
          <cell r="C3165" t="str">
            <v>Bearing housing</v>
          </cell>
          <cell r="D3165">
            <v>29680</v>
          </cell>
          <cell r="E3165">
            <v>3989.2473118279568</v>
          </cell>
        </row>
        <row r="3166">
          <cell r="A3166">
            <v>38159</v>
          </cell>
          <cell r="B3166" t="str">
            <v>Kileremskive SPC10 Ø335 TL5050</v>
          </cell>
          <cell r="C3166" t="str">
            <v>V-belt pulley SPC10 Ø335 TL5050</v>
          </cell>
          <cell r="D3166">
            <v>6922</v>
          </cell>
          <cell r="E3166">
            <v>930.3763440860215</v>
          </cell>
        </row>
        <row r="3167">
          <cell r="A3167">
            <v>38163</v>
          </cell>
          <cell r="B3167" t="str">
            <v>Akseltap</v>
          </cell>
          <cell r="C3167" t="str">
            <v>Drive shaft</v>
          </cell>
          <cell r="D3167">
            <v>28090</v>
          </cell>
          <cell r="E3167">
            <v>3775.5376344086021</v>
          </cell>
        </row>
        <row r="3168">
          <cell r="A3168">
            <v>38215</v>
          </cell>
          <cell r="B3168" t="str">
            <v xml:space="preserve">Wire skive type SR 75 </v>
          </cell>
          <cell r="C3168" t="str">
            <v>Wire disc SR 75</v>
          </cell>
          <cell r="D3168">
            <v>336</v>
          </cell>
          <cell r="E3168">
            <v>45.161290322580641</v>
          </cell>
        </row>
        <row r="3169">
          <cell r="A3169">
            <v>38216</v>
          </cell>
          <cell r="B3169" t="str">
            <v xml:space="preserve">Kilerem SPC 4750 Reed power </v>
          </cell>
          <cell r="C3169" t="str">
            <v xml:space="preserve">V-belt SPC 4750 Reed power </v>
          </cell>
          <cell r="D3169">
            <v>496</v>
          </cell>
          <cell r="E3169">
            <v>66.666666666666657</v>
          </cell>
        </row>
        <row r="3170">
          <cell r="A3170">
            <v>38217</v>
          </cell>
          <cell r="B3170" t="str">
            <v>Vægspil Type 6113</v>
          </cell>
          <cell r="C3170" t="str">
            <v>Winch type 6113</v>
          </cell>
          <cell r="D3170">
            <v>5497</v>
          </cell>
          <cell r="E3170">
            <v>738.84408602150529</v>
          </cell>
        </row>
        <row r="3171">
          <cell r="A3171">
            <v>38220</v>
          </cell>
          <cell r="B3171" t="str">
            <v>Wire 7x19 Aircraft</v>
          </cell>
          <cell r="C3171" t="str">
            <v>Wire 7x19 aircraft</v>
          </cell>
          <cell r="D3171">
            <v>135</v>
          </cell>
          <cell r="E3171">
            <v>18.14516129032258</v>
          </cell>
        </row>
        <row r="3172">
          <cell r="A3172">
            <v>38261</v>
          </cell>
          <cell r="B3172" t="str">
            <v>Dysebase Ny EX20</v>
          </cell>
          <cell r="C3172" t="str">
            <v>Die base new EX20</v>
          </cell>
          <cell r="D3172">
            <v>28885</v>
          </cell>
          <cell r="E3172">
            <v>3882.3924731182792</v>
          </cell>
        </row>
        <row r="3173">
          <cell r="A3173">
            <v>38298</v>
          </cell>
          <cell r="B3173" t="str">
            <v>Cyl. skrue M20 x 35  A2 DIN 912</v>
          </cell>
          <cell r="C3173" t="str">
            <v>Cyl. screw M20X35 A2   DIN912</v>
          </cell>
          <cell r="D3173">
            <v>27</v>
          </cell>
          <cell r="E3173">
            <v>3.629032258064516</v>
          </cell>
        </row>
        <row r="3174">
          <cell r="A3174">
            <v>38334</v>
          </cell>
          <cell r="B3174" t="str">
            <v>Spændeelement TL5050 Ø80</v>
          </cell>
          <cell r="C3174" t="str">
            <v>Shaft adapter, taper-lock TL5050 Ø80</v>
          </cell>
          <cell r="D3174">
            <v>451</v>
          </cell>
          <cell r="E3174">
            <v>60.618279569892472</v>
          </cell>
        </row>
        <row r="3175">
          <cell r="A3175">
            <v>38340</v>
          </cell>
          <cell r="B3175" t="str">
            <v>Afstandsring Ø320x 240x19</v>
          </cell>
          <cell r="C3175" t="str">
            <v>Thrust disc Ø320 x 240 x 19</v>
          </cell>
          <cell r="D3175">
            <v>2438</v>
          </cell>
          <cell r="E3175">
            <v>327.68817204301075</v>
          </cell>
        </row>
        <row r="3176">
          <cell r="A3176">
            <v>38341</v>
          </cell>
          <cell r="B3176" t="str">
            <v>Afkasterring</v>
          </cell>
          <cell r="C3176" t="str">
            <v>Brass-flinger, drive-end</v>
          </cell>
          <cell r="D3176">
            <v>2385</v>
          </cell>
          <cell r="E3176">
            <v>320.56451612903226</v>
          </cell>
        </row>
        <row r="3177">
          <cell r="A3177">
            <v>38342</v>
          </cell>
          <cell r="B3177" t="str">
            <v>Afkasterring</v>
          </cell>
          <cell r="C3177" t="str">
            <v>Oil thrower</v>
          </cell>
          <cell r="D3177">
            <v>2295</v>
          </cell>
          <cell r="E3177">
            <v>308.46774193548384</v>
          </cell>
        </row>
        <row r="3178">
          <cell r="A3178">
            <v>38344</v>
          </cell>
          <cell r="B3178" t="str">
            <v>Lejedæksel</v>
          </cell>
          <cell r="C3178" t="str">
            <v>Cover for bearing, drive-end</v>
          </cell>
          <cell r="D3178">
            <v>4558</v>
          </cell>
          <cell r="E3178">
            <v>612.63440860215053</v>
          </cell>
        </row>
        <row r="3179">
          <cell r="A3179">
            <v>38345</v>
          </cell>
          <cell r="B3179" t="str">
            <v>Lejedæksel</v>
          </cell>
          <cell r="C3179" t="str">
            <v>Bearing cover</v>
          </cell>
          <cell r="D3179">
            <v>3816</v>
          </cell>
          <cell r="E3179">
            <v>512.90322580645159</v>
          </cell>
        </row>
        <row r="3180">
          <cell r="A3180">
            <v>38372</v>
          </cell>
          <cell r="B3180" t="str">
            <v>Feder A 5x5x40 DS96</v>
          </cell>
          <cell r="C3180" t="str">
            <v>Parallel key 5x5x40 DS96</v>
          </cell>
          <cell r="D3180">
            <v>2.7</v>
          </cell>
          <cell r="E3180">
            <v>0.36290322580645162</v>
          </cell>
        </row>
        <row r="3181">
          <cell r="A3181">
            <v>38400</v>
          </cell>
          <cell r="B3181" t="str">
            <v>Pillekammer, 2-vægs, incl. pos. 16-25 PM717XW</v>
          </cell>
          <cell r="C3181" t="str">
            <v>Pellet chamber 2-wall incl. pos. 16-25 PM717XW</v>
          </cell>
          <cell r="D3181">
            <v>72610</v>
          </cell>
          <cell r="E3181">
            <v>9759.4086021505373</v>
          </cell>
        </row>
        <row r="3182">
          <cell r="A3182">
            <v>38412</v>
          </cell>
          <cell r="B3182" t="str">
            <v>Feder 6 x 6 x 25 A</v>
          </cell>
          <cell r="C3182" t="str">
            <v>Parallel key 6 x 6 x 25 A</v>
          </cell>
          <cell r="D3182">
            <v>2.7</v>
          </cell>
          <cell r="E3182">
            <v>0.36290322580645162</v>
          </cell>
        </row>
        <row r="3183">
          <cell r="A3183">
            <v>38420</v>
          </cell>
          <cell r="B3183" t="str">
            <v>Pillekammer, venstre hængslet PM615</v>
          </cell>
          <cell r="C3183" t="str">
            <v>Pellet chamber left hinged PM615</v>
          </cell>
          <cell r="D3183">
            <v>48520</v>
          </cell>
          <cell r="E3183">
            <v>6521.5053763440856</v>
          </cell>
        </row>
        <row r="3184">
          <cell r="A3184">
            <v>38421</v>
          </cell>
          <cell r="B3184" t="str">
            <v>Pakning for lejedæksel</v>
          </cell>
          <cell r="C3184" t="str">
            <v>Gasket for bearing cover</v>
          </cell>
          <cell r="D3184">
            <v>234</v>
          </cell>
          <cell r="E3184">
            <v>31.451612903225804</v>
          </cell>
        </row>
        <row r="3185">
          <cell r="A3185">
            <v>38423</v>
          </cell>
          <cell r="B3185" t="str">
            <v>Pakning for lejedæksel</v>
          </cell>
          <cell r="C3185" t="str">
            <v>Gasket for bearing cover</v>
          </cell>
          <cell r="D3185">
            <v>217</v>
          </cell>
          <cell r="E3185">
            <v>29.166666666666664</v>
          </cell>
        </row>
        <row r="3186">
          <cell r="A3186">
            <v>38426</v>
          </cell>
          <cell r="B3186" t="str">
            <v>Skive for akseltap</v>
          </cell>
          <cell r="C3186" t="str">
            <v>Endplate for drive shaft</v>
          </cell>
          <cell r="D3186">
            <v>1855</v>
          </cell>
          <cell r="E3186">
            <v>249.3279569892473</v>
          </cell>
        </row>
        <row r="3187">
          <cell r="A3187">
            <v>38460</v>
          </cell>
          <cell r="B3187" t="str">
            <v>Leje C3040</v>
          </cell>
          <cell r="C3187" t="str">
            <v>Bearing C3040</v>
          </cell>
          <cell r="D3187">
            <v>5088</v>
          </cell>
          <cell r="E3187">
            <v>683.87096774193549</v>
          </cell>
        </row>
        <row r="3188">
          <cell r="A3188">
            <v>38489</v>
          </cell>
          <cell r="B3188" t="str">
            <v>Koblingsrør</v>
          </cell>
          <cell r="C3188" t="str">
            <v>Coupling pipe</v>
          </cell>
          <cell r="D3188">
            <v>1548</v>
          </cell>
          <cell r="E3188">
            <v>208.06451612903226</v>
          </cell>
        </row>
        <row r="3189">
          <cell r="A3189">
            <v>38490</v>
          </cell>
          <cell r="B3189" t="str">
            <v>Gaffel</v>
          </cell>
          <cell r="C3189" t="str">
            <v>Yoke</v>
          </cell>
          <cell r="D3189">
            <v>2141</v>
          </cell>
          <cell r="E3189">
            <v>287.76881720430106</v>
          </cell>
        </row>
        <row r="3190">
          <cell r="A3190">
            <v>38491</v>
          </cell>
          <cell r="B3190" t="str">
            <v>Vippebøsning med Ø34 hul</v>
          </cell>
          <cell r="C3190" t="str">
            <v>Flap bushing with Ø34 hole</v>
          </cell>
          <cell r="D3190">
            <v>2067</v>
          </cell>
          <cell r="E3190">
            <v>277.82258064516128</v>
          </cell>
        </row>
        <row r="3191">
          <cell r="A3191">
            <v>38492</v>
          </cell>
          <cell r="B3191" t="str">
            <v>Vippebøsning med Ø40 hul</v>
          </cell>
          <cell r="C3191" t="str">
            <v>Flap bushing with Ø40 hole</v>
          </cell>
          <cell r="D3191">
            <v>2353</v>
          </cell>
          <cell r="E3191">
            <v>316.26344086021504</v>
          </cell>
        </row>
        <row r="3192">
          <cell r="A3192">
            <v>38493</v>
          </cell>
          <cell r="B3192" t="str">
            <v>Fjederaksel</v>
          </cell>
          <cell r="C3192" t="str">
            <v>Spring shaft</v>
          </cell>
          <cell r="D3192">
            <v>2703</v>
          </cell>
          <cell r="E3192">
            <v>363.30645161290323</v>
          </cell>
        </row>
        <row r="3193">
          <cell r="A3193">
            <v>38494</v>
          </cell>
          <cell r="B3193" t="str">
            <v>Justeringsaksel</v>
          </cell>
          <cell r="C3193" t="str">
            <v>Adjustment shaft</v>
          </cell>
          <cell r="D3193">
            <v>3657</v>
          </cell>
          <cell r="E3193">
            <v>491.5322580645161</v>
          </cell>
        </row>
        <row r="3194">
          <cell r="A3194">
            <v>38495</v>
          </cell>
          <cell r="B3194" t="str">
            <v>Afstandsbøsning</v>
          </cell>
          <cell r="C3194" t="str">
            <v>Distance bushing</v>
          </cell>
          <cell r="D3194">
            <v>864</v>
          </cell>
          <cell r="E3194">
            <v>116.12903225806451</v>
          </cell>
        </row>
        <row r="3195">
          <cell r="A3195">
            <v>38514</v>
          </cell>
          <cell r="B3195" t="str">
            <v>Gear BJ-01 M/4 62/85</v>
          </cell>
          <cell r="C3195" t="str">
            <v>Gear BJ-01 M/4 62/85</v>
          </cell>
          <cell r="D3195">
            <v>4558</v>
          </cell>
          <cell r="E3195">
            <v>612.63440860215053</v>
          </cell>
        </row>
        <row r="3196">
          <cell r="A3196">
            <v>38534</v>
          </cell>
          <cell r="B3196" t="str">
            <v>Bøsning GLACIER Ø30/Ø34</v>
          </cell>
          <cell r="C3196" t="str">
            <v>Bushing GLACIER Ø30/Ø34</v>
          </cell>
          <cell r="D3196">
            <v>40</v>
          </cell>
          <cell r="E3196">
            <v>5.376344086021505</v>
          </cell>
        </row>
        <row r="3197">
          <cell r="A3197">
            <v>38536</v>
          </cell>
          <cell r="B3197" t="str">
            <v>Sfærisk rulleleje 22232CC/C3W33</v>
          </cell>
          <cell r="C3197" t="str">
            <v>Spherical roller bearing 22232CC/C3W33</v>
          </cell>
          <cell r="D3197">
            <v>3604</v>
          </cell>
          <cell r="E3197">
            <v>484.4086021505376</v>
          </cell>
        </row>
        <row r="3198">
          <cell r="A3198">
            <v>38556</v>
          </cell>
          <cell r="B3198" t="str">
            <v>Gear ED 2600 FS/20/S46C1</v>
          </cell>
          <cell r="C3198" t="str">
            <v>Gear ED 2600 FS/20/S46C1</v>
          </cell>
          <cell r="D3198">
            <v>89800</v>
          </cell>
          <cell r="E3198">
            <v>12069.89247311828</v>
          </cell>
        </row>
        <row r="3199">
          <cell r="A3199">
            <v>38572</v>
          </cell>
          <cell r="B3199" t="str">
            <v>Feder 6 x 6 x 20 DS96</v>
          </cell>
          <cell r="C3199" t="str">
            <v>Parallel key 6 x 6 x 20 DS96</v>
          </cell>
          <cell r="D3199">
            <v>2.7</v>
          </cell>
          <cell r="E3199">
            <v>0.36290322580645162</v>
          </cell>
        </row>
        <row r="3200">
          <cell r="A3200">
            <v>38757</v>
          </cell>
          <cell r="B3200" t="str">
            <v>Beslag for kamrulle</v>
          </cell>
          <cell r="C3200" t="str">
            <v>Fitting for tappet roller</v>
          </cell>
          <cell r="D3200">
            <v>1178</v>
          </cell>
          <cell r="E3200">
            <v>158.33333333333331</v>
          </cell>
        </row>
        <row r="3201">
          <cell r="A3201">
            <v>38783</v>
          </cell>
          <cell r="B3201" t="str">
            <v>Flangehjul Ø62 x Ø80 x 25</v>
          </cell>
          <cell r="C3201" t="str">
            <v>Flange Ø62 x Ø80 x 25</v>
          </cell>
          <cell r="D3201">
            <v>239</v>
          </cell>
          <cell r="E3201">
            <v>32.123655913978496</v>
          </cell>
        </row>
        <row r="3202">
          <cell r="A3202">
            <v>38785</v>
          </cell>
          <cell r="B3202" t="str">
            <v>Svampegummisnor Ø8 L = 960 mm</v>
          </cell>
          <cell r="C3202" t="str">
            <v>Sponge rubber cord Ø8 L = 960 mm</v>
          </cell>
          <cell r="D3202">
            <v>48</v>
          </cell>
          <cell r="E3202">
            <v>6.4516129032258061</v>
          </cell>
        </row>
        <row r="3203">
          <cell r="A3203">
            <v>38794</v>
          </cell>
          <cell r="B3203" t="str">
            <v>V ring V 190A</v>
          </cell>
          <cell r="C3203" t="str">
            <v>V ring V 190A</v>
          </cell>
          <cell r="D3203">
            <v>34</v>
          </cell>
          <cell r="E3203">
            <v>4.5698924731182791</v>
          </cell>
        </row>
        <row r="3204">
          <cell r="A3204">
            <v>38796</v>
          </cell>
          <cell r="B3204" t="str">
            <v>Trykfjeder Ø10 x 2, L=39 mm</v>
          </cell>
          <cell r="C3204" t="str">
            <v>Compression spring Ø10 x 2  L = 39 mm</v>
          </cell>
          <cell r="D3204">
            <v>29</v>
          </cell>
          <cell r="E3204">
            <v>3.897849462365591</v>
          </cell>
        </row>
        <row r="3205">
          <cell r="A3205">
            <v>38855</v>
          </cell>
          <cell r="B3205" t="str">
            <v>Cyl. Skrue M20 x 45 DIN 912</v>
          </cell>
          <cell r="C3205" t="str">
            <v>Cyl. Screw M20 x 45 DIN 912</v>
          </cell>
          <cell r="D3205">
            <v>13.8</v>
          </cell>
          <cell r="E3205">
            <v>1.8548387096774193</v>
          </cell>
        </row>
        <row r="3206">
          <cell r="A3206">
            <v>38858</v>
          </cell>
          <cell r="B3206" t="str">
            <v>Prop ø20 DBI-DUT</v>
          </cell>
          <cell r="C3206" t="str">
            <v>Plug ø20 DBI-DUT</v>
          </cell>
          <cell r="D3206">
            <v>0.9</v>
          </cell>
          <cell r="E3206">
            <v>0.12096774193548386</v>
          </cell>
        </row>
        <row r="3207">
          <cell r="A3207">
            <v>38910</v>
          </cell>
          <cell r="B3207" t="str">
            <v>Sikkerhedsendestop Atlas 4 110V</v>
          </cell>
          <cell r="C3207" t="str">
            <v>Safety switch Atlas 4 110V</v>
          </cell>
          <cell r="D3207">
            <v>2158</v>
          </cell>
          <cell r="E3207">
            <v>290.05376344086022</v>
          </cell>
        </row>
        <row r="3208">
          <cell r="A3208">
            <v>38923</v>
          </cell>
          <cell r="B3208" t="str">
            <v>V-ring, tætning, VA150 Nitril</v>
          </cell>
          <cell r="C3208" t="str">
            <v>V-ring, seal VA150, Nitril</v>
          </cell>
          <cell r="D3208">
            <v>18</v>
          </cell>
          <cell r="E3208">
            <v>2.4193548387096775</v>
          </cell>
        </row>
        <row r="3209">
          <cell r="A3209">
            <v>38930</v>
          </cell>
          <cell r="B3209" t="str">
            <v>Hovedaksel</v>
          </cell>
          <cell r="C3209" t="str">
            <v>Main shaft</v>
          </cell>
          <cell r="D3209">
            <v>27825</v>
          </cell>
          <cell r="E3209">
            <v>3739.9193548387093</v>
          </cell>
        </row>
        <row r="3210">
          <cell r="A3210">
            <v>38962</v>
          </cell>
          <cell r="B3210" t="str">
            <v>Bolt for hovedaksel</v>
          </cell>
          <cell r="C3210" t="str">
            <v>Bolt for main shaft</v>
          </cell>
          <cell r="D3210">
            <v>2650</v>
          </cell>
          <cell r="E3210">
            <v>356.18279569892474</v>
          </cell>
        </row>
        <row r="3211">
          <cell r="A3211">
            <v>38966</v>
          </cell>
          <cell r="B3211" t="str">
            <v>Dæksel for luftfilter</v>
          </cell>
          <cell r="C3211" t="str">
            <v>Cover for air relief plug</v>
          </cell>
          <cell r="D3211">
            <v>541</v>
          </cell>
          <cell r="E3211">
            <v>72.715053763440849</v>
          </cell>
        </row>
        <row r="3212">
          <cell r="A3212">
            <v>38997</v>
          </cell>
          <cell r="B3212" t="str">
            <v>Smørenippel M8 x 1 90 grader</v>
          </cell>
          <cell r="C3212" t="str">
            <v>Grease nipple M8 x 1 90 degree</v>
          </cell>
          <cell r="D3212">
            <v>7.4</v>
          </cell>
          <cell r="E3212">
            <v>0.9946236559139785</v>
          </cell>
        </row>
        <row r="3213">
          <cell r="A3213">
            <v>39002</v>
          </cell>
          <cell r="B3213" t="str">
            <v>Kileremskive SPA5, Ø160, TL3020</v>
          </cell>
          <cell r="C3213" t="str">
            <v>V-belt pulley SPA 5 Ø160, TL3020</v>
          </cell>
          <cell r="D3213">
            <v>981</v>
          </cell>
          <cell r="E3213">
            <v>131.85483870967741</v>
          </cell>
        </row>
        <row r="3214">
          <cell r="A3214">
            <v>39003</v>
          </cell>
          <cell r="B3214" t="str">
            <v>Kilerem SPA 1682 RED POWER</v>
          </cell>
          <cell r="C3214" t="str">
            <v>V-belt SPB 1682 RED POWER</v>
          </cell>
          <cell r="D3214">
            <v>83</v>
          </cell>
          <cell r="E3214">
            <v>11.155913978494622</v>
          </cell>
        </row>
        <row r="3215">
          <cell r="A3215">
            <v>39022</v>
          </cell>
          <cell r="B3215" t="str">
            <v>Udluftningsskrue ¾” UCC</v>
          </cell>
          <cell r="C3215" t="str">
            <v>Air relief plug ¾”</v>
          </cell>
          <cell r="D3215">
            <v>217</v>
          </cell>
          <cell r="E3215">
            <v>29.166666666666664</v>
          </cell>
        </row>
        <row r="3216">
          <cell r="A3216">
            <v>39059</v>
          </cell>
          <cell r="B3216" t="str">
            <v>Motor for knivhus 3,0KW  EOF 4P B8</v>
          </cell>
          <cell r="C3216" t="str">
            <v>Motor for knife house 3,0KW  EOF 4P B8</v>
          </cell>
          <cell r="D3216">
            <v>6890</v>
          </cell>
          <cell r="E3216">
            <v>926.07526881720423</v>
          </cell>
        </row>
        <row r="3217">
          <cell r="A3217">
            <v>39060</v>
          </cell>
          <cell r="B3217" t="str">
            <v>Styrebolt for akseltap</v>
          </cell>
          <cell r="C3217" t="str">
            <v>Screw for drive shaft</v>
          </cell>
          <cell r="D3217">
            <v>472</v>
          </cell>
          <cell r="E3217">
            <v>63.44086021505376</v>
          </cell>
        </row>
        <row r="3218">
          <cell r="A3218">
            <v>39062</v>
          </cell>
          <cell r="B3218" t="str">
            <v>Motor for knivhus 5,5KW ABB 4P B8</v>
          </cell>
          <cell r="C3218" t="str">
            <v>Motor for knife house 5,5KW ABB 4P B8</v>
          </cell>
          <cell r="D3218">
            <v>13250</v>
          </cell>
          <cell r="E3218">
            <v>1780.9139784946235</v>
          </cell>
        </row>
        <row r="3219">
          <cell r="A3219">
            <v>39063</v>
          </cell>
          <cell r="B3219" t="str">
            <v>Bremsemotor 5 kW motor, bremse 110V</v>
          </cell>
          <cell r="C3219" t="str">
            <v>Brake motor 5,5 kW, brake 110V</v>
          </cell>
          <cell r="D3219">
            <v>13250</v>
          </cell>
          <cell r="E3219">
            <v>1780.9139784946235</v>
          </cell>
        </row>
        <row r="3220">
          <cell r="A3220">
            <v>39103</v>
          </cell>
          <cell r="B3220" t="str">
            <v>Låsering U 200 x 4,0 A DIN471</v>
          </cell>
          <cell r="C3220" t="str">
            <v>Lock ring U 200 x 4,0 A DIN471</v>
          </cell>
          <cell r="D3220">
            <v>122</v>
          </cell>
          <cell r="E3220">
            <v>16.397849462365592</v>
          </cell>
        </row>
        <row r="3221">
          <cell r="A3221">
            <v>39104</v>
          </cell>
          <cell r="B3221" t="str">
            <v>Skive Ø190/Ø160 x 3</v>
          </cell>
          <cell r="C3221" t="str">
            <v>Disc Ø190/Ø160 x 3</v>
          </cell>
          <cell r="D3221">
            <v>43</v>
          </cell>
          <cell r="E3221">
            <v>5.779569892473118</v>
          </cell>
        </row>
        <row r="3222">
          <cell r="A3222">
            <v>39105</v>
          </cell>
          <cell r="B3222" t="str">
            <v>Shim Ø190 x Ø160 x 0,1</v>
          </cell>
          <cell r="C3222" t="str">
            <v>Shim Ø190 x Ø160 x 0,1</v>
          </cell>
          <cell r="D3222">
            <v>58</v>
          </cell>
          <cell r="E3222">
            <v>7.7956989247311821</v>
          </cell>
        </row>
        <row r="3223">
          <cell r="A3223">
            <v>39106</v>
          </cell>
          <cell r="B3223" t="str">
            <v>Shim Ø190 x Ø160 x 0,5</v>
          </cell>
          <cell r="C3223" t="str">
            <v>Shim Ø190 x Ø160 x 0,5</v>
          </cell>
          <cell r="D3223">
            <v>90</v>
          </cell>
          <cell r="E3223">
            <v>12.096774193548386</v>
          </cell>
        </row>
        <row r="3224">
          <cell r="A3224">
            <v>39107</v>
          </cell>
          <cell r="B3224" t="str">
            <v>Låsering U 155 x 4,0 A DIN471</v>
          </cell>
          <cell r="C3224" t="str">
            <v>Lock ring U 155 x 4,0 A DIN471</v>
          </cell>
          <cell r="D3224">
            <v>37</v>
          </cell>
          <cell r="E3224">
            <v>4.9731182795698921</v>
          </cell>
        </row>
        <row r="3225">
          <cell r="A3225">
            <v>39139</v>
          </cell>
          <cell r="B3225" t="str">
            <v>Gearmotor</v>
          </cell>
          <cell r="C3225" t="str">
            <v>Geared motor</v>
          </cell>
          <cell r="D3225">
            <v>25970</v>
          </cell>
          <cell r="E3225">
            <v>3490.5913978494623</v>
          </cell>
        </row>
        <row r="3226">
          <cell r="A3226">
            <v>39343</v>
          </cell>
          <cell r="B3226" t="str">
            <v>Dyse 120GR. 1 l/min ved 2 BAR</v>
          </cell>
          <cell r="C3226" t="str">
            <v>Nozzle 120GR. 1 l/min at 2 BAR</v>
          </cell>
          <cell r="D3226">
            <v>477</v>
          </cell>
          <cell r="E3226">
            <v>64.112903225806448</v>
          </cell>
        </row>
        <row r="3227">
          <cell r="A3227">
            <v>39447</v>
          </cell>
          <cell r="B3227" t="str">
            <v>Prop 1” BSP</v>
          </cell>
          <cell r="C3227" t="str">
            <v>Plug 1” BSP</v>
          </cell>
          <cell r="D3227">
            <v>30</v>
          </cell>
          <cell r="E3227">
            <v>4.032258064516129</v>
          </cell>
        </row>
        <row r="3228">
          <cell r="A3228">
            <v>39466</v>
          </cell>
          <cell r="B3228" t="str">
            <v>Spindel</v>
          </cell>
          <cell r="C3228" t="str">
            <v>Spindle</v>
          </cell>
          <cell r="D3228">
            <v>1325</v>
          </cell>
          <cell r="E3228">
            <v>178.09139784946237</v>
          </cell>
        </row>
        <row r="3229">
          <cell r="A3229">
            <v>39467</v>
          </cell>
          <cell r="B3229" t="str">
            <v>Stopskive</v>
          </cell>
          <cell r="C3229" t="str">
            <v>Stop disc</v>
          </cell>
          <cell r="D3229">
            <v>7.4</v>
          </cell>
          <cell r="E3229">
            <v>0.9946236559139785</v>
          </cell>
        </row>
        <row r="3230">
          <cell r="A3230">
            <v>39468</v>
          </cell>
          <cell r="B3230" t="str">
            <v>Spændeskive</v>
          </cell>
          <cell r="C3230" t="str">
            <v>Washer</v>
          </cell>
          <cell r="D3230">
            <v>106</v>
          </cell>
          <cell r="E3230">
            <v>14.247311827956988</v>
          </cell>
        </row>
        <row r="3231">
          <cell r="A3231">
            <v>39474</v>
          </cell>
          <cell r="B3231" t="str">
            <v>1” Kontraventil 4 bar/60psi</v>
          </cell>
          <cell r="C3231" t="str">
            <v>1” Check valve 4 bar/60psi</v>
          </cell>
          <cell r="D3231">
            <v>366</v>
          </cell>
          <cell r="E3231">
            <v>49.193548387096769</v>
          </cell>
        </row>
        <row r="3232">
          <cell r="A3232">
            <v>39496</v>
          </cell>
          <cell r="B3232" t="str">
            <v>Slidring for rulleholderaksel, for PMV717</v>
          </cell>
          <cell r="C3232" t="str">
            <v>Wearring for roller shaft, front PMV717</v>
          </cell>
          <cell r="D3232">
            <v>3769</v>
          </cell>
          <cell r="E3232">
            <v>506.58602150537632</v>
          </cell>
        </row>
        <row r="3233">
          <cell r="A3233">
            <v>39497</v>
          </cell>
          <cell r="B3233" t="str">
            <v>Restriktion 3/8”</v>
          </cell>
          <cell r="C3233" t="str">
            <v>Restriction 3/8”</v>
          </cell>
          <cell r="D3233">
            <v>254</v>
          </cell>
          <cell r="E3233">
            <v>34.13978494623656</v>
          </cell>
        </row>
        <row r="3234">
          <cell r="A3234">
            <v>39534</v>
          </cell>
          <cell r="B3234" t="str">
            <v>PT100 føler</v>
          </cell>
          <cell r="C3234" t="str">
            <v>Temperature transmitter PT100</v>
          </cell>
          <cell r="D3234">
            <v>1749</v>
          </cell>
          <cell r="E3234">
            <v>235.08064516129031</v>
          </cell>
        </row>
        <row r="3235">
          <cell r="A3235">
            <v>39864</v>
          </cell>
          <cell r="B3235" t="str">
            <v>Flowswitch</v>
          </cell>
          <cell r="C3235" t="str">
            <v>Flowswitch</v>
          </cell>
          <cell r="D3235">
            <v>8865</v>
          </cell>
          <cell r="E3235">
            <v>1191.5322580645161</v>
          </cell>
        </row>
        <row r="3236">
          <cell r="A3236">
            <v>39875</v>
          </cell>
          <cell r="B3236" t="str">
            <v>Dysetip 588 – 919 kg/h</v>
          </cell>
          <cell r="C3236" t="str">
            <v>Nozzle tip 588 – 919 kg/h</v>
          </cell>
          <cell r="D3236">
            <v>1320</v>
          </cell>
          <cell r="E3236">
            <v>177.41935483870967</v>
          </cell>
        </row>
        <row r="3237">
          <cell r="A3237">
            <v>39876</v>
          </cell>
          <cell r="B3237" t="str">
            <v>Snegl 0-sektion, kompl.</v>
          </cell>
          <cell r="C3237" t="str">
            <v>Worm 0-section, double flight</v>
          </cell>
          <cell r="D3237">
            <v>30210</v>
          </cell>
          <cell r="E3237">
            <v>4060.4838709677415</v>
          </cell>
        </row>
        <row r="3238">
          <cell r="A3238">
            <v>40021</v>
          </cell>
          <cell r="B3238" t="str">
            <v>Stålbro  4KTV</v>
          </cell>
          <cell r="C3238" t="str">
            <v>Steel bridge 4 KTV</v>
          </cell>
          <cell r="D3238">
            <v>880</v>
          </cell>
          <cell r="E3238">
            <v>118.27956989247311</v>
          </cell>
        </row>
        <row r="3239">
          <cell r="A3239">
            <v>40058</v>
          </cell>
          <cell r="B3239" t="str">
            <v>Snavssamler ½”</v>
          </cell>
          <cell r="C3239" t="str">
            <v>Strainer ½”</v>
          </cell>
          <cell r="D3239">
            <v>1537</v>
          </cell>
          <cell r="E3239">
            <v>206.58602150537632</v>
          </cell>
        </row>
        <row r="3240">
          <cell r="A3240">
            <v>40181</v>
          </cell>
          <cell r="B3240" t="str">
            <v>Nøgle for sikkerhedsendestop</v>
          </cell>
          <cell r="C3240" t="str">
            <v>Key for safety position stop</v>
          </cell>
          <cell r="D3240">
            <v>117</v>
          </cell>
          <cell r="E3240">
            <v>15.725806451612902</v>
          </cell>
        </row>
        <row r="3241">
          <cell r="A3241">
            <v>40211</v>
          </cell>
          <cell r="B3241" t="str">
            <v>Øjebolt M16x70 DIN444B FZB</v>
          </cell>
          <cell r="C3241" t="str">
            <v>Eye bolt M16x70 DIN444B FZB</v>
          </cell>
          <cell r="D3241">
            <v>36</v>
          </cell>
          <cell r="E3241">
            <v>4.838709677419355</v>
          </cell>
        </row>
        <row r="3242">
          <cell r="A3242">
            <v>40229</v>
          </cell>
          <cell r="B3242" t="str">
            <v>6-kt. skrue M16 x 20</v>
          </cell>
          <cell r="C3242" t="str">
            <v>Hexagon screw M16 x 20</v>
          </cell>
          <cell r="D3242">
            <v>11.1</v>
          </cell>
          <cell r="E3242">
            <v>1.4919354838709675</v>
          </cell>
        </row>
        <row r="3243">
          <cell r="A3243">
            <v>40252</v>
          </cell>
          <cell r="B3243" t="str">
            <v>Mikroswitch XCS A701</v>
          </cell>
          <cell r="C3243" t="str">
            <v>Micro switch XCS A701</v>
          </cell>
          <cell r="D3243">
            <v>636</v>
          </cell>
          <cell r="E3243">
            <v>85.483870967741936</v>
          </cell>
        </row>
        <row r="3244">
          <cell r="A3244">
            <v>40275</v>
          </cell>
          <cell r="B3244" t="str">
            <v>Modhold</v>
          </cell>
          <cell r="C3244" t="str">
            <v>Counter hold</v>
          </cell>
          <cell r="D3244">
            <v>244</v>
          </cell>
          <cell r="E3244">
            <v>32.795698924731184</v>
          </cell>
        </row>
        <row r="3245">
          <cell r="A3245">
            <v>40286</v>
          </cell>
          <cell r="B3245" t="str">
            <v>Cyl. Skrue M12 x 45 12.9 DIN 912</v>
          </cell>
          <cell r="C3245" t="str">
            <v>Cyl. screw M12 x 45 12.9 DIN912</v>
          </cell>
          <cell r="D3245">
            <v>3.7</v>
          </cell>
          <cell r="E3245">
            <v>0.49731182795698925</v>
          </cell>
        </row>
        <row r="3246">
          <cell r="A3246">
            <v>40366</v>
          </cell>
          <cell r="B3246" t="str">
            <v>Konisk rulleleje EE 291250/291749</v>
          </cell>
          <cell r="C3246" t="str">
            <v>Roller bearing, tapered EE 291250/291749</v>
          </cell>
          <cell r="D3246">
            <v>15601</v>
          </cell>
          <cell r="E3246">
            <v>2096.9086021505377</v>
          </cell>
        </row>
        <row r="3247">
          <cell r="A3247">
            <v>40367</v>
          </cell>
          <cell r="B3247" t="str">
            <v>Konisk rulleleje JM 734445/734409</v>
          </cell>
          <cell r="C3247" t="str">
            <v>Roller bearing, tapered JM 734445/734409</v>
          </cell>
          <cell r="D3247">
            <v>3816</v>
          </cell>
          <cell r="E3247">
            <v>512.90322580645159</v>
          </cell>
        </row>
        <row r="3248">
          <cell r="A3248">
            <v>40377</v>
          </cell>
          <cell r="B3248" t="str">
            <v>Vinkel 45o 1 ½”</v>
          </cell>
          <cell r="C3248" t="str">
            <v>Elbow 45 deg. 1 ½”</v>
          </cell>
          <cell r="D3248">
            <v>152</v>
          </cell>
          <cell r="E3248">
            <v>20.43010752688172</v>
          </cell>
        </row>
        <row r="3249">
          <cell r="A3249">
            <v>40378</v>
          </cell>
          <cell r="B3249" t="str">
            <v>Vinkel 90o 1 ½”</v>
          </cell>
          <cell r="C3249" t="str">
            <v>Street elbow 90 deg. 1 ½”</v>
          </cell>
          <cell r="D3249">
            <v>46</v>
          </cell>
          <cell r="E3249">
            <v>6.182795698924731</v>
          </cell>
        </row>
        <row r="3250">
          <cell r="A3250">
            <v>40379</v>
          </cell>
          <cell r="B3250" t="str">
            <v>Bøjning 90o 1 ½”</v>
          </cell>
          <cell r="C3250" t="str">
            <v>Street elbow 90 deg. Wide 1 ½”</v>
          </cell>
          <cell r="D3250">
            <v>175</v>
          </cell>
          <cell r="E3250">
            <v>23.521505376344084</v>
          </cell>
        </row>
        <row r="3251">
          <cell r="A3251">
            <v>40380</v>
          </cell>
          <cell r="B3251" t="str">
            <v>Nippelmuffe 1 ½” – 1”</v>
          </cell>
          <cell r="C3251" t="str">
            <v>Nipple/coupling 1 ½” – 1”</v>
          </cell>
          <cell r="D3251">
            <v>41</v>
          </cell>
          <cell r="E3251">
            <v>5.510752688172043</v>
          </cell>
        </row>
        <row r="3252">
          <cell r="A3252">
            <v>40381</v>
          </cell>
          <cell r="B3252" t="str">
            <v>T-nippel ½” male</v>
          </cell>
          <cell r="C3252" t="str">
            <v>Tee ½” male</v>
          </cell>
          <cell r="D3252">
            <v>98</v>
          </cell>
          <cell r="E3252">
            <v>13.172043010752688</v>
          </cell>
        </row>
        <row r="3253">
          <cell r="A3253">
            <v>40382</v>
          </cell>
          <cell r="B3253" t="str">
            <v>Manometer 0 – 10 bar</v>
          </cell>
          <cell r="C3253" t="str">
            <v>Manometer 0 – 10 bar</v>
          </cell>
          <cell r="D3253">
            <v>104</v>
          </cell>
          <cell r="E3253">
            <v>13.978494623655914</v>
          </cell>
        </row>
        <row r="3254">
          <cell r="A3254">
            <v>40383</v>
          </cell>
          <cell r="B3254" t="str">
            <v>Vinkel 90o ¼” BSPT</v>
          </cell>
          <cell r="C3254" t="str">
            <v>Street elbow 90 deg. ¼” BSPT</v>
          </cell>
          <cell r="D3254">
            <v>29</v>
          </cell>
          <cell r="E3254">
            <v>3.897849462365591</v>
          </cell>
        </row>
        <row r="3255">
          <cell r="A3255">
            <v>40384</v>
          </cell>
          <cell r="B3255" t="str">
            <v>Nåleventil indsats</v>
          </cell>
          <cell r="C3255" t="str">
            <v>Needle valve, cartridge</v>
          </cell>
          <cell r="D3255">
            <v>313</v>
          </cell>
          <cell r="E3255">
            <v>42.06989247311828</v>
          </cell>
        </row>
        <row r="3256">
          <cell r="A3256">
            <v>40385</v>
          </cell>
          <cell r="B3256" t="str">
            <v>Ventilblok</v>
          </cell>
          <cell r="C3256" t="str">
            <v>Mounting subplate</v>
          </cell>
          <cell r="D3256">
            <v>1717</v>
          </cell>
          <cell r="E3256">
            <v>230.77956989247312</v>
          </cell>
        </row>
        <row r="3257">
          <cell r="A3257">
            <v>40407</v>
          </cell>
          <cell r="B3257" t="str">
            <v>Styretap Ø28</v>
          </cell>
          <cell r="C3257" t="str">
            <v xml:space="preserve">King pin Ø28 </v>
          </cell>
          <cell r="D3257">
            <v>122</v>
          </cell>
          <cell r="E3257">
            <v>16.397849462365592</v>
          </cell>
        </row>
        <row r="3258">
          <cell r="A3258">
            <v>40415</v>
          </cell>
          <cell r="B3258" t="str">
            <v>Poseholder 2400 K   AISI 304</v>
          </cell>
          <cell r="C3258" t="str">
            <v>Filter bag cage 2400  K    Stainless</v>
          </cell>
          <cell r="D3258">
            <v>782</v>
          </cell>
          <cell r="E3258">
            <v>105.10752688172042</v>
          </cell>
        </row>
        <row r="3259">
          <cell r="A3259">
            <v>40536</v>
          </cell>
          <cell r="B3259" t="str">
            <v>Beslag for nøgle</v>
          </cell>
          <cell r="C3259" t="str">
            <v>Fitting for key</v>
          </cell>
          <cell r="D3259">
            <v>148</v>
          </cell>
          <cell r="E3259">
            <v>19.892473118279568</v>
          </cell>
        </row>
        <row r="3260">
          <cell r="A3260">
            <v>40572</v>
          </cell>
          <cell r="B3260" t="str">
            <v>Knivaksel for EX17 for 5,5KW motor</v>
          </cell>
          <cell r="C3260" t="str">
            <v>Knife shaft for EX17 for 5,5KW motor</v>
          </cell>
          <cell r="D3260">
            <v>6572</v>
          </cell>
          <cell r="E3260">
            <v>883.33333333333326</v>
          </cell>
        </row>
        <row r="3261">
          <cell r="A3261">
            <v>40579</v>
          </cell>
          <cell r="B3261" t="str">
            <v>U skrue M6x25 DIN7991 FZB</v>
          </cell>
          <cell r="C3261" t="str">
            <v>Counter sunk M6x25 DIN7991 FZB</v>
          </cell>
          <cell r="D3261">
            <v>1</v>
          </cell>
          <cell r="E3261">
            <v>0.13440860215053763</v>
          </cell>
        </row>
        <row r="3262">
          <cell r="A3262">
            <v>40739</v>
          </cell>
          <cell r="B3262" t="str">
            <v>Flangebolt M6x12 FZB DIN6921</v>
          </cell>
          <cell r="C3262" t="str">
            <v>Flanged bolt M6x12 FZB DIN6921</v>
          </cell>
          <cell r="D3262">
            <v>1</v>
          </cell>
          <cell r="E3262">
            <v>0.13440860215053763</v>
          </cell>
        </row>
        <row r="3263">
          <cell r="A3263">
            <v>40806</v>
          </cell>
          <cell r="B3263" t="str">
            <v>Pillekammer, 2-vægs, incl. pos. 16-25 PMV919TW</v>
          </cell>
          <cell r="C3263" t="str">
            <v>Pellet chamber 2-wall incl. pos. 16-25 PMV919TW</v>
          </cell>
          <cell r="D3263">
            <v>92220</v>
          </cell>
          <cell r="E3263">
            <v>12395.16129032258</v>
          </cell>
        </row>
        <row r="3264">
          <cell r="A3264">
            <v>40817</v>
          </cell>
          <cell r="B3264" t="str">
            <v>Remskærm, 12 spor PMV919 Heavy Duty</v>
          </cell>
          <cell r="C3264" t="str">
            <v>Belt screen 12 track PMV919 heavy duty</v>
          </cell>
          <cell r="D3264">
            <v>10600</v>
          </cell>
          <cell r="E3264">
            <v>1424.7311827956989</v>
          </cell>
        </row>
        <row r="3265">
          <cell r="A3265">
            <v>40835</v>
          </cell>
          <cell r="B3265" t="str">
            <v>Poseholder 4200 T     AISI 304</v>
          </cell>
          <cell r="C3265" t="str">
            <v>Filter bag cage 4200 T    Stainless</v>
          </cell>
          <cell r="D3265">
            <v>965</v>
          </cell>
          <cell r="E3265">
            <v>129.7043010752688</v>
          </cell>
        </row>
        <row r="3266">
          <cell r="A3266">
            <v>40842</v>
          </cell>
          <cell r="B3266" t="str">
            <v>Cyl. skrue M16 x 160 DIN912</v>
          </cell>
          <cell r="C3266" t="str">
            <v>Cyl. Screw M16 x 160 DIN912</v>
          </cell>
          <cell r="D3266">
            <v>20</v>
          </cell>
          <cell r="E3266">
            <v>2.6881720430107525</v>
          </cell>
        </row>
        <row r="3267">
          <cell r="A3267">
            <v>41092</v>
          </cell>
          <cell r="B3267" t="str">
            <v>Tætningsring f/aksel på blandesnegl</v>
          </cell>
          <cell r="C3267" t="str">
            <v>Sealing ring for mixer screw shaft</v>
          </cell>
          <cell r="D3267">
            <v>21</v>
          </cell>
          <cell r="E3267">
            <v>2.82258064516129</v>
          </cell>
        </row>
        <row r="3268">
          <cell r="A3268">
            <v>41158</v>
          </cell>
          <cell r="B3268" t="str">
            <v>Palette:    Højre  HPB 4000</v>
          </cell>
          <cell r="C3268" t="str">
            <v xml:space="preserve">Paddle:    right </v>
          </cell>
          <cell r="D3268">
            <v>1537</v>
          </cell>
          <cell r="E3268">
            <v>206.58602150537632</v>
          </cell>
        </row>
        <row r="3269">
          <cell r="A3269">
            <v>41160</v>
          </cell>
          <cell r="B3269" t="str">
            <v>Skraber:   Højre  HPB 4000</v>
          </cell>
          <cell r="C3269" t="str">
            <v xml:space="preserve">Scraper:   right </v>
          </cell>
          <cell r="D3269">
            <v>1537</v>
          </cell>
          <cell r="E3269">
            <v>206.58602150537632</v>
          </cell>
        </row>
        <row r="3270">
          <cell r="A3270">
            <v>41213</v>
          </cell>
          <cell r="B3270" t="str">
            <v>Knivhoved 8-blads EX17</v>
          </cell>
          <cell r="C3270" t="str">
            <v>Knifehead 8-blade EX17</v>
          </cell>
          <cell r="D3270">
            <v>10100</v>
          </cell>
          <cell r="E3270">
            <v>1357.5268817204301</v>
          </cell>
        </row>
        <row r="3271">
          <cell r="A3271">
            <v>41216</v>
          </cell>
          <cell r="B3271" t="str">
            <v>Spændeplade for knivblad EX17</v>
          </cell>
          <cell r="C3271" t="str">
            <v>Tension plate for knifeblade EX17</v>
          </cell>
          <cell r="D3271">
            <v>186</v>
          </cell>
          <cell r="E3271">
            <v>25</v>
          </cell>
        </row>
        <row r="3272">
          <cell r="A3272">
            <v>41222</v>
          </cell>
          <cell r="B3272" t="str">
            <v>Knivhoved 3-blads EX17</v>
          </cell>
          <cell r="C3272" t="str">
            <v>Knifehead 3-blade EX17</v>
          </cell>
          <cell r="D3272">
            <v>4982</v>
          </cell>
          <cell r="E3272">
            <v>669.6236559139785</v>
          </cell>
        </row>
        <row r="3273">
          <cell r="A3273">
            <v>41446</v>
          </cell>
          <cell r="B3273" t="str">
            <v>Nøgle for mikroswitch</v>
          </cell>
          <cell r="C3273" t="str">
            <v>Key for micro switch</v>
          </cell>
          <cell r="D3273">
            <v>50</v>
          </cell>
          <cell r="E3273">
            <v>6.7204301075268811</v>
          </cell>
        </row>
        <row r="3274">
          <cell r="A3274">
            <v>41489</v>
          </cell>
          <cell r="B3274" t="str">
            <v>Låsering U 100 x 3,0 A DIN471</v>
          </cell>
          <cell r="C3274" t="str">
            <v>Lock ring U 100 x 3,0 A DIN471</v>
          </cell>
          <cell r="D3274">
            <v>19.600000000000001</v>
          </cell>
          <cell r="E3274">
            <v>2.6344086021505375</v>
          </cell>
        </row>
        <row r="3275">
          <cell r="A3275">
            <v>41540</v>
          </cell>
          <cell r="B3275" t="str">
            <v>Fjederskive Ø20 FZM DIN 6796</v>
          </cell>
          <cell r="C3275" t="str">
            <v>Spring disc Ø20 FZM DIN 6796</v>
          </cell>
          <cell r="D3275">
            <v>17</v>
          </cell>
          <cell r="E3275">
            <v>2.2849462365591395</v>
          </cell>
        </row>
        <row r="3276">
          <cell r="A3276">
            <v>41562</v>
          </cell>
          <cell r="B3276" t="str">
            <v>Holder for godsfordeler 1-3 PMV919TW</v>
          </cell>
          <cell r="C3276" t="str">
            <v>Holder for deflector 1-3 PMV919W</v>
          </cell>
          <cell r="D3276">
            <v>6360</v>
          </cell>
          <cell r="E3276">
            <v>854.83870967741927</v>
          </cell>
        </row>
        <row r="3277">
          <cell r="A3277">
            <v>41563</v>
          </cell>
          <cell r="B3277" t="str">
            <v>Godsfordeler 1 PMV919TW</v>
          </cell>
          <cell r="C3277" t="str">
            <v>Deflector 1 PMV919TW</v>
          </cell>
          <cell r="D3277">
            <v>689</v>
          </cell>
          <cell r="E3277">
            <v>92.607526881720432</v>
          </cell>
        </row>
        <row r="3278">
          <cell r="A3278">
            <v>41564</v>
          </cell>
          <cell r="B3278" t="str">
            <v>Godsfordeler 2 PMV919TW</v>
          </cell>
          <cell r="C3278" t="str">
            <v>Deflector 2 PMV919TW</v>
          </cell>
          <cell r="D3278">
            <v>641</v>
          </cell>
          <cell r="E3278">
            <v>86.155913978494624</v>
          </cell>
        </row>
        <row r="3279">
          <cell r="A3279">
            <v>41565</v>
          </cell>
          <cell r="B3279" t="str">
            <v>Godsfordeler 3 PMV919TW</v>
          </cell>
          <cell r="C3279" t="str">
            <v>Deflector 3 PMV919TW</v>
          </cell>
          <cell r="D3279">
            <v>940</v>
          </cell>
          <cell r="E3279">
            <v>126.34408602150538</v>
          </cell>
        </row>
        <row r="3280">
          <cell r="A3280">
            <v>41566</v>
          </cell>
          <cell r="B3280" t="str">
            <v>Støtte for godsfordeler 3 PMV919TW</v>
          </cell>
          <cell r="C3280" t="str">
            <v>Support for deflector 3 PMV919TW</v>
          </cell>
          <cell r="D3280">
            <v>667</v>
          </cell>
          <cell r="E3280">
            <v>89.650537634408593</v>
          </cell>
        </row>
        <row r="3281">
          <cell r="A3281">
            <v>41575</v>
          </cell>
          <cell r="B3281" t="str">
            <v>Flangeleje UCFL 206</v>
          </cell>
          <cell r="C3281" t="str">
            <v>Flange bearing</v>
          </cell>
          <cell r="D3281">
            <v>101</v>
          </cell>
          <cell r="E3281">
            <v>13.5752688172043</v>
          </cell>
        </row>
        <row r="3282">
          <cell r="A3282">
            <v>41576</v>
          </cell>
          <cell r="B3282" t="str">
            <v>Flangeleje med dæksel CMUCFL 206</v>
          </cell>
          <cell r="C3282" t="str">
            <v>Flange bearing with cover</v>
          </cell>
          <cell r="D3282">
            <v>265</v>
          </cell>
          <cell r="E3282">
            <v>35.618279569892472</v>
          </cell>
        </row>
        <row r="3283">
          <cell r="A3283">
            <v>41657</v>
          </cell>
          <cell r="B3283" t="str">
            <v>Nippel med omløber ½”</v>
          </cell>
          <cell r="C3283" t="str">
            <v>Nipple with swivel nut ½”</v>
          </cell>
          <cell r="D3283">
            <v>29</v>
          </cell>
          <cell r="E3283">
            <v>3.897849462365591</v>
          </cell>
        </row>
        <row r="3284">
          <cell r="A3284">
            <v>41819</v>
          </cell>
          <cell r="B3284" t="str">
            <v>Koblingssnav, motor aksel ø55 mm</v>
          </cell>
          <cell r="C3284" t="str">
            <v>Coupling, hub for motor shaft ø55 mm</v>
          </cell>
          <cell r="D3284">
            <v>1961</v>
          </cell>
          <cell r="E3284">
            <v>263.57526881720429</v>
          </cell>
        </row>
        <row r="3285">
          <cell r="A3285">
            <v>41821</v>
          </cell>
          <cell r="B3285" t="str">
            <v>Koblingssnav, motor aksel ø60 mm</v>
          </cell>
          <cell r="C3285" t="str">
            <v>Coupling, hub for motor shaft ø60 mm</v>
          </cell>
          <cell r="D3285">
            <v>1961</v>
          </cell>
          <cell r="E3285">
            <v>263.57526881720429</v>
          </cell>
        </row>
        <row r="3286">
          <cell r="A3286">
            <v>41822</v>
          </cell>
          <cell r="B3286" t="str">
            <v>Koblingssnav, motor aksel ø65 mm</v>
          </cell>
          <cell r="C3286" t="str">
            <v>Coupling, hub for motor shaft ø65 mm</v>
          </cell>
          <cell r="D3286">
            <v>1961</v>
          </cell>
          <cell r="E3286">
            <v>263.57526881720429</v>
          </cell>
        </row>
        <row r="3287">
          <cell r="A3287">
            <v>41823</v>
          </cell>
          <cell r="B3287" t="str">
            <v>Koblingssnav, motor aksel ø70 mm</v>
          </cell>
          <cell r="C3287" t="str">
            <v>Coupling, hub for motor shaft ø70 mm</v>
          </cell>
          <cell r="D3287">
            <v>1961</v>
          </cell>
          <cell r="E3287">
            <v>263.57526881720429</v>
          </cell>
        </row>
        <row r="3288">
          <cell r="A3288">
            <v>41824</v>
          </cell>
          <cell r="B3288" t="str">
            <v xml:space="preserve">Koblingsnav ø   T2 75  H7  </v>
          </cell>
          <cell r="C3288" t="str">
            <v xml:space="preserve">Coupling, hub   T2   ø 75  H7    </v>
          </cell>
          <cell r="D3288">
            <v>1961</v>
          </cell>
          <cell r="E3288">
            <v>263.57526881720429</v>
          </cell>
        </row>
        <row r="3289">
          <cell r="A3289">
            <v>41829</v>
          </cell>
          <cell r="B3289" t="str">
            <v xml:space="preserve">Koblingsnav  T5  ø 100  H7 </v>
          </cell>
          <cell r="C3289" t="str">
            <v>Coupling, hub  T5  ø 100 H7</v>
          </cell>
          <cell r="D3289">
            <v>3127</v>
          </cell>
          <cell r="E3289">
            <v>420.29569892473114</v>
          </cell>
        </row>
        <row r="3290">
          <cell r="A3290">
            <v>41927</v>
          </cell>
          <cell r="B3290" t="str">
            <v>Kileremskive SPB10 Ø193</v>
          </cell>
          <cell r="C3290" t="str">
            <v>V-belt pulley SPB10 Ø193</v>
          </cell>
          <cell r="D3290">
            <v>3498</v>
          </cell>
          <cell r="E3290">
            <v>470.16129032258061</v>
          </cell>
        </row>
        <row r="3291">
          <cell r="A3291">
            <v>41928</v>
          </cell>
          <cell r="B3291" t="str">
            <v>Magnetbeslag B=300 PMV515</v>
          </cell>
          <cell r="C3291" t="str">
            <v>Magnet fitting B=300 PMV515</v>
          </cell>
          <cell r="D3291">
            <v>246</v>
          </cell>
          <cell r="E3291">
            <v>33.064516129032256</v>
          </cell>
        </row>
        <row r="3292">
          <cell r="A3292">
            <v>42018</v>
          </cell>
          <cell r="B3292" t="str">
            <v xml:space="preserve">Koblingsnav T1  ø 60  H7  </v>
          </cell>
          <cell r="C3292" t="str">
            <v xml:space="preserve">Coupling, hub  T1  ø60  H7    </v>
          </cell>
          <cell r="D3292">
            <v>1350</v>
          </cell>
          <cell r="E3292">
            <v>181.45161290322579</v>
          </cell>
        </row>
        <row r="3293">
          <cell r="A3293">
            <v>42020</v>
          </cell>
          <cell r="B3293" t="str">
            <v xml:space="preserve">Koblingsnav T1  ø 75  H7  </v>
          </cell>
          <cell r="C3293" t="str">
            <v xml:space="preserve">Coupling, hub T1  ø 75  H7    </v>
          </cell>
          <cell r="D3293">
            <v>1350</v>
          </cell>
          <cell r="E3293">
            <v>181.45161290322579</v>
          </cell>
        </row>
        <row r="3294">
          <cell r="A3294">
            <v>42100</v>
          </cell>
          <cell r="B3294" t="str">
            <v>Tætningsring adapter/dyseplade</v>
          </cell>
          <cell r="C3294" t="str">
            <v>Sealing ring adapter/nozzle plate</v>
          </cell>
          <cell r="D3294">
            <v>6.4</v>
          </cell>
          <cell r="E3294">
            <v>0.86021505376344087</v>
          </cell>
        </row>
        <row r="3295">
          <cell r="A3295">
            <v>42128</v>
          </cell>
          <cell r="B3295" t="str">
            <v>Tætningsring for inspektionsluge</v>
          </cell>
          <cell r="C3295" t="str">
            <v>Sealing ring for inspection door</v>
          </cell>
          <cell r="D3295">
            <v>191</v>
          </cell>
          <cell r="E3295">
            <v>25.672043010752688</v>
          </cell>
        </row>
        <row r="3296">
          <cell r="A3296">
            <v>42251</v>
          </cell>
          <cell r="B3296" t="str">
            <v>Manometer tilslutning ¼” x ½”</v>
          </cell>
          <cell r="C3296" t="str">
            <v>Manometer connector ¼” x ½”</v>
          </cell>
          <cell r="D3296">
            <v>51</v>
          </cell>
          <cell r="E3296">
            <v>6.854838709677419</v>
          </cell>
        </row>
        <row r="3297">
          <cell r="A3297">
            <v>42259</v>
          </cell>
          <cell r="B3297" t="str">
            <v>Brystnippel ½” BSP – ¼” BSPT</v>
          </cell>
          <cell r="C3297" t="str">
            <v>Reducing nipple ½” BSP – ¼” BSPT</v>
          </cell>
          <cell r="D3297">
            <v>20</v>
          </cell>
          <cell r="E3297">
            <v>2.6881720430107525</v>
          </cell>
        </row>
        <row r="3298">
          <cell r="A3298">
            <v>42356</v>
          </cell>
          <cell r="B3298" t="str">
            <v>Slange ø19/ø30, L = 3 m</v>
          </cell>
          <cell r="C3298" t="str">
            <v>Hose Ø19/Ø30, L = 3 m</v>
          </cell>
          <cell r="D3298">
            <v>131</v>
          </cell>
          <cell r="E3298">
            <v>17.607526881720428</v>
          </cell>
        </row>
        <row r="3299">
          <cell r="A3299">
            <v>42411</v>
          </cell>
          <cell r="B3299" t="str">
            <v>Kappeforskruning</v>
          </cell>
          <cell r="C3299" t="str">
            <v>Hose jacket</v>
          </cell>
          <cell r="D3299">
            <v>376</v>
          </cell>
          <cell r="E3299">
            <v>50.537634408602145</v>
          </cell>
        </row>
        <row r="3300">
          <cell r="A3300">
            <v>42490</v>
          </cell>
          <cell r="B3300" t="str">
            <v>Magnetventil, ekskl. spole</v>
          </cell>
          <cell r="C3300" t="str">
            <v>Solenoid valve, spool not included</v>
          </cell>
          <cell r="D3300">
            <v>1309</v>
          </cell>
          <cell r="E3300">
            <v>175.94086021505376</v>
          </cell>
        </row>
        <row r="3301">
          <cell r="A3301">
            <v>42494</v>
          </cell>
          <cell r="B3301" t="str">
            <v>Spole for magnetventil 24V DC</v>
          </cell>
          <cell r="C3301" t="str">
            <v>Solenoid valve spool24V DC</v>
          </cell>
          <cell r="D3301">
            <v>239</v>
          </cell>
          <cell r="E3301">
            <v>32.123655913978496</v>
          </cell>
        </row>
        <row r="3302">
          <cell r="A3302">
            <v>42499</v>
          </cell>
          <cell r="B3302" t="str">
            <v>Filterindsats</v>
          </cell>
          <cell r="C3302" t="str">
            <v>Filter insert</v>
          </cell>
          <cell r="D3302">
            <v>1463</v>
          </cell>
          <cell r="E3302">
            <v>196.63978494623655</v>
          </cell>
        </row>
        <row r="3303">
          <cell r="A3303">
            <v>42520</v>
          </cell>
          <cell r="B3303" t="str">
            <v>Pakning for dæksel rulleaksel M30</v>
          </cell>
          <cell r="C3303" t="str">
            <v>Packing for cover roller shaft M30</v>
          </cell>
          <cell r="D3303">
            <v>48</v>
          </cell>
          <cell r="E3303">
            <v>6.4516129032258061</v>
          </cell>
        </row>
        <row r="3304">
          <cell r="A3304">
            <v>42613</v>
          </cell>
          <cell r="B3304" t="str">
            <v>Dysetip 180 – 349 kg/h</v>
          </cell>
          <cell r="C3304" t="str">
            <v>Nozzle tip 180 – 349 kg/h</v>
          </cell>
          <cell r="D3304">
            <v>1320</v>
          </cell>
          <cell r="E3304">
            <v>177.41935483870967</v>
          </cell>
        </row>
        <row r="3305">
          <cell r="A3305">
            <v>42614</v>
          </cell>
          <cell r="B3305" t="str">
            <v>Dysetip 349 – 588 kg/h</v>
          </cell>
          <cell r="C3305" t="str">
            <v>Nozzle tip 349 – 588 kg/h</v>
          </cell>
          <cell r="D3305">
            <v>1320</v>
          </cell>
          <cell r="E3305">
            <v>177.41935483870967</v>
          </cell>
        </row>
        <row r="3306">
          <cell r="A3306">
            <v>42615</v>
          </cell>
          <cell r="B3306" t="str">
            <v>Dysetip 919 – 1470 kg/h</v>
          </cell>
          <cell r="C3306" t="str">
            <v>Nozzle tip 919 – 1470 kg/h</v>
          </cell>
          <cell r="D3306">
            <v>1320</v>
          </cell>
          <cell r="E3306">
            <v>177.41935483870967</v>
          </cell>
        </row>
        <row r="3307">
          <cell r="A3307">
            <v>42616</v>
          </cell>
          <cell r="B3307" t="str">
            <v>Dysetip 1470 – 1837 kg/h</v>
          </cell>
          <cell r="C3307" t="str">
            <v>Nozzle tip 1470 – 1837 kg/h</v>
          </cell>
          <cell r="D3307">
            <v>1320</v>
          </cell>
          <cell r="E3307">
            <v>177.41935483870967</v>
          </cell>
        </row>
        <row r="3308">
          <cell r="A3308">
            <v>42617</v>
          </cell>
          <cell r="B3308" t="str">
            <v>Dysetip 1837 – 2939 kg/h</v>
          </cell>
          <cell r="C3308" t="str">
            <v>Nozzle tip 1837 – 2939 kg/h</v>
          </cell>
          <cell r="D3308">
            <v>1320</v>
          </cell>
          <cell r="E3308">
            <v>177.41935483870967</v>
          </cell>
        </row>
        <row r="3309">
          <cell r="A3309">
            <v>42622</v>
          </cell>
          <cell r="B3309" t="str">
            <v>Holder for dyse</v>
          </cell>
          <cell r="C3309" t="str">
            <v>Fitting for nozzle</v>
          </cell>
          <cell r="D3309">
            <v>2793</v>
          </cell>
          <cell r="E3309">
            <v>375.40322580645159</v>
          </cell>
        </row>
        <row r="3310">
          <cell r="A3310">
            <v>42672</v>
          </cell>
          <cell r="B3310" t="str">
            <v>Dysetip 80 – 140 kg/h</v>
          </cell>
          <cell r="C3310" t="str">
            <v>Nozzle tip 80 – 140 kg/h</v>
          </cell>
          <cell r="D3310">
            <v>1320</v>
          </cell>
          <cell r="E3310">
            <v>177.41935483870967</v>
          </cell>
        </row>
        <row r="3311">
          <cell r="A3311">
            <v>42674</v>
          </cell>
          <cell r="B3311" t="str">
            <v>Dysetip 140 – 231 kg/h</v>
          </cell>
          <cell r="C3311" t="str">
            <v>Nozzle tip 140 – 231 kg/h</v>
          </cell>
          <cell r="D3311">
            <v>1320</v>
          </cell>
          <cell r="E3311">
            <v>177.41935483870967</v>
          </cell>
        </row>
        <row r="3312">
          <cell r="A3312">
            <v>42719</v>
          </cell>
          <cell r="B3312" t="str">
            <v>Tryktransmitter 0 – 6 BAR</v>
          </cell>
          <cell r="C3312" t="str">
            <v>Presure transmitter 0 – 6 BAR</v>
          </cell>
          <cell r="D3312">
            <v>2374</v>
          </cell>
          <cell r="E3312">
            <v>319.08602150537632</v>
          </cell>
        </row>
        <row r="3313">
          <cell r="A3313">
            <v>42759</v>
          </cell>
          <cell r="B3313" t="str">
            <v>Union</v>
          </cell>
          <cell r="C3313" t="str">
            <v>Union</v>
          </cell>
          <cell r="D3313">
            <v>557</v>
          </cell>
          <cell r="E3313">
            <v>74.865591397849457</v>
          </cell>
        </row>
        <row r="3314">
          <cell r="A3314">
            <v>42766</v>
          </cell>
          <cell r="B3314" t="str">
            <v>Tætningsring adapter/dyse</v>
          </cell>
          <cell r="C3314" t="str">
            <v>Sealing ring adapter/nozzle</v>
          </cell>
          <cell r="D3314">
            <v>6.4</v>
          </cell>
          <cell r="E3314">
            <v>0.86021505376344087</v>
          </cell>
        </row>
        <row r="3315">
          <cell r="A3315">
            <v>42768</v>
          </cell>
          <cell r="B3315" t="str">
            <v>Blændplade for fedtdyse incl. pos. 7</v>
          </cell>
          <cell r="C3315" t="str">
            <v>Blanking-off plate for fat nozzle incl. item. 7</v>
          </cell>
          <cell r="D3315">
            <v>318</v>
          </cell>
          <cell r="E3315">
            <v>42.741935483870968</v>
          </cell>
        </row>
        <row r="3316">
          <cell r="A3316">
            <v>43257</v>
          </cell>
          <cell r="B3316" t="str">
            <v>Stiftholder for brudstift</v>
          </cell>
          <cell r="C3316" t="str">
            <v>Needleholder for coupling disc</v>
          </cell>
          <cell r="D3316">
            <v>76</v>
          </cell>
          <cell r="E3316">
            <v>10.21505376344086</v>
          </cell>
        </row>
        <row r="3317">
          <cell r="A3317">
            <v>43438</v>
          </cell>
          <cell r="B3317" t="str">
            <v>Endebund FEX34 M30 bolt komplet</v>
          </cell>
          <cell r="C3317" t="str">
            <v>End plate for nozzle</v>
          </cell>
          <cell r="D3317">
            <v>28500</v>
          </cell>
          <cell r="E3317">
            <v>3830.6451612903224</v>
          </cell>
        </row>
        <row r="3318">
          <cell r="A3318">
            <v>43440</v>
          </cell>
          <cell r="B3318" t="str">
            <v>Slidbøsning f. glider</v>
          </cell>
          <cell r="C3318" t="str">
            <v>Wear bush for slide</v>
          </cell>
          <cell r="D3318">
            <v>11700</v>
          </cell>
          <cell r="E3318">
            <v>1572.5806451612902</v>
          </cell>
        </row>
        <row r="3319">
          <cell r="A3319">
            <v>43441</v>
          </cell>
          <cell r="B3319" t="str">
            <v>Glideplade for glideregu.</v>
          </cell>
          <cell r="C3319" t="str">
            <v>Flange for wear barrel</v>
          </cell>
          <cell r="D3319">
            <v>3510</v>
          </cell>
          <cell r="E3319">
            <v>471.77419354838707</v>
          </cell>
        </row>
        <row r="3320">
          <cell r="A3320">
            <v>43442</v>
          </cell>
          <cell r="B3320" t="str">
            <v>Tætningsring for slidforing FEX34 Ø478</v>
          </cell>
          <cell r="C3320" t="str">
            <v>Sealing ring for wear barrel FEX34</v>
          </cell>
          <cell r="D3320">
            <v>1850</v>
          </cell>
          <cell r="E3320">
            <v>248.65591397849462</v>
          </cell>
        </row>
        <row r="3321">
          <cell r="A3321">
            <v>43443</v>
          </cell>
          <cell r="B3321" t="str">
            <v>Spændeplade FEX34</v>
          </cell>
          <cell r="C3321" t="str">
            <v>Tension flange FEX34</v>
          </cell>
          <cell r="D3321">
            <v>13356</v>
          </cell>
          <cell r="E3321">
            <v>1795.1612903225805</v>
          </cell>
        </row>
        <row r="3322">
          <cell r="A3322">
            <v>43444</v>
          </cell>
          <cell r="B3322" t="str">
            <v xml:space="preserve">Pakning for matrice afgang materiale: FJ-5407   </v>
          </cell>
          <cell r="C3322" t="str">
            <v>Jointing for mat. Discharge FEX34</v>
          </cell>
          <cell r="D3322">
            <v>2585</v>
          </cell>
          <cell r="E3322">
            <v>347.44623655913978</v>
          </cell>
        </row>
        <row r="3323">
          <cell r="A3323">
            <v>43445</v>
          </cell>
          <cell r="B3323" t="str">
            <v>Flange for slidbøsning</v>
          </cell>
          <cell r="C3323" t="str">
            <v>Slide flange</v>
          </cell>
          <cell r="D3323">
            <v>7500</v>
          </cell>
          <cell r="E3323">
            <v>1008.0645161290322</v>
          </cell>
        </row>
        <row r="3324">
          <cell r="A3324">
            <v>43447</v>
          </cell>
          <cell r="B3324" t="str">
            <v>Beslag for spindel, pos. indikering</v>
          </cell>
          <cell r="C3324" t="str">
            <v>Hinge for spindle, pos. indication</v>
          </cell>
          <cell r="D3324">
            <v>250</v>
          </cell>
          <cell r="E3324">
            <v>33.602150537634408</v>
          </cell>
        </row>
        <row r="3325">
          <cell r="A3325">
            <v>43664</v>
          </cell>
          <cell r="B3325" t="str">
            <v>Aksel – komplet - højre udf.   HPB 1000</v>
          </cell>
          <cell r="C3325" t="str">
            <v>Shaft  – complete – right .</v>
          </cell>
          <cell r="D3325">
            <v>46640</v>
          </cell>
          <cell r="E3325">
            <v>6268.8172043010745</v>
          </cell>
        </row>
        <row r="3326">
          <cell r="A3326">
            <v>43682</v>
          </cell>
          <cell r="B3326" t="str">
            <v>Motorkonsol  HPB 1000</v>
          </cell>
          <cell r="C3326" t="str">
            <v>Motor bracket</v>
          </cell>
          <cell r="D3326">
            <v>4500</v>
          </cell>
          <cell r="E3326">
            <v>604.83870967741927</v>
          </cell>
        </row>
        <row r="3327">
          <cell r="A3327">
            <v>43683</v>
          </cell>
          <cell r="B3327" t="str">
            <v>Skraber:   Højre   HPB 1000</v>
          </cell>
          <cell r="C3327" t="str">
            <v xml:space="preserve">Scraper:   right </v>
          </cell>
          <cell r="D3327">
            <v>1060</v>
          </cell>
          <cell r="E3327">
            <v>142.47311827956989</v>
          </cell>
        </row>
        <row r="3328">
          <cell r="A3328">
            <v>43684</v>
          </cell>
          <cell r="B3328" t="str">
            <v>Palette:    Højre   HPB 1000</v>
          </cell>
          <cell r="C3328" t="str">
            <v xml:space="preserve">Paddle:    right </v>
          </cell>
          <cell r="D3328">
            <v>859</v>
          </cell>
          <cell r="E3328">
            <v>115.45698924731182</v>
          </cell>
        </row>
        <row r="3329">
          <cell r="A3329">
            <v>43743</v>
          </cell>
          <cell r="B3329" t="str">
            <v>Pakning for sidedæksel PM717</v>
          </cell>
          <cell r="C3329" t="str">
            <v>Packing for sidecover PM717</v>
          </cell>
          <cell r="D3329">
            <v>342</v>
          </cell>
          <cell r="E3329">
            <v>45.967741935483872</v>
          </cell>
        </row>
        <row r="3330">
          <cell r="A3330">
            <v>43773</v>
          </cell>
          <cell r="B3330" t="str">
            <v>Magnetventil 230VAC VGD-25-ER-ER-2CQ</v>
          </cell>
          <cell r="C3330" t="str">
            <v>Solenoid valve complete 230VAC VGD-25-ER-ER-2CQ</v>
          </cell>
          <cell r="D3330">
            <v>986</v>
          </cell>
          <cell r="E3330">
            <v>132.52688172043011</v>
          </cell>
        </row>
        <row r="3331">
          <cell r="A3331">
            <v>43842</v>
          </cell>
          <cell r="B3331" t="str">
            <v>Luftskrue 1/4"</v>
          </cell>
          <cell r="C3331" t="str">
            <v>Air screw 1/4"</v>
          </cell>
          <cell r="D3331">
            <v>21</v>
          </cell>
          <cell r="E3331">
            <v>2.82258064516129</v>
          </cell>
        </row>
        <row r="3332">
          <cell r="A3332">
            <v>43848</v>
          </cell>
          <cell r="B3332" t="str">
            <v>Tætningsring f. slidforing FEX34</v>
          </cell>
          <cell r="C3332" t="str">
            <v>Sealing ring for wear barrel FEX34</v>
          </cell>
          <cell r="D3332">
            <v>1564</v>
          </cell>
          <cell r="E3332">
            <v>210.21505376344084</v>
          </cell>
        </row>
        <row r="3333">
          <cell r="A3333">
            <v>43937</v>
          </cell>
          <cell r="B3333" t="str">
            <v>6-kt. Skrue M20 x 80 DIN 931</v>
          </cell>
          <cell r="C3333" t="str">
            <v>Hex screw M20 x 80 DIN 931</v>
          </cell>
          <cell r="D3333">
            <v>28</v>
          </cell>
          <cell r="E3333">
            <v>3.7634408602150535</v>
          </cell>
        </row>
        <row r="3334">
          <cell r="A3334">
            <v>43944</v>
          </cell>
          <cell r="B3334" t="str">
            <v>6-kt. Skrue M20 x 100 12.9 DIN 912</v>
          </cell>
          <cell r="C3334" t="str">
            <v>Hex screw M20 x 100 12.9 DIN 91</v>
          </cell>
          <cell r="D3334">
            <v>22</v>
          </cell>
          <cell r="E3334">
            <v>2.956989247311828</v>
          </cell>
        </row>
        <row r="3335">
          <cell r="A3335">
            <v>43945</v>
          </cell>
          <cell r="B3335" t="str">
            <v>Pinolskrue M6 x 16 A4 DIN916</v>
          </cell>
          <cell r="C3335" t="str">
            <v>Centre screw M6 x 16 A4 DIN916</v>
          </cell>
          <cell r="D3335">
            <v>2</v>
          </cell>
          <cell r="E3335">
            <v>0.26881720430107525</v>
          </cell>
        </row>
        <row r="3336">
          <cell r="A3336">
            <v>43967</v>
          </cell>
          <cell r="B3336" t="str">
            <v xml:space="preserve">Rep. Plade for huller til soldramme </v>
          </cell>
          <cell r="C3336" t="str">
            <v>Rep plate</v>
          </cell>
          <cell r="D3336">
            <v>705</v>
          </cell>
          <cell r="E3336">
            <v>94.758064516129025</v>
          </cell>
        </row>
        <row r="3337">
          <cell r="A3337">
            <v>43977</v>
          </cell>
          <cell r="B3337" t="str">
            <v>6-kt. Skrue M20 x 120 A2 DIN 933</v>
          </cell>
          <cell r="C3337" t="str">
            <v>Hex screw M20 x 120 A2 DIN 933</v>
          </cell>
          <cell r="D3337">
            <v>30</v>
          </cell>
          <cell r="E3337">
            <v>4.032258064516129</v>
          </cell>
        </row>
        <row r="3338">
          <cell r="A3338">
            <v>44003</v>
          </cell>
          <cell r="B3338" t="str">
            <v>Fjederskive Ø16 FZB DIN 127 B</v>
          </cell>
          <cell r="C3338" t="str">
            <v>Spring disc Ø16 FZB DIN 127 B</v>
          </cell>
          <cell r="D3338">
            <v>8.5</v>
          </cell>
          <cell r="E3338">
            <v>1.1424731182795698</v>
          </cell>
        </row>
        <row r="3339">
          <cell r="A3339">
            <v>44143</v>
          </cell>
          <cell r="B3339" t="str">
            <v xml:space="preserve">Cyl. skrue M30X280 8.8 DIN912 </v>
          </cell>
          <cell r="C3339" t="str">
            <v>Cyl. Screw M30 x 280</v>
          </cell>
          <cell r="D3339">
            <v>135</v>
          </cell>
          <cell r="E3339">
            <v>18.14516129032258</v>
          </cell>
        </row>
        <row r="3340">
          <cell r="A3340">
            <v>44249</v>
          </cell>
          <cell r="B3340" t="str">
            <v>O-ring Ø177,39 x 3,53 NBR</v>
          </cell>
          <cell r="C3340" t="str">
            <v>O-ring Ø177,39 x 3,53 NBR</v>
          </cell>
          <cell r="D3340">
            <v>9.5</v>
          </cell>
          <cell r="E3340">
            <v>1.2768817204301075</v>
          </cell>
        </row>
        <row r="3341">
          <cell r="A3341">
            <v>44250</v>
          </cell>
          <cell r="B3341" t="str">
            <v>O-ring Ø354,97 x 5,33 NBR</v>
          </cell>
          <cell r="C3341" t="str">
            <v>O-ring Ø354,97 x 5,33 NBR</v>
          </cell>
          <cell r="D3341">
            <v>34</v>
          </cell>
          <cell r="E3341">
            <v>4.5698924731182791</v>
          </cell>
        </row>
        <row r="3342">
          <cell r="A3342">
            <v>44384</v>
          </cell>
          <cell r="B3342" t="str">
            <v>Konisk rulleleje H 913849/H913810</v>
          </cell>
          <cell r="C3342" t="str">
            <v>Roller bearing, tapered H 913849/H913810</v>
          </cell>
          <cell r="D3342">
            <v>7125</v>
          </cell>
          <cell r="E3342">
            <v>957.66129032258061</v>
          </cell>
        </row>
        <row r="3343">
          <cell r="A3343">
            <v>44430</v>
          </cell>
          <cell r="B3343" t="str">
            <v>Tætningsring dyse/kobling</v>
          </cell>
          <cell r="C3343" t="str">
            <v>Sealing ring nozzle/coupling</v>
          </cell>
          <cell r="D3343">
            <v>9.5</v>
          </cell>
          <cell r="E3343">
            <v>1.2768817204301075</v>
          </cell>
        </row>
        <row r="3344">
          <cell r="A3344">
            <v>44455</v>
          </cell>
          <cell r="B3344" t="str">
            <v>Slangemuffe  ø 56 - 65 1 a</v>
          </cell>
          <cell r="C3344" t="str">
            <v>Hose clamp Ø56-65 1A</v>
          </cell>
          <cell r="D3344">
            <v>37</v>
          </cell>
          <cell r="E3344">
            <v>4.9731182795698921</v>
          </cell>
        </row>
        <row r="3345">
          <cell r="A3345">
            <v>44478</v>
          </cell>
          <cell r="B3345" t="str">
            <v>Speedi sleeve 190,5 x 20,6</v>
          </cell>
          <cell r="C3345" t="str">
            <v>Speedi sleeve 190,5 x 20,6</v>
          </cell>
          <cell r="D3345">
            <v>1250</v>
          </cell>
          <cell r="E3345">
            <v>168.01075268817203</v>
          </cell>
        </row>
        <row r="3346">
          <cell r="A3346">
            <v>44501</v>
          </cell>
          <cell r="B3346" t="str">
            <v>6-kt. Skrue M20 x 120 DIN 933</v>
          </cell>
          <cell r="C3346" t="str">
            <v>Hex screw M20 x 120 DIN 933</v>
          </cell>
          <cell r="D3346">
            <v>35</v>
          </cell>
          <cell r="E3346">
            <v>4.704301075268817</v>
          </cell>
        </row>
        <row r="3347">
          <cell r="A3347">
            <v>44517</v>
          </cell>
          <cell r="B3347" t="str">
            <v>Spjældaksel  HPB 6001</v>
          </cell>
          <cell r="C3347" t="str">
            <v>Slide shaft</v>
          </cell>
          <cell r="D3347">
            <v>7261</v>
          </cell>
          <cell r="E3347">
            <v>975.9408602150537</v>
          </cell>
        </row>
        <row r="3348">
          <cell r="A3348">
            <v>44538</v>
          </cell>
          <cell r="B3348" t="str">
            <v>Rulleaksel M30-3 for køling</v>
          </cell>
          <cell r="C3348" t="str">
            <v>Roller shaft M30-3 for cooling</v>
          </cell>
          <cell r="D3348">
            <v>9800</v>
          </cell>
          <cell r="E3348">
            <v>1317.2043010752689</v>
          </cell>
        </row>
        <row r="3349">
          <cell r="A3349">
            <v>44545</v>
          </cell>
          <cell r="B3349" t="str">
            <v>Forstærkerring med kniv M30</v>
          </cell>
          <cell r="C3349" t="str">
            <v>Reinforcement ring w knife M30</v>
          </cell>
          <cell r="D3349">
            <v>14140</v>
          </cell>
          <cell r="E3349">
            <v>1900.5376344086021</v>
          </cell>
        </row>
        <row r="3350">
          <cell r="A3350">
            <v>44547</v>
          </cell>
          <cell r="B3350" t="str">
            <v>Pillekammer B 470 Reservedel M30</v>
          </cell>
          <cell r="C3350" t="str">
            <v>Pellet chamber B470 PM30</v>
          </cell>
          <cell r="D3350">
            <v>73300</v>
          </cell>
          <cell r="E3350">
            <v>9852.1505376344085</v>
          </cell>
        </row>
        <row r="3351">
          <cell r="A3351">
            <v>44549</v>
          </cell>
          <cell r="B3351" t="str">
            <v>Holder for spjældarm 2</v>
          </cell>
          <cell r="C3351" t="str">
            <v>Holder for slide arm 2</v>
          </cell>
          <cell r="D3351">
            <v>604</v>
          </cell>
          <cell r="E3351">
            <v>81.182795698924721</v>
          </cell>
        </row>
        <row r="3352">
          <cell r="A3352">
            <v>44552</v>
          </cell>
          <cell r="B3352" t="str">
            <v>Holder for spjældarm</v>
          </cell>
          <cell r="C3352" t="str">
            <v>Holder for slide arm</v>
          </cell>
          <cell r="D3352">
            <v>604</v>
          </cell>
          <cell r="E3352">
            <v>81.182795698924721</v>
          </cell>
        </row>
        <row r="3353">
          <cell r="A3353">
            <v>44553</v>
          </cell>
          <cell r="B3353" t="str">
            <v xml:space="preserve">Afstandsholder spjæld  </v>
          </cell>
          <cell r="C3353" t="str">
            <v xml:space="preserve">Spacer for slide </v>
          </cell>
          <cell r="D3353">
            <v>1240</v>
          </cell>
          <cell r="E3353">
            <v>166.66666666666666</v>
          </cell>
        </row>
        <row r="3354">
          <cell r="A3354">
            <v>44554</v>
          </cell>
          <cell r="B3354" t="str">
            <v xml:space="preserve">Afstandsholder spjæld 2  </v>
          </cell>
          <cell r="C3354" t="str">
            <v xml:space="preserve">Spacer for slide 2 </v>
          </cell>
          <cell r="D3354">
            <v>1240</v>
          </cell>
          <cell r="E3354">
            <v>166.66666666666666</v>
          </cell>
        </row>
        <row r="3355">
          <cell r="A3355">
            <v>44555</v>
          </cell>
          <cell r="B3355" t="str">
            <v xml:space="preserve">Holder for rulle </v>
          </cell>
          <cell r="C3355" t="str">
            <v>Support for rolller</v>
          </cell>
          <cell r="D3355">
            <v>477</v>
          </cell>
          <cell r="E3355">
            <v>64.112903225806448</v>
          </cell>
        </row>
        <row r="3356">
          <cell r="A3356">
            <v>44561</v>
          </cell>
          <cell r="B3356" t="str">
            <v>Hovedaksel med fælg og 1" prop M30-3(rec.ø1055mm)</v>
          </cell>
          <cell r="C3356" t="str">
            <v>Mainshaft with rim and 1" plug M30-3 (rec.Ø1055mm)</v>
          </cell>
          <cell r="D3356">
            <v>136500</v>
          </cell>
          <cell r="E3356">
            <v>18346.774193548386</v>
          </cell>
        </row>
        <row r="3357">
          <cell r="A3357">
            <v>44573</v>
          </cell>
          <cell r="B3357" t="str">
            <v>Rulleholderaksel komplet M30-3</v>
          </cell>
          <cell r="C3357" t="str">
            <v>Roller main shaft complete M30-3</v>
          </cell>
          <cell r="D3357">
            <v>72080</v>
          </cell>
          <cell r="E3357">
            <v>9688.1720430107525</v>
          </cell>
        </row>
        <row r="3358">
          <cell r="A3358">
            <v>44844</v>
          </cell>
          <cell r="B3358" t="str">
            <v>Arm for spjæld</v>
          </cell>
          <cell r="C3358" t="str">
            <v>Slide arm</v>
          </cell>
          <cell r="D3358">
            <v>1071</v>
          </cell>
          <cell r="E3358">
            <v>143.95161290322579</v>
          </cell>
        </row>
        <row r="3359">
          <cell r="A3359">
            <v>44853</v>
          </cell>
          <cell r="B3359" t="str">
            <v>Indløbssnegl, svejst PMV515</v>
          </cell>
          <cell r="C3359" t="str">
            <v>Inlet screw, welded PMV515</v>
          </cell>
          <cell r="D3359">
            <v>23214</v>
          </cell>
          <cell r="E3359">
            <v>3120.1612903225805</v>
          </cell>
        </row>
        <row r="3360">
          <cell r="A3360">
            <v>44899</v>
          </cell>
          <cell r="B3360" t="str">
            <v>Holder for spjældarm</v>
          </cell>
          <cell r="C3360" t="str">
            <v>Holder for slide arm</v>
          </cell>
          <cell r="D3360">
            <v>758</v>
          </cell>
          <cell r="E3360">
            <v>101.88172043010752</v>
          </cell>
        </row>
        <row r="3361">
          <cell r="A3361">
            <v>44911</v>
          </cell>
          <cell r="B3361" t="str">
            <v>Holder for spjældarm 2</v>
          </cell>
          <cell r="C3361" t="str">
            <v>Holder for slide arm 2</v>
          </cell>
          <cell r="D3361">
            <v>758</v>
          </cell>
          <cell r="E3361">
            <v>101.88172043010752</v>
          </cell>
        </row>
        <row r="3362">
          <cell r="A3362">
            <v>44917</v>
          </cell>
          <cell r="B3362" t="str">
            <v>Spjældaksel  HPB 2001</v>
          </cell>
          <cell r="C3362" t="str">
            <v>Slide shaft</v>
          </cell>
          <cell r="D3362">
            <v>2459</v>
          </cell>
          <cell r="E3362">
            <v>330.51075268817203</v>
          </cell>
        </row>
        <row r="3363">
          <cell r="A3363">
            <v>44923</v>
          </cell>
          <cell r="B3363" t="str">
            <v>Afstandsholder spjæld  HPB 2001</v>
          </cell>
          <cell r="C3363" t="str">
            <v xml:space="preserve">Spacer for slide </v>
          </cell>
          <cell r="D3363">
            <v>1208</v>
          </cell>
          <cell r="E3363">
            <v>162.36559139784944</v>
          </cell>
        </row>
        <row r="3364">
          <cell r="A3364">
            <v>45034</v>
          </cell>
          <cell r="B3364" t="str">
            <v>Forplade bearb. 3ruller 1 vejs 1219 W</v>
          </cell>
          <cell r="C3364" t="str">
            <v>Front plate 1219</v>
          </cell>
          <cell r="D3364">
            <v>48879</v>
          </cell>
          <cell r="E3364">
            <v>6569.7580645161288</v>
          </cell>
        </row>
        <row r="3365">
          <cell r="A3365">
            <v>45037</v>
          </cell>
          <cell r="B3365" t="str">
            <v>Rulleholderaksel PM1219</v>
          </cell>
          <cell r="C3365" t="str">
            <v>Roller main shaft PM1219</v>
          </cell>
          <cell r="D3365">
            <v>174900</v>
          </cell>
          <cell r="E3365">
            <v>23508.06451612903</v>
          </cell>
        </row>
        <row r="3366">
          <cell r="A3366">
            <v>45038</v>
          </cell>
          <cell r="B3366" t="str">
            <v>Hovedaksel for boltopspændt matr. PM1219</v>
          </cell>
          <cell r="C3366" t="str">
            <v>Mainshaft for bolt PM1219</v>
          </cell>
          <cell r="D3366">
            <v>128500</v>
          </cell>
          <cell r="E3366">
            <v>17271.505376344085</v>
          </cell>
        </row>
        <row r="3367">
          <cell r="A3367">
            <v>45053</v>
          </cell>
          <cell r="B3367" t="str">
            <v>Kniv, komplet PM1219W</v>
          </cell>
          <cell r="C3367" t="str">
            <v>Knife complete PM1219W</v>
          </cell>
          <cell r="D3367">
            <v>3010</v>
          </cell>
          <cell r="E3367">
            <v>404.56989247311827</v>
          </cell>
        </row>
        <row r="3368">
          <cell r="A3368">
            <v>45054</v>
          </cell>
          <cell r="B3368" t="str">
            <v>Knivblad T4 B324 PM1219W</v>
          </cell>
          <cell r="C3368" t="str">
            <v>Knife blade T4 B324 PM1219W</v>
          </cell>
          <cell r="D3368">
            <v>488</v>
          </cell>
          <cell r="E3368">
            <v>65.591397849462368</v>
          </cell>
        </row>
        <row r="3369">
          <cell r="A3369">
            <v>45055</v>
          </cell>
          <cell r="B3369" t="str">
            <v>Hængsel for pillekammer bund PM1219</v>
          </cell>
          <cell r="C3369" t="str">
            <v>Hinge for pellet chamber bottom PM1219</v>
          </cell>
          <cell r="D3369">
            <v>4358</v>
          </cell>
          <cell r="E3369">
            <v>585.75268817204301</v>
          </cell>
        </row>
        <row r="3370">
          <cell r="A3370">
            <v>45092</v>
          </cell>
          <cell r="B3370" t="str">
            <v>Afstandsring for nav til sikringskobling PM919</v>
          </cell>
          <cell r="C3370" t="str">
            <v>Spacer for hub</v>
          </cell>
          <cell r="D3370">
            <v>1507</v>
          </cell>
          <cell r="E3370">
            <v>202.55376344086019</v>
          </cell>
        </row>
        <row r="3371">
          <cell r="A3371">
            <v>45094</v>
          </cell>
          <cell r="B3371" t="str">
            <v>Trykring PM919</v>
          </cell>
          <cell r="C3371" t="str">
            <v>Pressure ring PM919</v>
          </cell>
          <cell r="D3371">
            <v>8245</v>
          </cell>
          <cell r="E3371">
            <v>1108.1989247311828</v>
          </cell>
        </row>
        <row r="3372">
          <cell r="A3372">
            <v>45095</v>
          </cell>
          <cell r="B3372" t="str">
            <v>Akselmøtrik M140 x 2</v>
          </cell>
          <cell r="C3372" t="str">
            <v>Nut for shaft M140 x 2</v>
          </cell>
          <cell r="D3372">
            <v>1204</v>
          </cell>
          <cell r="E3372">
            <v>161.8279569892473</v>
          </cell>
        </row>
        <row r="3373">
          <cell r="A3373">
            <v>45096</v>
          </cell>
          <cell r="B3373" t="str">
            <v>Tætningsring A Ø160 x Ø180 x 12 Nitril</v>
          </cell>
          <cell r="C3373" t="str">
            <v>Sealing ring A Ø160 x Ø180 x 12 Nitril</v>
          </cell>
          <cell r="D3373">
            <v>85</v>
          </cell>
          <cell r="E3373">
            <v>11.424731182795698</v>
          </cell>
        </row>
        <row r="3374">
          <cell r="A3374">
            <v>45098</v>
          </cell>
          <cell r="B3374" t="str">
            <v>Beslag for switch PM919</v>
          </cell>
          <cell r="C3374" t="str">
            <v>Fitting for switch PM919</v>
          </cell>
          <cell r="D3374">
            <v>628</v>
          </cell>
          <cell r="E3374">
            <v>84.408602150537632</v>
          </cell>
        </row>
        <row r="3375">
          <cell r="A3375">
            <v>45099</v>
          </cell>
          <cell r="B3375" t="str">
            <v>Afstandsring for nav sikringskobling PM717</v>
          </cell>
          <cell r="C3375" t="str">
            <v>Spacer for shear pin collar</v>
          </cell>
          <cell r="D3375">
            <v>1287</v>
          </cell>
          <cell r="E3375">
            <v>172.98387096774192</v>
          </cell>
        </row>
        <row r="3376">
          <cell r="A3376">
            <v>45101</v>
          </cell>
          <cell r="B3376" t="str">
            <v>Trykring PM717</v>
          </cell>
          <cell r="C3376" t="str">
            <v>Pressure ring PM717</v>
          </cell>
          <cell r="D3376">
            <v>4593</v>
          </cell>
          <cell r="E3376">
            <v>617.33870967741927</v>
          </cell>
        </row>
        <row r="3377">
          <cell r="A3377">
            <v>45102</v>
          </cell>
          <cell r="B3377" t="str">
            <v>Akselmøtrik M125 x 2</v>
          </cell>
          <cell r="C3377" t="str">
            <v>Nut for shaft M125 x 2</v>
          </cell>
          <cell r="D3377">
            <v>1204</v>
          </cell>
          <cell r="E3377">
            <v>161.8279569892473</v>
          </cell>
        </row>
        <row r="3378">
          <cell r="A3378">
            <v>45116</v>
          </cell>
          <cell r="B3378" t="str">
            <v>Skumrist</v>
          </cell>
          <cell r="C3378" t="str">
            <v>Foam screen</v>
          </cell>
          <cell r="D3378">
            <v>2425</v>
          </cell>
          <cell r="E3378">
            <v>325.94086021505376</v>
          </cell>
        </row>
        <row r="3379">
          <cell r="A3379">
            <v>45120</v>
          </cell>
          <cell r="B3379" t="str">
            <v>Skumrist PM717</v>
          </cell>
          <cell r="C3379" t="str">
            <v>Foam screen PM717</v>
          </cell>
          <cell r="D3379">
            <v>2243</v>
          </cell>
          <cell r="E3379">
            <v>301.47849462365588</v>
          </cell>
        </row>
        <row r="3380">
          <cell r="A3380">
            <v>46016</v>
          </cell>
          <cell r="B3380" t="str">
            <v>Plade for leje</v>
          </cell>
          <cell r="C3380" t="str">
            <v>Lash plate for bearing</v>
          </cell>
          <cell r="D3380">
            <v>477</v>
          </cell>
          <cell r="E3380">
            <v>64.112903225806448</v>
          </cell>
        </row>
        <row r="3381">
          <cell r="A3381">
            <v>46017</v>
          </cell>
          <cell r="B3381" t="str">
            <v>Drivaksel Ø55 L2002</v>
          </cell>
          <cell r="C3381" t="str">
            <v>Drive shaft Type 1 Ø55 L2002</v>
          </cell>
          <cell r="D3381">
            <v>5700</v>
          </cell>
          <cell r="E3381">
            <v>766.12903225806451</v>
          </cell>
        </row>
        <row r="3382">
          <cell r="A3382">
            <v>46018</v>
          </cell>
          <cell r="B3382" t="str">
            <v>Drivaksel Ø55 L1957</v>
          </cell>
          <cell r="C3382" t="str">
            <v xml:space="preserve">Drive shaft type 1 Ø55 L1967 </v>
          </cell>
          <cell r="D3382">
            <v>5590</v>
          </cell>
          <cell r="E3382">
            <v>751.34408602150529</v>
          </cell>
        </row>
        <row r="3383">
          <cell r="A3383">
            <v>46055</v>
          </cell>
          <cell r="B3383" t="str">
            <v>Strammeaksel Ø55 L1925</v>
          </cell>
          <cell r="C3383" t="str">
            <v xml:space="preserve">Tensionning shaft Ø55 L1925  </v>
          </cell>
          <cell r="D3383">
            <v>4781</v>
          </cell>
          <cell r="E3383">
            <v>642.60752688172045</v>
          </cell>
        </row>
        <row r="3384">
          <cell r="A3384">
            <v>46066</v>
          </cell>
          <cell r="B3384" t="str">
            <v>Slidstykke bund  Opti 900</v>
          </cell>
          <cell r="C3384" t="str">
            <v>Wear part</v>
          </cell>
          <cell r="D3384">
            <v>1681</v>
          </cell>
          <cell r="E3384">
            <v>225.94086021505376</v>
          </cell>
        </row>
        <row r="3385">
          <cell r="A3385">
            <v>46079</v>
          </cell>
          <cell r="B3385" t="str">
            <v>Plade for leje</v>
          </cell>
          <cell r="C3385" t="str">
            <v xml:space="preserve">Plate for bearing tensionin shaft </v>
          </cell>
          <cell r="D3385">
            <v>689</v>
          </cell>
          <cell r="E3385">
            <v>92.607526881720432</v>
          </cell>
        </row>
        <row r="3386">
          <cell r="A3386">
            <v>46086</v>
          </cell>
          <cell r="B3386" t="str">
            <v>Lejehus  strammesektion</v>
          </cell>
          <cell r="C3386" t="str">
            <v>Bearing housing tensioning section</v>
          </cell>
          <cell r="D3386">
            <v>1325</v>
          </cell>
          <cell r="E3386">
            <v>178.09139784946237</v>
          </cell>
        </row>
        <row r="3387">
          <cell r="A3387">
            <v>46168</v>
          </cell>
          <cell r="B3387" t="str">
            <v>Brystnippel ½” 40 MM AISI316</v>
          </cell>
          <cell r="C3387" t="str">
            <v>Nipple  1/2"X040MM AISI316</v>
          </cell>
          <cell r="D3387">
            <v>19.600000000000001</v>
          </cell>
          <cell r="E3387">
            <v>2.6344086021505375</v>
          </cell>
        </row>
        <row r="3388">
          <cell r="A3388">
            <v>46220</v>
          </cell>
          <cell r="B3388" t="str">
            <v>Krop for to-stof dyse</v>
          </cell>
          <cell r="C3388" t="str">
            <v>Body for two-matter nozzle</v>
          </cell>
          <cell r="D3388">
            <v>1505</v>
          </cell>
          <cell r="E3388">
            <v>202.28494623655914</v>
          </cell>
        </row>
        <row r="3389">
          <cell r="A3389">
            <v>46222</v>
          </cell>
          <cell r="B3389" t="str">
            <v>Rør adapter</v>
          </cell>
          <cell r="C3389" t="str">
            <v>Pipe adapter</v>
          </cell>
          <cell r="D3389">
            <v>106</v>
          </cell>
          <cell r="E3389">
            <v>14.247311827956988</v>
          </cell>
        </row>
        <row r="3390">
          <cell r="A3390">
            <v>46223</v>
          </cell>
          <cell r="B3390" t="str">
            <v>Pakning</v>
          </cell>
          <cell r="C3390" t="str">
            <v>Packing</v>
          </cell>
          <cell r="D3390">
            <v>15.9</v>
          </cell>
          <cell r="E3390">
            <v>2.1370967741935485</v>
          </cell>
        </row>
        <row r="3391">
          <cell r="A3391">
            <v>46272</v>
          </cell>
          <cell r="B3391" t="str">
            <v>Dysetip Bete  EF250</v>
          </cell>
          <cell r="C3391" t="str">
            <v>Nozzle tip  EF250</v>
          </cell>
          <cell r="D3391">
            <v>4134</v>
          </cell>
          <cell r="E3391">
            <v>555.64516129032256</v>
          </cell>
        </row>
        <row r="3392">
          <cell r="A3392">
            <v>46464</v>
          </cell>
          <cell r="B3392" t="str">
            <v>Opt700 slidstykke bund-</v>
          </cell>
          <cell r="C3392" t="str">
            <v>Wear piece for bottom cop700</v>
          </cell>
          <cell r="D3392">
            <v>1325</v>
          </cell>
          <cell r="E3392">
            <v>178.09139784946237</v>
          </cell>
        </row>
        <row r="3393">
          <cell r="A3393">
            <v>46465</v>
          </cell>
          <cell r="B3393" t="str">
            <v>Sidstykke bund  Opti 500</v>
          </cell>
          <cell r="C3393" t="str">
            <v>Wear part</v>
          </cell>
          <cell r="D3393">
            <v>1202</v>
          </cell>
          <cell r="E3393">
            <v>161.55913978494624</v>
          </cell>
        </row>
        <row r="3394">
          <cell r="A3394">
            <v>46476</v>
          </cell>
          <cell r="B3394" t="str">
            <v>Pillekammer B516 PM30-3</v>
          </cell>
          <cell r="C3394" t="str">
            <v>Pellet chamber B516 PM30-3</v>
          </cell>
          <cell r="D3394">
            <v>78100</v>
          </cell>
          <cell r="E3394">
            <v>10497.311827956988</v>
          </cell>
        </row>
        <row r="3395">
          <cell r="A3395">
            <v>46478</v>
          </cell>
          <cell r="B3395" t="str">
            <v>Sfærisk rulleleje 23230CC/C3</v>
          </cell>
          <cell r="C3395" t="str">
            <v>Spherical roller bearing 23230CC/C3</v>
          </cell>
          <cell r="D3395">
            <v>2915</v>
          </cell>
          <cell r="E3395">
            <v>391.80107526881716</v>
          </cell>
        </row>
        <row r="3396">
          <cell r="A3396">
            <v>46555</v>
          </cell>
          <cell r="B3396" t="str">
            <v>Spjældaksel  HPB 8001</v>
          </cell>
          <cell r="C3396" t="str">
            <v>Slide shaft</v>
          </cell>
          <cell r="D3396">
            <v>3969</v>
          </cell>
          <cell r="E3396">
            <v>533.46774193548379</v>
          </cell>
        </row>
        <row r="3397">
          <cell r="A3397">
            <v>46556</v>
          </cell>
          <cell r="B3397" t="str">
            <v>Arm for spjæld</v>
          </cell>
          <cell r="C3397" t="str">
            <v>Slide arm</v>
          </cell>
          <cell r="D3397">
            <v>1272</v>
          </cell>
          <cell r="E3397">
            <v>170.96774193548387</v>
          </cell>
        </row>
        <row r="3398">
          <cell r="A3398">
            <v>46626</v>
          </cell>
          <cell r="B3398" t="str">
            <v>Nøgle for sikkerhedsendestop XCSZ 02</v>
          </cell>
          <cell r="C3398" t="str">
            <v>Key for position stop XCSZ 02</v>
          </cell>
          <cell r="D3398">
            <v>53</v>
          </cell>
          <cell r="E3398">
            <v>7.1236559139784941</v>
          </cell>
        </row>
        <row r="3399">
          <cell r="A3399">
            <v>46690</v>
          </cell>
          <cell r="B3399" t="str">
            <v>Filter</v>
          </cell>
          <cell r="C3399" t="str">
            <v>Filter</v>
          </cell>
          <cell r="D3399">
            <v>80</v>
          </cell>
          <cell r="E3399">
            <v>10.75268817204301</v>
          </cell>
        </row>
        <row r="3400">
          <cell r="A3400">
            <v>46700</v>
          </cell>
          <cell r="B3400" t="str">
            <v>erstatet af 068065</v>
          </cell>
          <cell r="C3400" t="str">
            <v>Replaced by o68065</v>
          </cell>
          <cell r="D3400" t="str">
            <v>replaced</v>
          </cell>
          <cell r="E3400" t="e">
            <v>#VALUE!</v>
          </cell>
        </row>
        <row r="3401">
          <cell r="A3401">
            <v>46733</v>
          </cell>
          <cell r="B3401" t="str">
            <v>Spjældaksel  HPB 4001</v>
          </cell>
          <cell r="C3401" t="str">
            <v>Slide shaft</v>
          </cell>
          <cell r="D3401">
            <v>3180</v>
          </cell>
          <cell r="E3401">
            <v>427.41935483870964</v>
          </cell>
        </row>
        <row r="3402">
          <cell r="A3402">
            <v>46803</v>
          </cell>
          <cell r="B3402" t="str">
            <v>Luftcylinder Parker C05-50-16-25</v>
          </cell>
          <cell r="C3402" t="str">
            <v>Air cylinder Parker C05-50-16-25</v>
          </cell>
          <cell r="D3402">
            <v>812</v>
          </cell>
          <cell r="E3402">
            <v>109.13978494623656</v>
          </cell>
        </row>
        <row r="3403">
          <cell r="A3403">
            <v>46810</v>
          </cell>
          <cell r="B3403" t="str">
            <v>Lige forskruning</v>
          </cell>
          <cell r="C3403" t="str">
            <v>Straight screwed connection</v>
          </cell>
          <cell r="D3403">
            <v>117</v>
          </cell>
          <cell r="E3403">
            <v>15.725806451612902</v>
          </cell>
        </row>
        <row r="3404">
          <cell r="A3404">
            <v>46830</v>
          </cell>
          <cell r="B3404" t="str">
            <v>O-ring Ø260,0 x Ø5,00 Viton</v>
          </cell>
          <cell r="C3404" t="str">
            <v>O-ring Ø260,0 x Ø5,00 Viton</v>
          </cell>
          <cell r="D3404">
            <v>173</v>
          </cell>
          <cell r="E3404">
            <v>23.252688172043008</v>
          </cell>
        </row>
        <row r="3405">
          <cell r="A3405">
            <v>46862</v>
          </cell>
          <cell r="B3405" t="str">
            <v>Afstandsbøsning l 21,5 for returskinne</v>
          </cell>
          <cell r="C3405" t="str">
            <v>Distance ring I 21,5 F return rail</v>
          </cell>
          <cell r="D3405">
            <v>12.7</v>
          </cell>
          <cell r="E3405">
            <v>1.7069892473118278</v>
          </cell>
        </row>
        <row r="3406">
          <cell r="A3406">
            <v>46863</v>
          </cell>
          <cell r="B3406" t="str">
            <v>Afstandsbøsning l 19,5 for returskinne</v>
          </cell>
          <cell r="C3406" t="str">
            <v>Distance ring I 19,5 F return rail</v>
          </cell>
          <cell r="D3406">
            <v>12.7</v>
          </cell>
          <cell r="E3406">
            <v>1.7069892473118278</v>
          </cell>
        </row>
        <row r="3407">
          <cell r="A3407">
            <v>46897</v>
          </cell>
          <cell r="B3407" t="str">
            <v>Tætningsring Ø060 x Ø080 x 8 B2PT</v>
          </cell>
          <cell r="C3407" t="str">
            <v>Sealing ring Ø060 x Ø080 x 8 B2PT</v>
          </cell>
          <cell r="D3407">
            <v>728</v>
          </cell>
          <cell r="E3407">
            <v>97.849462365591393</v>
          </cell>
        </row>
        <row r="3408">
          <cell r="A3408">
            <v>46898</v>
          </cell>
          <cell r="B3408" t="str">
            <v>Aksel star hærdet Ø50 x 750</v>
          </cell>
          <cell r="C3408" t="str">
            <v>Shaft star hardened Ø50 x 750</v>
          </cell>
          <cell r="D3408">
            <v>2597</v>
          </cell>
          <cell r="E3408">
            <v>349.05913978494624</v>
          </cell>
        </row>
        <row r="3409">
          <cell r="A3409">
            <v>46899</v>
          </cell>
          <cell r="B3409" t="str">
            <v>Linearsæt slørfri Ø50</v>
          </cell>
          <cell r="C3409" t="str">
            <v>Attenuation set - wobble free Ø50</v>
          </cell>
          <cell r="D3409">
            <v>3405</v>
          </cell>
          <cell r="E3409">
            <v>457.66129032258061</v>
          </cell>
        </row>
        <row r="3410">
          <cell r="A3410">
            <v>46918</v>
          </cell>
          <cell r="B3410" t="str">
            <v>Lige forskruning</v>
          </cell>
          <cell r="C3410" t="str">
            <v>Straight screwed connection</v>
          </cell>
          <cell r="D3410">
            <v>223</v>
          </cell>
          <cell r="E3410">
            <v>29.973118279569892</v>
          </cell>
        </row>
        <row r="3411">
          <cell r="A3411">
            <v>46920</v>
          </cell>
          <cell r="B3411" t="str">
            <v>T union</v>
          </cell>
          <cell r="C3411" t="str">
            <v>T-union</v>
          </cell>
          <cell r="D3411">
            <v>636</v>
          </cell>
          <cell r="E3411">
            <v>85.483870967741936</v>
          </cell>
        </row>
        <row r="3412">
          <cell r="A3412">
            <v>46949</v>
          </cell>
          <cell r="B3412" t="str">
            <v>Nippelmuffe ¼” indvendig-1/4” udvendig</v>
          </cell>
          <cell r="C3412" t="str">
            <v>Nipple sleeve 1/4” inner-1/4” outer</v>
          </cell>
          <cell r="D3412">
            <v>21</v>
          </cell>
          <cell r="E3412">
            <v>2.82258064516129</v>
          </cell>
        </row>
        <row r="3413">
          <cell r="A3413">
            <v>47007</v>
          </cell>
          <cell r="B3413" t="str">
            <v>Pakning</v>
          </cell>
          <cell r="C3413" t="str">
            <v>Packing</v>
          </cell>
          <cell r="D3413">
            <v>8.5</v>
          </cell>
          <cell r="E3413">
            <v>1.1424731182795698</v>
          </cell>
        </row>
        <row r="3414">
          <cell r="A3414">
            <v>47008</v>
          </cell>
          <cell r="B3414" t="str">
            <v>Bajonetring ECS</v>
          </cell>
          <cell r="C3414" t="str">
            <v>Bayonet ring ECS</v>
          </cell>
          <cell r="D3414">
            <v>6890</v>
          </cell>
          <cell r="E3414">
            <v>926.07526881720423</v>
          </cell>
        </row>
        <row r="3415">
          <cell r="A3415">
            <v>47014</v>
          </cell>
          <cell r="B3415" t="str">
            <v>Knivaksel for 5,5KW motor ECS</v>
          </cell>
          <cell r="C3415" t="str">
            <v>Knife shaft for 5,5KW motor ECS</v>
          </cell>
          <cell r="D3415">
            <v>3869</v>
          </cell>
          <cell r="E3415">
            <v>520.02688172043008</v>
          </cell>
        </row>
        <row r="3416">
          <cell r="A3416">
            <v>47016</v>
          </cell>
          <cell r="B3416" t="str">
            <v>Skærm for sluseindløb, højre</v>
          </cell>
          <cell r="C3416" t="str">
            <v>Screen for sluise inlet, right</v>
          </cell>
          <cell r="D3416">
            <v>1786</v>
          </cell>
          <cell r="E3416">
            <v>240.05376344086019</v>
          </cell>
        </row>
        <row r="3417">
          <cell r="A3417">
            <v>47023</v>
          </cell>
          <cell r="B3417" t="str">
            <v>Hus for overtryksventil</v>
          </cell>
          <cell r="C3417" t="str">
            <v>Housing for pressure valve</v>
          </cell>
          <cell r="D3417">
            <v>1407</v>
          </cell>
          <cell r="E3417">
            <v>189.11290322580643</v>
          </cell>
        </row>
        <row r="3418">
          <cell r="A3418">
            <v>47024</v>
          </cell>
          <cell r="B3418" t="str">
            <v>Dysetip Bete  EF150</v>
          </cell>
          <cell r="C3418" t="str">
            <v>Nozzle tip  EF150</v>
          </cell>
          <cell r="D3418">
            <v>2947</v>
          </cell>
          <cell r="E3418">
            <v>396.10215053763437</v>
          </cell>
        </row>
        <row r="3419">
          <cell r="A3419">
            <v>47025</v>
          </cell>
          <cell r="B3419" t="str">
            <v>Dæksel for overtryksventil</v>
          </cell>
          <cell r="C3419" t="str">
            <v>Cover f. pressure control valve</v>
          </cell>
          <cell r="D3419">
            <v>1193</v>
          </cell>
          <cell r="E3419">
            <v>160.34946236559139</v>
          </cell>
        </row>
        <row r="3420">
          <cell r="A3420">
            <v>47028</v>
          </cell>
          <cell r="B3420" t="str">
            <v>Stempel for overtryksventil</v>
          </cell>
          <cell r="C3420" t="str">
            <v>Piston for pressure valve</v>
          </cell>
          <cell r="D3420">
            <v>509</v>
          </cell>
          <cell r="E3420">
            <v>68.413978494623649</v>
          </cell>
        </row>
        <row r="3421">
          <cell r="A3421">
            <v>47030</v>
          </cell>
          <cell r="B3421" t="str">
            <v>Tætningsring for knivhus ECS20</v>
          </cell>
          <cell r="C3421" t="str">
            <v>Sealing ring for knifehouse ECS20</v>
          </cell>
          <cell r="D3421">
            <v>5300</v>
          </cell>
          <cell r="E3421">
            <v>712.36559139784947</v>
          </cell>
        </row>
        <row r="3422">
          <cell r="A3422">
            <v>47032</v>
          </cell>
          <cell r="B3422" t="str">
            <v>Koblingsoverpart ECS</v>
          </cell>
          <cell r="C3422" t="str">
            <v>Coupling, upper part ECS</v>
          </cell>
          <cell r="D3422">
            <v>13250</v>
          </cell>
          <cell r="E3422">
            <v>1780.9139784946235</v>
          </cell>
        </row>
        <row r="3423">
          <cell r="A3423">
            <v>47050</v>
          </cell>
          <cell r="B3423" t="str">
            <v>Regulator Parker 1/8” 0,2 – 2 BAR</v>
          </cell>
          <cell r="C3423" t="str">
            <v>Regulator Parker Parker 1/8” 0,2 – 2 BAR</v>
          </cell>
          <cell r="D3423">
            <v>248</v>
          </cell>
          <cell r="E3423">
            <v>33.333333333333329</v>
          </cell>
        </row>
        <row r="3424">
          <cell r="A3424">
            <v>47059</v>
          </cell>
          <cell r="B3424" t="str">
            <v>Koblingsunderpart ECS</v>
          </cell>
          <cell r="C3424" t="str">
            <v>Coupling, lower part ECS</v>
          </cell>
          <cell r="D3424">
            <v>9365</v>
          </cell>
          <cell r="E3424">
            <v>1258.736559139785</v>
          </cell>
        </row>
        <row r="3425">
          <cell r="A3425">
            <v>47060</v>
          </cell>
          <cell r="B3425" t="str">
            <v>U skrue M16x25 DIN 7991 A2</v>
          </cell>
          <cell r="C3425" t="str">
            <v>Counter sunk screw M16x25DIN7991A2</v>
          </cell>
          <cell r="D3425">
            <v>20</v>
          </cell>
          <cell r="E3425">
            <v>2.6881720430107525</v>
          </cell>
        </row>
        <row r="3426">
          <cell r="A3426">
            <v>47072</v>
          </cell>
          <cell r="B3426" t="str">
            <v>Knivhus for tryk</v>
          </cell>
          <cell r="C3426" t="str">
            <v>Knifehouse for pressure</v>
          </cell>
          <cell r="D3426">
            <v>45686</v>
          </cell>
          <cell r="E3426">
            <v>6140.5913978494618</v>
          </cell>
        </row>
        <row r="3427">
          <cell r="A3427">
            <v>47097</v>
          </cell>
          <cell r="B3427" t="str">
            <v>Lukkebeslag for kobling ECS</v>
          </cell>
          <cell r="C3427" t="str">
            <v>Clog fitting for coupling ECS</v>
          </cell>
          <cell r="D3427">
            <v>1714</v>
          </cell>
          <cell r="E3427">
            <v>230.3763440860215</v>
          </cell>
        </row>
        <row r="3428">
          <cell r="A3428">
            <v>47099</v>
          </cell>
          <cell r="B3428" t="str">
            <v>Bøsning for sluseafbryder</v>
          </cell>
          <cell r="C3428" t="str">
            <v>Bushing f. sluise disconnector</v>
          </cell>
          <cell r="D3428">
            <v>1044</v>
          </cell>
          <cell r="E3428">
            <v>140.32258064516128</v>
          </cell>
        </row>
        <row r="3429">
          <cell r="A3429">
            <v>47100</v>
          </cell>
          <cell r="B3429" t="str">
            <v>Ring for kobling ECS</v>
          </cell>
          <cell r="C3429" t="str">
            <v>Ring for coupling ECS</v>
          </cell>
          <cell r="D3429">
            <v>292</v>
          </cell>
          <cell r="E3429">
            <v>39.247311827956985</v>
          </cell>
        </row>
        <row r="3430">
          <cell r="A3430">
            <v>47102</v>
          </cell>
          <cell r="B3430" t="str">
            <v>Styreflangetætning</v>
          </cell>
          <cell r="C3430" t="str">
            <v>Seal for guiding flange</v>
          </cell>
          <cell r="D3430">
            <v>1401</v>
          </cell>
          <cell r="E3430">
            <v>188.3064516129032</v>
          </cell>
        </row>
        <row r="3431">
          <cell r="A3431">
            <v>47104</v>
          </cell>
          <cell r="B3431" t="str">
            <v>Hus for knivakseltætning</v>
          </cell>
          <cell r="C3431" t="str">
            <v>Housing for knife shaft seal</v>
          </cell>
          <cell r="D3431">
            <v>2014</v>
          </cell>
          <cell r="E3431">
            <v>270.69892473118279</v>
          </cell>
        </row>
        <row r="3432">
          <cell r="A3432">
            <v>47105</v>
          </cell>
          <cell r="B3432" t="str">
            <v>Trekantplade for knivhus</v>
          </cell>
          <cell r="C3432" t="str">
            <v>Triangular plate for knife house</v>
          </cell>
          <cell r="D3432">
            <v>458</v>
          </cell>
          <cell r="E3432">
            <v>61.559139784946233</v>
          </cell>
        </row>
        <row r="3433">
          <cell r="A3433">
            <v>47106</v>
          </cell>
          <cell r="B3433" t="str">
            <v>Sluseophæng</v>
          </cell>
          <cell r="C3433" t="str">
            <v>Sluise suspension</v>
          </cell>
          <cell r="D3433">
            <v>5581</v>
          </cell>
          <cell r="E3433">
            <v>750.13440860215053</v>
          </cell>
        </row>
        <row r="3434">
          <cell r="A3434">
            <v>47107</v>
          </cell>
          <cell r="B3434" t="str">
            <v>Arm lang for knivhus ECS</v>
          </cell>
          <cell r="C3434" t="str">
            <v>Arm long for knife house ECS</v>
          </cell>
          <cell r="D3434">
            <v>2099</v>
          </cell>
          <cell r="E3434">
            <v>282.1236559139785</v>
          </cell>
        </row>
        <row r="3435">
          <cell r="A3435">
            <v>47108</v>
          </cell>
          <cell r="B3435" t="str">
            <v>Arm kort for knivhus ECS</v>
          </cell>
          <cell r="C3435" t="str">
            <v>Arm short for knifehouse ECS</v>
          </cell>
          <cell r="D3435">
            <v>1399</v>
          </cell>
          <cell r="E3435">
            <v>188.03763440860214</v>
          </cell>
        </row>
        <row r="3436">
          <cell r="A3436">
            <v>47115</v>
          </cell>
          <cell r="B3436" t="str">
            <v>Skakt Bypass, højre komplet</v>
          </cell>
          <cell r="C3436" t="str">
            <v>Shute bypass, right compl.</v>
          </cell>
          <cell r="D3436">
            <v>8713</v>
          </cell>
          <cell r="E3436">
            <v>1171.1021505376343</v>
          </cell>
        </row>
        <row r="3437">
          <cell r="A3437">
            <v>47124</v>
          </cell>
          <cell r="B3437" t="str">
            <v xml:space="preserve">Slusefod komplet </v>
          </cell>
          <cell r="C3437" t="str">
            <v>Sluise foot complete</v>
          </cell>
          <cell r="D3437">
            <v>2790</v>
          </cell>
          <cell r="E3437">
            <v>375</v>
          </cell>
        </row>
        <row r="3438">
          <cell r="A3438">
            <v>47132</v>
          </cell>
          <cell r="B3438" t="str">
            <v>Bøsning for lukkebeslag</v>
          </cell>
          <cell r="C3438" t="str">
            <v>Bushing f. closing bracket</v>
          </cell>
          <cell r="D3438">
            <v>445</v>
          </cell>
          <cell r="E3438">
            <v>59.811827956989241</v>
          </cell>
        </row>
        <row r="3439">
          <cell r="A3439">
            <v>47136</v>
          </cell>
          <cell r="B3439" t="str">
            <v>Beslag for switch</v>
          </cell>
          <cell r="C3439" t="str">
            <v>Fitting for switch</v>
          </cell>
          <cell r="D3439">
            <v>235</v>
          </cell>
          <cell r="E3439">
            <v>31.586021505376344</v>
          </cell>
        </row>
        <row r="3440">
          <cell r="A3440">
            <v>47137</v>
          </cell>
          <cell r="B3440" t="str">
            <v>Lige forskruning</v>
          </cell>
          <cell r="C3440" t="str">
            <v>Straight screwed connection</v>
          </cell>
          <cell r="D3440">
            <v>217</v>
          </cell>
          <cell r="E3440">
            <v>29.166666666666664</v>
          </cell>
        </row>
        <row r="3441">
          <cell r="A3441">
            <v>47138</v>
          </cell>
          <cell r="B3441" t="str">
            <v>Beslag 1 for slusefod</v>
          </cell>
          <cell r="C3441" t="str">
            <v>Fitting 1 for sluice</v>
          </cell>
          <cell r="D3441">
            <v>94</v>
          </cell>
          <cell r="E3441">
            <v>12.634408602150536</v>
          </cell>
        </row>
        <row r="3442">
          <cell r="A3442">
            <v>47139</v>
          </cell>
          <cell r="B3442" t="str">
            <v>T forskruning</v>
          </cell>
          <cell r="C3442" t="str">
            <v>T screwed connection</v>
          </cell>
          <cell r="D3442">
            <v>753</v>
          </cell>
          <cell r="E3442">
            <v>101.20967741935483</v>
          </cell>
        </row>
        <row r="3443">
          <cell r="A3443">
            <v>47140</v>
          </cell>
          <cell r="B3443" t="str">
            <v>Rør adapter</v>
          </cell>
          <cell r="C3443" t="str">
            <v>Pipe adapter</v>
          </cell>
          <cell r="D3443">
            <v>345</v>
          </cell>
          <cell r="E3443">
            <v>46.37096774193548</v>
          </cell>
        </row>
        <row r="3444">
          <cell r="A3444">
            <v>47141</v>
          </cell>
          <cell r="B3444" t="str">
            <v>Beslag 2 for slusefod</v>
          </cell>
          <cell r="C3444" t="str">
            <v>Fitting 2 for sluice</v>
          </cell>
          <cell r="D3444">
            <v>458</v>
          </cell>
          <cell r="E3444">
            <v>61.559139784946233</v>
          </cell>
        </row>
        <row r="3445">
          <cell r="A3445">
            <v>47142</v>
          </cell>
          <cell r="B3445" t="str">
            <v>Pakning</v>
          </cell>
          <cell r="C3445" t="str">
            <v>Packning</v>
          </cell>
          <cell r="D3445">
            <v>32</v>
          </cell>
          <cell r="E3445">
            <v>4.301075268817204</v>
          </cell>
        </row>
        <row r="3446">
          <cell r="A3446">
            <v>47148</v>
          </cell>
          <cell r="B3446" t="str">
            <v>Sideplade for knivhus ophæng</v>
          </cell>
          <cell r="C3446" t="str">
            <v>Sideplate for knifehouse suspension</v>
          </cell>
          <cell r="D3446">
            <v>1338</v>
          </cell>
          <cell r="E3446">
            <v>179.83870967741936</v>
          </cell>
        </row>
        <row r="3447">
          <cell r="A3447">
            <v>47153</v>
          </cell>
          <cell r="B3447" t="str">
            <v>Plade for kuglebøsning</v>
          </cell>
          <cell r="C3447" t="str">
            <v>Plate for ball bushing</v>
          </cell>
          <cell r="D3447">
            <v>1127</v>
          </cell>
          <cell r="E3447">
            <v>151.47849462365591</v>
          </cell>
        </row>
        <row r="3448">
          <cell r="A3448">
            <v>47154</v>
          </cell>
          <cell r="B3448" t="str">
            <v>Kontraventil</v>
          </cell>
          <cell r="C3448" t="str">
            <v>Non return valve</v>
          </cell>
          <cell r="D3448">
            <v>2438</v>
          </cell>
          <cell r="E3448">
            <v>327.68817204301075</v>
          </cell>
        </row>
        <row r="3449">
          <cell r="A3449">
            <v>47163</v>
          </cell>
          <cell r="B3449" t="str">
            <v>O-ring Ø005,0 x Ø1,50 Viton</v>
          </cell>
          <cell r="C3449" t="str">
            <v>O-ring Ø005,0 x Ø1,50 Viton</v>
          </cell>
          <cell r="D3449">
            <v>2.8</v>
          </cell>
          <cell r="E3449">
            <v>0.37634408602150532</v>
          </cell>
        </row>
        <row r="3450">
          <cell r="A3450">
            <v>47168</v>
          </cell>
          <cell r="B3450" t="str">
            <v xml:space="preserve">Knivhusophæng komplet </v>
          </cell>
          <cell r="C3450" t="str">
            <v>Mounting for knife house complete</v>
          </cell>
          <cell r="D3450">
            <v>2915</v>
          </cell>
          <cell r="E3450">
            <v>391.80107526881716</v>
          </cell>
        </row>
        <row r="3451">
          <cell r="A3451">
            <v>47189</v>
          </cell>
          <cell r="B3451" t="str">
            <v xml:space="preserve">Ventil, overtryksventil komplet </v>
          </cell>
          <cell r="C3451" t="str">
            <v>Pressure control valve compl.</v>
          </cell>
          <cell r="D3451">
            <v>3169</v>
          </cell>
          <cell r="E3451">
            <v>425.94086021505376</v>
          </cell>
        </row>
        <row r="3452">
          <cell r="A3452">
            <v>47194</v>
          </cell>
          <cell r="B3452" t="str">
            <v>Sikringsskive ø12 FZB DIN6798A</v>
          </cell>
          <cell r="C3452" t="str">
            <v>Washer ø12 FZB DIN6798A</v>
          </cell>
          <cell r="D3452">
            <v>6.4</v>
          </cell>
          <cell r="E3452">
            <v>0.86021505376344087</v>
          </cell>
        </row>
        <row r="3453">
          <cell r="A3453">
            <v>47201</v>
          </cell>
          <cell r="B3453" t="str">
            <v>Drøvle-kontraventil ¼”</v>
          </cell>
          <cell r="C3453" t="str">
            <v>Throttle/non return valve¼”</v>
          </cell>
          <cell r="D3453">
            <v>95</v>
          </cell>
          <cell r="E3453">
            <v>12.768817204301074</v>
          </cell>
        </row>
        <row r="3454">
          <cell r="A3454">
            <v>47203</v>
          </cell>
          <cell r="B3454" t="str">
            <v>Regulator Parker 1/8” 0,2 – 8 BAR</v>
          </cell>
          <cell r="C3454" t="str">
            <v>Regulator Parker Parker 1/8” 0,2 – 8 BAR</v>
          </cell>
          <cell r="D3454">
            <v>355</v>
          </cell>
          <cell r="E3454">
            <v>47.715053763440856</v>
          </cell>
        </row>
        <row r="3455">
          <cell r="A3455">
            <v>47228</v>
          </cell>
          <cell r="B3455" t="str">
            <v>Prøveudtag 250 X 350 ECS</v>
          </cell>
          <cell r="C3455" t="str">
            <v>Test tap 250 X 350 ECS</v>
          </cell>
          <cell r="D3455">
            <v>1972</v>
          </cell>
          <cell r="E3455">
            <v>265.05376344086022</v>
          </cell>
        </row>
        <row r="3456">
          <cell r="A3456">
            <v>47268</v>
          </cell>
          <cell r="B3456" t="str">
            <v>Rørstift Ø  50 x 2 x100 AISI 304</v>
          </cell>
          <cell r="C3456" t="str">
            <v>Pipe Ø50X2X100 AISI304</v>
          </cell>
          <cell r="D3456">
            <v>95</v>
          </cell>
          <cell r="E3456">
            <v>12.768817204301074</v>
          </cell>
        </row>
        <row r="3457">
          <cell r="A3457">
            <v>47304</v>
          </cell>
          <cell r="B3457" t="str">
            <v>Låsering U290 x 5A DIN471</v>
          </cell>
          <cell r="C3457" t="str">
            <v>Lock ring U290 x 5A DIN471</v>
          </cell>
          <cell r="D3457">
            <v>379</v>
          </cell>
          <cell r="E3457">
            <v>50.94086021505376</v>
          </cell>
        </row>
        <row r="3458">
          <cell r="A3458">
            <v>47339</v>
          </cell>
          <cell r="B3458" t="str">
            <v>O-ring Ø265,0 x Ø5,00 Viton</v>
          </cell>
          <cell r="C3458" t="str">
            <v>O-ring Ø265,0 x Ø5,00 Viton</v>
          </cell>
          <cell r="D3458">
            <v>72</v>
          </cell>
          <cell r="E3458">
            <v>9.67741935483871</v>
          </cell>
        </row>
        <row r="3459">
          <cell r="A3459">
            <v>47363</v>
          </cell>
          <cell r="B3459" t="str">
            <v>Montageplade for luftsystem</v>
          </cell>
          <cell r="C3459" t="str">
            <v>Assembly plate</v>
          </cell>
          <cell r="D3459">
            <v>1460</v>
          </cell>
          <cell r="E3459">
            <v>196.23655913978493</v>
          </cell>
        </row>
        <row r="3460">
          <cell r="A3460">
            <v>47370</v>
          </cell>
          <cell r="B3460" t="str">
            <v>Vinkel forskruning</v>
          </cell>
          <cell r="C3460" t="str">
            <v>Angular screwed connection</v>
          </cell>
          <cell r="D3460">
            <v>408</v>
          </cell>
          <cell r="E3460">
            <v>54.838709677419352</v>
          </cell>
        </row>
        <row r="3461">
          <cell r="A3461">
            <v>47466</v>
          </cell>
          <cell r="B3461" t="str">
            <v>Bøsning for slusestop</v>
          </cell>
          <cell r="C3461" t="str">
            <v>Bushing f. sluisestop</v>
          </cell>
          <cell r="D3461">
            <v>1237</v>
          </cell>
          <cell r="E3461">
            <v>166.26344086021504</v>
          </cell>
        </row>
        <row r="3462">
          <cell r="A3462">
            <v>47507</v>
          </cell>
          <cell r="B3462" t="str">
            <v>Tørnenøgle for rulleaksel</v>
          </cell>
          <cell r="C3462" t="str">
            <v>Roll ajusting wrench</v>
          </cell>
          <cell r="D3462">
            <v>345</v>
          </cell>
          <cell r="E3462">
            <v>46.37096774193548</v>
          </cell>
        </row>
        <row r="3463">
          <cell r="A3463">
            <v>47508</v>
          </cell>
          <cell r="B3463" t="str">
            <v>Cyl. kærvskrue M4 x 40 A2 DIN84A</v>
          </cell>
          <cell r="C3463" t="str">
            <v>Cyl. Screv M4 x 40 A2 DIN84A</v>
          </cell>
          <cell r="D3463">
            <v>0.6</v>
          </cell>
          <cell r="E3463">
            <v>8.0645161290322578E-2</v>
          </cell>
        </row>
        <row r="3464">
          <cell r="A3464">
            <v>47539</v>
          </cell>
          <cell r="B3464" t="str">
            <v>Indløbstragt M615XW med dumpingklap, komplet incl. pos. 2-14</v>
          </cell>
          <cell r="C3464" t="str">
            <v xml:space="preserve">Dump shute M615XW with dumping hatch, </v>
          </cell>
          <cell r="D3464">
            <v>24147</v>
          </cell>
          <cell r="E3464">
            <v>3245.5645161290322</v>
          </cell>
        </row>
        <row r="3465">
          <cell r="A3465">
            <v>47573</v>
          </cell>
          <cell r="B3465" t="str">
            <v>Svingarrangement for låge</v>
          </cell>
          <cell r="C3465" t="str">
            <v>Swivel arrangement for door</v>
          </cell>
          <cell r="D3465">
            <v>5830</v>
          </cell>
          <cell r="E3465">
            <v>783.60215053763432</v>
          </cell>
        </row>
        <row r="3466">
          <cell r="A3466">
            <v>47583</v>
          </cell>
          <cell r="B3466" t="str">
            <v>Indløbstrgat u.klap PM 615  XW</v>
          </cell>
          <cell r="C3466" t="str">
            <v xml:space="preserve">Dump shute M615XW without dumping hatch, </v>
          </cell>
          <cell r="D3466">
            <v>11130</v>
          </cell>
          <cell r="E3466">
            <v>1495.9677419354839</v>
          </cell>
        </row>
        <row r="3467">
          <cell r="A3467">
            <v>48066</v>
          </cell>
          <cell r="B3467" t="str">
            <v>Radar</v>
          </cell>
          <cell r="C3467" t="str">
            <v>Radar</v>
          </cell>
          <cell r="D3467">
            <v>9487</v>
          </cell>
          <cell r="E3467">
            <v>1275.1344086021504</v>
          </cell>
        </row>
        <row r="3468">
          <cell r="A3468">
            <v>48242</v>
          </cell>
          <cell r="B3468" t="str">
            <v>Pakning for knivhus Inspektionslåge ECS</v>
          </cell>
          <cell r="C3468" t="str">
            <v>Packing for knife house, inspection hatch ECS</v>
          </cell>
          <cell r="D3468">
            <v>94</v>
          </cell>
          <cell r="E3468">
            <v>12.634408602150536</v>
          </cell>
        </row>
        <row r="3469">
          <cell r="A3469">
            <v>48243</v>
          </cell>
          <cell r="B3469" t="str">
            <v>Pakning for knivhus Topdæksel ECS</v>
          </cell>
          <cell r="C3469" t="str">
            <v>Packing for knife house top cover ECS</v>
          </cell>
          <cell r="D3469">
            <v>122</v>
          </cell>
          <cell r="E3469">
            <v>16.397849462365592</v>
          </cell>
        </row>
        <row r="3470">
          <cell r="A3470">
            <v>48244</v>
          </cell>
          <cell r="B3470" t="str">
            <v>Pakning for koblingsunderpart ECS</v>
          </cell>
          <cell r="C3470" t="str">
            <v>Packing for coupling, lower part ECS</v>
          </cell>
          <cell r="D3470">
            <v>234</v>
          </cell>
          <cell r="E3470">
            <v>31.451612903225804</v>
          </cell>
        </row>
        <row r="3471">
          <cell r="A3471">
            <v>48245</v>
          </cell>
          <cell r="B3471" t="str">
            <v>Pakning for koblingsoverpart ECS</v>
          </cell>
          <cell r="C3471" t="str">
            <v>Packing for coupling, upper part ECS</v>
          </cell>
          <cell r="D3471">
            <v>138</v>
          </cell>
          <cell r="E3471">
            <v>18.548387096774192</v>
          </cell>
        </row>
        <row r="3472">
          <cell r="A3472">
            <v>48253</v>
          </cell>
          <cell r="B3472" t="str">
            <v>Spjældaksel  HPB 10001</v>
          </cell>
          <cell r="C3472" t="str">
            <v>Slide shaft</v>
          </cell>
          <cell r="D3472">
            <v>4092</v>
          </cell>
          <cell r="E3472">
            <v>550</v>
          </cell>
        </row>
        <row r="3473">
          <cell r="A3473">
            <v>48270</v>
          </cell>
          <cell r="B3473" t="str">
            <v>Poseholder  4200 S   Galvaniseret</v>
          </cell>
          <cell r="C3473" t="str">
            <v>Filter bag cage 4200 S    Galvanized</v>
          </cell>
          <cell r="D3473">
            <v>494</v>
          </cell>
          <cell r="E3473">
            <v>66.397849462365585</v>
          </cell>
        </row>
        <row r="3474">
          <cell r="A3474">
            <v>48317</v>
          </cell>
          <cell r="B3474" t="str">
            <v>Løfteværktøj for matrice</v>
          </cell>
          <cell r="C3474" t="str">
            <v>Lifting tool for die</v>
          </cell>
          <cell r="D3474">
            <v>2670</v>
          </cell>
          <cell r="E3474">
            <v>358.87096774193549</v>
          </cell>
        </row>
        <row r="3475">
          <cell r="A3475">
            <v>48368</v>
          </cell>
          <cell r="B3475" t="str">
            <v>Pakning DN400 TN10</v>
          </cell>
          <cell r="C3475" t="str">
            <v>Packing  DN400 TN10</v>
          </cell>
          <cell r="D3475">
            <v>1670</v>
          </cell>
          <cell r="E3475">
            <v>224.46236559139783</v>
          </cell>
        </row>
        <row r="3476">
          <cell r="A3476">
            <v>48372</v>
          </cell>
          <cell r="B3476" t="str">
            <v>Reduktions union</v>
          </cell>
          <cell r="C3476" t="str">
            <v>Reduction union</v>
          </cell>
          <cell r="D3476">
            <v>429</v>
          </cell>
          <cell r="E3476">
            <v>57.661290322580641</v>
          </cell>
        </row>
        <row r="3477">
          <cell r="A3477">
            <v>48504</v>
          </cell>
          <cell r="B3477" t="str">
            <v>6kt skrue M12x210 A 2 DIN 931</v>
          </cell>
          <cell r="C3477" t="str">
            <v>6kt. Screw for knife shaft M12X210 A2 DIN931</v>
          </cell>
          <cell r="D3477">
            <v>164</v>
          </cell>
          <cell r="E3477">
            <v>22.043010752688172</v>
          </cell>
        </row>
        <row r="3478">
          <cell r="A3478">
            <v>48515</v>
          </cell>
          <cell r="B3478" t="str">
            <v xml:space="preserve">Rep kit for CAT pumpe1010  </v>
          </cell>
          <cell r="C3478" t="str">
            <v xml:space="preserve">Rep kit CAT Pump 1010  </v>
          </cell>
          <cell r="D3478">
            <v>2486</v>
          </cell>
          <cell r="E3478">
            <v>334.13978494623655</v>
          </cell>
        </row>
        <row r="3479">
          <cell r="A3479">
            <v>48521</v>
          </cell>
          <cell r="B3479" t="str">
            <v>Ophæng for pillekammer</v>
          </cell>
          <cell r="C3479" t="str">
            <v>Jig for pellet chamber</v>
          </cell>
          <cell r="D3479">
            <v>795</v>
          </cell>
          <cell r="E3479">
            <v>106.85483870967741</v>
          </cell>
        </row>
        <row r="3480">
          <cell r="A3480">
            <v>48522</v>
          </cell>
          <cell r="B3480" t="str">
            <v>Skraber for rulleholder/hovedaksel M30-3 m. kort RSK.</v>
          </cell>
          <cell r="C3480" t="str">
            <v>Scraper for roller shaft/main shaft PM30-3 w short roller shell</v>
          </cell>
          <cell r="D3480">
            <v>719</v>
          </cell>
          <cell r="E3480">
            <v>96.63978494623656</v>
          </cell>
        </row>
        <row r="3481">
          <cell r="A3481">
            <v>48523</v>
          </cell>
          <cell r="B3481" t="str">
            <v>Skraber for forplade M30-3</v>
          </cell>
          <cell r="C3481" t="str">
            <v>Scraper for frontplate M30-3</v>
          </cell>
          <cell r="D3481">
            <v>509</v>
          </cell>
          <cell r="E3481">
            <v>68.413978494623649</v>
          </cell>
        </row>
        <row r="3482">
          <cell r="A3482">
            <v>48528</v>
          </cell>
          <cell r="B3482" t="str">
            <v>Svampegummi 25 x 25</v>
          </cell>
          <cell r="C3482" t="str">
            <v>Sponge rubber 25 x 25</v>
          </cell>
          <cell r="D3482">
            <v>138</v>
          </cell>
          <cell r="E3482">
            <v>18.548387096774192</v>
          </cell>
        </row>
        <row r="3483">
          <cell r="A3483">
            <v>48559</v>
          </cell>
          <cell r="B3483" t="str">
            <v>Gavlplade ved låge</v>
          </cell>
          <cell r="C3483" t="str">
            <v>Gable plate at door</v>
          </cell>
          <cell r="D3483">
            <v>9328</v>
          </cell>
          <cell r="E3483">
            <v>1253.763440860215</v>
          </cell>
        </row>
        <row r="3484">
          <cell r="A3484">
            <v>48568</v>
          </cell>
          <cell r="B3484" t="str">
            <v>Tætningsring A Ø240/Ø5  viton</v>
          </cell>
          <cell r="C3484" t="str">
            <v>Oil seal Ø240,00XØ5,00 VITON</v>
          </cell>
          <cell r="D3484">
            <v>161</v>
          </cell>
          <cell r="E3484">
            <v>21.639784946236556</v>
          </cell>
        </row>
        <row r="3485">
          <cell r="A3485">
            <v>48570</v>
          </cell>
          <cell r="B3485" t="str">
            <v>O-ring Ø174 x Ø3,00 Viton</v>
          </cell>
          <cell r="C3485" t="str">
            <v>O-ring Ø174 x 3,00 VITON</v>
          </cell>
          <cell r="D3485">
            <v>48</v>
          </cell>
          <cell r="E3485">
            <v>6.4516129032258061</v>
          </cell>
        </row>
        <row r="3486">
          <cell r="A3486">
            <v>48725</v>
          </cell>
          <cell r="B3486" t="str">
            <v>Cirkulationspumpe, 110V-60Hz</v>
          </cell>
          <cell r="C3486" t="str">
            <v>Circulation pump 110V-60Hz</v>
          </cell>
          <cell r="D3486">
            <v>1405</v>
          </cell>
          <cell r="E3486">
            <v>188.84408602150538</v>
          </cell>
        </row>
        <row r="3487">
          <cell r="A3487">
            <v>48988</v>
          </cell>
          <cell r="B3487" t="str">
            <v>Vakuumudligningsventil</v>
          </cell>
          <cell r="C3487" t="str">
            <v>Vacuum equalizing valve</v>
          </cell>
          <cell r="D3487">
            <v>15211</v>
          </cell>
          <cell r="E3487">
            <v>2044.4892473118277</v>
          </cell>
        </row>
        <row r="3488">
          <cell r="A3488">
            <v>49000</v>
          </cell>
          <cell r="B3488" t="str">
            <v>Gavlplade ved motor</v>
          </cell>
          <cell r="C3488" t="str">
            <v>Gable plate at motor</v>
          </cell>
          <cell r="D3488">
            <v>6890</v>
          </cell>
          <cell r="E3488">
            <v>926.07526881720423</v>
          </cell>
        </row>
        <row r="3489">
          <cell r="A3489">
            <v>49009</v>
          </cell>
          <cell r="B3489" t="str">
            <v>Kopper  forstærk. opti 0 - 28</v>
          </cell>
          <cell r="C3489" t="str">
            <v>Buckets reinforced opti 0 28</v>
          </cell>
          <cell r="D3489">
            <v>65</v>
          </cell>
          <cell r="E3489">
            <v>8.736559139784946</v>
          </cell>
        </row>
        <row r="3490">
          <cell r="A3490">
            <v>49021</v>
          </cell>
          <cell r="B3490" t="str">
            <v>Rør for overtryksventil</v>
          </cell>
          <cell r="C3490" t="str">
            <v>Pipe for pressure valve</v>
          </cell>
          <cell r="D3490">
            <v>685</v>
          </cell>
          <cell r="E3490">
            <v>92.069892473118273</v>
          </cell>
        </row>
        <row r="3491">
          <cell r="A3491">
            <v>49025</v>
          </cell>
          <cell r="B3491" t="str">
            <v>Kontraventil</v>
          </cell>
          <cell r="C3491" t="str">
            <v>Non-return valve</v>
          </cell>
          <cell r="D3491">
            <v>1060</v>
          </cell>
          <cell r="E3491">
            <v>142.47311827956989</v>
          </cell>
        </row>
        <row r="3492">
          <cell r="A3492">
            <v>49027</v>
          </cell>
          <cell r="B3492" t="str">
            <v>Lige forskruning</v>
          </cell>
          <cell r="C3492" t="str">
            <v>Straight screwed connection</v>
          </cell>
          <cell r="D3492">
            <v>133</v>
          </cell>
          <cell r="E3492">
            <v>17.876344086021504</v>
          </cell>
        </row>
        <row r="3493">
          <cell r="A3493">
            <v>49032</v>
          </cell>
          <cell r="B3493" t="str">
            <v>Cellehjul</v>
          </cell>
          <cell r="C3493" t="str">
            <v>Cellelar wheel</v>
          </cell>
          <cell r="D3493">
            <v>29362</v>
          </cell>
          <cell r="E3493">
            <v>3946.505376344086</v>
          </cell>
        </row>
        <row r="3494">
          <cell r="A3494">
            <v>49038</v>
          </cell>
          <cell r="B3494" t="str">
            <v>Vakuumtransmitter</v>
          </cell>
          <cell r="C3494" t="str">
            <v>Vacuum transmitter</v>
          </cell>
          <cell r="D3494">
            <v>2650</v>
          </cell>
          <cell r="E3494">
            <v>356.18279569892474</v>
          </cell>
        </row>
        <row r="3495">
          <cell r="A3495">
            <v>49102</v>
          </cell>
          <cell r="B3495" t="str">
            <v>Aksel for dyseplade M 40 x 1,5   venstre</v>
          </cell>
          <cell r="C3495" t="str">
            <v>Shaft for die plate M40x1,5 left hand</v>
          </cell>
          <cell r="D3495">
            <v>1431</v>
          </cell>
          <cell r="E3495">
            <v>192.33870967741933</v>
          </cell>
        </row>
        <row r="3496">
          <cell r="A3496">
            <v>49106</v>
          </cell>
          <cell r="B3496" t="str">
            <v>Aftræksbolt for forstærkerring</v>
          </cell>
          <cell r="C3496" t="str">
            <v>Srew for reinforcementring</v>
          </cell>
          <cell r="D3496">
            <v>325</v>
          </cell>
          <cell r="E3496">
            <v>43.682795698924728</v>
          </cell>
        </row>
        <row r="3497">
          <cell r="A3497">
            <v>49119</v>
          </cell>
          <cell r="B3497" t="str">
            <v>Manometer 0-10 BAR</v>
          </cell>
          <cell r="C3497" t="str">
            <v>Manometer 0-10 bar</v>
          </cell>
          <cell r="D3497">
            <v>1060</v>
          </cell>
          <cell r="E3497">
            <v>142.47311827956989</v>
          </cell>
        </row>
        <row r="3498">
          <cell r="A3498">
            <v>49135</v>
          </cell>
          <cell r="B3498" t="str">
            <v>Unbraconøgle NV 22</v>
          </cell>
          <cell r="C3498" t="str">
            <v>Alen key  22mm</v>
          </cell>
          <cell r="D3498">
            <v>295</v>
          </cell>
          <cell r="E3498">
            <v>39.6505376344086</v>
          </cell>
        </row>
        <row r="3499">
          <cell r="A3499">
            <v>49136</v>
          </cell>
          <cell r="B3499" t="str">
            <v>Skærm for sluse 28/360, højre</v>
          </cell>
          <cell r="C3499" t="str">
            <v>Screen for sluise 28/360 right</v>
          </cell>
          <cell r="D3499">
            <v>1299</v>
          </cell>
          <cell r="E3499">
            <v>174.59677419354838</v>
          </cell>
        </row>
        <row r="3500">
          <cell r="A3500">
            <v>49255</v>
          </cell>
          <cell r="B3500" t="str">
            <v>Lamel P2x8</v>
          </cell>
          <cell r="C3500" t="str">
            <v>Lamel P2x8</v>
          </cell>
          <cell r="D3500">
            <v>276</v>
          </cell>
          <cell r="E3500">
            <v>37.096774193548384</v>
          </cell>
        </row>
        <row r="3501">
          <cell r="A3501">
            <v>49256</v>
          </cell>
          <cell r="B3501" t="str">
            <v>Lamel P2x8 rustfri</v>
          </cell>
          <cell r="C3501" t="str">
            <v>Lamel P2x8 stainless</v>
          </cell>
          <cell r="D3501">
            <v>620</v>
          </cell>
          <cell r="E3501">
            <v>83.333333333333329</v>
          </cell>
        </row>
        <row r="3502">
          <cell r="A3502">
            <v>49259</v>
          </cell>
          <cell r="B3502" t="str">
            <v>Pakning</v>
          </cell>
          <cell r="C3502" t="str">
            <v>Gasket</v>
          </cell>
          <cell r="D3502">
            <v>21</v>
          </cell>
          <cell r="E3502">
            <v>2.82258064516129</v>
          </cell>
        </row>
        <row r="3503">
          <cell r="A3503">
            <v>49618</v>
          </cell>
          <cell r="B3503" t="str">
            <v xml:space="preserve">Dysearrangement FEX34 M30 </v>
          </cell>
          <cell r="C3503" t="str">
            <v>Nozzle head complete TEX 34 M30</v>
          </cell>
          <cell r="D3503">
            <v>97500</v>
          </cell>
          <cell r="E3503">
            <v>13104.838709677419</v>
          </cell>
        </row>
        <row r="3504">
          <cell r="A3504">
            <v>49741</v>
          </cell>
          <cell r="B3504" t="str">
            <v>Kobling</v>
          </cell>
          <cell r="C3504" t="str">
            <v>Coupling</v>
          </cell>
          <cell r="D3504">
            <v>3922</v>
          </cell>
          <cell r="E3504">
            <v>527.15053763440858</v>
          </cell>
        </row>
        <row r="3505">
          <cell r="A3505">
            <v>49854</v>
          </cell>
          <cell r="B3505" t="str">
            <v>Transportkæde FV140 med lasker</v>
          </cell>
          <cell r="C3505" t="str">
            <v>Transport chain FV140 with butt-straps</v>
          </cell>
          <cell r="D3505">
            <v>1044</v>
          </cell>
          <cell r="E3505">
            <v>140.32258064516128</v>
          </cell>
        </row>
        <row r="3506">
          <cell r="A3506">
            <v>49857</v>
          </cell>
          <cell r="B3506" t="str">
            <v>Lamel P2x8</v>
          </cell>
          <cell r="C3506" t="str">
            <v>Lamel P2x8</v>
          </cell>
          <cell r="D3506">
            <v>546</v>
          </cell>
          <cell r="E3506">
            <v>73.387096774193552</v>
          </cell>
        </row>
        <row r="3507">
          <cell r="A3507">
            <v>49859</v>
          </cell>
          <cell r="B3507" t="str">
            <v>Lamel P2x8 rustfri</v>
          </cell>
          <cell r="C3507" t="str">
            <v>Lamel P2x8 stainless</v>
          </cell>
          <cell r="D3507">
            <v>901</v>
          </cell>
          <cell r="E3507">
            <v>121.1021505376344</v>
          </cell>
        </row>
        <row r="3508">
          <cell r="A3508">
            <v>50029</v>
          </cell>
          <cell r="B3508" t="str">
            <v>Bøsning for returskinne</v>
          </cell>
          <cell r="C3508" t="str">
            <v>Bushing for return rail</v>
          </cell>
          <cell r="D3508">
            <v>37</v>
          </cell>
          <cell r="E3508">
            <v>4.9731182795698921</v>
          </cell>
        </row>
        <row r="3509">
          <cell r="A3509">
            <v>50090</v>
          </cell>
          <cell r="B3509" t="str">
            <v>Pakning for filterhus</v>
          </cell>
          <cell r="C3509" t="str">
            <v>Packing for filter housing</v>
          </cell>
          <cell r="D3509">
            <v>933</v>
          </cell>
          <cell r="E3509">
            <v>125.4032258064516</v>
          </cell>
        </row>
        <row r="3510">
          <cell r="A3510">
            <v>50102</v>
          </cell>
          <cell r="B3510" t="str">
            <v>Lejehus dok FEX34, komplet incl. Hovedaksel</v>
          </cell>
          <cell r="C3510" t="str">
            <v xml:space="preserve">Bearing Housing FEX 34 complete incl. Main shaft </v>
          </cell>
          <cell r="D3510">
            <v>95506</v>
          </cell>
          <cell r="E3510">
            <v>12836.827956989247</v>
          </cell>
        </row>
        <row r="3511">
          <cell r="A3511">
            <v>50327</v>
          </cell>
          <cell r="B3511" t="str">
            <v>Pillekammer vensterhængslet, 2-vægs PM1219</v>
          </cell>
          <cell r="C3511" t="str">
            <v>Pellet chamber left hinged 2-wall PM1219</v>
          </cell>
          <cell r="D3511">
            <v>111300</v>
          </cell>
          <cell r="E3511">
            <v>14959.677419354837</v>
          </cell>
        </row>
        <row r="3512">
          <cell r="A3512">
            <v>50338</v>
          </cell>
          <cell r="B3512" t="str">
            <v>Fødecylinder med tårer PM1219</v>
          </cell>
          <cell r="C3512" t="str">
            <v>Feed cone with tears PM1219</v>
          </cell>
          <cell r="D3512">
            <v>21439</v>
          </cell>
          <cell r="E3512">
            <v>2881.5860215053763</v>
          </cell>
        </row>
        <row r="3513">
          <cell r="A3513">
            <v>50354</v>
          </cell>
          <cell r="B3513" t="str">
            <v>K500 M80 kæde med påsvejst laske</v>
          </cell>
          <cell r="C3513" t="str">
            <v>K500 M80 chain with welded on plate link</v>
          </cell>
          <cell r="D3513">
            <v>530</v>
          </cell>
          <cell r="E3513">
            <v>71.236559139784944</v>
          </cell>
        </row>
        <row r="3514">
          <cell r="A3514">
            <v>50382</v>
          </cell>
          <cell r="B3514" t="str">
            <v>Slidring hovedaksel/matrice PM1219</v>
          </cell>
          <cell r="C3514" t="str">
            <v>Wearring for main shaft/Die PM1219</v>
          </cell>
          <cell r="D3514">
            <v>6318</v>
          </cell>
          <cell r="E3514">
            <v>849.19354838709671</v>
          </cell>
        </row>
        <row r="3515">
          <cell r="A3515">
            <v>50383</v>
          </cell>
          <cell r="B3515" t="str">
            <v>Afstrygerkniv, boltopspændt matr. PM1219</v>
          </cell>
          <cell r="C3515" t="str">
            <v>Scraper knife bolt PM1219</v>
          </cell>
          <cell r="D3515">
            <v>2650</v>
          </cell>
          <cell r="E3515">
            <v>356.18279569892474</v>
          </cell>
        </row>
        <row r="3516">
          <cell r="A3516">
            <v>50454</v>
          </cell>
          <cell r="B3516" t="str">
            <v>Returskinne 2M</v>
          </cell>
          <cell r="C3516" t="str">
            <v>Return rail 2M</v>
          </cell>
          <cell r="D3516">
            <v>2200</v>
          </cell>
          <cell r="E3516">
            <v>295.69892473118279</v>
          </cell>
        </row>
        <row r="3517">
          <cell r="A3517">
            <v>50514</v>
          </cell>
          <cell r="B3517" t="str">
            <v>Cyl. Skrue M12 x 25 FZB  DIN 912</v>
          </cell>
          <cell r="C3517" t="str">
            <v>Cyl. screw M 12X025 FZB  DIN912</v>
          </cell>
          <cell r="D3517">
            <v>2.2999999999999998</v>
          </cell>
          <cell r="E3517">
            <v>0.30913978494623651</v>
          </cell>
        </row>
        <row r="3518">
          <cell r="A3518">
            <v>50525</v>
          </cell>
          <cell r="B3518" t="str">
            <v>Kugleventil</v>
          </cell>
          <cell r="C3518" t="str">
            <v>Ball valve</v>
          </cell>
          <cell r="D3518">
            <v>504</v>
          </cell>
          <cell r="E3518">
            <v>67.741935483870961</v>
          </cell>
        </row>
        <row r="3519">
          <cell r="A3519">
            <v>50546</v>
          </cell>
          <cell r="B3519" t="str">
            <v xml:space="preserve">Momentarm </v>
          </cell>
          <cell r="C3519" t="str">
            <v>Moment arm</v>
          </cell>
          <cell r="D3519">
            <v>975</v>
          </cell>
          <cell r="E3519">
            <v>131.04838709677418</v>
          </cell>
        </row>
        <row r="3520">
          <cell r="A3520">
            <v>50585</v>
          </cell>
          <cell r="B3520" t="str">
            <v>Pakning for sidedæksel PM919</v>
          </cell>
          <cell r="C3520" t="str">
            <v>Packing for sidecover PM919</v>
          </cell>
          <cell r="D3520">
            <v>598</v>
          </cell>
          <cell r="E3520">
            <v>80.376344086021504</v>
          </cell>
        </row>
        <row r="3521">
          <cell r="A3521">
            <v>50586</v>
          </cell>
          <cell r="B3521" t="str">
            <v>Dækplade for dørhængsel bred</v>
          </cell>
          <cell r="C3521" t="str">
            <v>Cover plate for door hinge wide</v>
          </cell>
          <cell r="D3521">
            <v>32</v>
          </cell>
          <cell r="E3521">
            <v>4.301075268817204</v>
          </cell>
        </row>
        <row r="3522">
          <cell r="A3522">
            <v>50587</v>
          </cell>
          <cell r="B3522" t="str">
            <v>Dækplade for dørhængsel smal</v>
          </cell>
          <cell r="C3522" t="str">
            <v>Cover plate for door hinge narrow</v>
          </cell>
          <cell r="D3522">
            <v>29</v>
          </cell>
          <cell r="E3522">
            <v>3.897849462365591</v>
          </cell>
        </row>
        <row r="3523">
          <cell r="A3523">
            <v>50588</v>
          </cell>
          <cell r="B3523" t="str">
            <v>Rør adapter</v>
          </cell>
          <cell r="C3523" t="str">
            <v>Pipe adapter</v>
          </cell>
          <cell r="D3523">
            <v>125</v>
          </cell>
          <cell r="E3523">
            <v>16.801075268817204</v>
          </cell>
        </row>
        <row r="3524">
          <cell r="A3524">
            <v>50603</v>
          </cell>
          <cell r="B3524" t="str">
            <v>Kugleventil</v>
          </cell>
          <cell r="C3524" t="str">
            <v>Ball valve</v>
          </cell>
          <cell r="D3524">
            <v>996</v>
          </cell>
          <cell r="E3524">
            <v>133.87096774193549</v>
          </cell>
        </row>
        <row r="3525">
          <cell r="A3525">
            <v>50607</v>
          </cell>
          <cell r="B3525" t="str">
            <v>Konisk rulleleje Timken</v>
          </cell>
          <cell r="C3525" t="str">
            <v>Roller bearing, tapered Timken</v>
          </cell>
          <cell r="D3525">
            <v>33496</v>
          </cell>
          <cell r="E3525">
            <v>4502.1505376344085</v>
          </cell>
        </row>
        <row r="3526">
          <cell r="A3526">
            <v>50609</v>
          </cell>
          <cell r="B3526" t="str">
            <v>6-kt. Skrue M24 x 90 12.9 DIN 912</v>
          </cell>
          <cell r="C3526" t="str">
            <v>Hex screw M24 x 90 12.9 DIN 912</v>
          </cell>
          <cell r="D3526">
            <v>35</v>
          </cell>
          <cell r="E3526">
            <v>4.704301075268817</v>
          </cell>
        </row>
        <row r="3527">
          <cell r="A3527">
            <v>50618</v>
          </cell>
          <cell r="B3527" t="str">
            <v>Bolt for glideskinne</v>
          </cell>
          <cell r="C3527" t="str">
            <v>Bolt for sliding rail</v>
          </cell>
          <cell r="D3527">
            <v>90</v>
          </cell>
          <cell r="E3527">
            <v>12.096774193548386</v>
          </cell>
        </row>
        <row r="3528">
          <cell r="A3528">
            <v>50632</v>
          </cell>
          <cell r="B3528" t="str">
            <v>Cyl. Skrue M6 x 10 ISO 7380</v>
          </cell>
          <cell r="C3528" t="str">
            <v>Cyl. Screw M6 x 10 ISO 7380</v>
          </cell>
          <cell r="D3528">
            <v>53</v>
          </cell>
          <cell r="E3528">
            <v>7.1236559139784941</v>
          </cell>
        </row>
        <row r="3529">
          <cell r="A3529">
            <v>50677</v>
          </cell>
          <cell r="B3529" t="str">
            <v>Låsering DSH-85</v>
          </cell>
          <cell r="C3529" t="str">
            <v>Lock ring DSH-85</v>
          </cell>
          <cell r="D3529">
            <v>31</v>
          </cell>
          <cell r="E3529">
            <v>4.1666666666666661</v>
          </cell>
        </row>
        <row r="3530">
          <cell r="A3530">
            <v>50690</v>
          </cell>
          <cell r="B3530" t="str">
            <v>O-ring Ø405,26 x 3,53 NBR</v>
          </cell>
          <cell r="C3530" t="str">
            <v>O-ring Ø405,26 x 3,53 NBR</v>
          </cell>
          <cell r="D3530">
            <v>29</v>
          </cell>
          <cell r="E3530">
            <v>3.897849462365591</v>
          </cell>
        </row>
        <row r="3531">
          <cell r="A3531">
            <v>50691</v>
          </cell>
          <cell r="B3531" t="str">
            <v>O-ring Ø253,59 x 3,53 NBR</v>
          </cell>
          <cell r="C3531" t="str">
            <v>O-ring Ø253,59 x 3,53 NBR</v>
          </cell>
          <cell r="D3531">
            <v>13.8</v>
          </cell>
          <cell r="E3531">
            <v>1.8548387096774193</v>
          </cell>
        </row>
        <row r="3532">
          <cell r="A3532">
            <v>50703</v>
          </cell>
          <cell r="B3532" t="str">
            <v>O-ring Ø405,26 x 5,33 NBR</v>
          </cell>
          <cell r="C3532" t="str">
            <v>O-ring Ø405,26 x 5,33 NBR</v>
          </cell>
          <cell r="D3532">
            <v>27</v>
          </cell>
          <cell r="E3532">
            <v>3.629032258064516</v>
          </cell>
        </row>
        <row r="3533">
          <cell r="A3533">
            <v>50706</v>
          </cell>
          <cell r="B3533" t="str">
            <v>O-ring Ø608,08 x 5,33 NBR</v>
          </cell>
          <cell r="C3533" t="str">
            <v>O-ring Ø608,08 x 5,33 NBR</v>
          </cell>
          <cell r="D3533">
            <v>53</v>
          </cell>
          <cell r="E3533">
            <v>7.1236559139784941</v>
          </cell>
        </row>
        <row r="3534">
          <cell r="A3534">
            <v>50707</v>
          </cell>
          <cell r="B3534" t="str">
            <v>Cyl. Skrue M16 x 50 12.9 DIN 912</v>
          </cell>
          <cell r="C3534" t="str">
            <v>Cyl. Screw M16 x 50 12.9 DIN 912</v>
          </cell>
          <cell r="D3534">
            <v>7.4</v>
          </cell>
          <cell r="E3534">
            <v>0.9946236559139785</v>
          </cell>
        </row>
        <row r="3535">
          <cell r="A3535">
            <v>50716</v>
          </cell>
          <cell r="B3535" t="str">
            <v>Sikkerhedsafbryder</v>
          </cell>
          <cell r="C3535" t="str">
            <v>Safety switch</v>
          </cell>
          <cell r="D3535">
            <v>3250</v>
          </cell>
          <cell r="E3535">
            <v>436.8279569892473</v>
          </cell>
        </row>
        <row r="3536">
          <cell r="A3536">
            <v>50724</v>
          </cell>
          <cell r="B3536" t="str">
            <v>Skærm for sikringskobling PM919</v>
          </cell>
          <cell r="C3536" t="str">
            <v>Screen for safety coupling PM919</v>
          </cell>
          <cell r="D3536">
            <v>3887</v>
          </cell>
          <cell r="E3536">
            <v>522.44623655913972</v>
          </cell>
        </row>
        <row r="3537">
          <cell r="A3537">
            <v>50795</v>
          </cell>
          <cell r="B3537" t="str">
            <v>Bøsning for luftcylinder</v>
          </cell>
          <cell r="C3537" t="str">
            <v>Bushing f. air cylinder</v>
          </cell>
          <cell r="D3537">
            <v>159</v>
          </cell>
          <cell r="E3537">
            <v>21.370967741935484</v>
          </cell>
        </row>
        <row r="3538">
          <cell r="A3538">
            <v>50824</v>
          </cell>
          <cell r="B3538" t="str">
            <v>Låsebøsning for lukkebeslag</v>
          </cell>
          <cell r="C3538" t="str">
            <v>Lock bushing for clog fitting</v>
          </cell>
          <cell r="D3538">
            <v>902</v>
          </cell>
          <cell r="E3538">
            <v>121.23655913978494</v>
          </cell>
        </row>
        <row r="3539">
          <cell r="A3539">
            <v>50825</v>
          </cell>
          <cell r="B3539" t="str">
            <v>Knivblad T4 B325 PM919TW</v>
          </cell>
          <cell r="C3539" t="str">
            <v>Knife blade T4 B325 PM919TW</v>
          </cell>
          <cell r="D3539">
            <v>356</v>
          </cell>
          <cell r="E3539">
            <v>47.849462365591393</v>
          </cell>
        </row>
        <row r="3540">
          <cell r="A3540">
            <v>50835</v>
          </cell>
          <cell r="B3540" t="str">
            <v>Luftcylinder Parker P1C-S125CS-0050</v>
          </cell>
          <cell r="C3540" t="str">
            <v>Air cylinder Parker P1C-S125CS-0050</v>
          </cell>
          <cell r="D3540">
            <v>3504</v>
          </cell>
          <cell r="E3540">
            <v>470.96774193548384</v>
          </cell>
        </row>
        <row r="3541">
          <cell r="A3541">
            <v>50845</v>
          </cell>
          <cell r="B3541" t="str">
            <v>Inderskærm nederst</v>
          </cell>
          <cell r="C3541" t="str">
            <v>Inner screen lower</v>
          </cell>
          <cell r="D3541">
            <v>1261</v>
          </cell>
          <cell r="E3541">
            <v>169.48924731182794</v>
          </cell>
        </row>
        <row r="3542">
          <cell r="A3542">
            <v>50846</v>
          </cell>
          <cell r="B3542" t="str">
            <v>Inderskærm nederst</v>
          </cell>
          <cell r="C3542" t="str">
            <v>Inner screen lower</v>
          </cell>
          <cell r="D3542">
            <v>1261</v>
          </cell>
          <cell r="E3542">
            <v>169.48924731182794</v>
          </cell>
        </row>
        <row r="3543">
          <cell r="A3543">
            <v>50919</v>
          </cell>
          <cell r="B3543" t="str">
            <v>Skraber:   Højre  HPB 10000</v>
          </cell>
          <cell r="C3543" t="str">
            <v xml:space="preserve">Scraper:   right </v>
          </cell>
          <cell r="D3543">
            <v>1961</v>
          </cell>
          <cell r="E3543">
            <v>263.57526881720429</v>
          </cell>
        </row>
        <row r="3544">
          <cell r="A3544">
            <v>50931</v>
          </cell>
          <cell r="B3544" t="str">
            <v>Kniv, komplet, incl. pos. 31-38 PM919TW</v>
          </cell>
          <cell r="C3544" t="str">
            <v>Knife complete, incl. pos. 31-38 PM919TW</v>
          </cell>
          <cell r="D3544">
            <v>1342</v>
          </cell>
          <cell r="E3544">
            <v>180.3763440860215</v>
          </cell>
        </row>
        <row r="3545">
          <cell r="A3545">
            <v>50948</v>
          </cell>
          <cell r="B3545" t="str">
            <v>Koblingskærm</v>
          </cell>
          <cell r="C3545" t="str">
            <v>Coupling guard</v>
          </cell>
          <cell r="D3545">
            <v>3710</v>
          </cell>
          <cell r="E3545">
            <v>498.6559139784946</v>
          </cell>
        </row>
        <row r="3546">
          <cell r="A3546">
            <v>51049</v>
          </cell>
          <cell r="B3546" t="str">
            <v>Tætningsring for knivhus ECS17</v>
          </cell>
          <cell r="C3546" t="str">
            <v>Sealing ring for knifehouse ECS17</v>
          </cell>
          <cell r="D3546">
            <v>3370</v>
          </cell>
          <cell r="E3546">
            <v>452.95698924731181</v>
          </cell>
        </row>
        <row r="3547">
          <cell r="A3547">
            <v>51051</v>
          </cell>
          <cell r="B3547" t="str">
            <v>O-ring Ø220,0 x 5,00 VITON (for ECS17)</v>
          </cell>
          <cell r="C3547" t="str">
            <v>O-ring Ø220,0 x 5,00 VITON (for ECS17)</v>
          </cell>
          <cell r="D3547">
            <v>88</v>
          </cell>
          <cell r="E3547">
            <v>11.827956989247312</v>
          </cell>
        </row>
        <row r="3548">
          <cell r="A3548">
            <v>51089</v>
          </cell>
          <cell r="B3548" t="str">
            <v>Bøsning for knivhus</v>
          </cell>
          <cell r="C3548" t="str">
            <v>Bushing f. knifehouse</v>
          </cell>
          <cell r="D3548">
            <v>408</v>
          </cell>
          <cell r="E3548">
            <v>54.838709677419352</v>
          </cell>
        </row>
        <row r="3549">
          <cell r="A3549">
            <v>51095</v>
          </cell>
          <cell r="B3549" t="str">
            <v>Cyl. Skrue M4 x 12 A2 DIN912</v>
          </cell>
          <cell r="C3549" t="str">
            <v>Cyl. Screw M4 x 12 A2 DIN912</v>
          </cell>
          <cell r="D3549">
            <v>1.1000000000000001</v>
          </cell>
          <cell r="E3549">
            <v>0.14784946236559141</v>
          </cell>
        </row>
        <row r="3550">
          <cell r="A3550">
            <v>51112</v>
          </cell>
          <cell r="B3550" t="str">
            <v>Borebøsning for sikringsstift A31,75 x 44,45</v>
          </cell>
          <cell r="C3550" t="str">
            <v>Bushing A31,75 x 44,45 for safety pin</v>
          </cell>
          <cell r="D3550">
            <v>727</v>
          </cell>
          <cell r="E3550">
            <v>97.715053763440849</v>
          </cell>
        </row>
        <row r="3551">
          <cell r="A3551">
            <v>51144</v>
          </cell>
          <cell r="B3551" t="str">
            <v>Sikkerhedsswitch Telemecanique Cenutrion</v>
          </cell>
          <cell r="C3551" t="str">
            <v>Safety switch Telemecanique Cenutrion</v>
          </cell>
          <cell r="D3551">
            <v>820</v>
          </cell>
          <cell r="E3551">
            <v>110.21505376344085</v>
          </cell>
        </row>
        <row r="3552">
          <cell r="A3552">
            <v>51150</v>
          </cell>
          <cell r="B3552" t="str">
            <v>Sikringsstift Ø31,7 PM919</v>
          </cell>
          <cell r="C3552" t="str">
            <v>Safety pin Ø31,7 PM919</v>
          </cell>
          <cell r="D3552">
            <v>233</v>
          </cell>
          <cell r="E3552">
            <v>31.317204301075268</v>
          </cell>
        </row>
        <row r="3553">
          <cell r="A3553">
            <v>51159</v>
          </cell>
          <cell r="B3553" t="str">
            <v>Slange PFA Ø10 x 1,5, L = 120</v>
          </cell>
          <cell r="C3553" t="str">
            <v>Pipe  PFA 010 x 1,5 L 0 120</v>
          </cell>
          <cell r="D3553">
            <v>196</v>
          </cell>
          <cell r="E3553">
            <v>26.344086021505376</v>
          </cell>
        </row>
        <row r="3554">
          <cell r="A3554">
            <v>51186</v>
          </cell>
          <cell r="B3554" t="str">
            <v>Låsetap for knivhus</v>
          </cell>
          <cell r="C3554" t="str">
            <v xml:space="preserve">Lock pintle for knifehouse </v>
          </cell>
          <cell r="D3554">
            <v>605</v>
          </cell>
          <cell r="E3554">
            <v>81.317204301075265</v>
          </cell>
        </row>
        <row r="3555">
          <cell r="A3555">
            <v>51236</v>
          </cell>
          <cell r="B3555" t="str">
            <v>Konsol</v>
          </cell>
          <cell r="C3555" t="str">
            <v>Bracket</v>
          </cell>
          <cell r="D3555">
            <v>196</v>
          </cell>
          <cell r="E3555">
            <v>26.344086021505376</v>
          </cell>
        </row>
        <row r="3556">
          <cell r="A3556">
            <v>51237</v>
          </cell>
          <cell r="B3556" t="str">
            <v>Gavlplade sæt</v>
          </cell>
          <cell r="C3556" t="str">
            <v>Gable plate set</v>
          </cell>
          <cell r="D3556">
            <v>2920</v>
          </cell>
          <cell r="E3556">
            <v>392.47311827956986</v>
          </cell>
        </row>
        <row r="3557">
          <cell r="A3557">
            <v>51239</v>
          </cell>
          <cell r="B3557" t="str">
            <v>Lejekonsol</v>
          </cell>
          <cell r="C3557" t="str">
            <v>Bearing bracket</v>
          </cell>
          <cell r="D3557">
            <v>2968</v>
          </cell>
          <cell r="E3557">
            <v>398.92473118279565</v>
          </cell>
        </row>
        <row r="3558">
          <cell r="A3558">
            <v>51240</v>
          </cell>
          <cell r="B3558" t="str">
            <v>Returskinne</v>
          </cell>
          <cell r="C3558" t="str">
            <v xml:space="preserve"> </v>
          </cell>
          <cell r="D3558">
            <v>2650</v>
          </cell>
          <cell r="E3558">
            <v>356.18279569892474</v>
          </cell>
        </row>
        <row r="3559">
          <cell r="A3559">
            <v>51274</v>
          </cell>
          <cell r="B3559" t="str">
            <v>C-profil skinne 2M</v>
          </cell>
          <cell r="C3559" t="str">
            <v>C-profile rail 2M</v>
          </cell>
          <cell r="D3559">
            <v>832</v>
          </cell>
          <cell r="E3559">
            <v>111.82795698924731</v>
          </cell>
        </row>
        <row r="3560">
          <cell r="A3560">
            <v>51280</v>
          </cell>
          <cell r="B3560" t="str">
            <v>Momentarm for gear</v>
          </cell>
          <cell r="C3560" t="str">
            <v>Torque arm for gear</v>
          </cell>
          <cell r="D3560">
            <v>1208</v>
          </cell>
          <cell r="E3560">
            <v>162.36559139784944</v>
          </cell>
        </row>
        <row r="3561">
          <cell r="A3561">
            <v>51334</v>
          </cell>
          <cell r="B3561" t="str">
            <v>Nippelrør  ½” x 60</v>
          </cell>
          <cell r="C3561" t="str">
            <v>Nipple pipe  ½” x 60</v>
          </cell>
          <cell r="D3561">
            <v>11.7</v>
          </cell>
          <cell r="E3561">
            <v>1.57258064516129</v>
          </cell>
        </row>
        <row r="3562">
          <cell r="A3562">
            <v>51342</v>
          </cell>
          <cell r="B3562" t="str">
            <v>Rørbøjle 2”</v>
          </cell>
          <cell r="C3562" t="str">
            <v>Pipe clamp 2”</v>
          </cell>
          <cell r="D3562">
            <v>40</v>
          </cell>
          <cell r="E3562">
            <v>5.376344086021505</v>
          </cell>
        </row>
        <row r="3563">
          <cell r="A3563">
            <v>51382</v>
          </cell>
          <cell r="B3563" t="str">
            <v>Lejehus SNL 522-619</v>
          </cell>
          <cell r="C3563" t="str">
            <v>Bearing housing SNL 522-619</v>
          </cell>
          <cell r="D3563">
            <v>1219</v>
          </cell>
          <cell r="E3563">
            <v>163.84408602150538</v>
          </cell>
        </row>
        <row r="3564">
          <cell r="A3564">
            <v>51383</v>
          </cell>
          <cell r="B3564" t="str">
            <v>Dæksel ASNH-522-619</v>
          </cell>
          <cell r="C3564" t="str">
            <v>Cover ASNH-522-619</v>
          </cell>
          <cell r="D3564">
            <v>42</v>
          </cell>
          <cell r="E3564">
            <v>5.6451612903225801</v>
          </cell>
        </row>
        <row r="3565">
          <cell r="A3565">
            <v>51386</v>
          </cell>
          <cell r="B3565" t="str">
            <v>Tætning TSC 522C</v>
          </cell>
          <cell r="C3565" t="str">
            <v>Sealing TSC 522C</v>
          </cell>
          <cell r="D3565">
            <v>143</v>
          </cell>
          <cell r="E3565">
            <v>19.22043010752688</v>
          </cell>
        </row>
        <row r="3566">
          <cell r="A3566">
            <v>51388</v>
          </cell>
          <cell r="B3566" t="str">
            <v>Kædehjul FV140 z = 8</v>
          </cell>
          <cell r="C3566" t="str">
            <v>Chain wheel FV140 z = 8</v>
          </cell>
          <cell r="D3566">
            <v>2703</v>
          </cell>
          <cell r="E3566">
            <v>363.30645161290323</v>
          </cell>
        </row>
        <row r="3567">
          <cell r="A3567">
            <v>51390</v>
          </cell>
          <cell r="B3567" t="str">
            <v>Trykfjeder ø50 L=305</v>
          </cell>
          <cell r="C3567" t="str">
            <v>Compression spring ø50 L=305</v>
          </cell>
          <cell r="D3567">
            <v>954</v>
          </cell>
          <cell r="E3567">
            <v>128.2258064516129</v>
          </cell>
        </row>
        <row r="3568">
          <cell r="A3568">
            <v>51391</v>
          </cell>
          <cell r="B3568" t="str">
            <v>Stativ for slæde</v>
          </cell>
          <cell r="C3568" t="str">
            <v>Slide rack</v>
          </cell>
          <cell r="D3568">
            <v>3710</v>
          </cell>
          <cell r="E3568">
            <v>498.6559139784946</v>
          </cell>
        </row>
        <row r="3569">
          <cell r="A3569">
            <v>51392</v>
          </cell>
          <cell r="B3569" t="str">
            <v>Topplade for slæde</v>
          </cell>
          <cell r="C3569" t="str">
            <v>Top plate for slide</v>
          </cell>
          <cell r="D3569">
            <v>1325</v>
          </cell>
          <cell r="E3569">
            <v>178.09139784946237</v>
          </cell>
        </row>
        <row r="3570">
          <cell r="A3570">
            <v>51393</v>
          </cell>
          <cell r="B3570" t="str">
            <v>Føring for slæde</v>
          </cell>
          <cell r="C3570" t="str">
            <v xml:space="preserve">Slide guide </v>
          </cell>
          <cell r="D3570">
            <v>636</v>
          </cell>
          <cell r="E3570">
            <v>85.483870967741936</v>
          </cell>
        </row>
        <row r="3571">
          <cell r="A3571">
            <v>51394</v>
          </cell>
          <cell r="B3571" t="str">
            <v>Spindel for slæde</v>
          </cell>
          <cell r="C3571" t="str">
            <v xml:space="preserve">Slide spindle </v>
          </cell>
          <cell r="D3571">
            <v>223</v>
          </cell>
          <cell r="E3571">
            <v>29.973118279569892</v>
          </cell>
        </row>
        <row r="3572">
          <cell r="A3572">
            <v>51403</v>
          </cell>
          <cell r="B3572" t="str">
            <v>Kamrulle McGill CF-2-5</v>
          </cell>
          <cell r="C3572" t="str">
            <v>Tappet roller McGill CF-2-5</v>
          </cell>
          <cell r="D3572">
            <v>743</v>
          </cell>
          <cell r="E3572">
            <v>99.865591397849457</v>
          </cell>
        </row>
        <row r="3573">
          <cell r="A3573">
            <v>51413</v>
          </cell>
          <cell r="B3573" t="str">
            <v>Glider for slæde</v>
          </cell>
          <cell r="C3573" t="str">
            <v>Slide bar for slide</v>
          </cell>
          <cell r="D3573">
            <v>1134</v>
          </cell>
          <cell r="E3573">
            <v>152.41935483870967</v>
          </cell>
        </row>
        <row r="3574">
          <cell r="A3574">
            <v>51414</v>
          </cell>
          <cell r="B3574" t="str">
            <v>Anker for slæde</v>
          </cell>
          <cell r="C3574" t="str">
            <v>Tie for slide</v>
          </cell>
          <cell r="D3574">
            <v>1246</v>
          </cell>
          <cell r="E3574">
            <v>167.47311827956989</v>
          </cell>
        </row>
        <row r="3575">
          <cell r="A3575">
            <v>51445</v>
          </cell>
          <cell r="B3575" t="str">
            <v>6-kt. Skrue M5 x 55 FZB DIN 931</v>
          </cell>
          <cell r="C3575" t="str">
            <v>Hex screw M5 x 55 FZB DIN 931</v>
          </cell>
          <cell r="D3575">
            <v>1.1000000000000001</v>
          </cell>
          <cell r="E3575">
            <v>0.14784946236559141</v>
          </cell>
        </row>
        <row r="3576">
          <cell r="A3576">
            <v>51473</v>
          </cell>
          <cell r="B3576" t="str">
            <v>Skærm for sikringskobling, automatisk smøring PM615</v>
          </cell>
          <cell r="C3576" t="str">
            <v>Screen for safety coupling, automatic greasing PM615</v>
          </cell>
          <cell r="D3576">
            <v>2261</v>
          </cell>
          <cell r="E3576">
            <v>303.89784946236557</v>
          </cell>
        </row>
        <row r="3577">
          <cell r="A3577">
            <v>51489</v>
          </cell>
          <cell r="B3577" t="str">
            <v>Rørstift Ø10 x 32 DIN1480</v>
          </cell>
          <cell r="C3577" t="str">
            <v>Tub pin Ø10 x 32 DIN1480</v>
          </cell>
          <cell r="D3577">
            <v>1.8</v>
          </cell>
          <cell r="E3577">
            <v>0.24193548387096772</v>
          </cell>
        </row>
        <row r="3578">
          <cell r="A3578">
            <v>51524</v>
          </cell>
          <cell r="B3578" t="str">
            <v xml:space="preserve">Cylinder komplet 24V DC   </v>
          </cell>
          <cell r="C3578" t="str">
            <v xml:space="preserve">Cylinder, complete 24V DC   </v>
          </cell>
          <cell r="D3578">
            <v>2597</v>
          </cell>
          <cell r="E3578">
            <v>349.05913978494624</v>
          </cell>
        </row>
        <row r="3579">
          <cell r="A3579">
            <v>51544</v>
          </cell>
          <cell r="B3579" t="str">
            <v>Endedæksel</v>
          </cell>
          <cell r="C3579" t="str">
            <v>End cover</v>
          </cell>
          <cell r="D3579">
            <v>3127</v>
          </cell>
          <cell r="E3579">
            <v>420.29569892473114</v>
          </cell>
        </row>
        <row r="3580">
          <cell r="A3580">
            <v>51607</v>
          </cell>
          <cell r="B3580" t="str">
            <v>Labyrinttætning - udvendig for rulle PM1219</v>
          </cell>
          <cell r="C3580" t="str">
            <v>Labyrinth seal - outer for roll PM1219</v>
          </cell>
          <cell r="D3580">
            <v>1325</v>
          </cell>
          <cell r="E3580">
            <v>178.09139784946237</v>
          </cell>
        </row>
        <row r="3581">
          <cell r="A3581">
            <v>51608</v>
          </cell>
          <cell r="B3581" t="str">
            <v>Labyrinttætning – indvendig for rulle PM1219</v>
          </cell>
          <cell r="C3581" t="str">
            <v>Labyrinth seal - inner for roll PM1219</v>
          </cell>
          <cell r="D3581">
            <v>1272</v>
          </cell>
          <cell r="E3581">
            <v>170.96774193548387</v>
          </cell>
        </row>
        <row r="3582">
          <cell r="A3582">
            <v>51610</v>
          </cell>
          <cell r="B3582" t="str">
            <v>Konisk rulleleje HH 228310/HH 228349</v>
          </cell>
          <cell r="C3582" t="str">
            <v>Roller bearing, tapered HH 228310/HH 228349</v>
          </cell>
          <cell r="D3582">
            <v>7526</v>
          </cell>
          <cell r="E3582">
            <v>1011.5591397849462</v>
          </cell>
        </row>
        <row r="3583">
          <cell r="A3583">
            <v>51611</v>
          </cell>
          <cell r="B3583" t="str">
            <v>Afstandsring for rulle PM1219W</v>
          </cell>
          <cell r="C3583" t="str">
            <v>Spacer for roller PM1219W</v>
          </cell>
          <cell r="D3583">
            <v>1943</v>
          </cell>
          <cell r="E3583">
            <v>261.1559139784946</v>
          </cell>
        </row>
        <row r="3584">
          <cell r="A3584">
            <v>51612</v>
          </cell>
          <cell r="B3584" t="str">
            <v>Akselmøtrik TAN-24</v>
          </cell>
          <cell r="C3584" t="str">
            <v>Nut for shaft TAN-24</v>
          </cell>
          <cell r="D3584">
            <v>810</v>
          </cell>
          <cell r="E3584">
            <v>108.87096774193547</v>
          </cell>
        </row>
        <row r="3585">
          <cell r="A3585">
            <v>51613</v>
          </cell>
          <cell r="B3585" t="str">
            <v>Låseblik TW 124</v>
          </cell>
          <cell r="C3585" t="str">
            <v>Lock washer TW 124</v>
          </cell>
          <cell r="D3585">
            <v>241</v>
          </cell>
          <cell r="E3585">
            <v>32.392473118279568</v>
          </cell>
        </row>
        <row r="3586">
          <cell r="A3586">
            <v>51614</v>
          </cell>
          <cell r="B3586" t="str">
            <v>Låsering I 254 x 4,80</v>
          </cell>
          <cell r="C3586" t="str">
            <v>Lock ring I 254 x 4,80</v>
          </cell>
          <cell r="D3586">
            <v>198</v>
          </cell>
          <cell r="E3586">
            <v>26.612903225806452</v>
          </cell>
        </row>
        <row r="3587">
          <cell r="A3587">
            <v>51615</v>
          </cell>
          <cell r="B3587" t="str">
            <v>Låsering U 127</v>
          </cell>
          <cell r="C3587" t="str">
            <v>Lock ring U 127</v>
          </cell>
          <cell r="D3587">
            <v>29</v>
          </cell>
          <cell r="E3587">
            <v>3.897849462365591</v>
          </cell>
        </row>
        <row r="3588">
          <cell r="A3588">
            <v>51627</v>
          </cell>
          <cell r="B3588" t="str">
            <v>Aksel</v>
          </cell>
          <cell r="C3588" t="str">
            <v>Shaft</v>
          </cell>
          <cell r="D3588">
            <v>8268</v>
          </cell>
          <cell r="E3588">
            <v>1111.2903225806451</v>
          </cell>
        </row>
        <row r="3589">
          <cell r="A3589">
            <v>51631</v>
          </cell>
          <cell r="B3589" t="str">
            <v xml:space="preserve">Magnetventil </v>
          </cell>
          <cell r="C3589" t="str">
            <v>Burket solenoid valve</v>
          </cell>
          <cell r="D3589">
            <v>3445</v>
          </cell>
          <cell r="E3589">
            <v>463.03763440860212</v>
          </cell>
        </row>
        <row r="3590">
          <cell r="A3590">
            <v>51632</v>
          </cell>
          <cell r="B3590" t="str">
            <v>Tilbagemelder for skråsædeventil</v>
          </cell>
          <cell r="C3590" t="str">
            <v>Checkback signaller for bias seat valve</v>
          </cell>
          <cell r="D3590">
            <v>419</v>
          </cell>
          <cell r="E3590">
            <v>56.317204301075265</v>
          </cell>
        </row>
        <row r="3591">
          <cell r="A3591">
            <v>51637</v>
          </cell>
          <cell r="B3591" t="str">
            <v>Tryktransmitter</v>
          </cell>
          <cell r="C3591" t="str">
            <v>Pressure transmitter</v>
          </cell>
          <cell r="D3591">
            <v>525</v>
          </cell>
          <cell r="E3591">
            <v>70.564516129032256</v>
          </cell>
        </row>
        <row r="3592">
          <cell r="A3592">
            <v>51639</v>
          </cell>
          <cell r="B3592" t="str">
            <v>Pilot ventil</v>
          </cell>
          <cell r="C3592" t="str">
            <v>Pilot valve</v>
          </cell>
          <cell r="D3592">
            <v>451</v>
          </cell>
          <cell r="E3592">
            <v>60.618279569892472</v>
          </cell>
        </row>
        <row r="3593">
          <cell r="A3593">
            <v>51656</v>
          </cell>
          <cell r="B3593" t="str">
            <v>Afskærmning for sprængklap</v>
          </cell>
          <cell r="C3593" t="str">
            <v>Protective screen for rip panel</v>
          </cell>
          <cell r="D3593">
            <v>2512</v>
          </cell>
          <cell r="E3593">
            <v>337.63440860215053</v>
          </cell>
        </row>
        <row r="3594">
          <cell r="A3594">
            <v>51676</v>
          </cell>
          <cell r="B3594" t="str">
            <v>Afstandsstykke for lågelås</v>
          </cell>
          <cell r="C3594" t="str">
            <v>Spacer for coverlock</v>
          </cell>
          <cell r="D3594">
            <v>861</v>
          </cell>
          <cell r="E3594">
            <v>115.7258064516129</v>
          </cell>
        </row>
        <row r="3595">
          <cell r="A3595">
            <v>51722</v>
          </cell>
          <cell r="B3595" t="str">
            <v>PT100 føler L250</v>
          </cell>
          <cell r="C3595" t="str">
            <v>PT100 sensor L250</v>
          </cell>
          <cell r="D3595">
            <v>2836</v>
          </cell>
          <cell r="E3595">
            <v>381.18279569892474</v>
          </cell>
        </row>
        <row r="3596">
          <cell r="A3596">
            <v>51738</v>
          </cell>
          <cell r="B3596" t="str">
            <v>Låge</v>
          </cell>
          <cell r="C3596" t="str">
            <v>Door</v>
          </cell>
          <cell r="D3596">
            <v>10070</v>
          </cell>
          <cell r="E3596">
            <v>1353.494623655914</v>
          </cell>
        </row>
        <row r="3597">
          <cell r="A3597">
            <v>51739</v>
          </cell>
          <cell r="B3597" t="str">
            <v>Afvisertap</v>
          </cell>
          <cell r="C3597" t="str">
            <v>Pin</v>
          </cell>
          <cell r="D3597">
            <v>541</v>
          </cell>
          <cell r="E3597">
            <v>72.715053763440849</v>
          </cell>
        </row>
        <row r="3598">
          <cell r="A3598">
            <v>51741</v>
          </cell>
          <cell r="B3598" t="str">
            <v>Indløb, svejst</v>
          </cell>
          <cell r="C3598" t="str">
            <v>Inlet, welded</v>
          </cell>
          <cell r="D3598">
            <v>13250</v>
          </cell>
          <cell r="E3598">
            <v>1780.9139784946235</v>
          </cell>
        </row>
        <row r="3599">
          <cell r="A3599">
            <v>51743</v>
          </cell>
          <cell r="B3599" t="str">
            <v>Soldramme</v>
          </cell>
          <cell r="C3599" t="str">
            <v>Screen frame</v>
          </cell>
          <cell r="D3599">
            <v>4505</v>
          </cell>
          <cell r="E3599">
            <v>605.51075268817203</v>
          </cell>
        </row>
        <row r="3600">
          <cell r="A3600">
            <v>51776</v>
          </cell>
          <cell r="B3600" t="str">
            <v>Cylinder komplet 230V DC</v>
          </cell>
          <cell r="C3600" t="str">
            <v>Cylinder, complete 230V DC</v>
          </cell>
          <cell r="D3600">
            <v>2597</v>
          </cell>
          <cell r="E3600">
            <v>349.05913978494624</v>
          </cell>
        </row>
        <row r="3601">
          <cell r="A3601">
            <v>51785</v>
          </cell>
          <cell r="B3601" t="str">
            <v>Rulleaksel PM1219W</v>
          </cell>
          <cell r="C3601" t="str">
            <v>Roller shaft PM1219W</v>
          </cell>
          <cell r="D3601">
            <v>8957</v>
          </cell>
          <cell r="E3601">
            <v>1203.8978494623655</v>
          </cell>
        </row>
        <row r="3602">
          <cell r="A3602">
            <v>51790</v>
          </cell>
          <cell r="B3602" t="str">
            <v>Ledeplade</v>
          </cell>
          <cell r="C3602" t="str">
            <v>Guide plate</v>
          </cell>
          <cell r="D3602">
            <v>2385</v>
          </cell>
          <cell r="E3602">
            <v>320.56451612903226</v>
          </cell>
        </row>
        <row r="3603">
          <cell r="A3603">
            <v>51791</v>
          </cell>
          <cell r="B3603" t="str">
            <v>Ledeplade, aksel lang</v>
          </cell>
          <cell r="C3603" t="str">
            <v>Guide plate, shaft long</v>
          </cell>
          <cell r="D3603">
            <v>541</v>
          </cell>
          <cell r="E3603">
            <v>72.715053763440849</v>
          </cell>
        </row>
        <row r="3604">
          <cell r="A3604">
            <v>51792</v>
          </cell>
          <cell r="B3604" t="str">
            <v>Ledeplade, aksel kort</v>
          </cell>
          <cell r="C3604" t="str">
            <v>Guide plate, shaft short</v>
          </cell>
          <cell r="D3604">
            <v>408</v>
          </cell>
          <cell r="E3604">
            <v>54.838709677419352</v>
          </cell>
        </row>
        <row r="3605">
          <cell r="A3605">
            <v>51817</v>
          </cell>
          <cell r="B3605" t="str">
            <v>Arm for ledeplade</v>
          </cell>
          <cell r="C3605" t="str">
            <v>Guide plate arm</v>
          </cell>
          <cell r="D3605">
            <v>435</v>
          </cell>
          <cell r="E3605">
            <v>58.467741935483865</v>
          </cell>
        </row>
        <row r="3606">
          <cell r="A3606">
            <v>51819</v>
          </cell>
          <cell r="B3606" t="str">
            <v>Malebro</v>
          </cell>
          <cell r="C3606" t="str">
            <v>Grinding bridge</v>
          </cell>
          <cell r="D3606">
            <v>1537</v>
          </cell>
          <cell r="E3606">
            <v>206.58602150537632</v>
          </cell>
        </row>
        <row r="3607">
          <cell r="A3607">
            <v>51821</v>
          </cell>
          <cell r="B3607" t="str">
            <v>Cylinderbeslag</v>
          </cell>
          <cell r="C3607" t="str">
            <v>Cylinder fitting</v>
          </cell>
          <cell r="D3607">
            <v>769</v>
          </cell>
          <cell r="E3607">
            <v>103.36021505376344</v>
          </cell>
        </row>
        <row r="3608">
          <cell r="A3608">
            <v>51824</v>
          </cell>
          <cell r="B3608" t="str">
            <v>Skærm</v>
          </cell>
          <cell r="C3608" t="str">
            <v>Guard</v>
          </cell>
          <cell r="D3608">
            <v>795</v>
          </cell>
          <cell r="E3608">
            <v>106.85483870967741</v>
          </cell>
        </row>
        <row r="3609">
          <cell r="A3609">
            <v>51825</v>
          </cell>
          <cell r="B3609" t="str">
            <v>Anlægsring, midte</v>
          </cell>
          <cell r="C3609" t="str">
            <v>Rest ring, middle</v>
          </cell>
          <cell r="D3609">
            <v>2067</v>
          </cell>
          <cell r="E3609">
            <v>277.82258064516128</v>
          </cell>
        </row>
        <row r="3610">
          <cell r="A3610">
            <v>51826</v>
          </cell>
          <cell r="B3610" t="str">
            <v>Anlægsring, ender</v>
          </cell>
          <cell r="C3610" t="str">
            <v>Rest ring, ends</v>
          </cell>
          <cell r="D3610">
            <v>1458</v>
          </cell>
          <cell r="E3610">
            <v>195.96774193548387</v>
          </cell>
        </row>
        <row r="3611">
          <cell r="A3611">
            <v>51866</v>
          </cell>
          <cell r="B3611" t="str">
            <v>Bolt for soldramme</v>
          </cell>
          <cell r="C3611" t="str">
            <v>Screen frame bolt</v>
          </cell>
          <cell r="D3611">
            <v>111</v>
          </cell>
          <cell r="E3611">
            <v>14.919354838709676</v>
          </cell>
        </row>
        <row r="3612">
          <cell r="A3612">
            <v>51867</v>
          </cell>
          <cell r="B3612" t="str">
            <v>Møtrik for soldramme</v>
          </cell>
          <cell r="C3612" t="str">
            <v>Screen frame nut</v>
          </cell>
          <cell r="D3612">
            <v>159</v>
          </cell>
          <cell r="E3612">
            <v>21.370967741935484</v>
          </cell>
        </row>
        <row r="3613">
          <cell r="A3613">
            <v>51869</v>
          </cell>
          <cell r="B3613" t="str">
            <v>Udløbsramme  1400C</v>
          </cell>
          <cell r="C3613" t="str">
            <v>Outlet frame</v>
          </cell>
          <cell r="D3613">
            <v>1484</v>
          </cell>
          <cell r="E3613">
            <v>199.46236559139783</v>
          </cell>
        </row>
        <row r="3614">
          <cell r="A3614">
            <v>51871</v>
          </cell>
          <cell r="B3614" t="str">
            <v>Holder for dæmper</v>
          </cell>
          <cell r="C3614" t="str">
            <v>Damper fitting</v>
          </cell>
          <cell r="D3614">
            <v>217</v>
          </cell>
          <cell r="E3614">
            <v>29.166666666666664</v>
          </cell>
        </row>
        <row r="3615">
          <cell r="A3615">
            <v>51872</v>
          </cell>
          <cell r="B3615" t="str">
            <v>Stenkasse</v>
          </cell>
          <cell r="C3615" t="str">
            <v>Stone trap</v>
          </cell>
          <cell r="D3615">
            <v>2067</v>
          </cell>
          <cell r="E3615">
            <v>277.82258064516128</v>
          </cell>
        </row>
        <row r="3616">
          <cell r="A3616">
            <v>51877</v>
          </cell>
          <cell r="B3616" t="str">
            <v>Tryktransmitter Kristal 0-5 bar SAM22A</v>
          </cell>
          <cell r="C3616" t="str">
            <v>Pressure transmitter Kristal 0-5 bar SAM22A</v>
          </cell>
          <cell r="D3616">
            <v>5342</v>
          </cell>
          <cell r="E3616">
            <v>718.01075268817203</v>
          </cell>
        </row>
        <row r="3617">
          <cell r="A3617">
            <v>51894</v>
          </cell>
          <cell r="B3617" t="str">
            <v>Spændelement</v>
          </cell>
          <cell r="C3617" t="str">
            <v>Locking assembly</v>
          </cell>
          <cell r="D3617">
            <v>731</v>
          </cell>
          <cell r="E3617">
            <v>98.252688172043008</v>
          </cell>
        </row>
        <row r="3618">
          <cell r="A3618">
            <v>51895</v>
          </cell>
          <cell r="B3618" t="str">
            <v>Radialleje</v>
          </cell>
          <cell r="C3618" t="str">
            <v>Radial bearing</v>
          </cell>
          <cell r="D3618">
            <v>48</v>
          </cell>
          <cell r="E3618">
            <v>6.4516129032258061</v>
          </cell>
        </row>
        <row r="3619">
          <cell r="A3619">
            <v>51903</v>
          </cell>
          <cell r="B3619" t="str">
            <v>Nøgle Trojan 5/TLS</v>
          </cell>
          <cell r="C3619" t="str">
            <v>Key Trojan 5/TLS</v>
          </cell>
          <cell r="D3619">
            <v>143</v>
          </cell>
          <cell r="E3619">
            <v>19.22043010752688</v>
          </cell>
        </row>
        <row r="3620">
          <cell r="A3620">
            <v>51904</v>
          </cell>
          <cell r="B3620" t="str">
            <v>Svampegummi</v>
          </cell>
          <cell r="C3620" t="str">
            <v>Sponge rubber</v>
          </cell>
          <cell r="D3620">
            <v>133</v>
          </cell>
          <cell r="E3620">
            <v>17.876344086021504</v>
          </cell>
        </row>
        <row r="3621">
          <cell r="A3621">
            <v>51905</v>
          </cell>
          <cell r="B3621" t="str">
            <v>Koblingsdel</v>
          </cell>
          <cell r="C3621" t="str">
            <v>Coupling part</v>
          </cell>
          <cell r="D3621">
            <v>7897</v>
          </cell>
          <cell r="E3621">
            <v>1061.4247311827955</v>
          </cell>
        </row>
        <row r="3622">
          <cell r="A3622">
            <v>52004</v>
          </cell>
          <cell r="B3622" t="str">
            <v>Lejehus 722507 DA</v>
          </cell>
          <cell r="C3622" t="str">
            <v>Bearing housing 722507 DA</v>
          </cell>
          <cell r="D3622">
            <v>313</v>
          </cell>
          <cell r="E3622">
            <v>42.06989247311828</v>
          </cell>
        </row>
        <row r="3623">
          <cell r="A3623">
            <v>52005</v>
          </cell>
          <cell r="B3623" t="str">
            <v>Lejehus 722507 DB</v>
          </cell>
          <cell r="C3623" t="str">
            <v>Bearing housing 722507 DB</v>
          </cell>
          <cell r="D3623">
            <v>313</v>
          </cell>
          <cell r="E3623">
            <v>42.06989247311828</v>
          </cell>
        </row>
        <row r="3624">
          <cell r="A3624">
            <v>52008</v>
          </cell>
          <cell r="B3624" t="str">
            <v>Sfærisk kugleleje 1207 EK/H207</v>
          </cell>
          <cell r="C3624" t="str">
            <v>Spherical ball bearing 1207 EK/H207</v>
          </cell>
          <cell r="D3624">
            <v>154</v>
          </cell>
          <cell r="E3624">
            <v>20.698924731182796</v>
          </cell>
        </row>
        <row r="3625">
          <cell r="A3625">
            <v>52009</v>
          </cell>
          <cell r="B3625" t="str">
            <v>6kt skrue M16 x 40 DIN 933</v>
          </cell>
          <cell r="C3625" t="str">
            <v>Hexagon screw M16 x 40 DIN 933</v>
          </cell>
          <cell r="D3625">
            <v>6.5</v>
          </cell>
          <cell r="E3625">
            <v>0.87365591397849462</v>
          </cell>
        </row>
        <row r="3626">
          <cell r="A3626">
            <v>52010</v>
          </cell>
          <cell r="B3626" t="str">
            <v>Afstandsring FRB 8/72</v>
          </cell>
          <cell r="C3626" t="str">
            <v>Distance ring FRB 8/72</v>
          </cell>
          <cell r="D3626">
            <v>24</v>
          </cell>
          <cell r="E3626">
            <v>3.225806451612903</v>
          </cell>
        </row>
        <row r="3627">
          <cell r="A3627">
            <v>52015</v>
          </cell>
          <cell r="B3627" t="str">
            <v>kuglehane</v>
          </cell>
          <cell r="C3627" t="str">
            <v>Ball plug valve DN40/131</v>
          </cell>
          <cell r="D3627">
            <v>1352</v>
          </cell>
          <cell r="E3627">
            <v>181.72043010752688</v>
          </cell>
        </row>
        <row r="3628">
          <cell r="A3628">
            <v>52018</v>
          </cell>
          <cell r="B3628" t="str">
            <v>Flangebolt M10 x 20 DIN 6921</v>
          </cell>
          <cell r="C3628" t="str">
            <v>Flange bolt M10 x 20 DIN 6921</v>
          </cell>
          <cell r="D3628">
            <v>2.7</v>
          </cell>
          <cell r="E3628">
            <v>0.36290322580645162</v>
          </cell>
        </row>
        <row r="3629">
          <cell r="A3629">
            <v>52053</v>
          </cell>
          <cell r="B3629" t="str">
            <v>Pilleskærm for indløb</v>
          </cell>
          <cell r="C3629" t="str">
            <v>Pellet screen for inlet</v>
          </cell>
          <cell r="D3629">
            <v>2915</v>
          </cell>
          <cell r="E3629">
            <v>391.80107526881716</v>
          </cell>
        </row>
        <row r="3630">
          <cell r="A3630">
            <v>52054</v>
          </cell>
          <cell r="B3630" t="str">
            <v>Beslagsæt for pilleskærm</v>
          </cell>
          <cell r="C3630" t="str">
            <v>Fitting set for pellet screen</v>
          </cell>
          <cell r="D3630">
            <v>387</v>
          </cell>
          <cell r="E3630">
            <v>52.016129032258064</v>
          </cell>
        </row>
        <row r="3631">
          <cell r="A3631">
            <v>52097</v>
          </cell>
          <cell r="B3631" t="str">
            <v>Manometer 0-21 BAR</v>
          </cell>
          <cell r="C3631" t="str">
            <v>Manometer 0-21 bar</v>
          </cell>
          <cell r="D3631">
            <v>816</v>
          </cell>
          <cell r="E3631">
            <v>109.6774193548387</v>
          </cell>
        </row>
        <row r="3632">
          <cell r="A3632">
            <v>52100</v>
          </cell>
          <cell r="B3632" t="str">
            <v>Pumpeplade</v>
          </cell>
          <cell r="C3632" t="str">
            <v>Pump plate</v>
          </cell>
          <cell r="D3632">
            <v>1866</v>
          </cell>
          <cell r="E3632">
            <v>250.8064516129032</v>
          </cell>
        </row>
        <row r="3633">
          <cell r="A3633">
            <v>52141</v>
          </cell>
          <cell r="B3633" t="str">
            <v>Sikkerhedsventil 0-17 BAR</v>
          </cell>
          <cell r="C3633" t="str">
            <v>Safety valve 0-17 bar</v>
          </cell>
          <cell r="D3633">
            <v>1982</v>
          </cell>
          <cell r="E3633">
            <v>266.39784946236557</v>
          </cell>
        </row>
        <row r="3634">
          <cell r="A3634">
            <v>52154</v>
          </cell>
          <cell r="B3634" t="str">
            <v>Unions kryds</v>
          </cell>
          <cell r="C3634" t="str">
            <v>Union cross</v>
          </cell>
          <cell r="D3634">
            <v>678</v>
          </cell>
          <cell r="E3634">
            <v>91.129032258064512</v>
          </cell>
        </row>
        <row r="3635">
          <cell r="A3635">
            <v>52155</v>
          </cell>
          <cell r="B3635" t="str">
            <v>Udluftnigsprop</v>
          </cell>
          <cell r="C3635" t="str">
            <v>Drain plug</v>
          </cell>
          <cell r="D3635">
            <v>82</v>
          </cell>
          <cell r="E3635">
            <v>11.021505376344086</v>
          </cell>
        </row>
        <row r="3636">
          <cell r="A3636">
            <v>52156</v>
          </cell>
          <cell r="B3636" t="str">
            <v>Vinkelforskruning</v>
          </cell>
          <cell r="C3636" t="str">
            <v>Angular screwed connection</v>
          </cell>
          <cell r="D3636">
            <v>207</v>
          </cell>
          <cell r="E3636">
            <v>27.822580645161288</v>
          </cell>
        </row>
        <row r="3637">
          <cell r="A3637">
            <v>52157</v>
          </cell>
          <cell r="B3637" t="str">
            <v>Reduktion</v>
          </cell>
          <cell r="C3637" t="str">
            <v>Reduction</v>
          </cell>
          <cell r="D3637">
            <v>170</v>
          </cell>
          <cell r="E3637">
            <v>22.849462365591396</v>
          </cell>
        </row>
        <row r="3638">
          <cell r="A3638">
            <v>52163</v>
          </cell>
          <cell r="B3638" t="str">
            <v>Væskefilter</v>
          </cell>
          <cell r="C3638" t="str">
            <v>Liquid filter</v>
          </cell>
          <cell r="D3638">
            <v>3421</v>
          </cell>
          <cell r="E3638">
            <v>459.81182795698925</v>
          </cell>
        </row>
        <row r="3639">
          <cell r="A3639">
            <v>52165</v>
          </cell>
          <cell r="B3639" t="str">
            <v>Slange</v>
          </cell>
          <cell r="C3639" t="str">
            <v>Hose</v>
          </cell>
          <cell r="D3639">
            <v>943</v>
          </cell>
          <cell r="E3639">
            <v>126.74731182795698</v>
          </cell>
        </row>
        <row r="3640">
          <cell r="A3640">
            <v>52321</v>
          </cell>
          <cell r="B3640" t="str">
            <v>Gear ED2090 FS/25/S45CR1 B3</v>
          </cell>
          <cell r="C3640" t="str">
            <v>Gear ED2090 FS/25/S45CR1 B3</v>
          </cell>
          <cell r="D3640">
            <v>23120</v>
          </cell>
          <cell r="E3640">
            <v>3107.5268817204301</v>
          </cell>
        </row>
        <row r="3641">
          <cell r="A3641">
            <v>52400</v>
          </cell>
          <cell r="B3641" t="str">
            <v>Eksplosionsmembran</v>
          </cell>
          <cell r="C3641" t="str">
            <v>Explosion diaphragm</v>
          </cell>
          <cell r="D3641">
            <v>5512</v>
          </cell>
          <cell r="E3641">
            <v>740.86021505376345</v>
          </cell>
        </row>
        <row r="3642">
          <cell r="A3642">
            <v>52459</v>
          </cell>
          <cell r="B3642" t="str">
            <v>Momentarm</v>
          </cell>
          <cell r="C3642" t="str">
            <v>Torque arm</v>
          </cell>
          <cell r="D3642">
            <v>260</v>
          </cell>
          <cell r="E3642">
            <v>34.946236559139784</v>
          </cell>
        </row>
        <row r="3643">
          <cell r="A3643">
            <v>52468</v>
          </cell>
          <cell r="B3643" t="str">
            <v>Dæksel POCV 1201</v>
          </cell>
          <cell r="C3643" t="str">
            <v>Cover POC 1201</v>
          </cell>
          <cell r="D3643">
            <v>1250</v>
          </cell>
          <cell r="E3643">
            <v>168.01075268817203</v>
          </cell>
        </row>
        <row r="3644">
          <cell r="A3644">
            <v>52485</v>
          </cell>
          <cell r="B3644" t="str">
            <v>Sprinkler rør</v>
          </cell>
          <cell r="C3644" t="str">
            <v>Sprinkler pipe</v>
          </cell>
          <cell r="D3644">
            <v>1643</v>
          </cell>
          <cell r="E3644">
            <v>220.83333333333331</v>
          </cell>
        </row>
        <row r="3645">
          <cell r="A3645">
            <v>52495</v>
          </cell>
          <cell r="B3645" t="str">
            <v>Adapter x 185</v>
          </cell>
          <cell r="C3645" t="str">
            <v>Adapter X185</v>
          </cell>
          <cell r="D3645">
            <v>8100</v>
          </cell>
          <cell r="E3645">
            <v>1088.7096774193549</v>
          </cell>
        </row>
        <row r="3646">
          <cell r="A3646">
            <v>52497</v>
          </cell>
          <cell r="B3646" t="str">
            <v>Låsetap</v>
          </cell>
          <cell r="C3646" t="str">
            <v>Lock pin</v>
          </cell>
          <cell r="D3646">
            <v>509</v>
          </cell>
          <cell r="E3646">
            <v>68.413978494623649</v>
          </cell>
        </row>
        <row r="3647">
          <cell r="A3647">
            <v>52527</v>
          </cell>
          <cell r="B3647" t="str">
            <v>Beslag for lågelås</v>
          </cell>
          <cell r="C3647" t="str">
            <v>Bracket, door lock</v>
          </cell>
          <cell r="D3647">
            <v>212</v>
          </cell>
          <cell r="E3647">
            <v>28.494623655913976</v>
          </cell>
        </row>
        <row r="3648">
          <cell r="A3648">
            <v>52554</v>
          </cell>
          <cell r="B3648" t="str">
            <v>Låge  Multi 800 B</v>
          </cell>
          <cell r="C3648" t="str">
            <v>Door</v>
          </cell>
          <cell r="D3648">
            <v>2862</v>
          </cell>
          <cell r="E3648">
            <v>384.67741935483866</v>
          </cell>
        </row>
        <row r="3649">
          <cell r="A3649">
            <v>52559</v>
          </cell>
          <cell r="B3649" t="str">
            <v>Arm lang for knivhus</v>
          </cell>
          <cell r="C3649" t="str">
            <v>Arm long</v>
          </cell>
          <cell r="D3649">
            <v>2067</v>
          </cell>
          <cell r="E3649">
            <v>277.82258064516128</v>
          </cell>
        </row>
        <row r="3650">
          <cell r="A3650">
            <v>52560</v>
          </cell>
          <cell r="B3650" t="str">
            <v>Arm kort for knivhus</v>
          </cell>
          <cell r="C3650" t="str">
            <v>Arm short</v>
          </cell>
          <cell r="D3650">
            <v>1193</v>
          </cell>
          <cell r="E3650">
            <v>160.34946236559139</v>
          </cell>
        </row>
        <row r="3651">
          <cell r="A3651">
            <v>52585</v>
          </cell>
          <cell r="B3651" t="str">
            <v>Låsebøsning for lukkebeslag</v>
          </cell>
          <cell r="C3651" t="str">
            <v>Lock bushing for closing bracket</v>
          </cell>
          <cell r="D3651">
            <v>1240</v>
          </cell>
          <cell r="E3651">
            <v>166.66666666666666</v>
          </cell>
        </row>
        <row r="3652">
          <cell r="A3652">
            <v>52592</v>
          </cell>
          <cell r="B3652" t="str">
            <v>Ophæng for hængsel</v>
          </cell>
          <cell r="C3652" t="str">
            <v>Knife house hinge</v>
          </cell>
          <cell r="D3652">
            <v>4187</v>
          </cell>
          <cell r="E3652">
            <v>562.76881720430106</v>
          </cell>
        </row>
        <row r="3653">
          <cell r="A3653">
            <v>52593</v>
          </cell>
          <cell r="B3653" t="str">
            <v>Bundramme 800B</v>
          </cell>
          <cell r="C3653" t="str">
            <v>Frame</v>
          </cell>
          <cell r="D3653">
            <v>10282</v>
          </cell>
          <cell r="E3653">
            <v>1381.989247311828</v>
          </cell>
        </row>
        <row r="3654">
          <cell r="A3654">
            <v>52594</v>
          </cell>
          <cell r="B3654" t="str">
            <v>Holdeplade</v>
          </cell>
          <cell r="C3654" t="str">
            <v>Bracket</v>
          </cell>
          <cell r="D3654">
            <v>90</v>
          </cell>
          <cell r="E3654">
            <v>12.096774193548386</v>
          </cell>
        </row>
        <row r="3655">
          <cell r="A3655">
            <v>52604</v>
          </cell>
          <cell r="B3655" t="str">
            <v>Motorkonsol under-part, str. 280 – 315</v>
          </cell>
          <cell r="C3655" t="str">
            <v>Motor bracket lower part, size 280 - 315</v>
          </cell>
          <cell r="D3655">
            <v>4346</v>
          </cell>
          <cell r="E3655">
            <v>584.13978494623655</v>
          </cell>
        </row>
        <row r="3656">
          <cell r="A3656">
            <v>52606</v>
          </cell>
          <cell r="B3656" t="str">
            <v>Motorkonsol overpart Str. 280 – 315</v>
          </cell>
          <cell r="C3656" t="str">
            <v>Motor bracket upper part, size 280 – 315</v>
          </cell>
          <cell r="D3656">
            <v>6943</v>
          </cell>
          <cell r="E3656">
            <v>933.19892473118273</v>
          </cell>
        </row>
        <row r="3657">
          <cell r="A3657">
            <v>52608</v>
          </cell>
          <cell r="B3657" t="str">
            <v>Aksel star hærdet Ø50 x 1300</v>
          </cell>
          <cell r="C3657" t="str">
            <v>Shaft star hardened Ø50 x 1300</v>
          </cell>
          <cell r="D3657">
            <v>4267</v>
          </cell>
          <cell r="E3657">
            <v>573.52150537634407</v>
          </cell>
        </row>
        <row r="3658">
          <cell r="A3658">
            <v>52609</v>
          </cell>
          <cell r="B3658" t="str">
            <v>Slusefod</v>
          </cell>
          <cell r="C3658" t="str">
            <v>Airlock foot</v>
          </cell>
          <cell r="D3658">
            <v>7367</v>
          </cell>
          <cell r="E3658">
            <v>990.1881720430107</v>
          </cell>
        </row>
        <row r="3659">
          <cell r="A3659">
            <v>52617</v>
          </cell>
          <cell r="B3659" t="str">
            <v>Bøsning Glacier Ø50/Ø55 L=40</v>
          </cell>
          <cell r="C3659" t="str">
            <v>Bushing Glacier Ø50/Ø55 L=40</v>
          </cell>
          <cell r="D3659">
            <v>101</v>
          </cell>
          <cell r="E3659">
            <v>13.5752688172043</v>
          </cell>
        </row>
        <row r="3660">
          <cell r="A3660">
            <v>52618</v>
          </cell>
          <cell r="B3660" t="str">
            <v>Arm lang for knivhus ECS</v>
          </cell>
          <cell r="C3660" t="str">
            <v>Arm for knife house hinge</v>
          </cell>
          <cell r="D3660">
            <v>2518</v>
          </cell>
          <cell r="E3660">
            <v>338.44086021505376</v>
          </cell>
        </row>
        <row r="3661">
          <cell r="A3661">
            <v>52619</v>
          </cell>
          <cell r="B3661" t="str">
            <v>Knivaksel for EX20</v>
          </cell>
          <cell r="C3661" t="str">
            <v>Knife shaft L=295 mm</v>
          </cell>
          <cell r="D3661">
            <v>4750</v>
          </cell>
          <cell r="E3661">
            <v>638.4408602150537</v>
          </cell>
        </row>
        <row r="3662">
          <cell r="A3662">
            <v>52627</v>
          </cell>
          <cell r="B3662" t="str">
            <v>Beslag for foring  venstre</v>
          </cell>
          <cell r="C3662" t="str">
            <v>Bracket for sleeve, left</v>
          </cell>
          <cell r="D3662">
            <v>1325</v>
          </cell>
          <cell r="E3662">
            <v>178.09139784946237</v>
          </cell>
        </row>
        <row r="3663">
          <cell r="A3663">
            <v>52628</v>
          </cell>
          <cell r="B3663" t="str">
            <v>Beslag for aksel</v>
          </cell>
          <cell r="C3663" t="str">
            <v>Bracket for shaft</v>
          </cell>
          <cell r="D3663">
            <v>1219</v>
          </cell>
          <cell r="E3663">
            <v>163.84408602150538</v>
          </cell>
        </row>
        <row r="3664">
          <cell r="A3664">
            <v>52633</v>
          </cell>
          <cell r="B3664" t="str">
            <v>Indløbstragt</v>
          </cell>
          <cell r="C3664" t="str">
            <v>Inlet duct, left</v>
          </cell>
          <cell r="D3664">
            <v>9222</v>
          </cell>
          <cell r="E3664">
            <v>1239.516129032258</v>
          </cell>
        </row>
        <row r="3665">
          <cell r="A3665">
            <v>52646</v>
          </cell>
          <cell r="B3665" t="str">
            <v>Skærm for sluse , venstre</v>
          </cell>
          <cell r="C3665" t="str">
            <v>Screen for airlock, left</v>
          </cell>
          <cell r="D3665">
            <v>1489</v>
          </cell>
          <cell r="E3665">
            <v>200.13440860215053</v>
          </cell>
        </row>
        <row r="3666">
          <cell r="A3666">
            <v>52650</v>
          </cell>
          <cell r="B3666" t="str">
            <v>Beslag for switch</v>
          </cell>
          <cell r="C3666" t="str">
            <v>Bracket for switch, left</v>
          </cell>
          <cell r="D3666">
            <v>223</v>
          </cell>
          <cell r="E3666">
            <v>29.973118279569892</v>
          </cell>
        </row>
        <row r="3667">
          <cell r="A3667">
            <v>52651</v>
          </cell>
          <cell r="B3667" t="str">
            <v>Aksel for låge</v>
          </cell>
          <cell r="C3667" t="str">
            <v>Mounting rail</v>
          </cell>
          <cell r="D3667">
            <v>477</v>
          </cell>
          <cell r="E3667">
            <v>64.112903225806448</v>
          </cell>
        </row>
        <row r="3668">
          <cell r="A3668">
            <v>52653</v>
          </cell>
          <cell r="B3668" t="str">
            <v>Skinne for låge  Multi 800 B</v>
          </cell>
          <cell r="C3668" t="str">
            <v>Rail for door</v>
          </cell>
          <cell r="D3668">
            <v>260</v>
          </cell>
          <cell r="E3668">
            <v>34.946236559139784</v>
          </cell>
        </row>
        <row r="3669">
          <cell r="A3669">
            <v>52660</v>
          </cell>
          <cell r="B3669" t="str">
            <v>Stopplade for kuglebøsning</v>
          </cell>
          <cell r="C3669" t="str">
            <v>Stop plate for ball bushing</v>
          </cell>
          <cell r="D3669">
            <v>419</v>
          </cell>
          <cell r="E3669">
            <v>56.317204301075265</v>
          </cell>
        </row>
        <row r="3670">
          <cell r="A3670">
            <v>52664</v>
          </cell>
          <cell r="B3670" t="str">
            <v>6kt skrue M24 x 70 DIN 933</v>
          </cell>
          <cell r="C3670" t="str">
            <v>Hexagon screw M24 x 70 DIN 933</v>
          </cell>
          <cell r="D3670">
            <v>19.3</v>
          </cell>
          <cell r="E3670">
            <v>2.5940860215053765</v>
          </cell>
        </row>
        <row r="3671">
          <cell r="A3671">
            <v>52666</v>
          </cell>
          <cell r="B3671" t="str">
            <v>Stopplade for kuglebøsning</v>
          </cell>
          <cell r="C3671" t="str">
            <v>Stopsleeve for ball bushing</v>
          </cell>
          <cell r="D3671">
            <v>138</v>
          </cell>
          <cell r="E3671">
            <v>18.548387096774192</v>
          </cell>
        </row>
        <row r="3672">
          <cell r="A3672">
            <v>52674</v>
          </cell>
          <cell r="B3672" t="str">
            <v>Afstandsring   TX 185</v>
          </cell>
          <cell r="C3672" t="str">
            <v>Spacer ring X185, standard, fixing holes M12</v>
          </cell>
          <cell r="D3672">
            <v>7102</v>
          </cell>
          <cell r="E3672">
            <v>954.56989247311822</v>
          </cell>
        </row>
        <row r="3673">
          <cell r="A3673">
            <v>52686</v>
          </cell>
          <cell r="B3673" t="str">
            <v>Adapter</v>
          </cell>
          <cell r="C3673" t="str">
            <v>Adapter</v>
          </cell>
          <cell r="D3673">
            <v>1325</v>
          </cell>
          <cell r="E3673">
            <v>178.09139784946237</v>
          </cell>
        </row>
        <row r="3674">
          <cell r="A3674">
            <v>52697</v>
          </cell>
          <cell r="B3674" t="str">
            <v>Bøsning for luftcylinder</v>
          </cell>
          <cell r="C3674" t="str">
            <v>Bushing for air cylinder</v>
          </cell>
          <cell r="D3674">
            <v>504</v>
          </cell>
          <cell r="E3674">
            <v>67.741935483870961</v>
          </cell>
        </row>
        <row r="3675">
          <cell r="A3675">
            <v>52699</v>
          </cell>
          <cell r="B3675" t="str">
            <v>Koblingssnav , mølle</v>
          </cell>
          <cell r="C3675" t="str">
            <v>Coupling, hub for mill</v>
          </cell>
          <cell r="D3675">
            <v>3445</v>
          </cell>
          <cell r="E3675">
            <v>463.03763440860212</v>
          </cell>
        </row>
        <row r="3676">
          <cell r="A3676">
            <v>52713</v>
          </cell>
          <cell r="B3676" t="str">
            <v>Topdæksel for knivhus</v>
          </cell>
          <cell r="C3676" t="str">
            <v>Top cover for knife house</v>
          </cell>
          <cell r="D3676">
            <v>28090</v>
          </cell>
          <cell r="E3676">
            <v>3775.5376344086021</v>
          </cell>
        </row>
        <row r="3677">
          <cell r="A3677">
            <v>52714</v>
          </cell>
          <cell r="B3677" t="str">
            <v>Inspektionslem</v>
          </cell>
          <cell r="C3677" t="str">
            <v>Inspection door</v>
          </cell>
          <cell r="D3677">
            <v>1511</v>
          </cell>
          <cell r="E3677">
            <v>203.09139784946237</v>
          </cell>
        </row>
        <row r="3678">
          <cell r="A3678">
            <v>52730</v>
          </cell>
          <cell r="B3678" t="str">
            <v>Shim 0,5</v>
          </cell>
          <cell r="C3678" t="str">
            <v>Shim 0,5</v>
          </cell>
          <cell r="D3678">
            <v>38</v>
          </cell>
          <cell r="E3678">
            <v>5.10752688172043</v>
          </cell>
        </row>
        <row r="3679">
          <cell r="A3679">
            <v>52745</v>
          </cell>
          <cell r="B3679" t="str">
            <v>Cyl. Skrue M8 x 90 A2 DIN912</v>
          </cell>
          <cell r="C3679" t="str">
            <v>Cyl. Screw M8 x 90 A2 DIN912</v>
          </cell>
          <cell r="D3679">
            <v>10.6</v>
          </cell>
          <cell r="E3679">
            <v>1.4247311827956988</v>
          </cell>
        </row>
        <row r="3680">
          <cell r="A3680">
            <v>52761</v>
          </cell>
          <cell r="B3680" t="str">
            <v>Ramme for indsugning</v>
          </cell>
          <cell r="C3680" t="str">
            <v>Frame for intake</v>
          </cell>
          <cell r="D3680">
            <v>2385</v>
          </cell>
          <cell r="E3680">
            <v>320.56451612903226</v>
          </cell>
        </row>
        <row r="3681">
          <cell r="A3681">
            <v>52762</v>
          </cell>
          <cell r="B3681" t="str">
            <v>Skillevæg for ventilator ø630</v>
          </cell>
          <cell r="C3681" t="str">
            <v>Partition for ventilator ø630</v>
          </cell>
          <cell r="D3681">
            <v>1802</v>
          </cell>
          <cell r="E3681">
            <v>242.2043010752688</v>
          </cell>
        </row>
        <row r="3682">
          <cell r="A3682">
            <v>52774</v>
          </cell>
          <cell r="B3682" t="str">
            <v>Shim 0,7</v>
          </cell>
          <cell r="C3682" t="str">
            <v>Shim 0,7</v>
          </cell>
          <cell r="D3682">
            <v>39</v>
          </cell>
          <cell r="E3682">
            <v>5.2419354838709671</v>
          </cell>
        </row>
        <row r="3683">
          <cell r="A3683">
            <v>52775</v>
          </cell>
          <cell r="B3683" t="str">
            <v>Shim 1,0</v>
          </cell>
          <cell r="C3683" t="str">
            <v>Shim 1,0</v>
          </cell>
          <cell r="D3683">
            <v>40</v>
          </cell>
          <cell r="E3683">
            <v>5.376344086021505</v>
          </cell>
        </row>
        <row r="3684">
          <cell r="A3684">
            <v>52776</v>
          </cell>
          <cell r="B3684" t="str">
            <v>Shim 2,0</v>
          </cell>
          <cell r="C3684" t="str">
            <v>Shim 2,0</v>
          </cell>
          <cell r="D3684">
            <v>49</v>
          </cell>
          <cell r="E3684">
            <v>6.586021505376344</v>
          </cell>
        </row>
        <row r="3685">
          <cell r="A3685">
            <v>52777</v>
          </cell>
          <cell r="B3685" t="str">
            <v>(Erstattet af 058381) Holder for godsfordeler 1-3 PM1219W</v>
          </cell>
          <cell r="C3685" t="str">
            <v>(Replaced by 058381)Holder for defector 1-3 PM1219W</v>
          </cell>
          <cell r="D3685" t="str">
            <v>replaced</v>
          </cell>
          <cell r="E3685" t="str">
            <v>replaced</v>
          </cell>
        </row>
        <row r="3686">
          <cell r="A3686">
            <v>52778</v>
          </cell>
          <cell r="B3686" t="str">
            <v>Godsfordeler 1 PM1219W</v>
          </cell>
          <cell r="C3686" t="str">
            <v>Deflector 1 PM1219W</v>
          </cell>
          <cell r="D3686">
            <v>721</v>
          </cell>
          <cell r="E3686">
            <v>96.908602150537632</v>
          </cell>
        </row>
        <row r="3687">
          <cell r="A3687">
            <v>52779</v>
          </cell>
          <cell r="B3687" t="str">
            <v>Godsfordeler 2 PM1219W</v>
          </cell>
          <cell r="C3687" t="str">
            <v>Deflector 2 PM1219W</v>
          </cell>
          <cell r="D3687">
            <v>689</v>
          </cell>
          <cell r="E3687">
            <v>92.607526881720432</v>
          </cell>
        </row>
        <row r="3688">
          <cell r="A3688">
            <v>52780</v>
          </cell>
          <cell r="B3688" t="str">
            <v>Godsfordeler 3 PM1219W</v>
          </cell>
          <cell r="C3688" t="str">
            <v>Deflector 3 PM1219W</v>
          </cell>
          <cell r="D3688">
            <v>1006</v>
          </cell>
          <cell r="E3688">
            <v>135.21505376344086</v>
          </cell>
        </row>
        <row r="3689">
          <cell r="A3689">
            <v>52844</v>
          </cell>
          <cell r="B3689" t="str">
            <v>Beslag for foring  højre</v>
          </cell>
          <cell r="C3689" t="str">
            <v>Bracket for sleeve, right</v>
          </cell>
          <cell r="D3689">
            <v>901</v>
          </cell>
          <cell r="E3689">
            <v>121.1021505376344</v>
          </cell>
        </row>
        <row r="3690">
          <cell r="A3690">
            <v>52845</v>
          </cell>
          <cell r="B3690" t="str">
            <v>Spadeventil DN 400</v>
          </cell>
          <cell r="C3690" t="str">
            <v>Slide gate DN 400</v>
          </cell>
          <cell r="D3690">
            <v>29600</v>
          </cell>
          <cell r="E3690">
            <v>3978.494623655914</v>
          </cell>
        </row>
        <row r="3691">
          <cell r="A3691">
            <v>52971</v>
          </cell>
          <cell r="B3691" t="str">
            <v>(Erstattet af 056720) Håndtag for sluse</v>
          </cell>
          <cell r="C3691" t="str">
            <v>(Replaced by 056720) Handle for sluice</v>
          </cell>
          <cell r="D3691" t="str">
            <v>replaced</v>
          </cell>
          <cell r="E3691" t="str">
            <v>replaced</v>
          </cell>
        </row>
        <row r="3692">
          <cell r="A3692">
            <v>52982</v>
          </cell>
          <cell r="B3692" t="str">
            <v>Dækplade for indsugning</v>
          </cell>
          <cell r="C3692" t="str">
            <v>Cover plate for intake</v>
          </cell>
          <cell r="D3692">
            <v>1431</v>
          </cell>
          <cell r="E3692">
            <v>192.33870967741933</v>
          </cell>
        </row>
        <row r="3693">
          <cell r="A3693">
            <v>52993</v>
          </cell>
          <cell r="B3693" t="str">
            <v>Skærm for godsfordeler 1 PM1219W</v>
          </cell>
          <cell r="C3693" t="str">
            <v>Screen for deflector 1 PM1219W</v>
          </cell>
          <cell r="D3693">
            <v>485</v>
          </cell>
          <cell r="E3693">
            <v>65.188172043010752</v>
          </cell>
        </row>
        <row r="3694">
          <cell r="A3694">
            <v>53055</v>
          </cell>
          <cell r="B3694" t="str">
            <v>Skærm for sikringskobling PM717</v>
          </cell>
          <cell r="C3694" t="str">
            <v>Screen for safety coupling PM717</v>
          </cell>
          <cell r="D3694">
            <v>2591</v>
          </cell>
          <cell r="E3694">
            <v>348.25268817204301</v>
          </cell>
        </row>
        <row r="3695">
          <cell r="A3695">
            <v>53124</v>
          </cell>
          <cell r="B3695" t="str">
            <v>Holder for skraber</v>
          </cell>
          <cell r="C3695" t="str">
            <v>Holder for scraper</v>
          </cell>
          <cell r="D3695">
            <v>657</v>
          </cell>
          <cell r="E3695">
            <v>88.306451612903217</v>
          </cell>
        </row>
        <row r="3696">
          <cell r="A3696">
            <v>53125</v>
          </cell>
          <cell r="B3696" t="str">
            <v>Skraber</v>
          </cell>
          <cell r="C3696" t="str">
            <v>Scraper</v>
          </cell>
          <cell r="D3696">
            <v>875</v>
          </cell>
          <cell r="E3696">
            <v>117.60752688172042</v>
          </cell>
        </row>
        <row r="3697">
          <cell r="A3697">
            <v>53127</v>
          </cell>
          <cell r="B3697" t="str">
            <v>Spændeliste</v>
          </cell>
          <cell r="C3697" t="str">
            <v>Tightening list</v>
          </cell>
          <cell r="D3697">
            <v>398</v>
          </cell>
          <cell r="E3697">
            <v>53.494623655913976</v>
          </cell>
        </row>
        <row r="3698">
          <cell r="A3698">
            <v>53171</v>
          </cell>
          <cell r="B3698" t="str">
            <v>Returskinne</v>
          </cell>
          <cell r="C3698" t="str">
            <v>Return rail</v>
          </cell>
          <cell r="D3698">
            <v>1007</v>
          </cell>
          <cell r="E3698">
            <v>135.34946236559139</v>
          </cell>
        </row>
        <row r="3699">
          <cell r="A3699">
            <v>53184</v>
          </cell>
          <cell r="B3699" t="str">
            <v>Topdæksel for knivhus</v>
          </cell>
          <cell r="C3699" t="str">
            <v>Top cover for knife house</v>
          </cell>
          <cell r="D3699">
            <v>4717</v>
          </cell>
          <cell r="E3699">
            <v>634.00537634408602</v>
          </cell>
        </row>
        <row r="3700">
          <cell r="A3700">
            <v>53220</v>
          </cell>
          <cell r="B3700" t="str">
            <v>Magnetventil for væskeventil</v>
          </cell>
          <cell r="C3700" t="str">
            <v>Solenoid valve fori nlet valve</v>
          </cell>
          <cell r="D3700">
            <v>689</v>
          </cell>
          <cell r="E3700">
            <v>92.607526881720432</v>
          </cell>
        </row>
        <row r="3701">
          <cell r="A3701">
            <v>53225</v>
          </cell>
          <cell r="B3701" t="str">
            <v>Sikkerhedsendestop  Spartan 024</v>
          </cell>
          <cell r="C3701" t="str">
            <v>Safety switch Atlas Spartan 024</v>
          </cell>
          <cell r="D3701">
            <v>1295</v>
          </cell>
          <cell r="E3701">
            <v>174.05913978494624</v>
          </cell>
        </row>
        <row r="3702">
          <cell r="A3702">
            <v>53299</v>
          </cell>
          <cell r="B3702" t="str">
            <v>Radialleje</v>
          </cell>
          <cell r="C3702" t="str">
            <v>Radial bearing</v>
          </cell>
          <cell r="D3702">
            <v>34</v>
          </cell>
          <cell r="E3702">
            <v>4.5698924731182791</v>
          </cell>
        </row>
        <row r="3703">
          <cell r="A3703">
            <v>53300</v>
          </cell>
          <cell r="B3703" t="str">
            <v>ESR rotor</v>
          </cell>
          <cell r="C3703" t="str">
            <v>ESR rotor</v>
          </cell>
          <cell r="D3703" t="str">
            <v>Seperate list</v>
          </cell>
          <cell r="E3703" t="e">
            <v>#VALUE!</v>
          </cell>
        </row>
        <row r="3704">
          <cell r="A3704">
            <v>53359</v>
          </cell>
          <cell r="B3704" t="str">
            <v>Kuglehane 3/4"</v>
          </cell>
          <cell r="C3704" t="str">
            <v>Ball valve 3/4"</v>
          </cell>
          <cell r="D3704">
            <v>231</v>
          </cell>
          <cell r="E3704">
            <v>31.048387096774192</v>
          </cell>
        </row>
        <row r="3705">
          <cell r="A3705">
            <v>53368</v>
          </cell>
          <cell r="B3705" t="str">
            <v>6-kt. Skrue 3/4” x 70 UNC</v>
          </cell>
          <cell r="C3705" t="str">
            <v>Hex screw 3/4" x 70 UNC</v>
          </cell>
          <cell r="D3705">
            <v>27</v>
          </cell>
          <cell r="E3705">
            <v>3.629032258064516</v>
          </cell>
        </row>
        <row r="3706">
          <cell r="A3706">
            <v>53369</v>
          </cell>
          <cell r="B3706" t="str">
            <v>Cyl. Skrue ¾” x 51 UNC</v>
          </cell>
          <cell r="C3706" t="str">
            <v>Cyl. Screw ¾” x 51 UNC</v>
          </cell>
          <cell r="D3706">
            <v>28</v>
          </cell>
          <cell r="E3706">
            <v>3.7634408602150535</v>
          </cell>
        </row>
        <row r="3707">
          <cell r="A3707">
            <v>53431</v>
          </cell>
          <cell r="B3707" t="str">
            <v>Forstærkerring for matrice PM1219</v>
          </cell>
          <cell r="C3707" t="str">
            <v>Reinforcement ring for Die PM1219</v>
          </cell>
          <cell r="D3707">
            <v>26076</v>
          </cell>
          <cell r="E3707">
            <v>3504.838709677419</v>
          </cell>
        </row>
        <row r="3708">
          <cell r="A3708">
            <v>53466</v>
          </cell>
          <cell r="B3708" t="str">
            <v>Øjebolt M16x32 Cosby</v>
          </cell>
          <cell r="C3708" t="str">
            <v>Counter sunk screw</v>
          </cell>
          <cell r="D3708">
            <v>387</v>
          </cell>
          <cell r="E3708">
            <v>52.016129032258064</v>
          </cell>
        </row>
        <row r="3709">
          <cell r="A3709">
            <v>53498</v>
          </cell>
          <cell r="B3709" t="str">
            <v xml:space="preserve">Soldramme </v>
          </cell>
          <cell r="C3709" t="str">
            <v>Frame for screen</v>
          </cell>
          <cell r="D3709">
            <v>4370</v>
          </cell>
          <cell r="E3709">
            <v>587.36559139784947</v>
          </cell>
        </row>
        <row r="3710">
          <cell r="A3710">
            <v>53526</v>
          </cell>
          <cell r="B3710" t="str">
            <v>Stift Ø16 x 40</v>
          </cell>
          <cell r="C3710" t="str">
            <v>Pin Ø16 x 40</v>
          </cell>
          <cell r="D3710">
            <v>48</v>
          </cell>
          <cell r="E3710">
            <v>6.4516129032258061</v>
          </cell>
        </row>
        <row r="3711">
          <cell r="A3711">
            <v>53543</v>
          </cell>
          <cell r="B3711" t="str">
            <v>Håndhjul  sikkerheds switch</v>
          </cell>
          <cell r="C3711" t="str">
            <v>Handwheel for safety switch</v>
          </cell>
          <cell r="D3711">
            <v>249</v>
          </cell>
          <cell r="E3711">
            <v>33.467741935483872</v>
          </cell>
        </row>
        <row r="3712">
          <cell r="A3712">
            <v>53554</v>
          </cell>
          <cell r="B3712" t="str">
            <v>Bronceskive</v>
          </cell>
          <cell r="C3712" t="str">
            <v>Bronze washer</v>
          </cell>
          <cell r="D3712">
            <v>133</v>
          </cell>
          <cell r="E3712">
            <v>17.876344086021504</v>
          </cell>
        </row>
        <row r="3713">
          <cell r="A3713">
            <v>53602</v>
          </cell>
          <cell r="B3713" t="str">
            <v>Låsebolt, sold</v>
          </cell>
          <cell r="C3713" t="str">
            <v>Lock bolt, screen</v>
          </cell>
          <cell r="D3713">
            <v>286</v>
          </cell>
          <cell r="E3713">
            <v>38.44086021505376</v>
          </cell>
        </row>
        <row r="3714">
          <cell r="A3714">
            <v>53603</v>
          </cell>
          <cell r="B3714" t="str">
            <v>Ledarm</v>
          </cell>
          <cell r="C3714" t="str">
            <v>Joint arm</v>
          </cell>
          <cell r="D3714">
            <v>398</v>
          </cell>
          <cell r="E3714">
            <v>53.494623655913976</v>
          </cell>
        </row>
        <row r="3715">
          <cell r="A3715">
            <v>53637</v>
          </cell>
          <cell r="B3715" t="str">
            <v>Skillevæg for ventilator ø500</v>
          </cell>
          <cell r="C3715" t="str">
            <v>Partition for ventilator ø500</v>
          </cell>
          <cell r="D3715">
            <v>1802</v>
          </cell>
          <cell r="E3715">
            <v>242.2043010752688</v>
          </cell>
        </row>
        <row r="3716">
          <cell r="A3716">
            <v>53675</v>
          </cell>
          <cell r="B3716" t="str">
            <v>Ombygningsæt M30 til Std 3</v>
          </cell>
          <cell r="C3716" t="str">
            <v>Parts for rebuilding M30 to Std 3</v>
          </cell>
          <cell r="D3716">
            <v>447500</v>
          </cell>
          <cell r="E3716">
            <v>60147.849462365586</v>
          </cell>
        </row>
        <row r="3717">
          <cell r="A3717">
            <v>53764</v>
          </cell>
          <cell r="B3717" t="str">
            <v>Gearmotor</v>
          </cell>
          <cell r="C3717" t="str">
            <v>Geared motor</v>
          </cell>
          <cell r="D3717">
            <v>40810</v>
          </cell>
          <cell r="E3717">
            <v>5485.2150537634407</v>
          </cell>
        </row>
        <row r="3718">
          <cell r="A3718">
            <v>53884</v>
          </cell>
          <cell r="B3718" t="str">
            <v>Kilerem SPC 3150 - Red Power</v>
          </cell>
          <cell r="C3718" t="str">
            <v>V-belt SPC 3150 - Red Power</v>
          </cell>
          <cell r="D3718">
            <v>315</v>
          </cell>
          <cell r="E3718">
            <v>42.338709677419352</v>
          </cell>
        </row>
        <row r="3719">
          <cell r="A3719">
            <v>53938</v>
          </cell>
          <cell r="B3719" t="str">
            <v>Bundramme 1000B</v>
          </cell>
          <cell r="C3719" t="str">
            <v>Frame</v>
          </cell>
          <cell r="D3719">
            <v>10812</v>
          </cell>
          <cell r="E3719">
            <v>1453.2258064516129</v>
          </cell>
        </row>
        <row r="3720">
          <cell r="A3720">
            <v>53944</v>
          </cell>
          <cell r="B3720" t="str">
            <v>Aksel for låge</v>
          </cell>
          <cell r="C3720" t="str">
            <v>Mounting rail</v>
          </cell>
          <cell r="D3720">
            <v>477</v>
          </cell>
          <cell r="E3720">
            <v>64.112903225806448</v>
          </cell>
        </row>
        <row r="3721">
          <cell r="A3721">
            <v>53945</v>
          </cell>
          <cell r="B3721" t="str">
            <v>Skinne for låge  Multi 1000 B</v>
          </cell>
          <cell r="C3721" t="str">
            <v>Rail for door</v>
          </cell>
          <cell r="D3721">
            <v>270</v>
          </cell>
          <cell r="E3721">
            <v>36.29032258064516</v>
          </cell>
        </row>
        <row r="3722">
          <cell r="A3722">
            <v>54022</v>
          </cell>
          <cell r="B3722" t="str">
            <v>Indløbssnegl, svejst M615W</v>
          </cell>
          <cell r="C3722" t="str">
            <v>Inlet screw, welded M615W</v>
          </cell>
          <cell r="D3722">
            <v>35510</v>
          </cell>
          <cell r="E3722">
            <v>4772.8494623655915</v>
          </cell>
        </row>
        <row r="3723">
          <cell r="A3723">
            <v>54076</v>
          </cell>
          <cell r="B3723" t="str">
            <v>Låge  Mullti 1000 B</v>
          </cell>
          <cell r="C3723" t="str">
            <v>Door</v>
          </cell>
          <cell r="D3723">
            <v>3074</v>
          </cell>
          <cell r="E3723">
            <v>413.17204301075265</v>
          </cell>
        </row>
        <row r="3724">
          <cell r="A3724">
            <v>54088</v>
          </cell>
          <cell r="B3724" t="str">
            <v>Vakuumudligningsventil DN25</v>
          </cell>
          <cell r="C3724" t="str">
            <v>Vacuum equalizing valve DN25</v>
          </cell>
          <cell r="D3724">
            <v>14734</v>
          </cell>
          <cell r="E3724">
            <v>1980.3763440860214</v>
          </cell>
        </row>
        <row r="3725">
          <cell r="A3725">
            <v>54089</v>
          </cell>
          <cell r="B3725" t="str">
            <v>Vakuumudligningssystem</v>
          </cell>
          <cell r="C3725" t="str">
            <v>Vacuum equalizing system</v>
          </cell>
          <cell r="D3725">
            <v>11448</v>
          </cell>
          <cell r="E3725">
            <v>1538.7096774193546</v>
          </cell>
        </row>
        <row r="3726">
          <cell r="A3726">
            <v>54139</v>
          </cell>
          <cell r="B3726" t="str">
            <v>Omskifterbox for EXS styring</v>
          </cell>
          <cell r="C3726" t="str">
            <v>Switch for raise and swage</v>
          </cell>
          <cell r="D3726">
            <v>371</v>
          </cell>
          <cell r="E3726">
            <v>49.865591397849457</v>
          </cell>
        </row>
        <row r="3727">
          <cell r="A3727">
            <v>54191</v>
          </cell>
          <cell r="B3727" t="str">
            <v>Poseholder 2400 TT   Galvaniseret</v>
          </cell>
          <cell r="C3727" t="str">
            <v>Filter bag cage 2400 TT   Galvanized</v>
          </cell>
          <cell r="D3727">
            <v>287</v>
          </cell>
          <cell r="E3727">
            <v>38.575268817204297</v>
          </cell>
        </row>
        <row r="3728">
          <cell r="A3728">
            <v>54192</v>
          </cell>
          <cell r="B3728" t="str">
            <v>Poseholder 2400 TB  Galvaniseret</v>
          </cell>
          <cell r="C3728" t="str">
            <v>Filter bag cage 2400 TB  Galvanized</v>
          </cell>
          <cell r="D3728">
            <v>254</v>
          </cell>
          <cell r="E3728">
            <v>34.13978494623656</v>
          </cell>
        </row>
        <row r="3729">
          <cell r="A3729">
            <v>54223</v>
          </cell>
          <cell r="B3729" t="str">
            <v>6-kt Skrue M20 x 120FZB  DIN933</v>
          </cell>
          <cell r="C3729" t="str">
            <v>6kt. Screw M20 x 120 FZB DIN933, X144, X185</v>
          </cell>
          <cell r="D3729">
            <v>24</v>
          </cell>
          <cell r="E3729">
            <v>3.225806451612903</v>
          </cell>
        </row>
        <row r="3730">
          <cell r="A3730">
            <v>54236</v>
          </cell>
          <cell r="B3730" t="str">
            <v>Slange . Damp   3 meter</v>
          </cell>
          <cell r="C3730" t="str">
            <v>Steam hose 3 M</v>
          </cell>
          <cell r="D3730">
            <v>239</v>
          </cell>
          <cell r="E3730">
            <v>32.123655913978496</v>
          </cell>
        </row>
        <row r="3731">
          <cell r="A3731">
            <v>54287</v>
          </cell>
          <cell r="B3731" t="str">
            <v>Lejehus</v>
          </cell>
          <cell r="C3731" t="str">
            <v>Bearing housing</v>
          </cell>
          <cell r="D3731">
            <v>8056</v>
          </cell>
          <cell r="E3731">
            <v>1082.7956989247311</v>
          </cell>
        </row>
        <row r="3732">
          <cell r="A3732">
            <v>54305</v>
          </cell>
          <cell r="B3732" t="str">
            <v>Varmepatron 6 kW, 3x220V/3x400V</v>
          </cell>
          <cell r="C3732" t="str">
            <v>Heating element 6 kW, 3x220V/3x400V</v>
          </cell>
          <cell r="D3732">
            <v>3257</v>
          </cell>
          <cell r="E3732">
            <v>437.76881720430106</v>
          </cell>
        </row>
        <row r="3733">
          <cell r="A3733">
            <v>54313</v>
          </cell>
          <cell r="B3733" t="str">
            <v>Trykfjeder Ø12,5 x 2,5 L = 67,5</v>
          </cell>
          <cell r="C3733" t="str">
            <v>Pressure spring Ø12,5 x 2,5 L = 67,5</v>
          </cell>
          <cell r="D3733">
            <v>45</v>
          </cell>
          <cell r="E3733">
            <v>6.0483870967741931</v>
          </cell>
        </row>
        <row r="3734">
          <cell r="A3734">
            <v>54317</v>
          </cell>
          <cell r="B3734" t="str">
            <v>Afstandsrør</v>
          </cell>
          <cell r="C3734" t="str">
            <v>Distance pipe</v>
          </cell>
          <cell r="D3734">
            <v>2703</v>
          </cell>
          <cell r="E3734">
            <v>363.30645161290323</v>
          </cell>
        </row>
        <row r="3735">
          <cell r="A3735">
            <v>54318</v>
          </cell>
          <cell r="B3735" t="str">
            <v>Flange</v>
          </cell>
          <cell r="C3735" t="str">
            <v>Flange</v>
          </cell>
          <cell r="D3735">
            <v>975</v>
          </cell>
          <cell r="E3735">
            <v>131.04838709677418</v>
          </cell>
        </row>
        <row r="3736">
          <cell r="A3736">
            <v>54319</v>
          </cell>
          <cell r="B3736" t="str">
            <v>Dækplade</v>
          </cell>
          <cell r="C3736" t="str">
            <v>Cover plate</v>
          </cell>
          <cell r="D3736">
            <v>85</v>
          </cell>
          <cell r="E3736">
            <v>11.424731182795698</v>
          </cell>
        </row>
        <row r="3737">
          <cell r="A3737">
            <v>54321</v>
          </cell>
          <cell r="B3737" t="str">
            <v>Hus for niveau-transmitter</v>
          </cell>
          <cell r="C3737" t="str">
            <v>Housing for level transmitter</v>
          </cell>
          <cell r="D3737">
            <v>2014</v>
          </cell>
          <cell r="E3737">
            <v>270.69892473118279</v>
          </cell>
        </row>
        <row r="3738">
          <cell r="A3738">
            <v>54371</v>
          </cell>
          <cell r="B3738" t="str">
            <v>Klokke</v>
          </cell>
          <cell r="C3738" t="str">
            <v>Bell</v>
          </cell>
          <cell r="D3738">
            <v>11130</v>
          </cell>
          <cell r="E3738">
            <v>1495.9677419354839</v>
          </cell>
        </row>
        <row r="3739">
          <cell r="A3739">
            <v>54379</v>
          </cell>
          <cell r="B3739" t="str">
            <v>E500-280 (315) Tremmeskive fod</v>
          </cell>
          <cell r="C3739" t="str">
            <v>E500 -280 Belt pulley boot, lattice disc</v>
          </cell>
          <cell r="D3739">
            <v>12100</v>
          </cell>
          <cell r="E3739">
            <v>1626.3440860215053</v>
          </cell>
        </row>
        <row r="3740">
          <cell r="A3740">
            <v>54392</v>
          </cell>
          <cell r="B3740" t="str">
            <v>Varmepatron 6 kW, 3x575V</v>
          </cell>
          <cell r="C3740" t="str">
            <v>Heating element 6 kW, 3x575V</v>
          </cell>
          <cell r="D3740">
            <v>3257</v>
          </cell>
          <cell r="E3740">
            <v>437.76881720430106</v>
          </cell>
        </row>
        <row r="3741">
          <cell r="A3741">
            <v>54393</v>
          </cell>
          <cell r="B3741" t="str">
            <v>Kuglehane 1/2"</v>
          </cell>
          <cell r="C3741" t="str">
            <v>Ball valve 1/2"</v>
          </cell>
          <cell r="D3741">
            <v>143</v>
          </cell>
          <cell r="E3741">
            <v>19.22043010752688</v>
          </cell>
        </row>
        <row r="3742">
          <cell r="A3742">
            <v>54410</v>
          </cell>
          <cell r="B3742" t="str">
            <v>Hovedaksel EX1250</v>
          </cell>
          <cell r="C3742" t="str">
            <v>Mainshaft EX1250</v>
          </cell>
          <cell r="D3742">
            <v>31800</v>
          </cell>
          <cell r="E3742">
            <v>4274.1935483870966</v>
          </cell>
        </row>
        <row r="3743">
          <cell r="A3743">
            <v>54421</v>
          </cell>
          <cell r="B3743" t="str">
            <v>ESR rotor</v>
          </cell>
          <cell r="C3743" t="str">
            <v>ESR rotor</v>
          </cell>
          <cell r="D3743" t="str">
            <v>Seperate list</v>
          </cell>
          <cell r="E3743" t="e">
            <v>#VALUE!</v>
          </cell>
        </row>
        <row r="3744">
          <cell r="A3744">
            <v>54463</v>
          </cell>
          <cell r="B3744" t="str">
            <v>0 foring</v>
          </cell>
          <cell r="C3744" t="str">
            <v>0 sleeve</v>
          </cell>
          <cell r="D3744">
            <v>47700</v>
          </cell>
          <cell r="E3744">
            <v>6411.2903225806449</v>
          </cell>
        </row>
        <row r="3745">
          <cell r="A3745">
            <v>54464</v>
          </cell>
          <cell r="B3745" t="str">
            <v>Vandkappe L=500</v>
          </cell>
          <cell r="C3745" t="str">
            <v>Water jacket L=500</v>
          </cell>
          <cell r="D3745">
            <v>42506</v>
          </cell>
          <cell r="E3745">
            <v>5713.1720430107525</v>
          </cell>
        </row>
        <row r="3746">
          <cell r="A3746">
            <v>54474</v>
          </cell>
          <cell r="B3746" t="str">
            <v>Vandkappe konisk</v>
          </cell>
          <cell r="C3746" t="str">
            <v>Water jacket conical</v>
          </cell>
          <cell r="D3746">
            <v>50350</v>
          </cell>
          <cell r="E3746">
            <v>6767.4731182795695</v>
          </cell>
        </row>
        <row r="3747">
          <cell r="A3747">
            <v>54488</v>
          </cell>
          <cell r="B3747" t="str">
            <v>Feder C 10 x 8 x 52 DS98</v>
          </cell>
          <cell r="C3747" t="str">
            <v>Parallel key C 10 x 8 x 52 DS98</v>
          </cell>
          <cell r="D3747">
            <v>34</v>
          </cell>
          <cell r="E3747">
            <v>4.5698924731182791</v>
          </cell>
        </row>
        <row r="3748">
          <cell r="A3748">
            <v>54493</v>
          </cell>
          <cell r="B3748" t="str">
            <v>Labyrintring</v>
          </cell>
          <cell r="C3748" t="str">
            <v>Labyrint ring</v>
          </cell>
          <cell r="D3748">
            <v>3265</v>
          </cell>
          <cell r="E3748">
            <v>438.84408602150535</v>
          </cell>
        </row>
        <row r="3749">
          <cell r="A3749">
            <v>54495</v>
          </cell>
          <cell r="B3749" t="str">
            <v>Akseltap</v>
          </cell>
          <cell r="C3749" t="str">
            <v>Journal</v>
          </cell>
          <cell r="D3749">
            <v>1908</v>
          </cell>
          <cell r="E3749">
            <v>256.45161290322579</v>
          </cell>
        </row>
        <row r="3750">
          <cell r="A3750">
            <v>54498</v>
          </cell>
          <cell r="B3750" t="str">
            <v>Hus for labyrintring</v>
          </cell>
          <cell r="C3750" t="str">
            <v>House for labyrint ring</v>
          </cell>
          <cell r="D3750">
            <v>2067</v>
          </cell>
          <cell r="E3750">
            <v>277.82258064516128</v>
          </cell>
        </row>
        <row r="3751">
          <cell r="A3751">
            <v>54500</v>
          </cell>
          <cell r="B3751" t="str">
            <v>Mellemflange</v>
          </cell>
          <cell r="C3751" t="str">
            <v>Intermediate flange</v>
          </cell>
          <cell r="D3751">
            <v>4187</v>
          </cell>
          <cell r="E3751">
            <v>562.76881720430106</v>
          </cell>
        </row>
        <row r="3752">
          <cell r="A3752">
            <v>54505</v>
          </cell>
          <cell r="B3752" t="str">
            <v>Feder C 8 x 7 x 88 DS98</v>
          </cell>
          <cell r="C3752" t="str">
            <v>Parallel key C 8 x 7 x 88 DS98</v>
          </cell>
          <cell r="D3752">
            <v>10.6</v>
          </cell>
          <cell r="E3752">
            <v>1.4247311827956988</v>
          </cell>
        </row>
        <row r="3753">
          <cell r="A3753">
            <v>54513</v>
          </cell>
          <cell r="B3753" t="str">
            <v>Endebund ved gear</v>
          </cell>
          <cell r="C3753" t="str">
            <v>End plate at gear</v>
          </cell>
          <cell r="D3753">
            <v>3127</v>
          </cell>
          <cell r="E3753">
            <v>420.29569892473114</v>
          </cell>
        </row>
        <row r="3754">
          <cell r="A3754">
            <v>54518</v>
          </cell>
          <cell r="B3754" t="str">
            <v>6kt. Skrue M14 x 40 DIN933</v>
          </cell>
          <cell r="C3754" t="str">
            <v>Hexagon screw M14 x 40 DIN933</v>
          </cell>
          <cell r="D3754">
            <v>13.3</v>
          </cell>
          <cell r="E3754">
            <v>1.7876344086021505</v>
          </cell>
        </row>
        <row r="3755">
          <cell r="A3755">
            <v>54534</v>
          </cell>
          <cell r="B3755" t="str">
            <v>Gearmotor 3,0 kW</v>
          </cell>
          <cell r="C3755" t="str">
            <v>Gearmotor 3,0 kW</v>
          </cell>
          <cell r="D3755">
            <v>9222</v>
          </cell>
          <cell r="E3755">
            <v>1239.516129032258</v>
          </cell>
        </row>
        <row r="3756">
          <cell r="A3756">
            <v>54582</v>
          </cell>
          <cell r="B3756" t="str">
            <v>Knivhus  EX 1250</v>
          </cell>
          <cell r="C3756" t="str">
            <v>Knife house</v>
          </cell>
          <cell r="D3756">
            <v>58230</v>
          </cell>
          <cell r="E3756">
            <v>7826.6129032258059</v>
          </cell>
        </row>
        <row r="3757">
          <cell r="A3757">
            <v>54589</v>
          </cell>
          <cell r="B3757" t="str">
            <v>Svingarm</v>
          </cell>
          <cell r="C3757" t="str">
            <v>Swing arm</v>
          </cell>
          <cell r="D3757">
            <v>3074</v>
          </cell>
          <cell r="E3757">
            <v>413.17204301075265</v>
          </cell>
        </row>
        <row r="3758">
          <cell r="A3758">
            <v>54590</v>
          </cell>
          <cell r="B3758" t="str">
            <v>Afstandsplade</v>
          </cell>
          <cell r="C3758" t="str">
            <v>Distance plate</v>
          </cell>
          <cell r="D3758">
            <v>652</v>
          </cell>
          <cell r="E3758">
            <v>87.634408602150529</v>
          </cell>
        </row>
        <row r="3759">
          <cell r="A3759">
            <v>54596</v>
          </cell>
          <cell r="B3759" t="str">
            <v>Slidring</v>
          </cell>
          <cell r="C3759" t="str">
            <v>Wear ring</v>
          </cell>
          <cell r="D3759">
            <v>180</v>
          </cell>
          <cell r="E3759">
            <v>24.193548387096772</v>
          </cell>
        </row>
        <row r="3760">
          <cell r="A3760">
            <v>54600</v>
          </cell>
          <cell r="B3760" t="str">
            <v>Akselbuk Star</v>
          </cell>
          <cell r="C3760" t="str">
            <v>Shaft bracket Star</v>
          </cell>
          <cell r="D3760">
            <v>811</v>
          </cell>
          <cell r="E3760">
            <v>109.00537634408602</v>
          </cell>
        </row>
        <row r="3761">
          <cell r="A3761">
            <v>54601</v>
          </cell>
          <cell r="B3761" t="str">
            <v>Aksel Star hærdet  40 x 550</v>
          </cell>
          <cell r="C3761" t="str">
            <v>Shaft Star hærdet ø 40 x 550</v>
          </cell>
          <cell r="D3761">
            <v>1113</v>
          </cell>
          <cell r="E3761">
            <v>149.59677419354838</v>
          </cell>
        </row>
        <row r="3762">
          <cell r="A3762">
            <v>54602</v>
          </cell>
          <cell r="B3762" t="str">
            <v>Linearsæt</v>
          </cell>
          <cell r="C3762" t="str">
            <v>Linear set</v>
          </cell>
          <cell r="D3762">
            <v>1961</v>
          </cell>
          <cell r="E3762">
            <v>263.57526881720429</v>
          </cell>
        </row>
        <row r="3763">
          <cell r="A3763">
            <v>54625</v>
          </cell>
          <cell r="B3763" t="str">
            <v>Dysehals</v>
          </cell>
          <cell r="C3763" t="str">
            <v>Die throat</v>
          </cell>
          <cell r="D3763">
            <v>9010</v>
          </cell>
          <cell r="E3763">
            <v>1211.0215053763441</v>
          </cell>
        </row>
        <row r="3764">
          <cell r="A3764">
            <v>54645</v>
          </cell>
          <cell r="B3764" t="str">
            <v>Indsats for dysehals</v>
          </cell>
          <cell r="C3764" t="str">
            <v>Cartridge for die throat</v>
          </cell>
          <cell r="D3764">
            <v>4770</v>
          </cell>
          <cell r="E3764">
            <v>641.12903225806451</v>
          </cell>
        </row>
        <row r="3765">
          <cell r="A3765">
            <v>54649</v>
          </cell>
          <cell r="B3765" t="str">
            <v>Dysering uden huller</v>
          </cell>
          <cell r="C3765" t="str">
            <v>Dysering uden huller</v>
          </cell>
          <cell r="D3765">
            <v>4134</v>
          </cell>
          <cell r="E3765">
            <v>555.64516129032256</v>
          </cell>
        </row>
        <row r="3766">
          <cell r="A3766">
            <v>54650</v>
          </cell>
          <cell r="B3766" t="str">
            <v>Hængsel</v>
          </cell>
          <cell r="C3766" t="str">
            <v>Hinge</v>
          </cell>
          <cell r="D3766">
            <v>1749</v>
          </cell>
          <cell r="E3766">
            <v>235.08064516129031</v>
          </cell>
        </row>
        <row r="3767">
          <cell r="A3767">
            <v>54651</v>
          </cell>
          <cell r="B3767" t="str">
            <v>Hængseltap</v>
          </cell>
          <cell r="C3767" t="str">
            <v>Pintle</v>
          </cell>
          <cell r="D3767">
            <v>546</v>
          </cell>
          <cell r="E3767">
            <v>73.387096774193552</v>
          </cell>
        </row>
        <row r="3768">
          <cell r="A3768">
            <v>54656</v>
          </cell>
          <cell r="B3768" t="str">
            <v>Beslag for switch</v>
          </cell>
          <cell r="C3768" t="str">
            <v>Bracket for switch</v>
          </cell>
          <cell r="D3768">
            <v>398</v>
          </cell>
          <cell r="E3768">
            <v>53.494623655913976</v>
          </cell>
        </row>
        <row r="3769">
          <cell r="A3769">
            <v>54657</v>
          </cell>
          <cell r="B3769" t="str">
            <v>Dysebase EX1250</v>
          </cell>
          <cell r="C3769" t="str">
            <v>Die base EX1250</v>
          </cell>
          <cell r="D3769">
            <v>26542</v>
          </cell>
          <cell r="E3769">
            <v>3567.4731182795699</v>
          </cell>
        </row>
        <row r="3770">
          <cell r="A3770">
            <v>54659</v>
          </cell>
          <cell r="B3770" t="str">
            <v>Hus for dysebase</v>
          </cell>
          <cell r="C3770" t="str">
            <v>House for die base</v>
          </cell>
          <cell r="D3770">
            <v>28726</v>
          </cell>
          <cell r="E3770">
            <v>3861.0215053763441</v>
          </cell>
        </row>
        <row r="3771">
          <cell r="A3771">
            <v>54672</v>
          </cell>
          <cell r="B3771" t="str">
            <v>Trug</v>
          </cell>
          <cell r="C3771" t="str">
            <v>Screw trough</v>
          </cell>
          <cell r="D3771">
            <v>20034</v>
          </cell>
          <cell r="E3771">
            <v>2692.7419354838707</v>
          </cell>
        </row>
        <row r="3772">
          <cell r="A3772">
            <v>54682</v>
          </cell>
          <cell r="B3772" t="str">
            <v>Endebund</v>
          </cell>
          <cell r="C3772" t="str">
            <v>End plate</v>
          </cell>
          <cell r="D3772">
            <v>2756</v>
          </cell>
          <cell r="E3772">
            <v>370.43010752688173</v>
          </cell>
        </row>
        <row r="3773">
          <cell r="A3773">
            <v>54716</v>
          </cell>
          <cell r="B3773" t="str">
            <v>Arm lang for knivhus</v>
          </cell>
          <cell r="C3773" t="str">
            <v>Arm long</v>
          </cell>
          <cell r="D3773">
            <v>795</v>
          </cell>
          <cell r="E3773">
            <v>106.85483870967741</v>
          </cell>
        </row>
        <row r="3774">
          <cell r="A3774">
            <v>54718</v>
          </cell>
          <cell r="B3774" t="str">
            <v>Trekantplade for knivhus</v>
          </cell>
          <cell r="C3774" t="str">
            <v>Three-square plate for knife house</v>
          </cell>
          <cell r="D3774">
            <v>806</v>
          </cell>
          <cell r="E3774">
            <v>108.33333333333333</v>
          </cell>
        </row>
        <row r="3775">
          <cell r="A3775">
            <v>54719</v>
          </cell>
          <cell r="B3775" t="str">
            <v>Aksel for knivhuslukker</v>
          </cell>
          <cell r="C3775" t="str">
            <v>Shaft for knifehouse</v>
          </cell>
          <cell r="D3775">
            <v>1007</v>
          </cell>
          <cell r="E3775">
            <v>135.34946236559139</v>
          </cell>
        </row>
        <row r="3776">
          <cell r="A3776">
            <v>54721</v>
          </cell>
          <cell r="B3776" t="str">
            <v>Bøsning for knivhus</v>
          </cell>
          <cell r="C3776" t="str">
            <v>Bushing for knife house</v>
          </cell>
          <cell r="D3776">
            <v>345</v>
          </cell>
          <cell r="E3776">
            <v>46.37096774193548</v>
          </cell>
        </row>
        <row r="3777">
          <cell r="A3777">
            <v>54722</v>
          </cell>
          <cell r="B3777" t="str">
            <v>Drivaksel</v>
          </cell>
          <cell r="C3777" t="str">
            <v>Drive shaft</v>
          </cell>
          <cell r="D3777">
            <v>13542</v>
          </cell>
          <cell r="E3777">
            <v>1820.1612903225805</v>
          </cell>
        </row>
        <row r="3778">
          <cell r="A3778">
            <v>54723</v>
          </cell>
          <cell r="B3778" t="str">
            <v>Strammeaksel</v>
          </cell>
          <cell r="C3778" t="str">
            <v>Tightening shaft</v>
          </cell>
          <cell r="D3778">
            <v>15211</v>
          </cell>
          <cell r="E3778">
            <v>2044.4892473118277</v>
          </cell>
        </row>
        <row r="3779">
          <cell r="A3779">
            <v>54728</v>
          </cell>
          <cell r="B3779" t="str">
            <v>Ophængsplade</v>
          </cell>
          <cell r="C3779" t="str">
            <v>Suspension plate</v>
          </cell>
          <cell r="D3779">
            <v>928</v>
          </cell>
          <cell r="E3779">
            <v>124.73118279569891</v>
          </cell>
        </row>
        <row r="3780">
          <cell r="A3780">
            <v>54734</v>
          </cell>
          <cell r="B3780" t="str">
            <v>Arm kort for knivhus</v>
          </cell>
          <cell r="C3780" t="str">
            <v>Arm short</v>
          </cell>
          <cell r="D3780">
            <v>292</v>
          </cell>
          <cell r="E3780">
            <v>39.247311827956985</v>
          </cell>
        </row>
        <row r="3781">
          <cell r="A3781">
            <v>54735</v>
          </cell>
          <cell r="B3781" t="str">
            <v>Gevindklods for knivmotor justering</v>
          </cell>
          <cell r="C3781" t="str">
            <v>Thread block for knife motor adjusting</v>
          </cell>
          <cell r="D3781">
            <v>663</v>
          </cell>
          <cell r="E3781">
            <v>89.112903225806448</v>
          </cell>
        </row>
        <row r="3782">
          <cell r="A3782">
            <v>54736</v>
          </cell>
          <cell r="B3782" t="str">
            <v>Motorplade for 11 kW motor</v>
          </cell>
          <cell r="C3782" t="str">
            <v>Motor plate for 11 kW motor</v>
          </cell>
          <cell r="D3782">
            <v>2682</v>
          </cell>
          <cell r="E3782">
            <v>360.48387096774189</v>
          </cell>
        </row>
        <row r="3783">
          <cell r="A3783">
            <v>54738</v>
          </cell>
          <cell r="B3783" t="str">
            <v>Bundplade</v>
          </cell>
          <cell r="C3783" t="str">
            <v>Bottom plate</v>
          </cell>
          <cell r="D3783">
            <v>3286</v>
          </cell>
          <cell r="E3783">
            <v>441.66666666666663</v>
          </cell>
        </row>
        <row r="3784">
          <cell r="A3784">
            <v>54739</v>
          </cell>
          <cell r="B3784" t="str">
            <v>Stang for knivhuslukker</v>
          </cell>
          <cell r="C3784" t="str">
            <v>Rod</v>
          </cell>
          <cell r="D3784">
            <v>196</v>
          </cell>
          <cell r="E3784">
            <v>26.344086021505376</v>
          </cell>
        </row>
        <row r="3785">
          <cell r="A3785">
            <v>54740</v>
          </cell>
          <cell r="B3785" t="str">
            <v>Justerbeslag</v>
          </cell>
          <cell r="C3785" t="str">
            <v>Adjusting support</v>
          </cell>
          <cell r="D3785">
            <v>186</v>
          </cell>
          <cell r="E3785">
            <v>25</v>
          </cell>
        </row>
        <row r="3786">
          <cell r="A3786">
            <v>54741</v>
          </cell>
          <cell r="B3786" t="str">
            <v>Sideplade højre</v>
          </cell>
          <cell r="C3786" t="str">
            <v>Side plate right</v>
          </cell>
          <cell r="D3786">
            <v>1929</v>
          </cell>
          <cell r="E3786">
            <v>259.27419354838707</v>
          </cell>
        </row>
        <row r="3787">
          <cell r="A3787">
            <v>54742</v>
          </cell>
          <cell r="B3787" t="str">
            <v>Sideplade venstre</v>
          </cell>
          <cell r="C3787" t="str">
            <v>Side plate left</v>
          </cell>
          <cell r="D3787">
            <v>1929</v>
          </cell>
          <cell r="E3787">
            <v>259.27419354838707</v>
          </cell>
        </row>
        <row r="3788">
          <cell r="A3788">
            <v>54743</v>
          </cell>
          <cell r="B3788" t="str">
            <v>Låsebøsning</v>
          </cell>
          <cell r="C3788" t="str">
            <v>Lock bushing</v>
          </cell>
          <cell r="D3788">
            <v>1325</v>
          </cell>
          <cell r="E3788">
            <v>178.09139784946237</v>
          </cell>
        </row>
        <row r="3789">
          <cell r="A3789">
            <v>54751</v>
          </cell>
          <cell r="B3789" t="str">
            <v>Styrering FRB 17,5/200</v>
          </cell>
          <cell r="C3789" t="str">
            <v>Guide ring FRB 17,5/200</v>
          </cell>
          <cell r="D3789">
            <v>95</v>
          </cell>
          <cell r="E3789">
            <v>12.768817204301074</v>
          </cell>
        </row>
        <row r="3790">
          <cell r="A3790">
            <v>54752</v>
          </cell>
          <cell r="B3790" t="str">
            <v>Sfærisk kugleleje 1319k/H319</v>
          </cell>
          <cell r="C3790" t="str">
            <v>Spherical ball bearing 1319k/H319</v>
          </cell>
          <cell r="D3790">
            <v>1882</v>
          </cell>
          <cell r="E3790">
            <v>252.95698924731181</v>
          </cell>
        </row>
        <row r="3791">
          <cell r="A3791">
            <v>54755</v>
          </cell>
          <cell r="B3791" t="str">
            <v>Linear sæt Ø20 superbøsning</v>
          </cell>
          <cell r="C3791" t="str">
            <v>Linear set Ø20 super bushing</v>
          </cell>
          <cell r="D3791">
            <v>1023</v>
          </cell>
          <cell r="E3791">
            <v>137.5</v>
          </cell>
        </row>
        <row r="3792">
          <cell r="A3792">
            <v>54769</v>
          </cell>
          <cell r="B3792" t="str">
            <v>Knivaksel</v>
          </cell>
          <cell r="C3792" t="str">
            <v>Knife shaft</v>
          </cell>
          <cell r="D3792">
            <v>5247</v>
          </cell>
          <cell r="E3792">
            <v>705.24193548387098</v>
          </cell>
        </row>
        <row r="3793">
          <cell r="A3793">
            <v>54771</v>
          </cell>
          <cell r="B3793" t="str">
            <v>Bremsemotor 11 kW motor, bremse 230V</v>
          </cell>
          <cell r="C3793" t="str">
            <v>Brake motor 11 kW motor, brake 230V</v>
          </cell>
          <cell r="D3793">
            <v>21306</v>
          </cell>
          <cell r="E3793">
            <v>2863.7096774193546</v>
          </cell>
        </row>
        <row r="3794">
          <cell r="A3794">
            <v>54774</v>
          </cell>
          <cell r="B3794" t="str">
            <v>Aksel star hærdet  ø 50 x 1200</v>
          </cell>
          <cell r="C3794" t="str">
            <v>Shaft star ø 50 x 1200</v>
          </cell>
          <cell r="D3794">
            <v>3551</v>
          </cell>
          <cell r="E3794">
            <v>477.28494623655911</v>
          </cell>
        </row>
        <row r="3795">
          <cell r="A3795">
            <v>54778</v>
          </cell>
          <cell r="B3795" t="str">
            <v>Låsetap</v>
          </cell>
          <cell r="C3795" t="str">
            <v>Lock pin</v>
          </cell>
          <cell r="D3795">
            <v>636</v>
          </cell>
          <cell r="E3795">
            <v>85.483870967741936</v>
          </cell>
        </row>
        <row r="3796">
          <cell r="A3796">
            <v>54780</v>
          </cell>
          <cell r="B3796" t="str">
            <v>Vibrationsdæmper</v>
          </cell>
          <cell r="C3796" t="str">
            <v>Rubber element</v>
          </cell>
          <cell r="D3796">
            <v>154</v>
          </cell>
          <cell r="E3796">
            <v>20.698924731182796</v>
          </cell>
        </row>
        <row r="3797">
          <cell r="A3797">
            <v>54790</v>
          </cell>
          <cell r="B3797" t="str">
            <v>Knivhoved 8 knive  EX1250</v>
          </cell>
          <cell r="C3797" t="str">
            <v>Knifehead 8-blade EX 1250</v>
          </cell>
          <cell r="D3797">
            <v>13850</v>
          </cell>
          <cell r="E3797">
            <v>1861.5591397849462</v>
          </cell>
        </row>
        <row r="3798">
          <cell r="A3798">
            <v>54794</v>
          </cell>
          <cell r="B3798" t="str">
            <v>Inspektionslem</v>
          </cell>
          <cell r="C3798" t="str">
            <v>Inspection door</v>
          </cell>
          <cell r="D3798">
            <v>2056</v>
          </cell>
          <cell r="E3798">
            <v>276.34408602150535</v>
          </cell>
        </row>
        <row r="3799">
          <cell r="A3799">
            <v>54795</v>
          </cell>
          <cell r="B3799" t="str">
            <v>PT 100 føler, komplet incl. Hus</v>
          </cell>
          <cell r="C3799" t="str">
            <v>PT100 sensor compl inc. Housing</v>
          </cell>
          <cell r="D3799">
            <v>885</v>
          </cell>
          <cell r="E3799">
            <v>118.95161290322579</v>
          </cell>
        </row>
        <row r="3800">
          <cell r="A3800">
            <v>54796</v>
          </cell>
          <cell r="B3800" t="str">
            <v>Akselbuk star Ø20</v>
          </cell>
          <cell r="C3800" t="str">
            <v>Shaft bracket star Ø20</v>
          </cell>
          <cell r="D3800">
            <v>413</v>
          </cell>
          <cell r="E3800">
            <v>55.51075268817204</v>
          </cell>
        </row>
        <row r="3801">
          <cell r="A3801">
            <v>54799</v>
          </cell>
          <cell r="B3801" t="str">
            <v>O-ring Ø319,20 x 3,53 NBR</v>
          </cell>
          <cell r="C3801" t="str">
            <v>O-ring Ø319,20 x 3,53 NBR</v>
          </cell>
          <cell r="D3801">
            <v>21</v>
          </cell>
          <cell r="E3801">
            <v>2.82258064516129</v>
          </cell>
        </row>
        <row r="3802">
          <cell r="A3802">
            <v>54802</v>
          </cell>
          <cell r="B3802" t="str">
            <v>Aksel star hærdet Ø20 x 430</v>
          </cell>
          <cell r="C3802" t="str">
            <v>Shaft star hardened Ø20 x 430</v>
          </cell>
          <cell r="D3802">
            <v>387</v>
          </cell>
          <cell r="E3802">
            <v>52.016129032258064</v>
          </cell>
        </row>
        <row r="3803">
          <cell r="A3803">
            <v>54803</v>
          </cell>
          <cell r="B3803" t="str">
            <v>Tætningsring for knivhus</v>
          </cell>
          <cell r="C3803" t="str">
            <v>Sealing ring for knife house</v>
          </cell>
          <cell r="D3803">
            <v>11400</v>
          </cell>
          <cell r="E3803">
            <v>1532.258064516129</v>
          </cell>
        </row>
        <row r="3804">
          <cell r="A3804">
            <v>54805</v>
          </cell>
          <cell r="B3804" t="str">
            <v>Galge</v>
          </cell>
          <cell r="C3804" t="str">
            <v>Support for knife house</v>
          </cell>
          <cell r="D3804">
            <v>6307</v>
          </cell>
          <cell r="E3804">
            <v>847.71505376344078</v>
          </cell>
        </row>
        <row r="3805">
          <cell r="A3805">
            <v>54820</v>
          </cell>
          <cell r="B3805" t="str">
            <v>Dysetip Bete  EF750</v>
          </cell>
          <cell r="C3805" t="str">
            <v>Nozzle tip  EF750</v>
          </cell>
          <cell r="D3805">
            <v>3440</v>
          </cell>
          <cell r="E3805">
            <v>462.36559139784941</v>
          </cell>
        </row>
        <row r="3806">
          <cell r="A3806">
            <v>54822</v>
          </cell>
          <cell r="B3806" t="str">
            <v>Knivhoved 6-blads EX17</v>
          </cell>
          <cell r="C3806" t="str">
            <v>Knifehead 6-blade EX17</v>
          </cell>
          <cell r="D3806">
            <v>8750</v>
          </cell>
          <cell r="E3806">
            <v>1176.0752688172042</v>
          </cell>
        </row>
        <row r="3807">
          <cell r="A3807">
            <v>54823</v>
          </cell>
          <cell r="B3807" t="str">
            <v>Knivhoved 4-blads EX17</v>
          </cell>
          <cell r="C3807" t="str">
            <v>Knifehead 4-blade EX17</v>
          </cell>
          <cell r="D3807">
            <v>6148</v>
          </cell>
          <cell r="E3807">
            <v>826.34408602150529</v>
          </cell>
        </row>
        <row r="3808">
          <cell r="A3808">
            <v>54824</v>
          </cell>
          <cell r="B3808" t="str">
            <v>Knivhoved  10-blads EX20</v>
          </cell>
          <cell r="C3808" t="str">
            <v>Knifehead 10-blade EX20</v>
          </cell>
          <cell r="D3808">
            <v>11900</v>
          </cell>
          <cell r="E3808">
            <v>1599.4623655913977</v>
          </cell>
        </row>
        <row r="3809">
          <cell r="A3809">
            <v>54873</v>
          </cell>
          <cell r="B3809" t="str">
            <v>O-ring Ø380 x 5 VITON</v>
          </cell>
          <cell r="C3809" t="str">
            <v>O-ring Ø380 x 5 VITON</v>
          </cell>
          <cell r="D3809">
            <v>223</v>
          </cell>
          <cell r="E3809">
            <v>29.973118279569892</v>
          </cell>
        </row>
        <row r="3810">
          <cell r="A3810">
            <v>54878</v>
          </cell>
          <cell r="B3810" t="str">
            <v>Vinkelbeslag</v>
          </cell>
          <cell r="C3810" t="str">
            <v>Angel bracket</v>
          </cell>
          <cell r="D3810">
            <v>647</v>
          </cell>
          <cell r="E3810">
            <v>86.962365591397841</v>
          </cell>
        </row>
        <row r="3811">
          <cell r="A3811">
            <v>54884</v>
          </cell>
          <cell r="B3811" t="str">
            <v>Vinkelbeslag for switch</v>
          </cell>
          <cell r="C3811" t="str">
            <v>Angel bracket for switch</v>
          </cell>
          <cell r="D3811">
            <v>329</v>
          </cell>
          <cell r="E3811">
            <v>44.22043010752688</v>
          </cell>
        </row>
        <row r="3812">
          <cell r="A3812">
            <v>54887</v>
          </cell>
          <cell r="B3812" t="str">
            <v>Beslag for switch</v>
          </cell>
          <cell r="C3812" t="str">
            <v>Bracket for switch</v>
          </cell>
          <cell r="D3812">
            <v>795</v>
          </cell>
          <cell r="E3812">
            <v>106.85483870967741</v>
          </cell>
        </row>
        <row r="3813">
          <cell r="A3813">
            <v>54889</v>
          </cell>
          <cell r="B3813" t="str">
            <v>Sluse  renoveret</v>
          </cell>
          <cell r="C3813" t="str">
            <v xml:space="preserve">Airlock </v>
          </cell>
          <cell r="D3813">
            <v>107500</v>
          </cell>
          <cell r="E3813">
            <v>14448.924731182795</v>
          </cell>
        </row>
        <row r="3814">
          <cell r="A3814">
            <v>54943</v>
          </cell>
          <cell r="B3814" t="str">
            <v>Hus</v>
          </cell>
          <cell r="C3814" t="str">
            <v>Housing</v>
          </cell>
          <cell r="D3814">
            <v>313</v>
          </cell>
          <cell r="E3814">
            <v>42.06989247311828</v>
          </cell>
        </row>
        <row r="3815">
          <cell r="A3815">
            <v>54952</v>
          </cell>
          <cell r="B3815" t="str">
            <v>O-ring Ø340 x 5 VITON</v>
          </cell>
          <cell r="C3815" t="str">
            <v>O-ring Ø340 x 5 VITON</v>
          </cell>
          <cell r="D3815">
            <v>302</v>
          </cell>
          <cell r="E3815">
            <v>40.591397849462361</v>
          </cell>
        </row>
        <row r="3816">
          <cell r="A3816">
            <v>54957</v>
          </cell>
          <cell r="B3816" t="str">
            <v>Spindel</v>
          </cell>
          <cell r="C3816" t="str">
            <v>Spindle</v>
          </cell>
          <cell r="D3816">
            <v>334</v>
          </cell>
          <cell r="E3816">
            <v>44.892473118279568</v>
          </cell>
        </row>
        <row r="3817">
          <cell r="A3817">
            <v>54976</v>
          </cell>
          <cell r="B3817" t="str">
            <v>Kontraventil komplet incl. pos. 2 – 9</v>
          </cell>
          <cell r="C3817" t="str">
            <v>Nonreturn valve complete incl.. item. 2 – 9</v>
          </cell>
          <cell r="D3817">
            <v>1447</v>
          </cell>
          <cell r="E3817">
            <v>194.48924731182794</v>
          </cell>
        </row>
        <row r="3818">
          <cell r="A3818">
            <v>54993</v>
          </cell>
          <cell r="B3818" t="str">
            <v>Cyl. skrue M5 x 70 A2 DIN912</v>
          </cell>
          <cell r="C3818" t="str">
            <v>Cyl. screw M5 x 70 A2 DIN912</v>
          </cell>
          <cell r="D3818">
            <v>5.5</v>
          </cell>
          <cell r="E3818">
            <v>0.739247311827957</v>
          </cell>
        </row>
        <row r="3819">
          <cell r="A3819">
            <v>55050</v>
          </cell>
          <cell r="B3819" t="str">
            <v>Prop for vandkappe – kort</v>
          </cell>
          <cell r="C3819" t="str">
            <v>Plug for water jacket – short</v>
          </cell>
          <cell r="D3819">
            <v>281</v>
          </cell>
          <cell r="E3819">
            <v>37.768817204301072</v>
          </cell>
        </row>
        <row r="3820">
          <cell r="A3820">
            <v>55057</v>
          </cell>
          <cell r="B3820" t="str">
            <v>Møtrik</v>
          </cell>
          <cell r="C3820" t="str">
            <v>Nut</v>
          </cell>
          <cell r="D3820">
            <v>1781</v>
          </cell>
          <cell r="E3820">
            <v>239.38172043010752</v>
          </cell>
        </row>
        <row r="3821">
          <cell r="A3821">
            <v>55145</v>
          </cell>
          <cell r="B3821" t="str">
            <v>K315 M80 RF kæde med påsvejst laske</v>
          </cell>
          <cell r="C3821" t="str">
            <v>K315 M80 stainless chain with welded on plate link</v>
          </cell>
          <cell r="D3821">
            <v>1850</v>
          </cell>
          <cell r="E3821">
            <v>248.65591397849462</v>
          </cell>
        </row>
        <row r="3822">
          <cell r="A3822">
            <v>55196</v>
          </cell>
          <cell r="B3822" t="str">
            <v>Lågelås, Guardmaster TLS3-GD2 24VDC</v>
          </cell>
          <cell r="C3822" t="str">
            <v>Lock, Guardmaster TLS3-GD2 24VDC</v>
          </cell>
          <cell r="D3822">
            <v>1707</v>
          </cell>
          <cell r="E3822">
            <v>229.43548387096774</v>
          </cell>
        </row>
        <row r="3823">
          <cell r="A3823">
            <v>55225</v>
          </cell>
          <cell r="B3823" t="str">
            <v>Lågelås, Guardmaster TLS3-GD2 230VAC</v>
          </cell>
          <cell r="C3823" t="str">
            <v>Lock, Guardmaster TLS3-GD2 230VAC</v>
          </cell>
          <cell r="D3823">
            <v>1707</v>
          </cell>
          <cell r="E3823">
            <v>229.43548387096774</v>
          </cell>
        </row>
        <row r="3824">
          <cell r="A3824">
            <v>55227</v>
          </cell>
          <cell r="B3824" t="str">
            <v>O-ring Ø32,93 x 3,53 VITON</v>
          </cell>
          <cell r="C3824" t="str">
            <v>O-ring Ø32,93 x 3,53 VITON</v>
          </cell>
          <cell r="D3824">
            <v>8</v>
          </cell>
          <cell r="E3824">
            <v>1.075268817204301</v>
          </cell>
        </row>
        <row r="3825">
          <cell r="A3825">
            <v>55228</v>
          </cell>
          <cell r="B3825" t="str">
            <v>Skive</v>
          </cell>
          <cell r="C3825" t="str">
            <v>Dish</v>
          </cell>
          <cell r="D3825">
            <v>30</v>
          </cell>
          <cell r="E3825">
            <v>4.032258064516129</v>
          </cell>
        </row>
        <row r="3826">
          <cell r="A3826">
            <v>55292</v>
          </cell>
          <cell r="B3826" t="str">
            <v>Endestop</v>
          </cell>
          <cell r="C3826" t="str">
            <v>End stop</v>
          </cell>
          <cell r="D3826">
            <v>318</v>
          </cell>
          <cell r="E3826">
            <v>42.741935483870968</v>
          </cell>
        </row>
        <row r="3827">
          <cell r="A3827">
            <v>55293</v>
          </cell>
          <cell r="B3827" t="str">
            <v>Afstandsring</v>
          </cell>
          <cell r="C3827" t="str">
            <v>Distance ring</v>
          </cell>
          <cell r="D3827">
            <v>265</v>
          </cell>
          <cell r="E3827">
            <v>35.618279569892472</v>
          </cell>
        </row>
        <row r="3828">
          <cell r="A3828">
            <v>55294</v>
          </cell>
          <cell r="B3828" t="str">
            <v>Afstandsring</v>
          </cell>
          <cell r="C3828" t="str">
            <v>Distance ring</v>
          </cell>
          <cell r="D3828">
            <v>636</v>
          </cell>
          <cell r="E3828">
            <v>85.483870967741936</v>
          </cell>
        </row>
        <row r="3829">
          <cell r="A3829">
            <v>55295</v>
          </cell>
          <cell r="B3829" t="str">
            <v xml:space="preserve">Ring for kobling </v>
          </cell>
          <cell r="C3829" t="str">
            <v>Ring for coupling</v>
          </cell>
          <cell r="D3829">
            <v>127</v>
          </cell>
          <cell r="E3829">
            <v>17.06989247311828</v>
          </cell>
        </row>
        <row r="3830">
          <cell r="A3830">
            <v>55299</v>
          </cell>
          <cell r="B3830" t="str">
            <v>Konus for knivhus</v>
          </cell>
          <cell r="C3830" t="str">
            <v>Cone for knife house</v>
          </cell>
          <cell r="D3830">
            <v>9010</v>
          </cell>
          <cell r="E3830">
            <v>1211.0215053763441</v>
          </cell>
        </row>
        <row r="3831">
          <cell r="A3831">
            <v>55308</v>
          </cell>
          <cell r="B3831" t="str">
            <v>Koblingsoverpart</v>
          </cell>
          <cell r="C3831" t="str">
            <v>Couplings overpart</v>
          </cell>
          <cell r="D3831">
            <v>12985</v>
          </cell>
          <cell r="E3831">
            <v>1745.2956989247311</v>
          </cell>
        </row>
        <row r="3832">
          <cell r="A3832">
            <v>55329</v>
          </cell>
          <cell r="B3832" t="str">
            <v>Holder konus</v>
          </cell>
          <cell r="C3832" t="str">
            <v>Holder for cone</v>
          </cell>
          <cell r="D3832">
            <v>901</v>
          </cell>
          <cell r="E3832">
            <v>121.1021505376344</v>
          </cell>
        </row>
        <row r="3833">
          <cell r="A3833">
            <v>55348</v>
          </cell>
          <cell r="B3833" t="str">
            <v>Koblingsgreb</v>
          </cell>
          <cell r="C3833" t="str">
            <v>Closing bracket for coupling</v>
          </cell>
          <cell r="D3833">
            <v>1219</v>
          </cell>
          <cell r="E3833">
            <v>163.84408602150538</v>
          </cell>
        </row>
        <row r="3834">
          <cell r="A3834">
            <v>55373</v>
          </cell>
          <cell r="B3834" t="str">
            <v>Bajonetring</v>
          </cell>
          <cell r="C3834" t="str">
            <v>Bayonet ring</v>
          </cell>
          <cell r="D3834">
            <v>10547</v>
          </cell>
          <cell r="E3834">
            <v>1417.6075268817203</v>
          </cell>
        </row>
        <row r="3835">
          <cell r="A3835">
            <v>55379</v>
          </cell>
          <cell r="B3835" t="str">
            <v>Tryktransmitter</v>
          </cell>
          <cell r="C3835" t="str">
            <v>Pressure transmitter</v>
          </cell>
          <cell r="D3835">
            <v>2592</v>
          </cell>
          <cell r="E3835">
            <v>348.38709677419354</v>
          </cell>
        </row>
        <row r="3836">
          <cell r="A3836">
            <v>55446</v>
          </cell>
          <cell r="B3836" t="str">
            <v>Hus for akseltætning</v>
          </cell>
          <cell r="C3836" t="str">
            <v>House for shaft sealing</v>
          </cell>
          <cell r="D3836">
            <v>2581</v>
          </cell>
          <cell r="E3836">
            <v>346.9086021505376</v>
          </cell>
        </row>
        <row r="3837">
          <cell r="A3837">
            <v>55451</v>
          </cell>
          <cell r="B3837" t="str">
            <v>Labyrint for akseltætning</v>
          </cell>
          <cell r="C3837" t="str">
            <v>Labyrint for shaft sealing</v>
          </cell>
          <cell r="D3837">
            <v>6360</v>
          </cell>
          <cell r="E3837">
            <v>854.83870967741927</v>
          </cell>
        </row>
        <row r="3838">
          <cell r="A3838">
            <v>55454</v>
          </cell>
          <cell r="B3838" t="str">
            <v>Støttering</v>
          </cell>
          <cell r="C3838" t="str">
            <v>Support ring</v>
          </cell>
          <cell r="D3838">
            <v>1113</v>
          </cell>
          <cell r="E3838">
            <v>149.59677419354838</v>
          </cell>
        </row>
        <row r="3839">
          <cell r="A3839">
            <v>55457</v>
          </cell>
          <cell r="B3839" t="str">
            <v>Afstandsring</v>
          </cell>
          <cell r="C3839" t="str">
            <v>Distance ring</v>
          </cell>
          <cell r="D3839">
            <v>1034</v>
          </cell>
          <cell r="E3839">
            <v>138.97849462365591</v>
          </cell>
        </row>
        <row r="3840">
          <cell r="A3840">
            <v>55470</v>
          </cell>
          <cell r="B3840" t="str">
            <v>Pakning for konus</v>
          </cell>
          <cell r="C3840" t="str">
            <v>Packing for cone</v>
          </cell>
          <cell r="D3840">
            <v>572</v>
          </cell>
          <cell r="E3840">
            <v>76.881720430107521</v>
          </cell>
        </row>
        <row r="3841">
          <cell r="A3841">
            <v>55476</v>
          </cell>
          <cell r="B3841" t="str">
            <v>Tætningsring Ø220/ø250 x 15 A</v>
          </cell>
          <cell r="C3841" t="str">
            <v>Sealing ring Ø220/ø250 x 15 A</v>
          </cell>
          <cell r="D3841">
            <v>64</v>
          </cell>
          <cell r="E3841">
            <v>8.6021505376344081</v>
          </cell>
        </row>
        <row r="3842">
          <cell r="A3842">
            <v>55484</v>
          </cell>
          <cell r="B3842" t="str">
            <v xml:space="preserve">Manometer 1-3,0 Bar DN100 </v>
          </cell>
          <cell r="C3842" t="str">
            <v>Manometer - 1-3,0 Bar DN100</v>
          </cell>
          <cell r="D3842">
            <v>952</v>
          </cell>
          <cell r="E3842">
            <v>127.95698924731182</v>
          </cell>
        </row>
        <row r="3843">
          <cell r="A3843">
            <v>55485</v>
          </cell>
          <cell r="B3843" t="str">
            <v>O-ring Ø240,0 x 3,00 VITON</v>
          </cell>
          <cell r="C3843" t="str">
            <v>O-ring Ø240,0 x 3,00 VITON</v>
          </cell>
          <cell r="D3843">
            <v>73</v>
          </cell>
          <cell r="E3843">
            <v>9.8118279569892461</v>
          </cell>
        </row>
        <row r="3844">
          <cell r="A3844">
            <v>55486</v>
          </cell>
          <cell r="B3844" t="str">
            <v xml:space="preserve">Pakning for koblingsoverpart </v>
          </cell>
          <cell r="C3844" t="str">
            <v>Packing for couplings overpart</v>
          </cell>
          <cell r="D3844">
            <v>615</v>
          </cell>
          <cell r="E3844">
            <v>82.661290322580641</v>
          </cell>
        </row>
        <row r="3845">
          <cell r="A3845">
            <v>55501</v>
          </cell>
          <cell r="B3845" t="str">
            <v>Feder A 28 x 16 x 70 DS96</v>
          </cell>
          <cell r="C3845" t="str">
            <v>Parallel key A 28 x 16 x 70 DS96</v>
          </cell>
          <cell r="D3845">
            <v>22</v>
          </cell>
          <cell r="E3845">
            <v>2.956989247311828</v>
          </cell>
        </row>
        <row r="3846">
          <cell r="A3846">
            <v>55514</v>
          </cell>
          <cell r="B3846" t="str">
            <v>Skillevæg for ventilator ø560</v>
          </cell>
          <cell r="C3846" t="str">
            <v>Partition for ventilator ø560</v>
          </cell>
          <cell r="D3846">
            <v>1802</v>
          </cell>
          <cell r="E3846">
            <v>242.2043010752688</v>
          </cell>
        </row>
        <row r="3847">
          <cell r="A3847">
            <v>55522</v>
          </cell>
          <cell r="B3847" t="str">
            <v>Pakning for koblingsunderpart</v>
          </cell>
          <cell r="C3847" t="str">
            <v>Packing for coupling bottom part</v>
          </cell>
          <cell r="D3847">
            <v>572</v>
          </cell>
          <cell r="E3847">
            <v>76.881720430107521</v>
          </cell>
        </row>
        <row r="3848">
          <cell r="A3848">
            <v>55545</v>
          </cell>
          <cell r="B3848" t="str">
            <v>Bayonet</v>
          </cell>
          <cell r="C3848" t="str">
            <v>Bayonet socket for knife house</v>
          </cell>
          <cell r="D3848">
            <v>11289</v>
          </cell>
          <cell r="E3848">
            <v>1517.3387096774193</v>
          </cell>
        </row>
        <row r="3849">
          <cell r="A3849">
            <v>55547</v>
          </cell>
          <cell r="B3849" t="str">
            <v>Slidring for bajonet fatning</v>
          </cell>
          <cell r="C3849" t="str">
            <v>Wearing ring for bayonet socket</v>
          </cell>
          <cell r="D3849">
            <v>451</v>
          </cell>
          <cell r="E3849">
            <v>60.618279569892472</v>
          </cell>
        </row>
        <row r="3850">
          <cell r="A3850">
            <v>55618</v>
          </cell>
          <cell r="B3850" t="str">
            <v>Rulleholderaksel MV615</v>
          </cell>
          <cell r="C3850" t="str">
            <v>Roller main shaft MV615</v>
          </cell>
          <cell r="D3850">
            <v>92464</v>
          </cell>
          <cell r="E3850">
            <v>12427.956989247312</v>
          </cell>
        </row>
        <row r="3851">
          <cell r="A3851">
            <v>55662</v>
          </cell>
          <cell r="B3851" t="str">
            <v>Dysetip Bete  EF700</v>
          </cell>
          <cell r="C3851" t="str">
            <v>Nozzle tip  EF700</v>
          </cell>
          <cell r="D3851">
            <v>3440</v>
          </cell>
          <cell r="E3851">
            <v>462.36559139784941</v>
          </cell>
        </row>
        <row r="3852">
          <cell r="A3852">
            <v>55701</v>
          </cell>
          <cell r="B3852" t="str">
            <v>Hovedaksel PMV615</v>
          </cell>
          <cell r="C3852" t="str">
            <v>Mainshaft PMV615</v>
          </cell>
          <cell r="D3852">
            <v>38860</v>
          </cell>
          <cell r="E3852">
            <v>5223.1182795698924</v>
          </cell>
        </row>
        <row r="3853">
          <cell r="A3853">
            <v>55706</v>
          </cell>
          <cell r="B3853" t="str">
            <v>Pillekammer, højrehængslet PMV615</v>
          </cell>
          <cell r="C3853" t="str">
            <v>Pellet chamber right hinged PMV615</v>
          </cell>
          <cell r="D3853">
            <v>47630</v>
          </cell>
          <cell r="E3853">
            <v>6401.8817204301076</v>
          </cell>
        </row>
        <row r="3854">
          <cell r="A3854">
            <v>55707</v>
          </cell>
          <cell r="B3854" t="str">
            <v>Støttearr for spjæld  HPB 10001</v>
          </cell>
          <cell r="C3854" t="str">
            <v xml:space="preserve">Supporting shaft for slide </v>
          </cell>
          <cell r="D3854">
            <v>7155</v>
          </cell>
          <cell r="E3854">
            <v>961.69354838709671</v>
          </cell>
        </row>
        <row r="3855">
          <cell r="A3855">
            <v>55773</v>
          </cell>
          <cell r="B3855" t="str">
            <v>Erstattet af 041927</v>
          </cell>
          <cell r="C3855" t="str">
            <v>Replaced by 041927</v>
          </cell>
          <cell r="D3855" t="str">
            <v>replaced</v>
          </cell>
          <cell r="E3855" t="e">
            <v>#VALUE!</v>
          </cell>
        </row>
        <row r="3856">
          <cell r="A3856">
            <v>55807</v>
          </cell>
          <cell r="B3856" t="str">
            <v>Dyse 120GR. 3,15 l/min ved 2 BAR</v>
          </cell>
          <cell r="C3856" t="str">
            <v>Nozzle 120GR. 3,15 l/min at 2 BAR</v>
          </cell>
          <cell r="D3856">
            <v>477</v>
          </cell>
          <cell r="E3856">
            <v>64.112903225806448</v>
          </cell>
        </row>
        <row r="3857">
          <cell r="A3857">
            <v>55810</v>
          </cell>
          <cell r="B3857" t="str">
            <v>Bagplade for pillekammer PM919/1219</v>
          </cell>
          <cell r="C3857" t="str">
            <v>Backplate for pellet chamber PM919/1219</v>
          </cell>
          <cell r="D3857">
            <v>3410</v>
          </cell>
          <cell r="E3857">
            <v>458.33333333333331</v>
          </cell>
        </row>
        <row r="3858">
          <cell r="A3858">
            <v>55811</v>
          </cell>
          <cell r="B3858" t="str">
            <v>Sluse PAM 38/420 220-240V/380-415V – 50Hz, incl. pos. 16</v>
          </cell>
          <cell r="C3858" t="str">
            <v>Sluice PAM 38/420, 220-240V/380-415V – 50Hz, incl. pos. 16</v>
          </cell>
          <cell r="D3858">
            <v>148100</v>
          </cell>
          <cell r="E3858">
            <v>19905.913978494624</v>
          </cell>
        </row>
        <row r="3859">
          <cell r="A3859">
            <v>55822</v>
          </cell>
          <cell r="B3859" t="str">
            <v>Knivhoved  10-blads EX17</v>
          </cell>
          <cell r="C3859" t="str">
            <v>Knifehead 10-blade EX17</v>
          </cell>
          <cell r="D3859">
            <v>10600</v>
          </cell>
          <cell r="E3859">
            <v>1424.7311827956989</v>
          </cell>
        </row>
        <row r="3860">
          <cell r="A3860">
            <v>55823</v>
          </cell>
          <cell r="B3860" t="str">
            <v>Spændeplade for knivblad, smal EX</v>
          </cell>
          <cell r="C3860" t="str">
            <v>Tension plate for knifeblade narrow, EX</v>
          </cell>
          <cell r="D3860">
            <v>176</v>
          </cell>
          <cell r="E3860">
            <v>23.655913978494624</v>
          </cell>
        </row>
        <row r="3861">
          <cell r="A3861">
            <v>55872</v>
          </cell>
          <cell r="B3861" t="str">
            <v>Montering  rulle PM1219</v>
          </cell>
          <cell r="C3861" t="str">
            <v>Mounting Roller PM 1219</v>
          </cell>
          <cell r="D3861">
            <v>1050</v>
          </cell>
          <cell r="E3861">
            <v>141.12903225806451</v>
          </cell>
        </row>
        <row r="3862">
          <cell r="A3862">
            <v>55873</v>
          </cell>
          <cell r="B3862" t="str">
            <v>Sprinkler rør</v>
          </cell>
          <cell r="C3862" t="str">
            <v>Sprinkler pipe</v>
          </cell>
          <cell r="D3862">
            <v>1643</v>
          </cell>
          <cell r="E3862">
            <v>220.83333333333331</v>
          </cell>
        </row>
        <row r="3863">
          <cell r="A3863">
            <v>55880</v>
          </cell>
          <cell r="B3863" t="str">
            <v>Låsering U310 x 6A DIN471</v>
          </cell>
          <cell r="C3863" t="str">
            <v>Lock ring U310 x 6A DIN471</v>
          </cell>
          <cell r="D3863">
            <v>1118</v>
          </cell>
          <cell r="E3863">
            <v>150.26881720430106</v>
          </cell>
        </row>
        <row r="3864">
          <cell r="A3864">
            <v>55890</v>
          </cell>
          <cell r="B3864" t="str">
            <v>Nav</v>
          </cell>
          <cell r="C3864" t="str">
            <v>Hub</v>
          </cell>
          <cell r="D3864">
            <v>6625</v>
          </cell>
          <cell r="E3864">
            <v>890.45698924731175</v>
          </cell>
        </row>
        <row r="3865">
          <cell r="A3865">
            <v>55891</v>
          </cell>
          <cell r="B3865" t="str">
            <v>Koblingsunderpart</v>
          </cell>
          <cell r="C3865" t="str">
            <v>Coupling bottom part</v>
          </cell>
          <cell r="D3865">
            <v>18126</v>
          </cell>
          <cell r="E3865">
            <v>2436.2903225806449</v>
          </cell>
        </row>
        <row r="3866">
          <cell r="A3866">
            <v>55899</v>
          </cell>
          <cell r="B3866" t="str">
            <v>Afdækningsplade for sluseophæng</v>
          </cell>
          <cell r="C3866" t="str">
            <v>Cover plate  for sluice</v>
          </cell>
          <cell r="D3866">
            <v>65</v>
          </cell>
          <cell r="E3866">
            <v>8.736559139784946</v>
          </cell>
        </row>
        <row r="3867">
          <cell r="A3867">
            <v>55900</v>
          </cell>
          <cell r="B3867" t="str">
            <v>Beslag for skærm</v>
          </cell>
          <cell r="C3867" t="str">
            <v>Bracket for screen</v>
          </cell>
          <cell r="D3867">
            <v>239</v>
          </cell>
          <cell r="E3867">
            <v>32.123655913978496</v>
          </cell>
        </row>
        <row r="3868">
          <cell r="A3868">
            <v>55901</v>
          </cell>
          <cell r="B3868" t="str">
            <v>Beslag for switch</v>
          </cell>
          <cell r="C3868" t="str">
            <v>Bracket for switch</v>
          </cell>
          <cell r="D3868">
            <v>223</v>
          </cell>
          <cell r="E3868">
            <v>29.973118279569892</v>
          </cell>
        </row>
        <row r="3869">
          <cell r="A3869">
            <v>55905</v>
          </cell>
          <cell r="B3869" t="str">
            <v>Trykring for bajonet</v>
          </cell>
          <cell r="C3869" t="str">
            <v>Pressure ring  for bayonet</v>
          </cell>
          <cell r="D3869">
            <v>371</v>
          </cell>
          <cell r="E3869">
            <v>49.865591397849457</v>
          </cell>
        </row>
        <row r="3870">
          <cell r="A3870">
            <v>55907</v>
          </cell>
          <cell r="B3870" t="str">
            <v>Skærm for kuglebøsning</v>
          </cell>
          <cell r="C3870" t="str">
            <v>Screen for ball bushing</v>
          </cell>
          <cell r="D3870">
            <v>689</v>
          </cell>
          <cell r="E3870">
            <v>92.607526881720432</v>
          </cell>
        </row>
        <row r="3871">
          <cell r="A3871">
            <v>55908</v>
          </cell>
          <cell r="B3871" t="str">
            <v>Skærm for sluseophæng</v>
          </cell>
          <cell r="C3871" t="str">
            <v>Screen for support for sluice</v>
          </cell>
          <cell r="D3871">
            <v>610</v>
          </cell>
          <cell r="E3871">
            <v>81.989247311827953</v>
          </cell>
        </row>
        <row r="3872">
          <cell r="A3872">
            <v>55911</v>
          </cell>
          <cell r="B3872" t="str">
            <v>Pakning for låg Knivhus EX1250</v>
          </cell>
          <cell r="C3872" t="str">
            <v>Packing for cover knife house EX12050</v>
          </cell>
          <cell r="D3872">
            <v>502</v>
          </cell>
          <cell r="E3872">
            <v>67.473118279569889</v>
          </cell>
        </row>
        <row r="3873">
          <cell r="A3873">
            <v>55912</v>
          </cell>
          <cell r="B3873" t="str">
            <v>Pakning for sluse ECS1250</v>
          </cell>
          <cell r="C3873" t="str">
            <v>Packing for sluise ECS1250</v>
          </cell>
          <cell r="D3873">
            <v>472</v>
          </cell>
          <cell r="E3873">
            <v>63.44086021505376</v>
          </cell>
        </row>
        <row r="3874">
          <cell r="A3874">
            <v>55915</v>
          </cell>
          <cell r="B3874" t="str">
            <v>Skærm for sluse</v>
          </cell>
          <cell r="C3874" t="str">
            <v>Screen for sluice</v>
          </cell>
          <cell r="D3874">
            <v>413</v>
          </cell>
          <cell r="E3874">
            <v>55.51075268817204</v>
          </cell>
        </row>
        <row r="3875">
          <cell r="A3875">
            <v>55916</v>
          </cell>
          <cell r="B3875" t="str">
            <v>Pakning for lem Knivhus EX1250</v>
          </cell>
          <cell r="C3875" t="str">
            <v>Packing for hatch knife house EX1250</v>
          </cell>
          <cell r="D3875">
            <v>272</v>
          </cell>
          <cell r="E3875">
            <v>36.559139784946233</v>
          </cell>
        </row>
        <row r="3876">
          <cell r="A3876">
            <v>55917</v>
          </cell>
          <cell r="B3876" t="str">
            <v>Skærm for cylinder</v>
          </cell>
          <cell r="C3876" t="str">
            <v>Screen for cylinder</v>
          </cell>
          <cell r="D3876">
            <v>583</v>
          </cell>
          <cell r="E3876">
            <v>78.36021505376344</v>
          </cell>
        </row>
        <row r="3877">
          <cell r="A3877">
            <v>55923</v>
          </cell>
          <cell r="B3877" t="str">
            <v>Bajonetring</v>
          </cell>
          <cell r="C3877" t="str">
            <v>Bayonet ring</v>
          </cell>
          <cell r="D3877">
            <v>8978</v>
          </cell>
          <cell r="E3877">
            <v>1206.7204301075269</v>
          </cell>
        </row>
        <row r="3878">
          <cell r="A3878">
            <v>55924</v>
          </cell>
          <cell r="B3878" t="str">
            <v>Skærm for sprængmembran</v>
          </cell>
          <cell r="C3878" t="str">
            <v>Screening for blasting membrane</v>
          </cell>
          <cell r="D3878">
            <v>1246</v>
          </cell>
          <cell r="E3878">
            <v>167.47311827956989</v>
          </cell>
        </row>
        <row r="3879">
          <cell r="A3879">
            <v>55932</v>
          </cell>
          <cell r="B3879" t="str">
            <v>Sluseophæng</v>
          </cell>
          <cell r="C3879" t="str">
            <v>Support for sluice</v>
          </cell>
          <cell r="D3879">
            <v>7950</v>
          </cell>
          <cell r="E3879">
            <v>1068.5483870967741</v>
          </cell>
        </row>
        <row r="3880">
          <cell r="A3880">
            <v>55936</v>
          </cell>
          <cell r="B3880" t="str">
            <v>Plade for kuglebøsning</v>
          </cell>
          <cell r="C3880" t="str">
            <v>Plate for ball bushing</v>
          </cell>
          <cell r="D3880">
            <v>1399</v>
          </cell>
          <cell r="E3880">
            <v>188.03763440860214</v>
          </cell>
        </row>
        <row r="3881">
          <cell r="A3881">
            <v>55947</v>
          </cell>
          <cell r="B3881" t="str">
            <v>Stopbeslag for sluseophæng</v>
          </cell>
          <cell r="C3881" t="str">
            <v>Stop bracket</v>
          </cell>
          <cell r="D3881">
            <v>186</v>
          </cell>
          <cell r="E3881">
            <v>25</v>
          </cell>
        </row>
        <row r="3882">
          <cell r="A3882">
            <v>55949</v>
          </cell>
          <cell r="B3882" t="str">
            <v>Koblingsgreb</v>
          </cell>
          <cell r="C3882" t="str">
            <v>Closing bracket for coupling</v>
          </cell>
          <cell r="D3882">
            <v>323</v>
          </cell>
          <cell r="E3882">
            <v>43.413978494623656</v>
          </cell>
        </row>
        <row r="3883">
          <cell r="A3883">
            <v>55950</v>
          </cell>
          <cell r="B3883" t="str">
            <v>Koblingsoverpart</v>
          </cell>
          <cell r="C3883" t="str">
            <v>Couplings over part</v>
          </cell>
          <cell r="D3883">
            <v>9010</v>
          </cell>
          <cell r="E3883">
            <v>1211.0215053763441</v>
          </cell>
        </row>
        <row r="3884">
          <cell r="A3884">
            <v>55956</v>
          </cell>
          <cell r="B3884" t="str">
            <v>Vandudskiller</v>
          </cell>
          <cell r="C3884" t="str">
            <v>Water seperator</v>
          </cell>
          <cell r="D3884">
            <v>4558</v>
          </cell>
          <cell r="E3884">
            <v>612.63440860215053</v>
          </cell>
        </row>
        <row r="3885">
          <cell r="A3885">
            <v>55961</v>
          </cell>
          <cell r="B3885" t="str">
            <v>Sideplade venstre</v>
          </cell>
          <cell r="C3885" t="str">
            <v>Side plate left</v>
          </cell>
          <cell r="D3885">
            <v>42</v>
          </cell>
          <cell r="E3885">
            <v>5.6451612903225801</v>
          </cell>
        </row>
        <row r="3886">
          <cell r="A3886">
            <v>55963</v>
          </cell>
          <cell r="B3886" t="str">
            <v>Sideplade højre</v>
          </cell>
          <cell r="C3886" t="str">
            <v>Side plate right</v>
          </cell>
          <cell r="D3886">
            <v>42</v>
          </cell>
          <cell r="E3886">
            <v>5.6451612903225801</v>
          </cell>
        </row>
        <row r="3887">
          <cell r="A3887">
            <v>55966</v>
          </cell>
          <cell r="B3887" t="str">
            <v>Smuldskærm</v>
          </cell>
          <cell r="C3887" t="str">
            <v>Fines screen</v>
          </cell>
          <cell r="D3887">
            <v>3763</v>
          </cell>
          <cell r="E3887">
            <v>505.77956989247309</v>
          </cell>
        </row>
        <row r="3888">
          <cell r="A3888">
            <v>55968</v>
          </cell>
          <cell r="B3888" t="str">
            <v>Pilleskærm for indløb</v>
          </cell>
          <cell r="C3888" t="str">
            <v>Pellet screen for inlet</v>
          </cell>
          <cell r="D3888">
            <v>4214</v>
          </cell>
          <cell r="E3888">
            <v>566.39784946236557</v>
          </cell>
        </row>
        <row r="3889">
          <cell r="A3889">
            <v>55970</v>
          </cell>
          <cell r="B3889" t="str">
            <v>Hængselstav</v>
          </cell>
          <cell r="C3889" t="str">
            <v>Hinge stick</v>
          </cell>
          <cell r="D3889">
            <v>106</v>
          </cell>
          <cell r="E3889">
            <v>14.247311827956988</v>
          </cell>
        </row>
        <row r="3890">
          <cell r="A3890">
            <v>55975</v>
          </cell>
          <cell r="B3890" t="str">
            <v>Drivaksel</v>
          </cell>
          <cell r="C3890" t="str">
            <v>Drive shaft</v>
          </cell>
          <cell r="D3890">
            <v>9381</v>
          </cell>
          <cell r="E3890">
            <v>1260.8870967741934</v>
          </cell>
        </row>
        <row r="3891">
          <cell r="A3891">
            <v>55978</v>
          </cell>
          <cell r="B3891" t="str">
            <v>Strammeaksel</v>
          </cell>
          <cell r="C3891" t="str">
            <v>Tightening shaft</v>
          </cell>
          <cell r="D3891">
            <v>10070</v>
          </cell>
          <cell r="E3891">
            <v>1353.494623655914</v>
          </cell>
        </row>
        <row r="3892">
          <cell r="A3892">
            <v>55992</v>
          </cell>
          <cell r="B3892" t="str">
            <v>Lamel P02</v>
          </cell>
          <cell r="C3892" t="str">
            <v>Lamel P02</v>
          </cell>
          <cell r="D3892">
            <v>376</v>
          </cell>
          <cell r="E3892">
            <v>50.537634408602145</v>
          </cell>
        </row>
        <row r="3893">
          <cell r="A3893">
            <v>56009</v>
          </cell>
          <cell r="B3893" t="str">
            <v>Ekspansionsbeholder</v>
          </cell>
          <cell r="C3893" t="str">
            <v>Expansion tank</v>
          </cell>
          <cell r="D3893">
            <v>408</v>
          </cell>
          <cell r="E3893">
            <v>54.838709677419352</v>
          </cell>
        </row>
        <row r="3894">
          <cell r="A3894">
            <v>56021</v>
          </cell>
          <cell r="B3894" t="str">
            <v>Manometer G63 - 250 kg/cm²</v>
          </cell>
          <cell r="C3894" t="str">
            <v>Pressyre gauge G63   250 bar</v>
          </cell>
          <cell r="D3894">
            <v>281</v>
          </cell>
          <cell r="E3894">
            <v>37.768817204301072</v>
          </cell>
        </row>
        <row r="3895">
          <cell r="A3895">
            <v>56029</v>
          </cell>
          <cell r="B3895" t="str">
            <v>Rørholder</v>
          </cell>
          <cell r="C3895" t="str">
            <v>Pipe clamp</v>
          </cell>
          <cell r="D3895">
            <v>35</v>
          </cell>
          <cell r="E3895">
            <v>4.704301075268817</v>
          </cell>
        </row>
        <row r="3896">
          <cell r="A3896">
            <v>56034</v>
          </cell>
          <cell r="B3896" t="str">
            <v>Sikringsstift Ø17,5mm PM717</v>
          </cell>
          <cell r="C3896" t="str">
            <v>Safety pin Ø17,5mm PM717</v>
          </cell>
          <cell r="D3896">
            <v>318</v>
          </cell>
          <cell r="E3896">
            <v>42.741935483870968</v>
          </cell>
        </row>
        <row r="3897">
          <cell r="A3897">
            <v>56044</v>
          </cell>
          <cell r="B3897" t="str">
            <v>Knivhus  ECS BC 160</v>
          </cell>
          <cell r="C3897" t="str">
            <v>Knife house</v>
          </cell>
          <cell r="D3897">
            <v>60950</v>
          </cell>
          <cell r="E3897">
            <v>8192.2043010752677</v>
          </cell>
        </row>
        <row r="3898">
          <cell r="A3898">
            <v>56062</v>
          </cell>
          <cell r="B3898" t="str">
            <v>Aksel for hængsel</v>
          </cell>
          <cell r="C3898" t="str">
            <v>Shaft for hinge</v>
          </cell>
          <cell r="D3898">
            <v>217</v>
          </cell>
          <cell r="E3898">
            <v>29.166666666666664</v>
          </cell>
        </row>
        <row r="3899">
          <cell r="A3899">
            <v>56067</v>
          </cell>
          <cell r="B3899" t="str">
            <v>Stift ø12 x 32 DIN7</v>
          </cell>
          <cell r="C3899" t="str">
            <v>Pin ø12 x 32 DIN7</v>
          </cell>
          <cell r="D3899">
            <v>5.8</v>
          </cell>
          <cell r="E3899">
            <v>0.77956989247311825</v>
          </cell>
        </row>
        <row r="3900">
          <cell r="A3900">
            <v>56071</v>
          </cell>
          <cell r="B3900" t="str">
            <v>Stift ø12 x 100 DIN7</v>
          </cell>
          <cell r="C3900" t="str">
            <v>Pin ø12 x 100 DIN7</v>
          </cell>
          <cell r="D3900">
            <v>13.8</v>
          </cell>
          <cell r="E3900">
            <v>1.8548387096774193</v>
          </cell>
        </row>
        <row r="3901">
          <cell r="A3901">
            <v>56077</v>
          </cell>
          <cell r="B3901" t="str">
            <v>Knivaksel</v>
          </cell>
          <cell r="C3901" t="str">
            <v>Knife shaft</v>
          </cell>
          <cell r="D3901">
            <v>11300</v>
          </cell>
          <cell r="E3901">
            <v>1518.8172043010752</v>
          </cell>
        </row>
        <row r="3902">
          <cell r="A3902">
            <v>56078</v>
          </cell>
          <cell r="B3902" t="str">
            <v>Bolt for vibrationsdæmper</v>
          </cell>
          <cell r="C3902" t="str">
            <v>Bolt for rubber element</v>
          </cell>
          <cell r="D3902">
            <v>175</v>
          </cell>
          <cell r="E3902">
            <v>23.521505376344084</v>
          </cell>
        </row>
        <row r="3903">
          <cell r="A3903">
            <v>56079</v>
          </cell>
          <cell r="B3903" t="str">
            <v>Hængsel for ramme 4 x M8</v>
          </cell>
          <cell r="C3903" t="str">
            <v>Hinge for frame 4 x M8</v>
          </cell>
          <cell r="D3903">
            <v>85</v>
          </cell>
          <cell r="E3903">
            <v>11.424731182795698</v>
          </cell>
        </row>
        <row r="3904">
          <cell r="A3904">
            <v>56081</v>
          </cell>
          <cell r="B3904" t="str">
            <v>Håndtag</v>
          </cell>
          <cell r="C3904" t="str">
            <v>Handle</v>
          </cell>
          <cell r="D3904">
            <v>23</v>
          </cell>
          <cell r="E3904">
            <v>3.0913978494623655</v>
          </cell>
        </row>
        <row r="3905">
          <cell r="A3905">
            <v>56099</v>
          </cell>
          <cell r="B3905" t="str">
            <v>O-ring Ø470,0 x Ø5,00 Viton</v>
          </cell>
          <cell r="C3905" t="str">
            <v>O-ring Ø470,0 x Ø5,00 Viton</v>
          </cell>
          <cell r="D3905">
            <v>525</v>
          </cell>
          <cell r="E3905">
            <v>70.564516129032256</v>
          </cell>
        </row>
        <row r="3906">
          <cell r="A3906">
            <v>56119</v>
          </cell>
          <cell r="B3906" t="str">
            <v>Lågelås, Guardmaster TLS3-GD2 110VAC</v>
          </cell>
          <cell r="C3906" t="str">
            <v>Lock, Guardmaster TLS3-GD2 110VAC</v>
          </cell>
          <cell r="D3906">
            <v>1770</v>
          </cell>
          <cell r="E3906">
            <v>237.90322580645159</v>
          </cell>
        </row>
        <row r="3907">
          <cell r="A3907">
            <v>56130</v>
          </cell>
          <cell r="B3907" t="str">
            <v>Rotor</v>
          </cell>
          <cell r="C3907" t="str">
            <v>Rotor</v>
          </cell>
          <cell r="D3907" t="str">
            <v>seperate list</v>
          </cell>
          <cell r="E3907" t="e">
            <v>#VALUE!</v>
          </cell>
        </row>
        <row r="3908">
          <cell r="A3908">
            <v>56132</v>
          </cell>
          <cell r="B3908" t="str">
            <v>Topdæksel for knivhus</v>
          </cell>
          <cell r="C3908" t="str">
            <v>Top cover for knife house</v>
          </cell>
          <cell r="D3908">
            <v>6678</v>
          </cell>
          <cell r="E3908">
            <v>897.58064516129025</v>
          </cell>
        </row>
        <row r="3909">
          <cell r="A3909">
            <v>56137</v>
          </cell>
          <cell r="B3909" t="str">
            <v>Dør komplet højre</v>
          </cell>
          <cell r="C3909" t="str">
            <v>Door complete right</v>
          </cell>
          <cell r="D3909">
            <v>3816</v>
          </cell>
          <cell r="E3909">
            <v>512.90322580645159</v>
          </cell>
        </row>
        <row r="3910">
          <cell r="A3910">
            <v>56138</v>
          </cell>
          <cell r="B3910" t="str">
            <v>Dør komplet venstre</v>
          </cell>
          <cell r="C3910" t="str">
            <v>Door complete left</v>
          </cell>
          <cell r="D3910">
            <v>3816</v>
          </cell>
          <cell r="E3910">
            <v>512.90322580645159</v>
          </cell>
        </row>
        <row r="3911">
          <cell r="A3911">
            <v>56153</v>
          </cell>
          <cell r="B3911" t="str">
            <v>Lamel P02</v>
          </cell>
          <cell r="C3911" t="str">
            <v>Lamel P02</v>
          </cell>
          <cell r="D3911">
            <v>583</v>
          </cell>
          <cell r="E3911">
            <v>78.36021505376344</v>
          </cell>
        </row>
        <row r="3912">
          <cell r="A3912">
            <v>56161</v>
          </cell>
          <cell r="B3912" t="str">
            <v>Rotor</v>
          </cell>
          <cell r="C3912" t="str">
            <v>Rotor</v>
          </cell>
          <cell r="D3912" t="str">
            <v>seperate list</v>
          </cell>
          <cell r="E3912" t="e">
            <v>#VALUE!</v>
          </cell>
        </row>
        <row r="3913">
          <cell r="A3913">
            <v>56210</v>
          </cell>
          <cell r="B3913" t="str">
            <v>Tætning for dør</v>
          </cell>
          <cell r="C3913" t="str">
            <v>Sealing for door</v>
          </cell>
          <cell r="D3913">
            <v>228</v>
          </cell>
          <cell r="E3913">
            <v>30.64516129032258</v>
          </cell>
        </row>
        <row r="3914">
          <cell r="A3914">
            <v>56213</v>
          </cell>
          <cell r="B3914" t="str">
            <v>Låsebeslag for ramme bred</v>
          </cell>
          <cell r="C3914" t="str">
            <v>Lock fittings for frame wide</v>
          </cell>
          <cell r="D3914">
            <v>27</v>
          </cell>
          <cell r="E3914">
            <v>3.629032258064516</v>
          </cell>
        </row>
        <row r="3915">
          <cell r="A3915">
            <v>56215</v>
          </cell>
          <cell r="B3915" t="str">
            <v>Låsebeslag for ramme højre</v>
          </cell>
          <cell r="C3915" t="str">
            <v>Lock fittings for frame right</v>
          </cell>
          <cell r="D3915">
            <v>331</v>
          </cell>
          <cell r="E3915">
            <v>44.489247311827953</v>
          </cell>
        </row>
        <row r="3916">
          <cell r="A3916">
            <v>56216</v>
          </cell>
          <cell r="B3916" t="str">
            <v>Låsebeslag for ramme venstre</v>
          </cell>
          <cell r="C3916" t="str">
            <v>Lock fittings for frame left</v>
          </cell>
          <cell r="D3916">
            <v>331</v>
          </cell>
          <cell r="E3916">
            <v>44.489247311827953</v>
          </cell>
        </row>
        <row r="3917">
          <cell r="A3917">
            <v>56291</v>
          </cell>
          <cell r="B3917" t="str">
            <v>Gear ED 2155 FS/20/S46 C1</v>
          </cell>
          <cell r="C3917" t="str">
            <v>Gear ED 2155 FS/20/S46 C1</v>
          </cell>
          <cell r="D3917">
            <v>37100</v>
          </cell>
          <cell r="E3917">
            <v>4986.5591397849457</v>
          </cell>
        </row>
        <row r="3918">
          <cell r="A3918">
            <v>56292</v>
          </cell>
          <cell r="B3918" t="str">
            <v>Gear ED 2255 FS/20/S46 C1</v>
          </cell>
          <cell r="C3918" t="str">
            <v>Gear ED 2255 FS/20/S46 C1</v>
          </cell>
          <cell r="D3918">
            <v>47850</v>
          </cell>
          <cell r="E3918">
            <v>6431.4516129032254</v>
          </cell>
        </row>
        <row r="3919">
          <cell r="A3919">
            <v>56293</v>
          </cell>
          <cell r="B3919" t="str">
            <v>Gear ED 2520 FS/22,4/S46 C1</v>
          </cell>
          <cell r="C3919" t="str">
            <v>Gear ED 2520 FS/22,4/S46 C1</v>
          </cell>
          <cell r="D3919">
            <v>73100</v>
          </cell>
          <cell r="E3919">
            <v>9825.2688172042999</v>
          </cell>
        </row>
        <row r="3920">
          <cell r="A3920">
            <v>56299</v>
          </cell>
          <cell r="B3920" t="str">
            <v>Motorkonsol  HPB 4001</v>
          </cell>
          <cell r="C3920" t="str">
            <v>Motor bracket</v>
          </cell>
          <cell r="D3920">
            <v>6593</v>
          </cell>
          <cell r="E3920">
            <v>886.1559139784946</v>
          </cell>
        </row>
        <row r="3921">
          <cell r="A3921">
            <v>56315</v>
          </cell>
          <cell r="B3921" t="str">
            <v>Sidepanel smal</v>
          </cell>
          <cell r="C3921" t="str">
            <v>Side panel narrow</v>
          </cell>
          <cell r="D3921">
            <v>890</v>
          </cell>
          <cell r="E3921">
            <v>119.62365591397848</v>
          </cell>
        </row>
        <row r="3922">
          <cell r="A3922">
            <v>56316</v>
          </cell>
          <cell r="B3922" t="str">
            <v>Endepanel bred</v>
          </cell>
          <cell r="C3922" t="str">
            <v>End panel wide</v>
          </cell>
          <cell r="D3922">
            <v>1590</v>
          </cell>
          <cell r="E3922">
            <v>213.70967741935482</v>
          </cell>
        </row>
        <row r="3923">
          <cell r="A3923">
            <v>56334</v>
          </cell>
          <cell r="B3923" t="str">
            <v>Dør smal højre komplet incl. pos. 4 – 9</v>
          </cell>
          <cell r="C3923" t="str">
            <v>Door narrow right complete incl. pos. 4 – 9</v>
          </cell>
          <cell r="D3923">
            <v>3816</v>
          </cell>
          <cell r="E3923">
            <v>512.90322580645159</v>
          </cell>
        </row>
        <row r="3924">
          <cell r="A3924">
            <v>56336</v>
          </cell>
          <cell r="B3924" t="str">
            <v>Dør smal venstre komplet incl. pos. 4 – 9</v>
          </cell>
          <cell r="C3924" t="str">
            <v>Door narrow left complete incl. pos. 4 – 9</v>
          </cell>
          <cell r="D3924">
            <v>3816</v>
          </cell>
          <cell r="E3924">
            <v>512.90322580645159</v>
          </cell>
        </row>
        <row r="3925">
          <cell r="A3925">
            <v>56338</v>
          </cell>
          <cell r="B3925" t="str">
            <v>Aksel</v>
          </cell>
          <cell r="C3925" t="str">
            <v>Shaft</v>
          </cell>
          <cell r="D3925">
            <v>7950</v>
          </cell>
          <cell r="E3925">
            <v>1068.5483870967741</v>
          </cell>
        </row>
        <row r="3926">
          <cell r="A3926">
            <v>56348</v>
          </cell>
          <cell r="B3926" t="str">
            <v>Tætningsskinne bundspjæld  HPB 10001</v>
          </cell>
          <cell r="C3926" t="str">
            <v xml:space="preserve">Sealing band </v>
          </cell>
          <cell r="D3926">
            <v>12800</v>
          </cell>
          <cell r="E3926">
            <v>1720.4301075268816</v>
          </cell>
        </row>
        <row r="3927">
          <cell r="A3927">
            <v>56366</v>
          </cell>
          <cell r="B3927" t="str">
            <v>Låsebeslag for rammelås</v>
          </cell>
          <cell r="C3927" t="str">
            <v>Lock fittings for frame lock</v>
          </cell>
          <cell r="D3927">
            <v>530</v>
          </cell>
          <cell r="E3927">
            <v>71.236559139784944</v>
          </cell>
        </row>
        <row r="3928">
          <cell r="A3928">
            <v>56388</v>
          </cell>
          <cell r="B3928" t="str">
            <v>Låge  Multi 630 B</v>
          </cell>
          <cell r="C3928" t="str">
            <v>Door</v>
          </cell>
          <cell r="D3928">
            <v>2756</v>
          </cell>
          <cell r="E3928">
            <v>370.43010752688173</v>
          </cell>
        </row>
        <row r="3929">
          <cell r="A3929">
            <v>56399</v>
          </cell>
          <cell r="B3929" t="str">
            <v>Knivhoved 12 knive  BC 160</v>
          </cell>
          <cell r="C3929" t="str">
            <v>Knife head complete with 12 knife, blade length = 60mm</v>
          </cell>
          <cell r="D3929">
            <v>22260</v>
          </cell>
          <cell r="E3929">
            <v>2991.9354838709678</v>
          </cell>
        </row>
        <row r="3930">
          <cell r="A3930">
            <v>56400</v>
          </cell>
          <cell r="B3930" t="str">
            <v>Sideskærm</v>
          </cell>
          <cell r="C3930" t="str">
            <v>Side screen</v>
          </cell>
          <cell r="D3930">
            <v>1431</v>
          </cell>
          <cell r="E3930">
            <v>192.33870967741933</v>
          </cell>
        </row>
        <row r="3931">
          <cell r="A3931">
            <v>56402</v>
          </cell>
          <cell r="B3931" t="str">
            <v>Inderskærm øverst</v>
          </cell>
          <cell r="C3931" t="str">
            <v>Inner screen upper</v>
          </cell>
          <cell r="D3931">
            <v>572</v>
          </cell>
          <cell r="E3931">
            <v>76.881720430107521</v>
          </cell>
        </row>
        <row r="3932">
          <cell r="A3932">
            <v>56403</v>
          </cell>
          <cell r="B3932" t="str">
            <v>Sideskærm</v>
          </cell>
          <cell r="C3932" t="str">
            <v>Side screen</v>
          </cell>
          <cell r="D3932">
            <v>769</v>
          </cell>
          <cell r="E3932">
            <v>103.36021505376344</v>
          </cell>
        </row>
        <row r="3933">
          <cell r="A3933">
            <v>56408</v>
          </cell>
          <cell r="B3933" t="str">
            <v>Kædeskærme</v>
          </cell>
          <cell r="C3933" t="str">
            <v>Chain screens</v>
          </cell>
          <cell r="D3933">
            <v>5088</v>
          </cell>
          <cell r="E3933">
            <v>683.87096774193549</v>
          </cell>
        </row>
        <row r="3934">
          <cell r="A3934">
            <v>56464</v>
          </cell>
          <cell r="B3934" t="str">
            <v>Samlesæt for trykekspansion</v>
          </cell>
          <cell r="C3934" t="str">
            <v>Connecting set for pressure expansion</v>
          </cell>
          <cell r="D3934">
            <v>1330</v>
          </cell>
          <cell r="E3934">
            <v>178.76344086021504</v>
          </cell>
        </row>
        <row r="3935">
          <cell r="A3935">
            <v>56466</v>
          </cell>
          <cell r="B3935" t="str">
            <v>Union for cirkulationspumpe 3/4"</v>
          </cell>
          <cell r="C3935" t="str">
            <v>Union for circulation pump 3/4"</v>
          </cell>
          <cell r="D3935">
            <v>54</v>
          </cell>
          <cell r="E3935">
            <v>7.258064516129032</v>
          </cell>
        </row>
        <row r="3936">
          <cell r="A3936">
            <v>56492</v>
          </cell>
          <cell r="B3936" t="str">
            <v>Bundramme 630 B</v>
          </cell>
          <cell r="C3936" t="str">
            <v>Frame</v>
          </cell>
          <cell r="D3936">
            <v>9752</v>
          </cell>
          <cell r="E3936">
            <v>1310.752688172043</v>
          </cell>
        </row>
        <row r="3937">
          <cell r="A3937">
            <v>56503</v>
          </cell>
          <cell r="B3937" t="str">
            <v>Bæreskinne 2M</v>
          </cell>
          <cell r="C3937" t="str">
            <v>Carrying rail 2M</v>
          </cell>
          <cell r="D3937">
            <v>466</v>
          </cell>
          <cell r="E3937">
            <v>62.634408602150536</v>
          </cell>
        </row>
        <row r="3938">
          <cell r="A3938">
            <v>56505</v>
          </cell>
          <cell r="B3938" t="str">
            <v>Bæreskinne</v>
          </cell>
          <cell r="C3938" t="str">
            <v>Carrying rail</v>
          </cell>
          <cell r="D3938">
            <v>514</v>
          </cell>
          <cell r="E3938">
            <v>69.086021505376337</v>
          </cell>
        </row>
        <row r="3939">
          <cell r="A3939">
            <v>56516</v>
          </cell>
          <cell r="B3939" t="str">
            <v>Aksel for låge</v>
          </cell>
          <cell r="C3939" t="str">
            <v>Mounting rail</v>
          </cell>
          <cell r="D3939">
            <v>822</v>
          </cell>
          <cell r="E3939">
            <v>110.48387096774194</v>
          </cell>
        </row>
        <row r="3940">
          <cell r="A3940">
            <v>56517</v>
          </cell>
          <cell r="B3940" t="str">
            <v>Skinne for låge  Multi 630 B</v>
          </cell>
          <cell r="C3940" t="str">
            <v>Rail for door</v>
          </cell>
          <cell r="D3940">
            <v>244</v>
          </cell>
          <cell r="E3940">
            <v>32.795698924731184</v>
          </cell>
        </row>
        <row r="3941">
          <cell r="A3941">
            <v>56539</v>
          </cell>
          <cell r="B3941" t="str">
            <v>Kuglehane DN15 komplet</v>
          </cell>
          <cell r="C3941" t="str">
            <v>Ball valve DN15 complete</v>
          </cell>
          <cell r="D3941">
            <v>19213</v>
          </cell>
          <cell r="E3941">
            <v>2582.3924731182792</v>
          </cell>
        </row>
        <row r="3942">
          <cell r="A3942">
            <v>56558</v>
          </cell>
          <cell r="B3942" t="str">
            <v>Fødecylinder PM/PMV919</v>
          </cell>
          <cell r="C3942" t="str">
            <v>Feed cone PM/PMV919</v>
          </cell>
          <cell r="D3942">
            <v>19080</v>
          </cell>
          <cell r="E3942">
            <v>2564.516129032258</v>
          </cell>
        </row>
        <row r="3943">
          <cell r="A3943">
            <v>56562</v>
          </cell>
          <cell r="B3943" t="str">
            <v>Pillekammer, 2-vægs, incl. pos. 16-25 PM919XW</v>
          </cell>
          <cell r="C3943" t="str">
            <v>Pellet chamber 2-wall incl. pos. 16-25 PM919XW</v>
          </cell>
          <cell r="D3943">
            <v>90100</v>
          </cell>
          <cell r="E3943">
            <v>12110.215053763441</v>
          </cell>
        </row>
        <row r="3944">
          <cell r="A3944">
            <v>56603</v>
          </cell>
          <cell r="B3944" t="str">
            <v>Tap for koblingsunderpart</v>
          </cell>
          <cell r="C3944" t="str">
            <v>Journal for coupling bottom part</v>
          </cell>
          <cell r="D3944">
            <v>413</v>
          </cell>
          <cell r="E3944">
            <v>55.51075268817204</v>
          </cell>
        </row>
        <row r="3945">
          <cell r="A3945">
            <v>56607</v>
          </cell>
          <cell r="B3945" t="str">
            <v>Skærm for sluse</v>
          </cell>
          <cell r="C3945" t="str">
            <v>Screen for sluice</v>
          </cell>
          <cell r="D3945">
            <v>1569</v>
          </cell>
          <cell r="E3945">
            <v>210.88709677419354</v>
          </cell>
        </row>
        <row r="3946">
          <cell r="A3946">
            <v>56622</v>
          </cell>
          <cell r="B3946" t="str">
            <v>O-ring Ø310,0 x Ø5,00 Viton</v>
          </cell>
          <cell r="C3946" t="str">
            <v>O-ring Ø310,0 x Ø5,00 Viton</v>
          </cell>
          <cell r="D3946">
            <v>165</v>
          </cell>
          <cell r="E3946">
            <v>22.177419354838708</v>
          </cell>
        </row>
        <row r="3947">
          <cell r="A3947">
            <v>56633</v>
          </cell>
          <cell r="B3947" t="str">
            <v>Indløbstragt</v>
          </cell>
          <cell r="C3947" t="str">
            <v>Inlet duct</v>
          </cell>
          <cell r="D3947">
            <v>12073</v>
          </cell>
          <cell r="E3947">
            <v>1622.7150537634407</v>
          </cell>
        </row>
        <row r="3948">
          <cell r="A3948">
            <v>56684</v>
          </cell>
          <cell r="B3948" t="str">
            <v>Sideplade venstre for hængsel f. knivhus</v>
          </cell>
          <cell r="C3948" t="str">
            <v>Side plate for knife house hinge, left</v>
          </cell>
          <cell r="D3948">
            <v>1654</v>
          </cell>
          <cell r="E3948">
            <v>222.31182795698925</v>
          </cell>
        </row>
        <row r="3949">
          <cell r="A3949">
            <v>56685</v>
          </cell>
          <cell r="B3949" t="str">
            <v>Beslag for motor ophæng</v>
          </cell>
          <cell r="C3949" t="str">
            <v>Attachment for knife house hinge</v>
          </cell>
          <cell r="D3949">
            <v>477</v>
          </cell>
          <cell r="E3949">
            <v>64.112903225806448</v>
          </cell>
        </row>
        <row r="3950">
          <cell r="A3950">
            <v>56704</v>
          </cell>
          <cell r="B3950" t="str">
            <v>Akseltap incl. pos. 26 og 28</v>
          </cell>
          <cell r="C3950" t="str">
            <v>Journal incl. item. 26 og 28</v>
          </cell>
          <cell r="D3950">
            <v>30740</v>
          </cell>
          <cell r="E3950">
            <v>4131.7204301075262</v>
          </cell>
        </row>
        <row r="3951">
          <cell r="A3951">
            <v>56715</v>
          </cell>
          <cell r="B3951" t="str">
            <v>Aktuator Type 501-12 Pneumatisk</v>
          </cell>
          <cell r="C3951" t="str">
            <v>Actuator Type 501-12 Pneumatic</v>
          </cell>
          <cell r="D3951">
            <v>8374</v>
          </cell>
          <cell r="E3951">
            <v>1125.5376344086021</v>
          </cell>
        </row>
        <row r="3952">
          <cell r="A3952">
            <v>56720</v>
          </cell>
          <cell r="B3952" t="str">
            <v>Håndtag for sluse H+V</v>
          </cell>
          <cell r="C3952" t="str">
            <v>Handle for sluise L+R</v>
          </cell>
          <cell r="D3952">
            <v>663</v>
          </cell>
          <cell r="E3952">
            <v>89.112903225806448</v>
          </cell>
        </row>
        <row r="3953">
          <cell r="A3953">
            <v>56813</v>
          </cell>
          <cell r="B3953" t="str">
            <v>Varmepatron 6 kW, 3x440V</v>
          </cell>
          <cell r="C3953" t="str">
            <v>Heating element 6 kW, 3x440V</v>
          </cell>
          <cell r="D3953">
            <v>3310</v>
          </cell>
          <cell r="E3953">
            <v>444.89247311827955</v>
          </cell>
        </row>
        <row r="3954">
          <cell r="A3954">
            <v>56841</v>
          </cell>
          <cell r="B3954" t="str">
            <v>Pilleskærm</v>
          </cell>
          <cell r="C3954" t="str">
            <v>Pellet screen</v>
          </cell>
          <cell r="D3954">
            <v>1431</v>
          </cell>
          <cell r="E3954">
            <v>192.33870967741933</v>
          </cell>
        </row>
        <row r="3955">
          <cell r="A3955">
            <v>56849</v>
          </cell>
          <cell r="B3955" t="str">
            <v>Håndtag for sluse</v>
          </cell>
          <cell r="C3955" t="str">
            <v>Handle for sluice</v>
          </cell>
          <cell r="D3955">
            <v>928</v>
          </cell>
          <cell r="E3955">
            <v>124.73118279569891</v>
          </cell>
        </row>
        <row r="3956">
          <cell r="A3956">
            <v>56867</v>
          </cell>
          <cell r="B3956" t="str">
            <v>Beslag for bypass skakt</v>
          </cell>
          <cell r="C3956" t="str">
            <v>Support for inlet duct</v>
          </cell>
          <cell r="D3956">
            <v>504</v>
          </cell>
          <cell r="E3956">
            <v>67.741935483870961</v>
          </cell>
        </row>
        <row r="3957">
          <cell r="A3957">
            <v>56967</v>
          </cell>
          <cell r="B3957" t="str">
            <v>Kædeskærm</v>
          </cell>
          <cell r="C3957" t="str">
            <v>Chain screen</v>
          </cell>
          <cell r="D3957">
            <v>5088</v>
          </cell>
          <cell r="E3957">
            <v>683.87096774193549</v>
          </cell>
        </row>
        <row r="3958">
          <cell r="A3958">
            <v>56981</v>
          </cell>
          <cell r="B3958" t="str">
            <v>Brystnippel 1”RG – 1 ¼”RG</v>
          </cell>
          <cell r="C3958" t="str">
            <v>Niple 1 " RG   x 1 1/4 " RG</v>
          </cell>
          <cell r="D3958">
            <v>72</v>
          </cell>
          <cell r="E3958">
            <v>9.67741935483871</v>
          </cell>
        </row>
        <row r="3959">
          <cell r="A3959">
            <v>56987</v>
          </cell>
          <cell r="B3959" t="str">
            <v>Tætningsskinne bundspjæld  HPB 4001</v>
          </cell>
          <cell r="C3959" t="str">
            <v xml:space="preserve">Sealing band </v>
          </cell>
          <cell r="D3959">
            <v>10600</v>
          </cell>
          <cell r="E3959">
            <v>1424.7311827956989</v>
          </cell>
        </row>
        <row r="3960">
          <cell r="A3960">
            <v>56989</v>
          </cell>
          <cell r="B3960" t="str">
            <v>Hængsel for ramme 2 x M8</v>
          </cell>
          <cell r="C3960" t="str">
            <v>Hinge for frame 2 x M8</v>
          </cell>
          <cell r="D3960">
            <v>292</v>
          </cell>
          <cell r="E3960">
            <v>39.247311827956985</v>
          </cell>
        </row>
        <row r="3961">
          <cell r="A3961">
            <v>57024</v>
          </cell>
          <cell r="B3961" t="str">
            <v>Vakuumudligningsventil DN40</v>
          </cell>
          <cell r="C3961" t="str">
            <v>Vacuum equalizing valve DN40</v>
          </cell>
          <cell r="D3961">
            <v>16430</v>
          </cell>
          <cell r="E3961">
            <v>2208.333333333333</v>
          </cell>
        </row>
        <row r="3962">
          <cell r="A3962">
            <v>57084</v>
          </cell>
          <cell r="B3962" t="str">
            <v>C-profil skinne L = 1459</v>
          </cell>
          <cell r="C3962" t="str">
            <v>C-profile rail L = 1459</v>
          </cell>
          <cell r="D3962">
            <v>875</v>
          </cell>
          <cell r="E3962">
            <v>117.60752688172042</v>
          </cell>
        </row>
        <row r="3963">
          <cell r="A3963">
            <v>57088</v>
          </cell>
          <cell r="B3963" t="str">
            <v>Glideskinne DBG180 L = 998</v>
          </cell>
          <cell r="C3963" t="str">
            <v>Sliding rail DBG180 L = 998</v>
          </cell>
          <cell r="D3963">
            <v>1696</v>
          </cell>
          <cell r="E3963">
            <v>227.95698924731181</v>
          </cell>
        </row>
        <row r="3964">
          <cell r="A3964">
            <v>57091</v>
          </cell>
          <cell r="B3964" t="str">
            <v>Glideskinne DBG180 L = 458</v>
          </cell>
          <cell r="C3964" t="str">
            <v>Sliding rail DBG180 L = 458</v>
          </cell>
          <cell r="D3964">
            <v>1431</v>
          </cell>
          <cell r="E3964">
            <v>192.33870967741933</v>
          </cell>
        </row>
        <row r="3965">
          <cell r="A3965">
            <v>57093</v>
          </cell>
          <cell r="B3965" t="str">
            <v>Glideskinne DBG180</v>
          </cell>
          <cell r="C3965" t="str">
            <v>Sliding rail DBG180</v>
          </cell>
          <cell r="D3965">
            <v>2014</v>
          </cell>
          <cell r="E3965">
            <v>270.69892473118279</v>
          </cell>
        </row>
        <row r="3966">
          <cell r="A3966">
            <v>57102</v>
          </cell>
          <cell r="B3966" t="str">
            <v>Liste for c-profil L = 1459</v>
          </cell>
          <cell r="C3966" t="str">
            <v>List for C-profile L = 1459</v>
          </cell>
          <cell r="D3966">
            <v>292</v>
          </cell>
          <cell r="E3966">
            <v>39.247311827956985</v>
          </cell>
        </row>
        <row r="3967">
          <cell r="A3967">
            <v>57103</v>
          </cell>
          <cell r="B3967" t="str">
            <v>Liste for C-profil skinne L=1998</v>
          </cell>
          <cell r="C3967" t="str">
            <v>List for C-profile rail L=1998</v>
          </cell>
          <cell r="D3967">
            <v>302</v>
          </cell>
          <cell r="E3967">
            <v>40.591397849462361</v>
          </cell>
        </row>
        <row r="3968">
          <cell r="A3968">
            <v>57119</v>
          </cell>
          <cell r="B3968" t="str">
            <v>Sikkerhedsventil 0-17 BAR</v>
          </cell>
          <cell r="C3968" t="str">
            <v>Safety valve 1-17 bar</v>
          </cell>
          <cell r="D3968">
            <v>3286</v>
          </cell>
          <cell r="E3968">
            <v>441.66666666666663</v>
          </cell>
        </row>
        <row r="3969">
          <cell r="A3969">
            <v>57120</v>
          </cell>
          <cell r="B3969" t="str">
            <v>Kontraventil</v>
          </cell>
          <cell r="C3969" t="str">
            <v>Non-return valve</v>
          </cell>
          <cell r="D3969">
            <v>2480</v>
          </cell>
          <cell r="E3969">
            <v>333.33333333333331</v>
          </cell>
        </row>
        <row r="3970">
          <cell r="A3970">
            <v>57124</v>
          </cell>
          <cell r="B3970" t="str">
            <v>Slange</v>
          </cell>
          <cell r="C3970" t="str">
            <v>Hose</v>
          </cell>
          <cell r="D3970">
            <v>1166</v>
          </cell>
          <cell r="E3970">
            <v>156.72043010752688</v>
          </cell>
        </row>
        <row r="3971">
          <cell r="A3971">
            <v>57138</v>
          </cell>
          <cell r="B3971" t="str">
            <v>Smuldskærm</v>
          </cell>
          <cell r="C3971" t="str">
            <v>Fines screen</v>
          </cell>
          <cell r="D3971">
            <v>4823</v>
          </cell>
          <cell r="E3971">
            <v>648.25268817204301</v>
          </cell>
        </row>
        <row r="3972">
          <cell r="A3972">
            <v>57147</v>
          </cell>
          <cell r="B3972" t="str">
            <v>Lamel skrab P8x8 rustfri</v>
          </cell>
          <cell r="C3972" t="str">
            <v>Lamel scrape P8x8 stainless</v>
          </cell>
          <cell r="D3972">
            <v>2491</v>
          </cell>
          <cell r="E3972">
            <v>334.81182795698925</v>
          </cell>
        </row>
        <row r="3973">
          <cell r="A3973">
            <v>57165</v>
          </cell>
          <cell r="B3973" t="str">
            <v>Pakning for rotor  4 x 4</v>
          </cell>
          <cell r="C3973" t="str">
            <v>Packing cord for rotor 4x4 multi-lon</v>
          </cell>
          <cell r="D3973">
            <v>111</v>
          </cell>
          <cell r="E3973">
            <v>14.919354838709676</v>
          </cell>
        </row>
        <row r="3974">
          <cell r="A3974">
            <v>57175</v>
          </cell>
          <cell r="B3974" t="str">
            <v>Transducer</v>
          </cell>
          <cell r="C3974" t="str">
            <v>Transducer</v>
          </cell>
          <cell r="D3974">
            <v>22684</v>
          </cell>
          <cell r="E3974">
            <v>3048.9247311827953</v>
          </cell>
        </row>
        <row r="3975">
          <cell r="A3975">
            <v>57179</v>
          </cell>
          <cell r="B3975" t="str">
            <v>PT 100 føler</v>
          </cell>
          <cell r="C3975" t="str">
            <v>PT 100 sensor</v>
          </cell>
          <cell r="D3975">
            <v>2525</v>
          </cell>
          <cell r="E3975">
            <v>339.38172043010752</v>
          </cell>
        </row>
        <row r="3976">
          <cell r="A3976">
            <v>57216</v>
          </cell>
          <cell r="B3976" t="str">
            <v>Montering  rulle PMV 515</v>
          </cell>
          <cell r="C3976" t="str">
            <v>Mounting Roller PMV 515</v>
          </cell>
          <cell r="D3976">
            <v>350</v>
          </cell>
          <cell r="E3976">
            <v>47.043010752688168</v>
          </cell>
        </row>
        <row r="3977">
          <cell r="A3977">
            <v>57217</v>
          </cell>
          <cell r="B3977" t="str">
            <v>Montering  rulle MV615</v>
          </cell>
          <cell r="C3977" t="str">
            <v>Mounting Roller MV615</v>
          </cell>
          <cell r="D3977">
            <v>395</v>
          </cell>
          <cell r="E3977">
            <v>53.091397849462361</v>
          </cell>
        </row>
        <row r="3978">
          <cell r="A3978">
            <v>57218</v>
          </cell>
          <cell r="B3978" t="str">
            <v>6kt. Skrue M16 x 180 A2 DIN931</v>
          </cell>
          <cell r="C3978" t="str">
            <v>Hex screw M16 x 180 A2 DIN931</v>
          </cell>
          <cell r="D3978">
            <v>366</v>
          </cell>
          <cell r="E3978">
            <v>49.193548387096769</v>
          </cell>
        </row>
        <row r="3979">
          <cell r="A3979">
            <v>57219</v>
          </cell>
          <cell r="B3979" t="str">
            <v>Montering  rulle  MV717</v>
          </cell>
          <cell r="C3979" t="str">
            <v>Mounting Roller MV 717</v>
          </cell>
          <cell r="D3979">
            <v>535</v>
          </cell>
          <cell r="E3979">
            <v>71.908602150537632</v>
          </cell>
        </row>
        <row r="3980">
          <cell r="A3980">
            <v>57220</v>
          </cell>
          <cell r="B3980" t="str">
            <v>Montering  rulle MV919</v>
          </cell>
          <cell r="C3980" t="str">
            <v>Mounting Roller  MV919</v>
          </cell>
          <cell r="D3980">
            <v>625</v>
          </cell>
          <cell r="E3980">
            <v>84.005376344086017</v>
          </cell>
        </row>
        <row r="3981">
          <cell r="A3981">
            <v>57231</v>
          </cell>
          <cell r="B3981" t="str">
            <v>Glideleje PAP 2525 P10</v>
          </cell>
          <cell r="C3981" t="str">
            <v>Slide bearing PAP 2525 P10</v>
          </cell>
          <cell r="D3981">
            <v>37</v>
          </cell>
          <cell r="E3981">
            <v>4.9731182795698921</v>
          </cell>
        </row>
        <row r="3982">
          <cell r="A3982">
            <v>57237</v>
          </cell>
          <cell r="B3982" t="str">
            <v>Lamel skrab P8x8 rustfri</v>
          </cell>
          <cell r="C3982" t="str">
            <v>Lamel scrape P8x8 stainless</v>
          </cell>
          <cell r="D3982">
            <v>2915</v>
          </cell>
          <cell r="E3982">
            <v>391.80107526881716</v>
          </cell>
        </row>
        <row r="3983">
          <cell r="A3983">
            <v>57238</v>
          </cell>
          <cell r="B3983" t="str">
            <v>Lamel skrab P02</v>
          </cell>
          <cell r="C3983" t="str">
            <v>Lamel scrape P02</v>
          </cell>
          <cell r="D3983">
            <v>1961</v>
          </cell>
          <cell r="E3983">
            <v>263.57526881720429</v>
          </cell>
        </row>
        <row r="3984">
          <cell r="A3984">
            <v>57239</v>
          </cell>
          <cell r="B3984" t="str">
            <v>Lamel skrab P2x8</v>
          </cell>
          <cell r="C3984" t="str">
            <v>Lamel scrape P2x8</v>
          </cell>
          <cell r="D3984">
            <v>1961</v>
          </cell>
          <cell r="E3984">
            <v>263.57526881720429</v>
          </cell>
        </row>
        <row r="3985">
          <cell r="A3985">
            <v>57344</v>
          </cell>
          <cell r="B3985" t="str">
            <v>Prop for vandkappe – lang</v>
          </cell>
          <cell r="C3985" t="str">
            <v>Plug for water jacket – long</v>
          </cell>
          <cell r="D3985">
            <v>535</v>
          </cell>
          <cell r="E3985">
            <v>71.908602150537632</v>
          </cell>
        </row>
        <row r="3986">
          <cell r="A3986">
            <v>57348</v>
          </cell>
          <cell r="B3986" t="str">
            <v>Følerlomme for tryk/temperaturmåling – kort</v>
          </cell>
          <cell r="C3986" t="str">
            <v>Sensor pocket for pressure/temperature measuring – short</v>
          </cell>
          <cell r="D3986">
            <v>267</v>
          </cell>
          <cell r="E3986">
            <v>35.887096774193544</v>
          </cell>
        </row>
        <row r="3987">
          <cell r="A3987">
            <v>57350</v>
          </cell>
          <cell r="B3987" t="str">
            <v>Følerlomme for tryk/temperaturmåling – lang</v>
          </cell>
          <cell r="C3987" t="str">
            <v>Sensor pocket for pressure/temperature measuring – long</v>
          </cell>
          <cell r="D3987">
            <v>811</v>
          </cell>
          <cell r="E3987">
            <v>109.00537634408602</v>
          </cell>
        </row>
        <row r="3988">
          <cell r="A3988">
            <v>57351</v>
          </cell>
          <cell r="B3988" t="str">
            <v>Følerlomme for PT100 – kort</v>
          </cell>
          <cell r="C3988" t="str">
            <v>Sensor pocket for PT100 – short</v>
          </cell>
          <cell r="D3988">
            <v>737</v>
          </cell>
          <cell r="E3988">
            <v>99.059139784946225</v>
          </cell>
        </row>
        <row r="3989">
          <cell r="A3989">
            <v>57353</v>
          </cell>
          <cell r="B3989" t="str">
            <v>Følerlomme for PT100 – lang</v>
          </cell>
          <cell r="C3989" t="str">
            <v>Sensor pocket for PT100 – long</v>
          </cell>
          <cell r="D3989">
            <v>636</v>
          </cell>
          <cell r="E3989">
            <v>85.483870967741936</v>
          </cell>
        </row>
        <row r="3990">
          <cell r="A3990">
            <v>57428</v>
          </cell>
          <cell r="B3990" t="str">
            <v>Drivaksel</v>
          </cell>
          <cell r="C3990" t="str">
            <v>Driving shaft</v>
          </cell>
          <cell r="D3990">
            <v>21068</v>
          </cell>
          <cell r="E3990">
            <v>2831.7204301075267</v>
          </cell>
        </row>
        <row r="3991">
          <cell r="A3991">
            <v>57441</v>
          </cell>
          <cell r="B3991" t="str">
            <v>O-ring Ø270,0 x 6,00 VITON</v>
          </cell>
          <cell r="C3991" t="str">
            <v>O-ring Ø270,0 x 6,00 VITON</v>
          </cell>
          <cell r="D3991">
            <v>159</v>
          </cell>
          <cell r="E3991">
            <v>21.370967741935484</v>
          </cell>
        </row>
        <row r="3992">
          <cell r="A3992">
            <v>57444</v>
          </cell>
          <cell r="B3992" t="str">
            <v>Låsering U 25 x 1,2 A-A2 DIN471</v>
          </cell>
          <cell r="C3992" t="str">
            <v>Lock ring U 25 x 1,2 A-A2 DIN471</v>
          </cell>
          <cell r="D3992">
            <v>17.8</v>
          </cell>
          <cell r="E3992">
            <v>2.39247311827957</v>
          </cell>
        </row>
        <row r="3993">
          <cell r="A3993">
            <v>57445</v>
          </cell>
          <cell r="B3993" t="str">
            <v>Cyl. skrue M36 x 60 FZB DIN912</v>
          </cell>
          <cell r="C3993" t="str">
            <v>Cyl. screw M36 x 60 FZB DIN912</v>
          </cell>
          <cell r="D3993">
            <v>86</v>
          </cell>
          <cell r="E3993">
            <v>11.559139784946236</v>
          </cell>
        </row>
        <row r="3994">
          <cell r="A3994">
            <v>57447</v>
          </cell>
          <cell r="B3994" t="str">
            <v>Facetskive Ø36 A2 DIN125A</v>
          </cell>
          <cell r="C3994" t="str">
            <v>Facet disc Ø36 A2 DIN125A</v>
          </cell>
          <cell r="D3994">
            <v>14.8</v>
          </cell>
          <cell r="E3994">
            <v>1.989247311827957</v>
          </cell>
        </row>
        <row r="3995">
          <cell r="A3995">
            <v>57463</v>
          </cell>
          <cell r="B3995" t="str">
            <v>Cyl. skrue M36 x 150 FZB DIN912</v>
          </cell>
          <cell r="C3995" t="str">
            <v>Cyl. screw M36 x 150 FZB DIN912</v>
          </cell>
          <cell r="D3995">
            <v>212</v>
          </cell>
          <cell r="E3995">
            <v>28.494623655913976</v>
          </cell>
        </row>
        <row r="3996">
          <cell r="A3996">
            <v>57464</v>
          </cell>
          <cell r="B3996" t="str">
            <v>Møtrik M20 x 1,5 A2 DIN934</v>
          </cell>
          <cell r="C3996" t="str">
            <v>Nut M20 x 1,5 A2 DIN934</v>
          </cell>
          <cell r="D3996">
            <v>191</v>
          </cell>
          <cell r="E3996">
            <v>25.672043010752688</v>
          </cell>
        </row>
        <row r="3997">
          <cell r="A3997">
            <v>57477</v>
          </cell>
          <cell r="B3997" t="str">
            <v>Cyl. skrue M16 x 50 A2 DIN912</v>
          </cell>
          <cell r="C3997" t="str">
            <v>Cyl. screw M16 x 50 A2 DIN912</v>
          </cell>
          <cell r="D3997">
            <v>21</v>
          </cell>
          <cell r="E3997">
            <v>2.82258064516129</v>
          </cell>
        </row>
        <row r="3998">
          <cell r="A3998">
            <v>57501</v>
          </cell>
          <cell r="B3998" t="str">
            <v>Justerbolt</v>
          </cell>
          <cell r="C3998" t="str">
            <v>Adjusting bolt</v>
          </cell>
          <cell r="D3998">
            <v>795</v>
          </cell>
          <cell r="E3998">
            <v>106.85483870967741</v>
          </cell>
        </row>
        <row r="3999">
          <cell r="A3999">
            <v>57505</v>
          </cell>
          <cell r="B3999" t="str">
            <v>Hovedtandhjul</v>
          </cell>
          <cell r="C3999" t="str">
            <v>Main gearwheel</v>
          </cell>
          <cell r="D3999">
            <v>37206</v>
          </cell>
          <cell r="E3999">
            <v>5000.8064516129034</v>
          </cell>
        </row>
        <row r="4000">
          <cell r="A4000">
            <v>57518</v>
          </cell>
          <cell r="B4000" t="str">
            <v>Tætningsring for knivhus</v>
          </cell>
          <cell r="C4000" t="str">
            <v>Sealing ring for knife house</v>
          </cell>
          <cell r="D4000">
            <v>9145</v>
          </cell>
          <cell r="E4000">
            <v>1229.1666666666665</v>
          </cell>
        </row>
        <row r="4001">
          <cell r="A4001">
            <v>57519</v>
          </cell>
          <cell r="B4001" t="str">
            <v xml:space="preserve">Spændebolt </v>
          </cell>
          <cell r="C4001" t="str">
            <v>Fixation bolt</v>
          </cell>
          <cell r="D4001">
            <v>2067</v>
          </cell>
          <cell r="E4001">
            <v>277.82258064516128</v>
          </cell>
        </row>
        <row r="4002">
          <cell r="A4002">
            <v>57527</v>
          </cell>
          <cell r="B4002" t="str">
            <v>Dysebase ø96</v>
          </cell>
          <cell r="C4002" t="str">
            <v>Diebase Ø96</v>
          </cell>
          <cell r="D4002">
            <v>33500</v>
          </cell>
          <cell r="E4002">
            <v>4502.6881720430101</v>
          </cell>
        </row>
        <row r="4003">
          <cell r="A4003">
            <v>57528</v>
          </cell>
          <cell r="B4003" t="str">
            <v>Dysebase ø120</v>
          </cell>
          <cell r="C4003" t="str">
            <v>Diebase Ø120</v>
          </cell>
          <cell r="D4003">
            <v>33500</v>
          </cell>
          <cell r="E4003">
            <v>4502.6881720430101</v>
          </cell>
        </row>
        <row r="4004">
          <cell r="A4004">
            <v>57529</v>
          </cell>
          <cell r="B4004" t="str">
            <v>Justeringsspindel</v>
          </cell>
          <cell r="C4004" t="str">
            <v>Adjusting spindle</v>
          </cell>
          <cell r="D4004">
            <v>5777</v>
          </cell>
          <cell r="E4004">
            <v>776.47849462365582</v>
          </cell>
        </row>
        <row r="4005">
          <cell r="A4005">
            <v>57530</v>
          </cell>
          <cell r="B4005" t="str">
            <v xml:space="preserve">Adapter for knivhus </v>
          </cell>
          <cell r="C4005" t="str">
            <v>Adapter ring for knife house</v>
          </cell>
          <cell r="D4005">
            <v>10500</v>
          </cell>
          <cell r="E4005">
            <v>1411.2903225806451</v>
          </cell>
        </row>
        <row r="4006">
          <cell r="A4006">
            <v>57538</v>
          </cell>
          <cell r="B4006" t="str">
            <v>Slusefod  højde 1138</v>
          </cell>
          <cell r="C4006" t="str">
            <v>Airlock foot height = 1138mm</v>
          </cell>
          <cell r="D4006">
            <v>8427</v>
          </cell>
          <cell r="E4006">
            <v>1132.6612903225805</v>
          </cell>
        </row>
        <row r="4007">
          <cell r="A4007">
            <v>57541</v>
          </cell>
          <cell r="B4007" t="str">
            <v>bøsning for slusefod</v>
          </cell>
          <cell r="C4007" t="str">
            <v>Bushing in airlock foot</v>
          </cell>
          <cell r="D4007">
            <v>2173</v>
          </cell>
          <cell r="E4007">
            <v>292.06989247311827</v>
          </cell>
        </row>
        <row r="4008">
          <cell r="A4008">
            <v>57545</v>
          </cell>
          <cell r="B4008" t="str">
            <v>Feder AB 45 x 25 x 180 DS96</v>
          </cell>
          <cell r="C4008" t="str">
            <v>Parallel key AB 45 x 25 x 180 DS96</v>
          </cell>
          <cell r="D4008">
            <v>91</v>
          </cell>
          <cell r="E4008">
            <v>12.231182795698924</v>
          </cell>
        </row>
        <row r="4009">
          <cell r="A4009">
            <v>57553</v>
          </cell>
          <cell r="B4009" t="str">
            <v>Afkasterring</v>
          </cell>
          <cell r="C4009" t="str">
            <v>Oil thrower</v>
          </cell>
          <cell r="D4009">
            <v>1076</v>
          </cell>
          <cell r="E4009">
            <v>144.6236559139785</v>
          </cell>
        </row>
        <row r="4010">
          <cell r="A4010">
            <v>57554</v>
          </cell>
          <cell r="B4010" t="str">
            <v>Lejedæksel</v>
          </cell>
          <cell r="C4010" t="str">
            <v>Bearing cover</v>
          </cell>
          <cell r="D4010">
            <v>1590</v>
          </cell>
          <cell r="E4010">
            <v>213.70967741935482</v>
          </cell>
        </row>
        <row r="4011">
          <cell r="A4011">
            <v>57556</v>
          </cell>
          <cell r="B4011" t="str">
            <v>Beslag for aksel</v>
          </cell>
          <cell r="C4011" t="str">
            <v>Bracket for shaft</v>
          </cell>
          <cell r="D4011">
            <v>1691</v>
          </cell>
          <cell r="E4011">
            <v>227.28494623655914</v>
          </cell>
        </row>
        <row r="4012">
          <cell r="A4012">
            <v>57557</v>
          </cell>
          <cell r="B4012" t="str">
            <v>Lejehus for drivaksel</v>
          </cell>
          <cell r="C4012" t="str">
            <v>Bearing housing</v>
          </cell>
          <cell r="D4012">
            <v>4537</v>
          </cell>
          <cell r="E4012">
            <v>609.81182795698919</v>
          </cell>
        </row>
        <row r="4013">
          <cell r="A4013">
            <v>57558</v>
          </cell>
          <cell r="B4013" t="str">
            <v>Ophæng for luftcylinder</v>
          </cell>
          <cell r="C4013" t="str">
            <v>Bracket for air cylinder</v>
          </cell>
          <cell r="D4013">
            <v>970</v>
          </cell>
          <cell r="E4013">
            <v>130.3763440860215</v>
          </cell>
        </row>
        <row r="4014">
          <cell r="A4014">
            <v>57564</v>
          </cell>
          <cell r="B4014" t="str">
            <v xml:space="preserve">Låsering </v>
          </cell>
          <cell r="C4014" t="str">
            <v>Retaining ring</v>
          </cell>
          <cell r="D4014">
            <v>1330</v>
          </cell>
          <cell r="E4014">
            <v>178.76344086021504</v>
          </cell>
        </row>
        <row r="4015">
          <cell r="A4015">
            <v>57565</v>
          </cell>
          <cell r="B4015" t="str">
            <v>Beslag for switch</v>
          </cell>
          <cell r="C4015" t="str">
            <v>Bracket for switch</v>
          </cell>
          <cell r="D4015">
            <v>148</v>
          </cell>
          <cell r="E4015">
            <v>19.892473118279568</v>
          </cell>
        </row>
        <row r="4016">
          <cell r="A4016">
            <v>57568</v>
          </cell>
          <cell r="B4016" t="str">
            <v>Aksel</v>
          </cell>
          <cell r="C4016" t="str">
            <v>Shaft</v>
          </cell>
          <cell r="D4016">
            <v>9010</v>
          </cell>
          <cell r="E4016">
            <v>1211.0215053763441</v>
          </cell>
        </row>
        <row r="4017">
          <cell r="A4017">
            <v>57578</v>
          </cell>
          <cell r="B4017" t="str">
            <v>Sfærisk rulleleje 22320E</v>
          </cell>
          <cell r="C4017" t="str">
            <v>Spherical roller bearing 22320E</v>
          </cell>
          <cell r="D4017">
            <v>3127</v>
          </cell>
          <cell r="E4017">
            <v>420.29569892473114</v>
          </cell>
        </row>
        <row r="4018">
          <cell r="A4018">
            <v>57582</v>
          </cell>
          <cell r="B4018" t="str">
            <v>Topdæksel</v>
          </cell>
          <cell r="C4018" t="str">
            <v>Top cover</v>
          </cell>
          <cell r="D4018">
            <v>2279</v>
          </cell>
          <cell r="E4018">
            <v>306.31720430107526</v>
          </cell>
        </row>
        <row r="4019">
          <cell r="A4019">
            <v>57588</v>
          </cell>
          <cell r="B4019" t="str">
            <v>Spændelement</v>
          </cell>
          <cell r="C4019" t="str">
            <v>Locking assembly</v>
          </cell>
          <cell r="D4019">
            <v>1102</v>
          </cell>
          <cell r="E4019">
            <v>148.11827956989248</v>
          </cell>
        </row>
        <row r="4020">
          <cell r="A4020">
            <v>57590</v>
          </cell>
          <cell r="B4020" t="str">
            <v>Pakning for topdæksel</v>
          </cell>
          <cell r="C4020" t="str">
            <v>Gasket for top cover</v>
          </cell>
          <cell r="D4020">
            <v>435</v>
          </cell>
          <cell r="E4020">
            <v>58.467741935483865</v>
          </cell>
        </row>
        <row r="4021">
          <cell r="A4021">
            <v>57592</v>
          </cell>
          <cell r="B4021" t="str">
            <v>Pakning</v>
          </cell>
          <cell r="C4021" t="str">
            <v>Gasket</v>
          </cell>
          <cell r="D4021">
            <v>233</v>
          </cell>
          <cell r="E4021">
            <v>31.317204301075268</v>
          </cell>
        </row>
        <row r="4022">
          <cell r="A4022">
            <v>57595</v>
          </cell>
          <cell r="B4022" t="str">
            <v>Rotor</v>
          </cell>
          <cell r="C4022" t="str">
            <v>Rotor</v>
          </cell>
          <cell r="D4022" t="str">
            <v>seperate list</v>
          </cell>
          <cell r="E4022" t="e">
            <v>#VALUE!</v>
          </cell>
        </row>
        <row r="4023">
          <cell r="A4023">
            <v>57599</v>
          </cell>
          <cell r="B4023" t="str">
            <v>Dæksel</v>
          </cell>
          <cell r="C4023" t="str">
            <v>Cover</v>
          </cell>
          <cell r="D4023">
            <v>583</v>
          </cell>
          <cell r="E4023">
            <v>78.36021505376344</v>
          </cell>
        </row>
        <row r="4024">
          <cell r="A4024">
            <v>57630</v>
          </cell>
          <cell r="B4024" t="str">
            <v>Varmepatron 6 kW, 3x480V</v>
          </cell>
          <cell r="C4024" t="str">
            <v>Heating element 6 kW, 3x480V</v>
          </cell>
          <cell r="D4024">
            <v>3790</v>
          </cell>
          <cell r="E4024">
            <v>509.4086021505376</v>
          </cell>
        </row>
        <row r="4025">
          <cell r="A4025">
            <v>57636</v>
          </cell>
          <cell r="B4025" t="str">
            <v>Sfærisk rulleleje 22222EK/C3</v>
          </cell>
          <cell r="C4025" t="str">
            <v>Spherical roller bearing</v>
          </cell>
          <cell r="D4025">
            <v>1855</v>
          </cell>
          <cell r="E4025">
            <v>249.3279569892473</v>
          </cell>
        </row>
        <row r="4026">
          <cell r="A4026">
            <v>57637</v>
          </cell>
          <cell r="B4026" t="str">
            <v>Afstandsring FRB 13,5/200</v>
          </cell>
          <cell r="C4026" t="str">
            <v>Guide ring</v>
          </cell>
          <cell r="D4026">
            <v>74</v>
          </cell>
          <cell r="E4026">
            <v>9.9462365591397841</v>
          </cell>
        </row>
        <row r="4027">
          <cell r="A4027">
            <v>57639</v>
          </cell>
          <cell r="B4027" t="str">
            <v>Tætningsring TSNA 522A</v>
          </cell>
          <cell r="C4027" t="str">
            <v>Seal ring</v>
          </cell>
          <cell r="D4027">
            <v>159</v>
          </cell>
          <cell r="E4027">
            <v>21.370967741935484</v>
          </cell>
        </row>
        <row r="4028">
          <cell r="A4028">
            <v>57640</v>
          </cell>
          <cell r="B4028" t="str">
            <v>Klembøsning H0322</v>
          </cell>
          <cell r="C4028" t="str">
            <v>Split bush</v>
          </cell>
          <cell r="D4028">
            <v>504</v>
          </cell>
          <cell r="E4028">
            <v>67.741935483870961</v>
          </cell>
        </row>
        <row r="4029">
          <cell r="A4029">
            <v>57643</v>
          </cell>
          <cell r="B4029" t="str">
            <v>Flangeleje FYTB30 FM</v>
          </cell>
          <cell r="C4029" t="str">
            <v>Flanged bearing</v>
          </cell>
          <cell r="D4029">
            <v>175</v>
          </cell>
          <cell r="E4029">
            <v>23.521505376344084</v>
          </cell>
        </row>
        <row r="4030">
          <cell r="A4030">
            <v>57649</v>
          </cell>
          <cell r="B4030" t="str">
            <v xml:space="preserve">Koblingsnav T9  ø 145  H7  </v>
          </cell>
          <cell r="C4030" t="str">
            <v xml:space="preserve">Coupling, hub T9  ø 145  H7    </v>
          </cell>
          <cell r="D4030">
            <v>4550</v>
          </cell>
          <cell r="E4030">
            <v>611.55913978494618</v>
          </cell>
        </row>
        <row r="4031">
          <cell r="A4031">
            <v>57657</v>
          </cell>
          <cell r="B4031" t="str">
            <v>Kobling Winflex  T5 Ø90/Ø100</v>
          </cell>
          <cell r="C4031" t="str">
            <v>Coupling Winflex Ø90/Ø100</v>
          </cell>
          <cell r="D4031">
            <v>12259</v>
          </cell>
          <cell r="E4031">
            <v>1647.7150537634407</v>
          </cell>
        </row>
        <row r="4032">
          <cell r="A4032">
            <v>57658</v>
          </cell>
          <cell r="B4032" t="str">
            <v>Skærm for kobling</v>
          </cell>
          <cell r="C4032" t="str">
            <v>Screen for coupling</v>
          </cell>
          <cell r="D4032">
            <v>4134</v>
          </cell>
          <cell r="E4032">
            <v>555.64516129032256</v>
          </cell>
        </row>
        <row r="4033">
          <cell r="A4033">
            <v>57671</v>
          </cell>
          <cell r="B4033" t="str">
            <v>Vinkel 90° 2"  AISI 316</v>
          </cell>
          <cell r="C4033" t="str">
            <v>Angle 90 GR. 2” AISI316</v>
          </cell>
          <cell r="D4033">
            <v>197</v>
          </cell>
          <cell r="E4033">
            <v>26.478494623655912</v>
          </cell>
        </row>
        <row r="4034">
          <cell r="A4034">
            <v>57674</v>
          </cell>
          <cell r="B4034" t="str">
            <v>Nippel 21" x 45  AISI 316 mm</v>
          </cell>
          <cell r="C4034" t="str">
            <v>Nipple 2"X45 A316</v>
          </cell>
          <cell r="D4034">
            <v>67</v>
          </cell>
          <cell r="E4034">
            <v>9.0053763440860202</v>
          </cell>
        </row>
        <row r="4035">
          <cell r="A4035">
            <v>57703</v>
          </cell>
          <cell r="B4035" t="str">
            <v>O-ring Ø235,0 x 5,00 VITON</v>
          </cell>
          <cell r="C4035" t="str">
            <v>O-ring Ø235,0 x 5,00 VITON</v>
          </cell>
          <cell r="D4035">
            <v>101</v>
          </cell>
          <cell r="E4035">
            <v>13.5752688172043</v>
          </cell>
        </row>
        <row r="4036">
          <cell r="A4036">
            <v>57705</v>
          </cell>
          <cell r="B4036" t="str">
            <v>V ring V 85A</v>
          </cell>
          <cell r="C4036" t="str">
            <v>V ring V 85A</v>
          </cell>
          <cell r="D4036">
            <v>28</v>
          </cell>
          <cell r="E4036">
            <v>3.7634408602150535</v>
          </cell>
        </row>
        <row r="4037">
          <cell r="A4037">
            <v>57706</v>
          </cell>
          <cell r="B4037" t="str">
            <v>Cyl. skrue M6 x 22 8.8 DIN912</v>
          </cell>
          <cell r="C4037" t="str">
            <v>Cyl. screw M6 x 22 8.8 DIN912</v>
          </cell>
          <cell r="D4037">
            <v>0.8</v>
          </cell>
          <cell r="E4037">
            <v>0.10752688172043011</v>
          </cell>
        </row>
        <row r="4038">
          <cell r="A4038">
            <v>57742</v>
          </cell>
          <cell r="B4038" t="str">
            <v>Bæreaksel, lang</v>
          </cell>
          <cell r="C4038" t="str">
            <v>Shaft, long</v>
          </cell>
          <cell r="D4038">
            <v>1219</v>
          </cell>
          <cell r="E4038">
            <v>163.84408602150538</v>
          </cell>
        </row>
        <row r="4039">
          <cell r="A4039">
            <v>57743</v>
          </cell>
          <cell r="B4039" t="str">
            <v>Midterleje</v>
          </cell>
          <cell r="C4039" t="str">
            <v>Shaft for bearing</v>
          </cell>
          <cell r="D4039">
            <v>1754</v>
          </cell>
          <cell r="E4039">
            <v>235.75268817204301</v>
          </cell>
        </row>
        <row r="4040">
          <cell r="A4040">
            <v>57744</v>
          </cell>
          <cell r="B4040" t="str">
            <v>Holder for midterleje</v>
          </cell>
          <cell r="C4040" t="str">
            <v>Bracket</v>
          </cell>
          <cell r="D4040">
            <v>2279</v>
          </cell>
          <cell r="E4040">
            <v>306.31720430107526</v>
          </cell>
        </row>
        <row r="4041">
          <cell r="A4041">
            <v>57745</v>
          </cell>
          <cell r="B4041" t="str">
            <v>Bæreaksel, kort</v>
          </cell>
          <cell r="C4041" t="str">
            <v>Shaft, short</v>
          </cell>
          <cell r="D4041">
            <v>1113</v>
          </cell>
          <cell r="E4041">
            <v>149.59677419354838</v>
          </cell>
        </row>
        <row r="4042">
          <cell r="A4042">
            <v>57749</v>
          </cell>
          <cell r="B4042" t="str">
            <v xml:space="preserve">Reparationssæt for PAM Sluse 28/360 UL komplet </v>
          </cell>
          <cell r="C4042" t="str">
            <v>Repairset for PAM Sluise 28/360 UL compl</v>
          </cell>
          <cell r="D4042">
            <v>9307</v>
          </cell>
          <cell r="E4042">
            <v>1250.9408602150536</v>
          </cell>
        </row>
        <row r="4043">
          <cell r="A4043">
            <v>57753</v>
          </cell>
          <cell r="B4043" t="str">
            <v>Beslag</v>
          </cell>
          <cell r="C4043" t="str">
            <v>Bracket</v>
          </cell>
          <cell r="D4043">
            <v>901</v>
          </cell>
          <cell r="E4043">
            <v>121.1021505376344</v>
          </cell>
        </row>
        <row r="4044">
          <cell r="A4044">
            <v>57754</v>
          </cell>
          <cell r="B4044" t="str">
            <v>Ledplade</v>
          </cell>
          <cell r="C4044" t="str">
            <v>Guide plate</v>
          </cell>
          <cell r="D4044">
            <v>4346</v>
          </cell>
          <cell r="E4044">
            <v>584.13978494623655</v>
          </cell>
        </row>
        <row r="4045">
          <cell r="A4045">
            <v>57772</v>
          </cell>
          <cell r="B4045" t="str">
            <v>Motorkonsol under-part, str. 355 kW</v>
          </cell>
          <cell r="C4045" t="str">
            <v>Motor bracket lower part, size 355</v>
          </cell>
          <cell r="D4045">
            <v>3710</v>
          </cell>
          <cell r="E4045">
            <v>498.6559139784946</v>
          </cell>
        </row>
        <row r="4046">
          <cell r="A4046">
            <v>57774</v>
          </cell>
          <cell r="B4046" t="str">
            <v>Motorkonsol overpart str. 355</v>
          </cell>
          <cell r="C4046" t="str">
            <v>Motor bracket upper part size 355</v>
          </cell>
          <cell r="D4046">
            <v>5719</v>
          </cell>
          <cell r="E4046">
            <v>768.68279569892468</v>
          </cell>
        </row>
        <row r="4047">
          <cell r="A4047">
            <v>57790</v>
          </cell>
          <cell r="B4047" t="str">
            <v>Anlægsring med frihul</v>
          </cell>
          <cell r="C4047" t="str">
            <v>Guide ring with holes</v>
          </cell>
          <cell r="D4047">
            <v>1325</v>
          </cell>
          <cell r="E4047">
            <v>178.09139784946237</v>
          </cell>
        </row>
        <row r="4048">
          <cell r="A4048">
            <v>57791</v>
          </cell>
          <cell r="B4048" t="str">
            <v>Anlægsring med gevind</v>
          </cell>
          <cell r="C4048" t="str">
            <v>Guide ring with threaded holes</v>
          </cell>
          <cell r="D4048">
            <v>1325</v>
          </cell>
          <cell r="E4048">
            <v>178.09139784946237</v>
          </cell>
        </row>
        <row r="4049">
          <cell r="A4049">
            <v>57798</v>
          </cell>
          <cell r="B4049" t="str">
            <v>Soldanslag top</v>
          </cell>
          <cell r="C4049" t="str">
            <v>Screen guide top</v>
          </cell>
          <cell r="D4049">
            <v>1638</v>
          </cell>
          <cell r="E4049">
            <v>220.16129032258064</v>
          </cell>
        </row>
        <row r="4050">
          <cell r="A4050">
            <v>57799</v>
          </cell>
          <cell r="B4050" t="str">
            <v>Bæring soldanslag top</v>
          </cell>
          <cell r="C4050" t="str">
            <v>Bracket screen guide top</v>
          </cell>
          <cell r="D4050">
            <v>954</v>
          </cell>
          <cell r="E4050">
            <v>128.2258064516129</v>
          </cell>
        </row>
        <row r="4051">
          <cell r="A4051">
            <v>57801</v>
          </cell>
          <cell r="B4051" t="str">
            <v>Beslag for cylinder</v>
          </cell>
          <cell r="C4051" t="str">
            <v>Bracket</v>
          </cell>
          <cell r="D4051">
            <v>864</v>
          </cell>
          <cell r="E4051">
            <v>116.12903225806451</v>
          </cell>
        </row>
        <row r="4052">
          <cell r="A4052">
            <v>57809</v>
          </cell>
          <cell r="B4052" t="str">
            <v>Soldramme</v>
          </cell>
          <cell r="C4052" t="str">
            <v>Screen frame</v>
          </cell>
          <cell r="D4052">
            <v>5740</v>
          </cell>
          <cell r="E4052">
            <v>771.50537634408602</v>
          </cell>
        </row>
        <row r="4053">
          <cell r="A4053">
            <v>57849</v>
          </cell>
          <cell r="B4053" t="str">
            <v>Skærm for kobling Winflex 2 PM717</v>
          </cell>
          <cell r="C4053" t="str">
            <v>Screen for coupling PM717</v>
          </cell>
          <cell r="D4053">
            <v>4747</v>
          </cell>
          <cell r="E4053">
            <v>638.03763440860212</v>
          </cell>
        </row>
        <row r="4054">
          <cell r="A4054">
            <v>57856</v>
          </cell>
          <cell r="B4054" t="str">
            <v>Rotor</v>
          </cell>
          <cell r="C4054" t="str">
            <v>Rotor</v>
          </cell>
          <cell r="D4054" t="str">
            <v>seperate list</v>
          </cell>
          <cell r="E4054" t="e">
            <v>#VALUE!</v>
          </cell>
        </row>
        <row r="4055">
          <cell r="A4055">
            <v>57883</v>
          </cell>
          <cell r="B4055" t="str">
            <v>U-skrue M20 x 30 A2 DIN7991</v>
          </cell>
          <cell r="C4055" t="str">
            <v>Counter sunk screw M20 x 30 A2 DIN7991</v>
          </cell>
          <cell r="D4055">
            <v>42</v>
          </cell>
          <cell r="E4055">
            <v>5.6451612903225801</v>
          </cell>
        </row>
        <row r="4056">
          <cell r="A4056">
            <v>57886</v>
          </cell>
          <cell r="B4056" t="str">
            <v>O-ring Ø280,0 x Ø5,00 Viton</v>
          </cell>
          <cell r="C4056" t="str">
            <v>O-ring Ø280,0 x Ø5,00 Viton</v>
          </cell>
          <cell r="D4056">
            <v>154</v>
          </cell>
          <cell r="E4056">
            <v>20.698924731182796</v>
          </cell>
        </row>
        <row r="4057">
          <cell r="A4057">
            <v>57908</v>
          </cell>
          <cell r="B4057" t="str">
            <v>Knivhoved 3-blads BC160</v>
          </cell>
          <cell r="C4057" t="str">
            <v>Knife head complete with 3 knife, blade length = 95mm</v>
          </cell>
          <cell r="D4057">
            <v>17100</v>
          </cell>
          <cell r="E4057">
            <v>2298.3870967741937</v>
          </cell>
        </row>
        <row r="4058">
          <cell r="A4058">
            <v>57911</v>
          </cell>
          <cell r="B4058" t="str">
            <v>Knivhoved 2 knive  BC 160</v>
          </cell>
          <cell r="C4058" t="str">
            <v>Knife head complete with 2 knife, blade length = 95mm</v>
          </cell>
          <cell r="D4058">
            <v>16500</v>
          </cell>
          <cell r="E4058">
            <v>2217.7419354838707</v>
          </cell>
        </row>
        <row r="4059">
          <cell r="A4059">
            <v>57948</v>
          </cell>
          <cell r="B4059" t="str">
            <v>Lukkeplade midt</v>
          </cell>
          <cell r="C4059" t="str">
            <v>Closing plate middle</v>
          </cell>
          <cell r="D4059">
            <v>1060</v>
          </cell>
          <cell r="E4059">
            <v>142.47311827956989</v>
          </cell>
        </row>
        <row r="4060">
          <cell r="A4060">
            <v>57951</v>
          </cell>
          <cell r="B4060" t="str">
            <v>Lukkeplade modsat motor</v>
          </cell>
          <cell r="C4060" t="str">
            <v>Closing plate opposite motor</v>
          </cell>
          <cell r="D4060">
            <v>1219</v>
          </cell>
          <cell r="E4060">
            <v>163.84408602150538</v>
          </cell>
        </row>
        <row r="4061">
          <cell r="A4061">
            <v>57952</v>
          </cell>
          <cell r="B4061" t="str">
            <v>Lukkeplade ved motor</v>
          </cell>
          <cell r="C4061" t="str">
            <v>Closing plate at motor</v>
          </cell>
          <cell r="D4061">
            <v>1219</v>
          </cell>
          <cell r="E4061">
            <v>163.84408602150538</v>
          </cell>
        </row>
        <row r="4062">
          <cell r="A4062">
            <v>57966</v>
          </cell>
          <cell r="B4062" t="str">
            <v>Cylinder komplet 24V DC</v>
          </cell>
          <cell r="C4062" t="str">
            <v>Cylinder, complete</v>
          </cell>
          <cell r="D4062">
            <v>4219</v>
          </cell>
          <cell r="E4062">
            <v>567.06989247311822</v>
          </cell>
        </row>
        <row r="4063">
          <cell r="A4063">
            <v>57967</v>
          </cell>
          <cell r="B4063" t="str">
            <v>Cylinder komplet 24V DC</v>
          </cell>
          <cell r="C4063" t="str">
            <v>Cylinder, complete 24V DC</v>
          </cell>
          <cell r="D4063">
            <v>2777</v>
          </cell>
          <cell r="E4063">
            <v>373.25268817204301</v>
          </cell>
        </row>
        <row r="4064">
          <cell r="A4064">
            <v>57981</v>
          </cell>
          <cell r="B4064" t="str">
            <v>Bundramme 450B</v>
          </cell>
          <cell r="C4064" t="str">
            <v>Frame</v>
          </cell>
          <cell r="D4064">
            <v>9540</v>
          </cell>
          <cell r="E4064">
            <v>1282.258064516129</v>
          </cell>
        </row>
        <row r="4065">
          <cell r="A4065">
            <v>57989</v>
          </cell>
          <cell r="B4065" t="str">
            <v>Skinne for låge  Multi 450 B</v>
          </cell>
          <cell r="C4065" t="str">
            <v>Rail for door</v>
          </cell>
          <cell r="D4065">
            <v>233</v>
          </cell>
          <cell r="E4065">
            <v>31.317204301075268</v>
          </cell>
        </row>
        <row r="4066">
          <cell r="A4066">
            <v>57990</v>
          </cell>
          <cell r="B4066" t="str">
            <v>Aksel for låge</v>
          </cell>
          <cell r="C4066" t="str">
            <v>Mounting rail</v>
          </cell>
          <cell r="D4066">
            <v>689</v>
          </cell>
          <cell r="E4066">
            <v>92.607526881720432</v>
          </cell>
        </row>
        <row r="4067">
          <cell r="A4067">
            <v>57997</v>
          </cell>
          <cell r="B4067" t="str">
            <v>Soldanslag bund</v>
          </cell>
          <cell r="C4067" t="str">
            <v>Screen guide lower</v>
          </cell>
          <cell r="D4067">
            <v>1707</v>
          </cell>
          <cell r="E4067">
            <v>229.43548387096774</v>
          </cell>
        </row>
        <row r="4068">
          <cell r="A4068">
            <v>58005</v>
          </cell>
          <cell r="B4068" t="str">
            <v>Buk for rørbæring – bred, incl. pos. 31</v>
          </cell>
          <cell r="C4068" t="str">
            <v>Pedestal for pipe clamp – wide, incl. item. 31</v>
          </cell>
          <cell r="D4068">
            <v>583</v>
          </cell>
          <cell r="E4068">
            <v>78.36021505376344</v>
          </cell>
        </row>
        <row r="4069">
          <cell r="A4069">
            <v>58006</v>
          </cell>
          <cell r="B4069" t="str">
            <v>Buk for rørbæring – smal, incl. pos. 26</v>
          </cell>
          <cell r="C4069" t="str">
            <v>Pedestal for pipe clamp – narrow, incl. item. 26</v>
          </cell>
          <cell r="D4069">
            <v>583</v>
          </cell>
          <cell r="E4069">
            <v>78.36021505376344</v>
          </cell>
        </row>
        <row r="4070">
          <cell r="A4070">
            <v>58008</v>
          </cell>
          <cell r="B4070" t="str">
            <v>Rørbæring – bred</v>
          </cell>
          <cell r="C4070" t="str">
            <v>Pipe clamp – wide</v>
          </cell>
          <cell r="D4070">
            <v>922</v>
          </cell>
          <cell r="E4070">
            <v>123.9247311827957</v>
          </cell>
        </row>
        <row r="4071">
          <cell r="A4071">
            <v>58009</v>
          </cell>
          <cell r="B4071" t="str">
            <v>Rørbæring – smal</v>
          </cell>
          <cell r="C4071" t="str">
            <v>Pipe clamp – narrow</v>
          </cell>
          <cell r="D4071">
            <v>721</v>
          </cell>
          <cell r="E4071">
            <v>96.908602150537632</v>
          </cell>
        </row>
        <row r="4072">
          <cell r="A4072">
            <v>58012</v>
          </cell>
          <cell r="B4072" t="str">
            <v>Låge  Multi 450 B</v>
          </cell>
          <cell r="C4072" t="str">
            <v>Door</v>
          </cell>
          <cell r="D4072">
            <v>2597</v>
          </cell>
          <cell r="E4072">
            <v>349.05913978494624</v>
          </cell>
        </row>
        <row r="4073">
          <cell r="A4073">
            <v>58014</v>
          </cell>
          <cell r="B4073" t="str">
            <v>Rotor</v>
          </cell>
          <cell r="C4073" t="str">
            <v>Rotor</v>
          </cell>
          <cell r="D4073" t="str">
            <v>seperate list</v>
          </cell>
          <cell r="E4073" t="e">
            <v>#VALUE!</v>
          </cell>
        </row>
        <row r="4074">
          <cell r="A4074">
            <v>58043</v>
          </cell>
          <cell r="B4074" t="str">
            <v>Låge  Opti 1200</v>
          </cell>
          <cell r="C4074" t="str">
            <v>Door</v>
          </cell>
          <cell r="D4074">
            <v>19610</v>
          </cell>
          <cell r="E4074">
            <v>2635.7526881720428</v>
          </cell>
        </row>
        <row r="4075">
          <cell r="A4075">
            <v>58046</v>
          </cell>
          <cell r="B4075" t="str">
            <v>Skinne for låge</v>
          </cell>
          <cell r="C4075" t="str">
            <v>Rail for door</v>
          </cell>
          <cell r="D4075">
            <v>5724</v>
          </cell>
          <cell r="E4075">
            <v>769.35483870967732</v>
          </cell>
        </row>
        <row r="4076">
          <cell r="A4076">
            <v>58048</v>
          </cell>
          <cell r="B4076" t="str">
            <v>Montageskinne</v>
          </cell>
          <cell r="C4076" t="str">
            <v>Mounting rail</v>
          </cell>
          <cell r="D4076">
            <v>3286</v>
          </cell>
          <cell r="E4076">
            <v>441.66666666666663</v>
          </cell>
        </row>
        <row r="4077">
          <cell r="A4077">
            <v>58067</v>
          </cell>
          <cell r="B4077" t="str">
            <v>Spændelement ROTAFIX D30x55</v>
          </cell>
          <cell r="C4077" t="str">
            <v>Locking assembly</v>
          </cell>
          <cell r="D4077">
            <v>196</v>
          </cell>
          <cell r="E4077">
            <v>26.344086021505376</v>
          </cell>
        </row>
        <row r="4078">
          <cell r="A4078">
            <v>58078</v>
          </cell>
          <cell r="B4078" t="str">
            <v>Gearmotor SEW 0,75kW 273 o/min</v>
          </cell>
          <cell r="C4078" t="str">
            <v>Gear motor SEW 0,75kW 273 o/min</v>
          </cell>
          <cell r="D4078">
            <v>3551</v>
          </cell>
          <cell r="E4078">
            <v>477.28494623655911</v>
          </cell>
        </row>
        <row r="4079">
          <cell r="A4079">
            <v>58081</v>
          </cell>
          <cell r="B4079" t="str">
            <v>Kileremskive SPA 3, Ø71, TL 1108</v>
          </cell>
          <cell r="C4079" t="str">
            <v>V-belt pulley SPA 3, Ø71, TL 1108</v>
          </cell>
          <cell r="D4079">
            <v>80</v>
          </cell>
          <cell r="E4079">
            <v>10.75268817204301</v>
          </cell>
        </row>
        <row r="4080">
          <cell r="A4080">
            <v>58090</v>
          </cell>
          <cell r="B4080" t="str">
            <v>Kileremskive SPA 3, Ø100, TL 1610, Ø20</v>
          </cell>
          <cell r="C4080" t="str">
            <v>V-belt pulley SPA 3, Ø100, TL 1610, Ø20</v>
          </cell>
          <cell r="D4080">
            <v>95</v>
          </cell>
          <cell r="E4080">
            <v>12.768817204301074</v>
          </cell>
        </row>
        <row r="4081">
          <cell r="A4081">
            <v>58097</v>
          </cell>
          <cell r="B4081" t="str">
            <v>Kilerem XPA 857</v>
          </cell>
          <cell r="C4081" t="str">
            <v>V-belt XPA 857</v>
          </cell>
          <cell r="D4081">
            <v>58</v>
          </cell>
          <cell r="E4081">
            <v>7.7956989247311821</v>
          </cell>
        </row>
        <row r="4082">
          <cell r="A4082">
            <v>58098</v>
          </cell>
          <cell r="B4082" t="str">
            <v>Pinolskrue M8 x 12 DIN915</v>
          </cell>
          <cell r="C4082" t="str">
            <v>Centre screw M8 x 12 DIN915</v>
          </cell>
          <cell r="D4082">
            <v>2.1</v>
          </cell>
          <cell r="E4082">
            <v>0.282258064516129</v>
          </cell>
        </row>
        <row r="4083">
          <cell r="A4083">
            <v>58121</v>
          </cell>
          <cell r="B4083" t="str">
            <v>Trug for rensearrangement, overpart</v>
          </cell>
          <cell r="C4083" t="str">
            <v>Trough for cleaning arrangement, overpart</v>
          </cell>
          <cell r="D4083">
            <v>5883</v>
          </cell>
          <cell r="E4083">
            <v>790.72580645161281</v>
          </cell>
        </row>
        <row r="4084">
          <cell r="A4084">
            <v>58122</v>
          </cell>
          <cell r="B4084" t="str">
            <v>Trug for rensearrangement, underpart</v>
          </cell>
          <cell r="C4084" t="str">
            <v>Trough for cleaning arrangement, underpart</v>
          </cell>
          <cell r="D4084">
            <v>5883</v>
          </cell>
          <cell r="E4084">
            <v>790.72580645161281</v>
          </cell>
        </row>
        <row r="4085">
          <cell r="A4085">
            <v>58123</v>
          </cell>
          <cell r="B4085" t="str">
            <v>Aksel for soldspænder</v>
          </cell>
          <cell r="C4085" t="str">
            <v>Shaft for screen lock</v>
          </cell>
          <cell r="D4085">
            <v>1749</v>
          </cell>
          <cell r="E4085">
            <v>235.08064516129031</v>
          </cell>
        </row>
        <row r="4086">
          <cell r="A4086">
            <v>58124</v>
          </cell>
          <cell r="B4086" t="str">
            <v>Låsearm</v>
          </cell>
          <cell r="C4086" t="str">
            <v>Lock arm</v>
          </cell>
          <cell r="D4086">
            <v>747</v>
          </cell>
          <cell r="E4086">
            <v>100.4032258064516</v>
          </cell>
        </row>
        <row r="4087">
          <cell r="A4087">
            <v>58125</v>
          </cell>
          <cell r="B4087" t="str">
            <v>Stopskive</v>
          </cell>
          <cell r="C4087" t="str">
            <v>Stop disc</v>
          </cell>
          <cell r="D4087">
            <v>355</v>
          </cell>
          <cell r="E4087">
            <v>47.715053763440856</v>
          </cell>
        </row>
        <row r="4088">
          <cell r="A4088">
            <v>58133</v>
          </cell>
          <cell r="B4088" t="str">
            <v>Hængsel</v>
          </cell>
          <cell r="C4088" t="str">
            <v>Hinge</v>
          </cell>
          <cell r="D4088">
            <v>477</v>
          </cell>
          <cell r="E4088">
            <v>64.112903225806448</v>
          </cell>
        </row>
        <row r="4089">
          <cell r="A4089">
            <v>58147</v>
          </cell>
          <cell r="B4089" t="str">
            <v>Kontraventil DN25</v>
          </cell>
          <cell r="C4089" t="str">
            <v>Nonreturn valve DN25</v>
          </cell>
          <cell r="D4089">
            <v>408</v>
          </cell>
          <cell r="E4089">
            <v>54.838709677419352</v>
          </cell>
        </row>
        <row r="4090">
          <cell r="A4090">
            <v>58164</v>
          </cell>
          <cell r="B4090" t="str">
            <v>Støtte for motorkonsol 355 kW</v>
          </cell>
          <cell r="C4090" t="str">
            <v>Support for motor bracket 355 kW</v>
          </cell>
          <cell r="D4090">
            <v>2009</v>
          </cell>
          <cell r="E4090">
            <v>270.02688172043008</v>
          </cell>
        </row>
        <row r="4091">
          <cell r="A4091">
            <v>58165</v>
          </cell>
          <cell r="B4091" t="str">
            <v>Motorkonsol under-part 180 – 250 kW</v>
          </cell>
          <cell r="C4091" t="str">
            <v>Motor bracket lower part  180 – 250 kW</v>
          </cell>
          <cell r="D4091">
            <v>3392</v>
          </cell>
          <cell r="E4091">
            <v>455.91397849462362</v>
          </cell>
        </row>
        <row r="4092">
          <cell r="A4092">
            <v>58166</v>
          </cell>
          <cell r="B4092" t="str">
            <v>Motorkonsol overpart str. 225 – 250</v>
          </cell>
          <cell r="C4092" t="str">
            <v>Motor bracket upper part, size 225 - 250</v>
          </cell>
          <cell r="D4092">
            <v>5724</v>
          </cell>
          <cell r="E4092">
            <v>769.35483870967732</v>
          </cell>
        </row>
        <row r="4093">
          <cell r="A4093">
            <v>58170</v>
          </cell>
          <cell r="B4093" t="str">
            <v>Knivblad F200 EX1250</v>
          </cell>
          <cell r="C4093" t="str">
            <v>Knife blade F200 EX1250</v>
          </cell>
          <cell r="D4093">
            <v>18.600000000000001</v>
          </cell>
          <cell r="E4093">
            <v>2.5</v>
          </cell>
        </row>
        <row r="4094">
          <cell r="A4094">
            <v>58176</v>
          </cell>
          <cell r="B4094" t="str">
            <v>Motorkonsol overpart str. 180 – 200</v>
          </cell>
          <cell r="C4094" t="str">
            <v>Motor bracket upper part, size 180 - 200</v>
          </cell>
          <cell r="D4094">
            <v>5512</v>
          </cell>
          <cell r="E4094">
            <v>740.86021505376345</v>
          </cell>
        </row>
        <row r="4095">
          <cell r="A4095">
            <v>58205</v>
          </cell>
          <cell r="B4095" t="str">
            <v>Elevator rem FR 4500 B =300</v>
          </cell>
          <cell r="C4095" t="str">
            <v>Bucket belt FR 4500 B =300</v>
          </cell>
          <cell r="D4095">
            <v>535</v>
          </cell>
          <cell r="E4095">
            <v>71.908602150537632</v>
          </cell>
        </row>
        <row r="4096">
          <cell r="A4096">
            <v>58218</v>
          </cell>
          <cell r="B4096" t="str">
            <v>Bundramme 315B</v>
          </cell>
          <cell r="C4096" t="str">
            <v>Frame</v>
          </cell>
          <cell r="D4096">
            <v>9116</v>
          </cell>
          <cell r="E4096">
            <v>1225.2688172043011</v>
          </cell>
        </row>
        <row r="4097">
          <cell r="A4097">
            <v>58220</v>
          </cell>
          <cell r="B4097" t="str">
            <v>Skinne for låge  Multi 315 B</v>
          </cell>
          <cell r="C4097" t="str">
            <v>Rail for door</v>
          </cell>
          <cell r="D4097">
            <v>186</v>
          </cell>
          <cell r="E4097">
            <v>25</v>
          </cell>
        </row>
        <row r="4098">
          <cell r="A4098">
            <v>58221</v>
          </cell>
          <cell r="B4098" t="str">
            <v>Aksel for låge</v>
          </cell>
          <cell r="C4098" t="str">
            <v>Mounting rail</v>
          </cell>
          <cell r="D4098">
            <v>689</v>
          </cell>
          <cell r="E4098">
            <v>92.607526881720432</v>
          </cell>
        </row>
        <row r="4099">
          <cell r="A4099">
            <v>58222</v>
          </cell>
          <cell r="B4099" t="str">
            <v>Afskærmning</v>
          </cell>
          <cell r="C4099" t="str">
            <v>Guard</v>
          </cell>
          <cell r="D4099">
            <v>1765</v>
          </cell>
          <cell r="E4099">
            <v>237.23118279569891</v>
          </cell>
        </row>
        <row r="4100">
          <cell r="A4100">
            <v>58243</v>
          </cell>
          <cell r="B4100" t="str">
            <v>Slutmuffe 1”</v>
          </cell>
          <cell r="C4100" t="str">
            <v>Closing cap 1”</v>
          </cell>
          <cell r="D4100">
            <v>74</v>
          </cell>
          <cell r="E4100">
            <v>9.9462365591397841</v>
          </cell>
        </row>
        <row r="4101">
          <cell r="A4101">
            <v>58245</v>
          </cell>
          <cell r="B4101" t="str">
            <v>Vinkel 90o – 1”</v>
          </cell>
          <cell r="C4101" t="str">
            <v>Angel 90o – 1”</v>
          </cell>
          <cell r="D4101">
            <v>4.2</v>
          </cell>
          <cell r="E4101">
            <v>0.56451612903225801</v>
          </cell>
        </row>
        <row r="4102">
          <cell r="A4102">
            <v>58246</v>
          </cell>
          <cell r="B4102" t="str">
            <v>Tætningsring 25 x 45 x 7 A Viton</v>
          </cell>
          <cell r="C4102" t="str">
            <v>Sealing ring 25 x 45 x 7 A Viton</v>
          </cell>
          <cell r="D4102">
            <v>69</v>
          </cell>
          <cell r="E4102">
            <v>9.2741935483870961</v>
          </cell>
        </row>
        <row r="4103">
          <cell r="A4103">
            <v>58248</v>
          </cell>
          <cell r="B4103" t="str">
            <v>Låsering I 45x 1,75 J DIN 472</v>
          </cell>
          <cell r="C4103" t="str">
            <v>Lock ring I 45x 1,75 J DIN 472</v>
          </cell>
          <cell r="D4103">
            <v>4.0999999999999996</v>
          </cell>
          <cell r="E4103">
            <v>0.55107526881720426</v>
          </cell>
        </row>
        <row r="4104">
          <cell r="A4104">
            <v>58253</v>
          </cell>
          <cell r="B4104" t="str">
            <v>Låge  Multi 315 B</v>
          </cell>
          <cell r="C4104" t="str">
            <v>Door</v>
          </cell>
          <cell r="D4104">
            <v>2597</v>
          </cell>
          <cell r="E4104">
            <v>349.05913978494624</v>
          </cell>
        </row>
        <row r="4105">
          <cell r="A4105">
            <v>58255</v>
          </cell>
          <cell r="B4105" t="str">
            <v>Rotor</v>
          </cell>
          <cell r="C4105" t="str">
            <v>Rotor</v>
          </cell>
          <cell r="D4105" t="str">
            <v>seperate list</v>
          </cell>
          <cell r="E4105" t="e">
            <v>#VALUE!</v>
          </cell>
        </row>
        <row r="4106">
          <cell r="A4106">
            <v>58293</v>
          </cell>
          <cell r="B4106" t="str">
            <v>Gavl for rensearrangement</v>
          </cell>
          <cell r="C4106" t="str">
            <v>Gable for cleaning arrangement</v>
          </cell>
          <cell r="D4106">
            <v>1458</v>
          </cell>
          <cell r="E4106">
            <v>195.96774193548387</v>
          </cell>
        </row>
        <row r="4107">
          <cell r="A4107">
            <v>58297</v>
          </cell>
          <cell r="B4107" t="str">
            <v>Hus for simmerring</v>
          </cell>
          <cell r="C4107" t="str">
            <v>House for sealing ring</v>
          </cell>
          <cell r="D4107">
            <v>3763</v>
          </cell>
          <cell r="E4107">
            <v>505.77956989247309</v>
          </cell>
        </row>
        <row r="4108">
          <cell r="A4108">
            <v>58299</v>
          </cell>
          <cell r="B4108" t="str">
            <v>Motorplade</v>
          </cell>
          <cell r="C4108" t="str">
            <v>Motor plate</v>
          </cell>
          <cell r="D4108">
            <v>981</v>
          </cell>
          <cell r="E4108">
            <v>131.85483870967741</v>
          </cell>
        </row>
        <row r="4109">
          <cell r="A4109">
            <v>58303</v>
          </cell>
          <cell r="B4109" t="str">
            <v>Blandegevind</v>
          </cell>
          <cell r="C4109" t="str">
            <v>Mixing paddle</v>
          </cell>
          <cell r="D4109">
            <v>90</v>
          </cell>
          <cell r="E4109">
            <v>12.096774193548386</v>
          </cell>
        </row>
        <row r="4110">
          <cell r="A4110">
            <v>58304</v>
          </cell>
          <cell r="B4110" t="str">
            <v>Remskærm for rensearrangement, komplet</v>
          </cell>
          <cell r="C4110" t="str">
            <v>Belt guard for cleaning arrangement, complete</v>
          </cell>
          <cell r="D4110">
            <v>2173</v>
          </cell>
          <cell r="E4110">
            <v>292.06989247311827</v>
          </cell>
        </row>
        <row r="4111">
          <cell r="A4111">
            <v>58307</v>
          </cell>
          <cell r="B4111" t="str">
            <v>Bonded seal  AISI316  8 mm</v>
          </cell>
          <cell r="C4111" t="str">
            <v>Bonded seal AI316 8mm</v>
          </cell>
          <cell r="D4111">
            <v>43</v>
          </cell>
          <cell r="E4111">
            <v>5.779569892473118</v>
          </cell>
        </row>
        <row r="4112">
          <cell r="A4112">
            <v>58308</v>
          </cell>
          <cell r="B4112" t="str">
            <v>Bonded seal  AISI316  10 mm</v>
          </cell>
          <cell r="C4112" t="str">
            <v>Bonded seal AI316 10mm</v>
          </cell>
          <cell r="D4112">
            <v>58</v>
          </cell>
          <cell r="E4112">
            <v>7.7956989247311821</v>
          </cell>
        </row>
        <row r="4113">
          <cell r="A4113">
            <v>58315</v>
          </cell>
          <cell r="B4113" t="str">
            <v>Tætningsskinne bundspjæld  HPB 6001</v>
          </cell>
          <cell r="C4113" t="str">
            <v xml:space="preserve">Sealing band </v>
          </cell>
          <cell r="D4113">
            <v>11800</v>
          </cell>
          <cell r="E4113">
            <v>1586.0215053763441</v>
          </cell>
        </row>
        <row r="4114">
          <cell r="A4114">
            <v>58358</v>
          </cell>
          <cell r="B4114" t="str">
            <v>Soldramme 315 B</v>
          </cell>
          <cell r="C4114" t="str">
            <v>Frame for screen</v>
          </cell>
          <cell r="D4114">
            <v>2385</v>
          </cell>
          <cell r="E4114">
            <v>320.56451612903226</v>
          </cell>
        </row>
        <row r="4115">
          <cell r="A4115">
            <v>58381</v>
          </cell>
          <cell r="B4115" t="str">
            <v>Holder for godsfordeler 3R PM1219W</v>
          </cell>
          <cell r="C4115" t="str">
            <v>Holdfer for deflector 3R PM1219W</v>
          </cell>
          <cell r="D4115">
            <v>8597</v>
          </cell>
          <cell r="E4115">
            <v>1155.510752688172</v>
          </cell>
        </row>
        <row r="4116">
          <cell r="A4116">
            <v>58466</v>
          </cell>
          <cell r="B4116" t="str">
            <v>Tætningsskinne bundspjæld  HPB 2001</v>
          </cell>
          <cell r="C4116" t="str">
            <v xml:space="preserve">Sealing band </v>
          </cell>
          <cell r="D4116">
            <v>8700</v>
          </cell>
          <cell r="E4116">
            <v>1169.3548387096773</v>
          </cell>
        </row>
        <row r="4117">
          <cell r="A4117">
            <v>58476</v>
          </cell>
          <cell r="B4117" t="str">
            <v>Bagplade for pillekammer PMV717</v>
          </cell>
          <cell r="C4117" t="str">
            <v>Backplate for pellet chamber PM717</v>
          </cell>
          <cell r="D4117">
            <v>2650</v>
          </cell>
          <cell r="E4117">
            <v>356.18279569892474</v>
          </cell>
        </row>
        <row r="4118">
          <cell r="A4118">
            <v>58480</v>
          </cell>
          <cell r="B4118" t="str">
            <v>Tætningsskinne bundspjæld  HPB 8001</v>
          </cell>
          <cell r="C4118" t="str">
            <v xml:space="preserve">Sealing band </v>
          </cell>
          <cell r="D4118">
            <v>12400</v>
          </cell>
          <cell r="E4118">
            <v>1666.6666666666665</v>
          </cell>
        </row>
        <row r="4119">
          <cell r="A4119">
            <v>58490</v>
          </cell>
          <cell r="B4119" t="str">
            <v xml:space="preserve">Omløber Bete </v>
          </cell>
          <cell r="C4119" t="str">
            <v>Uniun nut</v>
          </cell>
          <cell r="D4119">
            <v>138</v>
          </cell>
          <cell r="E4119">
            <v>18.548387096774192</v>
          </cell>
        </row>
        <row r="4120">
          <cell r="A4120">
            <v>58523</v>
          </cell>
          <cell r="B4120" t="str">
            <v>Glideleje PAF30260 P10</v>
          </cell>
          <cell r="C4120" t="str">
            <v>Slide bearing PAF 30260 P10</v>
          </cell>
          <cell r="D4120">
            <v>69</v>
          </cell>
          <cell r="E4120">
            <v>9.2741935483870961</v>
          </cell>
        </row>
        <row r="4121">
          <cell r="A4121">
            <v>58594</v>
          </cell>
          <cell r="B4121" t="str">
            <v xml:space="preserve">Koblingsnav T9  ø 100  H7  </v>
          </cell>
          <cell r="C4121" t="str">
            <v xml:space="preserve">Coupling, hub T9  ø 100  H7    </v>
          </cell>
          <cell r="D4121">
            <v>3685</v>
          </cell>
          <cell r="E4121">
            <v>495.29569892473114</v>
          </cell>
        </row>
        <row r="4122">
          <cell r="A4122">
            <v>58604</v>
          </cell>
          <cell r="B4122" t="str">
            <v xml:space="preserve">Prop 1” </v>
          </cell>
          <cell r="C4122" t="str">
            <v>Plug 1”</v>
          </cell>
          <cell r="D4122">
            <v>133</v>
          </cell>
          <cell r="E4122">
            <v>17.876344086021504</v>
          </cell>
        </row>
        <row r="4123">
          <cell r="A4123">
            <v>58626</v>
          </cell>
          <cell r="B4123" t="str">
            <v>Hængsel for pillekammer top PM717</v>
          </cell>
          <cell r="C4123" t="str">
            <v xml:space="preserve">Hinge for pellet chamber top PM717 </v>
          </cell>
          <cell r="D4123">
            <v>1767</v>
          </cell>
          <cell r="E4123">
            <v>237.5</v>
          </cell>
        </row>
        <row r="4124">
          <cell r="A4124">
            <v>58627</v>
          </cell>
          <cell r="B4124" t="str">
            <v>Hængsel for pillekammer bund PM717</v>
          </cell>
          <cell r="C4124" t="str">
            <v>Hinge for pellet chamber bottom PM717</v>
          </cell>
          <cell r="D4124">
            <v>2238</v>
          </cell>
          <cell r="E4124">
            <v>300.80645161290323</v>
          </cell>
        </row>
        <row r="4125">
          <cell r="A4125">
            <v>58925</v>
          </cell>
          <cell r="B4125" t="str">
            <v>Låsering U 85 x 3,0 A DIN471</v>
          </cell>
          <cell r="C4125" t="str">
            <v>Lock ring U 85 x 3,0 A DIN471</v>
          </cell>
          <cell r="D4125">
            <v>16.399999999999999</v>
          </cell>
          <cell r="E4125">
            <v>2.204301075268817</v>
          </cell>
        </row>
        <row r="4126">
          <cell r="A4126">
            <v>58933</v>
          </cell>
          <cell r="B4126" t="str">
            <v>Knivhus  ECS  X85</v>
          </cell>
          <cell r="C4126" t="str">
            <v>Knife house</v>
          </cell>
          <cell r="D4126">
            <v>48500</v>
          </cell>
          <cell r="E4126">
            <v>6518.8172043010745</v>
          </cell>
        </row>
        <row r="4127">
          <cell r="A4127">
            <v>58994</v>
          </cell>
          <cell r="B4127" t="str">
            <v>Brystnippel 1”</v>
          </cell>
          <cell r="C4127" t="str">
            <v>Hexagon nipple 1”</v>
          </cell>
          <cell r="D4127">
            <v>91</v>
          </cell>
          <cell r="E4127">
            <v>12.231182795698924</v>
          </cell>
        </row>
        <row r="4128">
          <cell r="A4128">
            <v>59008</v>
          </cell>
          <cell r="B4128" t="str">
            <v>Ledeplade II</v>
          </cell>
          <cell r="C4128" t="str">
            <v>Guide plate II</v>
          </cell>
          <cell r="D4128">
            <v>825</v>
          </cell>
          <cell r="E4128">
            <v>110.88709677419354</v>
          </cell>
        </row>
        <row r="4129">
          <cell r="A4129">
            <v>59009</v>
          </cell>
          <cell r="B4129" t="str">
            <v>Ledeplade  I</v>
          </cell>
          <cell r="C4129" t="str">
            <v>Guide plate I</v>
          </cell>
          <cell r="D4129">
            <v>825</v>
          </cell>
          <cell r="E4129">
            <v>110.88709677419354</v>
          </cell>
        </row>
        <row r="4130">
          <cell r="A4130">
            <v>59017</v>
          </cell>
          <cell r="B4130" t="str">
            <v>Bundspjæld   RF HPB 8001</v>
          </cell>
          <cell r="C4130" t="str">
            <v>Bottom slide</v>
          </cell>
          <cell r="D4130">
            <v>58000</v>
          </cell>
          <cell r="E4130">
            <v>7795.6989247311822</v>
          </cell>
        </row>
        <row r="4131">
          <cell r="A4131">
            <v>59028</v>
          </cell>
          <cell r="B4131" t="str">
            <v xml:space="preserve">Sluse PAM 5/220 </v>
          </cell>
          <cell r="C4131" t="str">
            <v>Sluice PAM 5/220</v>
          </cell>
          <cell r="D4131">
            <v>75260</v>
          </cell>
          <cell r="E4131">
            <v>10115.591397849463</v>
          </cell>
        </row>
        <row r="4132">
          <cell r="A4132">
            <v>59044</v>
          </cell>
          <cell r="B4132" t="str">
            <v>Stenfælde</v>
          </cell>
          <cell r="C4132" t="str">
            <v>Stone trap</v>
          </cell>
          <cell r="D4132">
            <v>2385</v>
          </cell>
          <cell r="E4132">
            <v>320.56451612903226</v>
          </cell>
        </row>
        <row r="4133">
          <cell r="A4133">
            <v>59057</v>
          </cell>
          <cell r="B4133" t="str">
            <v>Rørstreng for vand</v>
          </cell>
          <cell r="C4133" t="str">
            <v>Pipeline for water</v>
          </cell>
          <cell r="D4133">
            <v>2915</v>
          </cell>
          <cell r="E4133">
            <v>391.80107526881716</v>
          </cell>
        </row>
        <row r="4134">
          <cell r="A4134">
            <v>59058</v>
          </cell>
          <cell r="B4134" t="str">
            <v>Rørstreng for luft</v>
          </cell>
          <cell r="C4134" t="str">
            <v>Pipeline for air</v>
          </cell>
          <cell r="D4134">
            <v>1251</v>
          </cell>
          <cell r="E4134">
            <v>168.14516129032256</v>
          </cell>
        </row>
        <row r="4135">
          <cell r="A4135">
            <v>59059</v>
          </cell>
          <cell r="B4135" t="str">
            <v>Rørstreng for væske 1 og 2</v>
          </cell>
          <cell r="C4135" t="str">
            <v>Pipeline for liquid 1 og 2</v>
          </cell>
          <cell r="D4135">
            <v>292</v>
          </cell>
          <cell r="E4135">
            <v>39.247311827956985</v>
          </cell>
        </row>
        <row r="4136">
          <cell r="A4136">
            <v>59061</v>
          </cell>
          <cell r="B4136" t="str">
            <v>Rørstreng for kølevand</v>
          </cell>
          <cell r="C4136" t="str">
            <v>Pipeline for cooling water</v>
          </cell>
          <cell r="D4136">
            <v>3286</v>
          </cell>
          <cell r="E4136">
            <v>441.66666666666663</v>
          </cell>
        </row>
        <row r="4137">
          <cell r="A4137">
            <v>59062</v>
          </cell>
          <cell r="B4137" t="str">
            <v>Rørstreng for procesdamp</v>
          </cell>
          <cell r="C4137" t="str">
            <v>Pipeline for process steam</v>
          </cell>
          <cell r="D4137">
            <v>3392</v>
          </cell>
          <cell r="E4137">
            <v>455.91397849462362</v>
          </cell>
        </row>
        <row r="4138">
          <cell r="A4138">
            <v>59064</v>
          </cell>
          <cell r="B4138" t="str">
            <v>Rørstreng for kondensat</v>
          </cell>
          <cell r="C4138" t="str">
            <v xml:space="preserve">Pipeline for condensate </v>
          </cell>
          <cell r="D4138">
            <v>26606</v>
          </cell>
          <cell r="E4138">
            <v>3576.0752688172042</v>
          </cell>
        </row>
        <row r="4139">
          <cell r="A4139">
            <v>59065</v>
          </cell>
          <cell r="B4139" t="str">
            <v>Rørstreng for damp</v>
          </cell>
          <cell r="C4139" t="str">
            <v>Pipeline for steam</v>
          </cell>
          <cell r="D4139">
            <v>1431</v>
          </cell>
          <cell r="E4139">
            <v>192.33870967741933</v>
          </cell>
        </row>
        <row r="4140">
          <cell r="A4140">
            <v>59079</v>
          </cell>
          <cell r="B4140" t="str">
            <v>Koblingsnav ø 100  P7  T5</v>
          </cell>
          <cell r="C4140" t="str">
            <v>Coupling, hub  ø100 P7  T5</v>
          </cell>
          <cell r="D4140">
            <v>3127</v>
          </cell>
          <cell r="E4140">
            <v>420.29569892473114</v>
          </cell>
        </row>
        <row r="4141">
          <cell r="A4141">
            <v>59099</v>
          </cell>
          <cell r="B4141" t="str">
            <v>Knivarrangement E185</v>
          </cell>
          <cell r="C4141" t="str">
            <v>Knife arrangement for Wenger X185, composed off:</v>
          </cell>
          <cell r="D4141">
            <v>8640</v>
          </cell>
          <cell r="E4141">
            <v>1161.2903225806451</v>
          </cell>
        </row>
        <row r="4142">
          <cell r="A4142">
            <v>59100</v>
          </cell>
          <cell r="B4142" t="str">
            <v>Aksel med kobling for knivarr.</v>
          </cell>
          <cell r="C4142" t="str">
            <v>Shaft with coupling for knife arrangement, composed off:</v>
          </cell>
          <cell r="D4142">
            <v>9434</v>
          </cell>
          <cell r="E4142">
            <v>1268.010752688172</v>
          </cell>
        </row>
        <row r="4143">
          <cell r="A4143">
            <v>59109</v>
          </cell>
          <cell r="B4143" t="str">
            <v>Justeringsbolt</v>
          </cell>
          <cell r="C4143" t="str">
            <v>Adjustment bolt</v>
          </cell>
          <cell r="D4143">
            <v>451</v>
          </cell>
          <cell r="E4143">
            <v>60.618279569892472</v>
          </cell>
        </row>
        <row r="4144">
          <cell r="A4144">
            <v>59110</v>
          </cell>
          <cell r="B4144" t="str">
            <v>Inderring</v>
          </cell>
          <cell r="C4144" t="str">
            <v>Inner ring</v>
          </cell>
          <cell r="D4144">
            <v>451</v>
          </cell>
          <cell r="E4144">
            <v>60.618279569892472</v>
          </cell>
        </row>
        <row r="4145">
          <cell r="A4145">
            <v>59111</v>
          </cell>
          <cell r="B4145" t="str">
            <v>Yderring for RCS</v>
          </cell>
          <cell r="C4145" t="str">
            <v>Outer ring</v>
          </cell>
          <cell r="D4145">
            <v>636</v>
          </cell>
          <cell r="E4145">
            <v>85.483870967741936</v>
          </cell>
        </row>
        <row r="4146">
          <cell r="A4146">
            <v>59112</v>
          </cell>
          <cell r="B4146" t="str">
            <v>Skærm</v>
          </cell>
          <cell r="C4146" t="str">
            <v>Cover</v>
          </cell>
          <cell r="D4146">
            <v>345</v>
          </cell>
          <cell r="E4146">
            <v>46.37096774193548</v>
          </cell>
        </row>
        <row r="4147">
          <cell r="A4147">
            <v>59113</v>
          </cell>
          <cell r="B4147" t="str">
            <v>Aksel for kobling</v>
          </cell>
          <cell r="C4147" t="str">
            <v>Shaft  for coupling</v>
          </cell>
          <cell r="D4147">
            <v>4187</v>
          </cell>
          <cell r="E4147">
            <v>562.76881720430106</v>
          </cell>
        </row>
        <row r="4148">
          <cell r="A4148">
            <v>59114</v>
          </cell>
          <cell r="B4148" t="str">
            <v>Kobling</v>
          </cell>
          <cell r="C4148" t="str">
            <v>Coupling</v>
          </cell>
          <cell r="D4148">
            <v>2385</v>
          </cell>
          <cell r="E4148">
            <v>320.56451612903226</v>
          </cell>
        </row>
        <row r="4149">
          <cell r="A4149">
            <v>59116</v>
          </cell>
          <cell r="B4149" t="str">
            <v>Bundspjæld  RF HPB 4001</v>
          </cell>
          <cell r="C4149" t="str">
            <v>Bottom slide</v>
          </cell>
          <cell r="D4149">
            <v>43000</v>
          </cell>
          <cell r="E4149">
            <v>5779.5698924731178</v>
          </cell>
        </row>
        <row r="4150">
          <cell r="A4150">
            <v>59120</v>
          </cell>
          <cell r="B4150" t="str">
            <v xml:space="preserve">Axial </v>
          </cell>
          <cell r="C4150" t="str">
            <v>Angular contact bearing 7206BE GA P</v>
          </cell>
          <cell r="D4150">
            <v>204</v>
          </cell>
          <cell r="E4150">
            <v>27.419354838709676</v>
          </cell>
        </row>
        <row r="4151">
          <cell r="A4151">
            <v>59122</v>
          </cell>
          <cell r="B4151" t="str">
            <v>Tætningsring A Ø030 x Ø040 x 7  A  VITON</v>
          </cell>
          <cell r="C4151" t="str">
            <v>Seal ring 030X040X07 A VITON</v>
          </cell>
          <cell r="D4151">
            <v>71</v>
          </cell>
          <cell r="E4151">
            <v>9.543010752688172</v>
          </cell>
        </row>
        <row r="4152">
          <cell r="A4152">
            <v>59125</v>
          </cell>
          <cell r="B4152" t="str">
            <v>Stift for kobling</v>
          </cell>
          <cell r="C4152" t="str">
            <v>Pin for coupling</v>
          </cell>
          <cell r="D4152">
            <v>435</v>
          </cell>
          <cell r="E4152">
            <v>58.467741935483865</v>
          </cell>
        </row>
        <row r="4153">
          <cell r="A4153">
            <v>59128</v>
          </cell>
          <cell r="B4153" t="str">
            <v>Knivhoved  10-blads X 185</v>
          </cell>
          <cell r="C4153" t="str">
            <v>Knife head complete for 10 knifes, composed off:</v>
          </cell>
          <cell r="D4153">
            <v>17340</v>
          </cell>
          <cell r="E4153">
            <v>2330.6451612903224</v>
          </cell>
        </row>
        <row r="4154">
          <cell r="A4154">
            <v>59131</v>
          </cell>
          <cell r="B4154" t="str">
            <v>Yderring 10 knive</v>
          </cell>
          <cell r="C4154" t="str">
            <v>Outer ring, 10 knifes</v>
          </cell>
          <cell r="D4154">
            <v>5724</v>
          </cell>
          <cell r="E4154">
            <v>769.35483870967732</v>
          </cell>
        </row>
        <row r="4155">
          <cell r="A4155">
            <v>59132</v>
          </cell>
          <cell r="B4155" t="str">
            <v>Arm justerbar</v>
          </cell>
          <cell r="C4155" t="str">
            <v>Adjustable arm</v>
          </cell>
          <cell r="D4155">
            <v>689</v>
          </cell>
          <cell r="E4155">
            <v>92.607526881720432</v>
          </cell>
        </row>
        <row r="4156">
          <cell r="A4156">
            <v>59133</v>
          </cell>
          <cell r="B4156" t="str">
            <v>Knivarrangement ECS  X 185</v>
          </cell>
          <cell r="C4156" t="str">
            <v>Knife arrangement ECS X185 adjustable 10 knifes, composed off:</v>
          </cell>
          <cell r="D4156">
            <v>14257</v>
          </cell>
          <cell r="E4156">
            <v>1916.263440860215</v>
          </cell>
        </row>
        <row r="4157">
          <cell r="A4157">
            <v>59139</v>
          </cell>
          <cell r="B4157" t="str">
            <v>Beslag</v>
          </cell>
          <cell r="C4157" t="str">
            <v>Bracket</v>
          </cell>
          <cell r="D4157">
            <v>207</v>
          </cell>
          <cell r="E4157">
            <v>27.822580645161288</v>
          </cell>
        </row>
        <row r="4158">
          <cell r="A4158">
            <v>59146</v>
          </cell>
          <cell r="B4158" t="str">
            <v>Aksel for dyseplade  1 3/4"  x 16 Withworth venstre</v>
          </cell>
          <cell r="C4158" t="str">
            <v xml:space="preserve">Shaft for die plate 1 ¾” x 16 Withworth left hand </v>
          </cell>
          <cell r="D4158">
            <v>1007</v>
          </cell>
          <cell r="E4158">
            <v>135.34946236559139</v>
          </cell>
        </row>
        <row r="4159">
          <cell r="A4159">
            <v>59162</v>
          </cell>
          <cell r="B4159" t="str">
            <v>Bundspjæld  RF  HPB 10001</v>
          </cell>
          <cell r="C4159" t="str">
            <v>Bottom slide</v>
          </cell>
          <cell r="D4159">
            <v>64000</v>
          </cell>
          <cell r="E4159">
            <v>8602.1505376344085</v>
          </cell>
        </row>
        <row r="4160">
          <cell r="A4160">
            <v>59185</v>
          </cell>
          <cell r="B4160" t="str">
            <v>Bundspjæld   RF  HPB 2001</v>
          </cell>
          <cell r="C4160" t="str">
            <v>Bottom slide</v>
          </cell>
          <cell r="D4160">
            <v>35000</v>
          </cell>
          <cell r="E4160">
            <v>4704.3010752688169</v>
          </cell>
        </row>
        <row r="4161">
          <cell r="A4161">
            <v>59207</v>
          </cell>
          <cell r="B4161" t="str">
            <v>Bundspjæld  RF  HPB 6001</v>
          </cell>
          <cell r="C4161" t="str">
            <v>Bottom slide</v>
          </cell>
          <cell r="D4161">
            <v>53000</v>
          </cell>
          <cell r="E4161">
            <v>7123.655913978494</v>
          </cell>
        </row>
        <row r="4162">
          <cell r="A4162">
            <v>59226</v>
          </cell>
          <cell r="B4162" t="str">
            <v>Møtrik  MV 16 x 1,5 venstre  AISI 304</v>
          </cell>
          <cell r="C4162" t="str">
            <v>Nut MV16X1,5 left hand AISI304</v>
          </cell>
          <cell r="D4162">
            <v>111</v>
          </cell>
          <cell r="E4162">
            <v>14.919354838709676</v>
          </cell>
        </row>
        <row r="4163">
          <cell r="A4163">
            <v>59233</v>
          </cell>
          <cell r="B4163" t="str">
            <v>Poseholder 1200 R    Galvaniseret</v>
          </cell>
          <cell r="C4163" t="str">
            <v>Filter bag cage 1200 R    Galvanized</v>
          </cell>
          <cell r="D4163">
            <v>168</v>
          </cell>
          <cell r="E4163">
            <v>22.58064516129032</v>
          </cell>
        </row>
        <row r="4164">
          <cell r="A4164">
            <v>59239</v>
          </cell>
          <cell r="B4164" t="str">
            <v>Knivhoved 5 knive X 185</v>
          </cell>
          <cell r="C4164" t="str">
            <v>Knife head complete for 5 knifes, composed off:</v>
          </cell>
          <cell r="D4164">
            <v>9250</v>
          </cell>
          <cell r="E4164">
            <v>1243.2795698924731</v>
          </cell>
        </row>
        <row r="4165">
          <cell r="A4165">
            <v>59317</v>
          </cell>
          <cell r="B4165" t="str">
            <v>Tætningsring A Ø055 x Ø 070 x 8 A  VITON</v>
          </cell>
          <cell r="C4165" t="str">
            <v>Seal ring 055X070X08 A VITON</v>
          </cell>
          <cell r="D4165">
            <v>201</v>
          </cell>
          <cell r="E4165">
            <v>27.016129032258064</v>
          </cell>
        </row>
        <row r="4166">
          <cell r="A4166">
            <v>59321</v>
          </cell>
          <cell r="B4166" t="str">
            <v>Bundspjæld  St 37 HPB 8001</v>
          </cell>
          <cell r="C4166" t="str">
            <v>Buttom slide</v>
          </cell>
          <cell r="D4166">
            <v>47500</v>
          </cell>
          <cell r="E4166">
            <v>6384.4086021505373</v>
          </cell>
        </row>
        <row r="4167">
          <cell r="A4167">
            <v>59322</v>
          </cell>
          <cell r="B4167" t="str">
            <v>Låsebøsning</v>
          </cell>
          <cell r="C4167" t="str">
            <v>Lock bushing</v>
          </cell>
          <cell r="D4167">
            <v>1749</v>
          </cell>
          <cell r="E4167">
            <v>235.08064516129031</v>
          </cell>
        </row>
        <row r="4168">
          <cell r="A4168">
            <v>59357</v>
          </cell>
          <cell r="B4168" t="str">
            <v>Bonded seal 1” AISI316</v>
          </cell>
          <cell r="C4168" t="str">
            <v>Bonded seal 1” AISI316</v>
          </cell>
          <cell r="D4168">
            <v>58</v>
          </cell>
          <cell r="E4168">
            <v>7.7956989247311821</v>
          </cell>
        </row>
        <row r="4169">
          <cell r="A4169">
            <v>59359</v>
          </cell>
          <cell r="B4169" t="str">
            <v>Brystnippel 1”RG/1”RG</v>
          </cell>
          <cell r="C4169" t="str">
            <v>Hexagon nipple 1”RG/1”RG</v>
          </cell>
          <cell r="D4169">
            <v>239</v>
          </cell>
          <cell r="E4169">
            <v>32.123655913978496</v>
          </cell>
        </row>
        <row r="4170">
          <cell r="A4170">
            <v>59376</v>
          </cell>
          <cell r="B4170" t="str">
            <v>Slusehængsel</v>
          </cell>
          <cell r="C4170" t="str">
            <v>Sluice hinge</v>
          </cell>
          <cell r="D4170">
            <v>6042</v>
          </cell>
          <cell r="E4170">
            <v>812.0967741935483</v>
          </cell>
        </row>
        <row r="4171">
          <cell r="A4171">
            <v>59394</v>
          </cell>
          <cell r="B4171" t="str">
            <v>Prøveudtag 150 X 200 ECS</v>
          </cell>
          <cell r="C4171" t="str">
            <v>Test sampler</v>
          </cell>
          <cell r="D4171">
            <v>2226</v>
          </cell>
          <cell r="E4171">
            <v>299.19354838709677</v>
          </cell>
        </row>
        <row r="4172">
          <cell r="A4172">
            <v>59398</v>
          </cell>
          <cell r="B4172" t="str">
            <v>Aksel for soldramme</v>
          </cell>
          <cell r="C4172" t="str">
            <v>screen frame hinge</v>
          </cell>
          <cell r="D4172">
            <v>1166</v>
          </cell>
          <cell r="E4172">
            <v>156.72043010752688</v>
          </cell>
        </row>
        <row r="4173">
          <cell r="A4173">
            <v>59401</v>
          </cell>
          <cell r="B4173" t="str">
            <v>Koblingsunderpart</v>
          </cell>
          <cell r="C4173" t="str">
            <v>Coupling bottom part</v>
          </cell>
          <cell r="D4173">
            <v>12985</v>
          </cell>
          <cell r="E4173">
            <v>1745.2956989247311</v>
          </cell>
        </row>
        <row r="4174">
          <cell r="A4174">
            <v>59404</v>
          </cell>
          <cell r="B4174" t="str">
            <v>Skærm for sluse</v>
          </cell>
          <cell r="C4174" t="str">
            <v>Screen for sluice</v>
          </cell>
          <cell r="D4174">
            <v>1325</v>
          </cell>
          <cell r="E4174">
            <v>178.09139784946237</v>
          </cell>
        </row>
        <row r="4175">
          <cell r="A4175">
            <v>59405</v>
          </cell>
          <cell r="B4175" t="str">
            <v>Hjørneplade</v>
          </cell>
          <cell r="C4175" t="str">
            <v>Corner plate</v>
          </cell>
          <cell r="D4175">
            <v>472</v>
          </cell>
          <cell r="E4175">
            <v>63.44086021505376</v>
          </cell>
        </row>
        <row r="4176">
          <cell r="A4176">
            <v>59410</v>
          </cell>
          <cell r="B4176" t="str">
            <v>Kurverulle m. møtrik KR30PPA</v>
          </cell>
          <cell r="C4176" t="str">
            <v>Cam follower with nut</v>
          </cell>
          <cell r="D4176">
            <v>186</v>
          </cell>
          <cell r="E4176">
            <v>25</v>
          </cell>
        </row>
        <row r="4177">
          <cell r="A4177">
            <v>59417</v>
          </cell>
          <cell r="B4177" t="str">
            <v>Indløbstragt</v>
          </cell>
          <cell r="C4177" t="str">
            <v>Inlet duct</v>
          </cell>
          <cell r="D4177">
            <v>13250</v>
          </cell>
          <cell r="E4177">
            <v>1780.9139784946235</v>
          </cell>
        </row>
        <row r="4178">
          <cell r="A4178">
            <v>59422</v>
          </cell>
          <cell r="B4178" t="str">
            <v>Knivaksel</v>
          </cell>
          <cell r="C4178" t="str">
            <v>Knife shaft</v>
          </cell>
          <cell r="D4178">
            <v>9600</v>
          </cell>
          <cell r="E4178">
            <v>1290.3225806451612</v>
          </cell>
        </row>
        <row r="4179">
          <cell r="A4179">
            <v>59436</v>
          </cell>
          <cell r="B4179" t="str">
            <v>Håndtag for sluse</v>
          </cell>
          <cell r="C4179" t="str">
            <v>Handle for sluice</v>
          </cell>
          <cell r="D4179">
            <v>716</v>
          </cell>
          <cell r="E4179">
            <v>96.236559139784944</v>
          </cell>
        </row>
        <row r="4180">
          <cell r="A4180">
            <v>59507</v>
          </cell>
          <cell r="B4180" t="str">
            <v>Hus for dyseplade</v>
          </cell>
          <cell r="C4180" t="str">
            <v>Housing for die plate</v>
          </cell>
          <cell r="D4180">
            <v>1776</v>
          </cell>
          <cell r="E4180">
            <v>238.70967741935482</v>
          </cell>
        </row>
        <row r="4181">
          <cell r="A4181">
            <v>59508</v>
          </cell>
          <cell r="B4181" t="str">
            <v>Skærm for sluse</v>
          </cell>
          <cell r="C4181" t="str">
            <v>Screen for sluice</v>
          </cell>
          <cell r="D4181">
            <v>4081</v>
          </cell>
          <cell r="E4181">
            <v>548.52150537634407</v>
          </cell>
        </row>
        <row r="4182">
          <cell r="A4182">
            <v>59509</v>
          </cell>
          <cell r="B4182" t="str">
            <v>Tætningskonus for knivhus</v>
          </cell>
          <cell r="C4182" t="str">
            <v>Proofing cone for knife house</v>
          </cell>
          <cell r="D4182">
            <v>9700</v>
          </cell>
          <cell r="E4182">
            <v>1303.763440860215</v>
          </cell>
        </row>
        <row r="4183">
          <cell r="A4183">
            <v>59541</v>
          </cell>
          <cell r="B4183" t="str">
            <v>Motorplade for 1,1 KW  motor</v>
          </cell>
          <cell r="C4183" t="str">
            <v>Motor plate for 1,1 kW motor</v>
          </cell>
          <cell r="D4183">
            <v>2178</v>
          </cell>
          <cell r="E4183">
            <v>292.74193548387098</v>
          </cell>
        </row>
        <row r="4184">
          <cell r="A4184">
            <v>59542</v>
          </cell>
          <cell r="B4184" t="str">
            <v>Sideplade venstre for hængsel f. knivhus</v>
          </cell>
          <cell r="C4184" t="str">
            <v>Side plate for knife house hinge (left)</v>
          </cell>
          <cell r="D4184">
            <v>594</v>
          </cell>
          <cell r="E4184">
            <v>79.838709677419345</v>
          </cell>
        </row>
        <row r="4185">
          <cell r="A4185">
            <v>59543</v>
          </cell>
          <cell r="B4185" t="str">
            <v>Sideplade højre for hængsel f. knivhus</v>
          </cell>
          <cell r="C4185" t="str">
            <v>Side plate for knife house hinge (right)</v>
          </cell>
          <cell r="D4185">
            <v>594</v>
          </cell>
          <cell r="E4185">
            <v>79.838709677419345</v>
          </cell>
        </row>
        <row r="4186">
          <cell r="A4186">
            <v>59544</v>
          </cell>
          <cell r="B4186" t="str">
            <v>Bundplade  for knivhus hængsel</v>
          </cell>
          <cell r="C4186" t="str">
            <v>Bottom plate for knife house hinge</v>
          </cell>
          <cell r="D4186">
            <v>3180</v>
          </cell>
          <cell r="E4186">
            <v>427.41935483870964</v>
          </cell>
        </row>
        <row r="4187">
          <cell r="A4187">
            <v>59548</v>
          </cell>
          <cell r="B4187" t="str">
            <v>Skærm for sikringskobling</v>
          </cell>
          <cell r="C4187" t="str">
            <v>Screen for safety coupling</v>
          </cell>
          <cell r="D4187">
            <v>4823</v>
          </cell>
          <cell r="E4187">
            <v>648.25268817204301</v>
          </cell>
        </row>
        <row r="4188">
          <cell r="A4188">
            <v>59551</v>
          </cell>
          <cell r="B4188" t="str">
            <v>6-kt. Skrue M30 x 160 DIN 931</v>
          </cell>
          <cell r="C4188" t="str">
            <v>Hex screw M30 x 160 DIN 931</v>
          </cell>
          <cell r="D4188">
            <v>89</v>
          </cell>
          <cell r="E4188">
            <v>11.962365591397848</v>
          </cell>
        </row>
        <row r="4189">
          <cell r="A4189">
            <v>59626</v>
          </cell>
          <cell r="B4189" t="str">
            <v>Vakuumudligningsventil DN32</v>
          </cell>
          <cell r="C4189" t="str">
            <v>Vacuum equalizing valve DN32</v>
          </cell>
          <cell r="D4189">
            <v>15768</v>
          </cell>
          <cell r="E4189">
            <v>2119.3548387096771</v>
          </cell>
        </row>
        <row r="4190">
          <cell r="A4190">
            <v>59659</v>
          </cell>
          <cell r="B4190" t="str">
            <v>Koblingshus   T9</v>
          </cell>
          <cell r="C4190" t="str">
            <v>Coupling housing  T9</v>
          </cell>
          <cell r="D4190">
            <v>8995</v>
          </cell>
          <cell r="E4190">
            <v>1209.005376344086</v>
          </cell>
        </row>
        <row r="4191">
          <cell r="A4191">
            <v>59675</v>
          </cell>
          <cell r="B4191" t="str">
            <v>Vakuumudligningsventil DN25</v>
          </cell>
          <cell r="C4191" t="str">
            <v>Vacuum equalizing valve DN25</v>
          </cell>
          <cell r="D4191">
            <v>17066</v>
          </cell>
          <cell r="E4191">
            <v>2293.817204301075</v>
          </cell>
        </row>
        <row r="4192">
          <cell r="A4192">
            <v>59712</v>
          </cell>
          <cell r="B4192" t="str">
            <v>Beslag</v>
          </cell>
          <cell r="C4192" t="str">
            <v>Bracket</v>
          </cell>
          <cell r="D4192">
            <v>371</v>
          </cell>
          <cell r="E4192">
            <v>49.865591397849457</v>
          </cell>
        </row>
        <row r="4193">
          <cell r="A4193">
            <v>59713</v>
          </cell>
          <cell r="B4193" t="str">
            <v>Håndtag</v>
          </cell>
          <cell r="C4193" t="str">
            <v>Handle</v>
          </cell>
          <cell r="D4193">
            <v>371</v>
          </cell>
          <cell r="E4193">
            <v>49.865591397849457</v>
          </cell>
        </row>
        <row r="4194">
          <cell r="A4194">
            <v>59802</v>
          </cell>
          <cell r="B4194" t="str">
            <v>Cylinder komplet 110V DC</v>
          </cell>
          <cell r="C4194" t="str">
            <v>Cylinder, complete 110V DC</v>
          </cell>
          <cell r="D4194">
            <v>2597</v>
          </cell>
          <cell r="E4194">
            <v>349.05913978494624</v>
          </cell>
        </row>
        <row r="4195">
          <cell r="A4195">
            <v>59863</v>
          </cell>
          <cell r="B4195" t="str">
            <v>Shim for motor t = 50mm</v>
          </cell>
          <cell r="C4195" t="str">
            <v>Shim for motor t = 50mm</v>
          </cell>
          <cell r="D4195">
            <v>928</v>
          </cell>
          <cell r="E4195">
            <v>124.73118279569891</v>
          </cell>
        </row>
        <row r="4196">
          <cell r="A4196">
            <v>59866</v>
          </cell>
          <cell r="B4196" t="str">
            <v>Shim for motor t = 1mm</v>
          </cell>
          <cell r="C4196" t="str">
            <v>Shim for motor t = 1mm</v>
          </cell>
          <cell r="D4196">
            <v>30</v>
          </cell>
          <cell r="E4196">
            <v>4.032258064516129</v>
          </cell>
        </row>
        <row r="4197">
          <cell r="A4197">
            <v>59867</v>
          </cell>
          <cell r="B4197" t="str">
            <v>Shim for motor t = 2mm</v>
          </cell>
          <cell r="C4197" t="str">
            <v>Shim for motor t = 2mm</v>
          </cell>
          <cell r="D4197">
            <v>34</v>
          </cell>
          <cell r="E4197">
            <v>4.5698924731182791</v>
          </cell>
        </row>
        <row r="4198">
          <cell r="A4198">
            <v>59909</v>
          </cell>
          <cell r="B4198" t="str">
            <v xml:space="preserve">Rulleholderaksel PM717W 2-rulle </v>
          </cell>
          <cell r="C4198" t="str">
            <v>Roller main shaft PM717W 2-roller</v>
          </cell>
          <cell r="D4198">
            <v>75190</v>
          </cell>
          <cell r="E4198">
            <v>10106.182795698924</v>
          </cell>
        </row>
        <row r="4199">
          <cell r="A4199">
            <v>59956</v>
          </cell>
          <cell r="B4199" t="str">
            <v>Gear</v>
          </cell>
          <cell r="C4199" t="str">
            <v>Gear</v>
          </cell>
          <cell r="D4199">
            <v>18500</v>
          </cell>
          <cell r="E4199">
            <v>2486.5591397849462</v>
          </cell>
        </row>
        <row r="4200">
          <cell r="A4200">
            <v>59968</v>
          </cell>
          <cell r="B4200" t="str">
            <v>Rullejusteringsarm 2 rulle PM717</v>
          </cell>
          <cell r="C4200" t="str">
            <v>Roller adjustment arm 2R PM717</v>
          </cell>
          <cell r="D4200">
            <v>3945</v>
          </cell>
          <cell r="E4200">
            <v>530.24193548387098</v>
          </cell>
        </row>
        <row r="4201">
          <cell r="A4201">
            <v>59974</v>
          </cell>
          <cell r="B4201" t="str">
            <v>Forplade (PM 717W) bear. 2 ruller  2vejs</v>
          </cell>
          <cell r="C4201" t="str">
            <v>Frontplate PM717W   2-rollers - 2way</v>
          </cell>
          <cell r="D4201">
            <v>14310</v>
          </cell>
          <cell r="E4201">
            <v>1923.3870967741934</v>
          </cell>
        </row>
        <row r="4202">
          <cell r="A4202">
            <v>59975</v>
          </cell>
          <cell r="B4202" t="str">
            <v>Tap for rullejustering</v>
          </cell>
          <cell r="C4202" t="str">
            <v>Spindle for roller adjustment</v>
          </cell>
          <cell r="D4202">
            <v>1438</v>
          </cell>
          <cell r="E4202">
            <v>193.27956989247312</v>
          </cell>
        </row>
        <row r="4203">
          <cell r="A4203">
            <v>59976</v>
          </cell>
          <cell r="B4203" t="str">
            <v>Øjebolt M20</v>
          </cell>
          <cell r="C4203" t="str">
            <v>Eye bolt M20</v>
          </cell>
          <cell r="D4203">
            <v>819</v>
          </cell>
          <cell r="E4203">
            <v>110.08064516129032</v>
          </cell>
        </row>
        <row r="4204">
          <cell r="A4204">
            <v>59985</v>
          </cell>
          <cell r="B4204" t="str">
            <v>Filterpatron f rietschlepumpe 2</v>
          </cell>
          <cell r="C4204" t="str">
            <v xml:space="preserve">Filter insert for rietschle pump2 </v>
          </cell>
          <cell r="D4204">
            <v>160</v>
          </cell>
          <cell r="E4204">
            <v>21.50537634408602</v>
          </cell>
        </row>
        <row r="4205">
          <cell r="A4205">
            <v>59989</v>
          </cell>
          <cell r="B4205" t="str">
            <v>Seprat filter for rietschlepumpe</v>
          </cell>
          <cell r="C4205" t="str">
            <v>Seperate filter for rietschle pump</v>
          </cell>
          <cell r="D4205">
            <v>440</v>
          </cell>
          <cell r="E4205">
            <v>59.139784946236553</v>
          </cell>
        </row>
        <row r="4206">
          <cell r="A4206">
            <v>59990</v>
          </cell>
          <cell r="B4206" t="str">
            <v>Separat filter f. rietschlepumpe</v>
          </cell>
          <cell r="C4206" t="str">
            <v>Seperate filter for rietschle pump.</v>
          </cell>
          <cell r="D4206">
            <v>396</v>
          </cell>
          <cell r="E4206">
            <v>53.225806451612904</v>
          </cell>
        </row>
        <row r="4207">
          <cell r="A4207">
            <v>60030</v>
          </cell>
          <cell r="B4207" t="str">
            <v>Bro for rullejustering</v>
          </cell>
          <cell r="C4207" t="str">
            <v>Bridge for roller adjustment</v>
          </cell>
          <cell r="D4207">
            <v>985</v>
          </cell>
          <cell r="E4207">
            <v>132.39247311827955</v>
          </cell>
        </row>
        <row r="4208">
          <cell r="A4208">
            <v>60037</v>
          </cell>
          <cell r="B4208" t="str">
            <v>Glideleje PAP 2010</v>
          </cell>
          <cell r="C4208" t="str">
            <v>Slide bearing PAP 2010</v>
          </cell>
          <cell r="D4208">
            <v>29</v>
          </cell>
          <cell r="E4208">
            <v>3.897849462365591</v>
          </cell>
        </row>
        <row r="4209">
          <cell r="A4209">
            <v>60039</v>
          </cell>
          <cell r="B4209" t="str">
            <v>Glideleje PAP 2030</v>
          </cell>
          <cell r="C4209" t="str">
            <v>Slide bearing PAP 2030</v>
          </cell>
          <cell r="D4209">
            <v>23</v>
          </cell>
          <cell r="E4209">
            <v>3.0913978494623655</v>
          </cell>
        </row>
        <row r="4210">
          <cell r="A4210">
            <v>60100</v>
          </cell>
          <cell r="B4210" t="str">
            <v>Fødecylinder PM 717W 2-rulle</v>
          </cell>
          <cell r="C4210" t="str">
            <v>Feed cone PM717W 2-roller</v>
          </cell>
          <cell r="D4210">
            <v>12550</v>
          </cell>
          <cell r="E4210">
            <v>1686.8279569892472</v>
          </cell>
        </row>
        <row r="4211">
          <cell r="A4211">
            <v>60103</v>
          </cell>
          <cell r="B4211" t="str">
            <v>Godsfordeler PM717W 2-rulle (for fødecyl. med vinger)</v>
          </cell>
          <cell r="C4211" t="str">
            <v>Deflector PM717W 2-roller (f. feed cylinder with wings)</v>
          </cell>
          <cell r="D4211">
            <v>5936</v>
          </cell>
          <cell r="E4211">
            <v>797.84946236559131</v>
          </cell>
        </row>
        <row r="4212">
          <cell r="A4212">
            <v>60123</v>
          </cell>
          <cell r="B4212" t="str">
            <v>Forplade  PM717W kpl. 2 ruller 2 vejs</v>
          </cell>
          <cell r="C4212" t="str">
            <v>Frontplate PM717W   compl. 2-rollers 2 way</v>
          </cell>
          <cell r="D4212">
            <v>27030</v>
          </cell>
          <cell r="E4212">
            <v>3633.0645161290322</v>
          </cell>
        </row>
        <row r="4213">
          <cell r="A4213">
            <v>60126</v>
          </cell>
          <cell r="B4213" t="str">
            <v>Knivhoved 5 knive  EX 1250</v>
          </cell>
          <cell r="C4213" t="str">
            <v>Knifehead 5-blade EX 1250</v>
          </cell>
          <cell r="D4213">
            <v>11800</v>
          </cell>
          <cell r="E4213">
            <v>1586.0215053763441</v>
          </cell>
        </row>
        <row r="4214">
          <cell r="A4214">
            <v>60127</v>
          </cell>
          <cell r="B4214" t="str">
            <v>Knivhoved 12 knive  EX 1250</v>
          </cell>
          <cell r="C4214" t="str">
            <v>Knifehead 12-blade EX 1250</v>
          </cell>
          <cell r="D4214">
            <v>17700</v>
          </cell>
          <cell r="E4214">
            <v>2379.0322580645161</v>
          </cell>
        </row>
        <row r="4215">
          <cell r="A4215">
            <v>60130</v>
          </cell>
          <cell r="B4215" t="str">
            <v>Rulleaksel PM717W 2-rulle</v>
          </cell>
          <cell r="C4215" t="str">
            <v>Roller shaft PM717W 2-roller</v>
          </cell>
          <cell r="D4215">
            <v>7879</v>
          </cell>
          <cell r="E4215">
            <v>1059.005376344086</v>
          </cell>
        </row>
        <row r="4216">
          <cell r="A4216">
            <v>60164</v>
          </cell>
          <cell r="B4216" t="str">
            <v>Poseholder 2400 R    Galvaniseret</v>
          </cell>
          <cell r="C4216" t="str">
            <v>Filter bag cage 2400 R    Galvanized</v>
          </cell>
          <cell r="D4216">
            <v>245</v>
          </cell>
          <cell r="E4216">
            <v>32.93010752688172</v>
          </cell>
        </row>
        <row r="4217">
          <cell r="A4217">
            <v>60165</v>
          </cell>
          <cell r="B4217" t="str">
            <v>Poseholder 2400 RB  Galvaniseret</v>
          </cell>
          <cell r="C4217" t="str">
            <v>Filter bag cage 2400 RB  Galvanized</v>
          </cell>
          <cell r="D4217">
            <v>222</v>
          </cell>
          <cell r="E4217">
            <v>29.838709677419352</v>
          </cell>
        </row>
        <row r="4218">
          <cell r="A4218">
            <v>60166</v>
          </cell>
          <cell r="B4218" t="str">
            <v>Poseholder 1800 RB  Galvaniseret</v>
          </cell>
          <cell r="C4218" t="str">
            <v>Filger bag cage 1800 RB Galvanized</v>
          </cell>
          <cell r="D4218">
            <v>163</v>
          </cell>
          <cell r="E4218">
            <v>21.908602150537632</v>
          </cell>
        </row>
        <row r="4219">
          <cell r="A4219">
            <v>60228</v>
          </cell>
          <cell r="B4219" t="str">
            <v>Rulleaksel PM919XW 2-Rulle</v>
          </cell>
          <cell r="C4219" t="str">
            <v>Roller shaft PM919XW 2-roller</v>
          </cell>
          <cell r="D4219">
            <v>9010</v>
          </cell>
          <cell r="E4219">
            <v>1211.0215053763441</v>
          </cell>
        </row>
        <row r="4220">
          <cell r="A4220">
            <v>60230</v>
          </cell>
          <cell r="B4220" t="str">
            <v>Afstandsring PM919XW 2-Rulle</v>
          </cell>
          <cell r="C4220" t="str">
            <v>Distance ring PM919XW 2-roller</v>
          </cell>
          <cell r="D4220">
            <v>1950</v>
          </cell>
          <cell r="E4220">
            <v>262.09677419354836</v>
          </cell>
        </row>
        <row r="4221">
          <cell r="A4221">
            <v>60265</v>
          </cell>
          <cell r="B4221" t="str">
            <v>O-ring Ø26,58 x 3,53 VITON</v>
          </cell>
          <cell r="C4221" t="str">
            <v>O-ring Ø26,58 x 3,53 VITON</v>
          </cell>
          <cell r="D4221">
            <v>11.7</v>
          </cell>
          <cell r="E4221">
            <v>1.57258064516129</v>
          </cell>
        </row>
        <row r="4222">
          <cell r="A4222">
            <v>60282</v>
          </cell>
          <cell r="B4222" t="str">
            <v>Snegl, venstre stigning 150</v>
          </cell>
          <cell r="C4222" t="str">
            <v>Screw, left-hand pitch 150</v>
          </cell>
          <cell r="D4222">
            <v>23400</v>
          </cell>
          <cell r="E4222">
            <v>3145.1612903225805</v>
          </cell>
        </row>
        <row r="4223">
          <cell r="A4223">
            <v>60285</v>
          </cell>
          <cell r="B4223" t="str">
            <v>Snegl, højre stigning 150</v>
          </cell>
          <cell r="C4223" t="str">
            <v>Screw, right-hand pitch 150</v>
          </cell>
          <cell r="D4223">
            <v>23400</v>
          </cell>
          <cell r="E4223">
            <v>3145.1612903225805</v>
          </cell>
        </row>
        <row r="4224">
          <cell r="A4224">
            <v>60328</v>
          </cell>
          <cell r="B4224" t="str">
            <v>Godsfordeler PM515  Smal</v>
          </cell>
          <cell r="C4224" t="str">
            <v>Deflector PM515  N</v>
          </cell>
          <cell r="D4224">
            <v>3238</v>
          </cell>
          <cell r="E4224">
            <v>435.21505376344084</v>
          </cell>
        </row>
        <row r="4225">
          <cell r="A4225">
            <v>60329</v>
          </cell>
          <cell r="B4225" t="str">
            <v>Afstrygerkniv bolt PMV515  SMAL</v>
          </cell>
          <cell r="C4225" t="str">
            <v>Scraper knife bolt PMV515 N</v>
          </cell>
          <cell r="D4225">
            <v>1961</v>
          </cell>
          <cell r="E4225">
            <v>263.57526881720429</v>
          </cell>
        </row>
        <row r="4226">
          <cell r="A4226">
            <v>60330</v>
          </cell>
          <cell r="B4226" t="str">
            <v>Sprængmembran</v>
          </cell>
          <cell r="C4226" t="str">
            <v>Blasting membrane</v>
          </cell>
          <cell r="D4226">
            <v>7196</v>
          </cell>
          <cell r="E4226">
            <v>967.20430107526875</v>
          </cell>
        </row>
        <row r="4227">
          <cell r="A4227">
            <v>60331</v>
          </cell>
          <cell r="B4227" t="str">
            <v>Sprængmembran ECS 220x250</v>
          </cell>
          <cell r="C4227" t="str">
            <v>Blasting membrane ECS 220x250</v>
          </cell>
          <cell r="D4227">
            <v>7514</v>
          </cell>
          <cell r="E4227">
            <v>1009.9462365591397</v>
          </cell>
        </row>
        <row r="4228">
          <cell r="A4228">
            <v>60392</v>
          </cell>
          <cell r="B4228" t="str">
            <v>Aksel for dyseplade M 40 x 2,0   venstre</v>
          </cell>
          <cell r="C4228" t="str">
            <v>Shaft for die plate M40x2,0 left hand</v>
          </cell>
          <cell r="D4228">
            <v>880</v>
          </cell>
          <cell r="E4228">
            <v>118.27956989247311</v>
          </cell>
        </row>
        <row r="4229">
          <cell r="A4229">
            <v>60419</v>
          </cell>
          <cell r="B4229" t="str">
            <v>Poseholder 1800 R    Galvaniseret</v>
          </cell>
          <cell r="C4229" t="str">
            <v>Filter bag cage 1800 R    Galvanized</v>
          </cell>
          <cell r="D4229">
            <v>205</v>
          </cell>
          <cell r="E4229">
            <v>27.553763440860212</v>
          </cell>
        </row>
        <row r="4230">
          <cell r="A4230">
            <v>60420</v>
          </cell>
          <cell r="B4230" t="str">
            <v>Poseholder 3000 R    Galvaniseret</v>
          </cell>
          <cell r="C4230" t="str">
            <v>Filter bag cage 3000 R    Galvanized</v>
          </cell>
          <cell r="D4230">
            <v>268</v>
          </cell>
          <cell r="E4230">
            <v>36.021505376344081</v>
          </cell>
        </row>
        <row r="4231">
          <cell r="A4231">
            <v>60421</v>
          </cell>
          <cell r="B4231" t="str">
            <v>Poseholder 3600 R    Galvaniseret</v>
          </cell>
          <cell r="C4231" t="str">
            <v>Filter bag cage 3600 R    Galvanized</v>
          </cell>
          <cell r="D4231">
            <v>322</v>
          </cell>
          <cell r="E4231">
            <v>43.279569892473113</v>
          </cell>
        </row>
        <row r="4232">
          <cell r="A4232">
            <v>60422</v>
          </cell>
          <cell r="B4232" t="str">
            <v>Poseholder 4200 R    Galvaniseret</v>
          </cell>
          <cell r="C4232" t="str">
            <v>Filter bag cage 4200 R    Galvanized</v>
          </cell>
          <cell r="D4232">
            <v>431</v>
          </cell>
          <cell r="E4232">
            <v>57.93010752688172</v>
          </cell>
        </row>
        <row r="4233">
          <cell r="A4233">
            <v>60423</v>
          </cell>
          <cell r="B4233" t="str">
            <v>Poseholder 1200 RB  Galvaniseret</v>
          </cell>
          <cell r="C4233" t="str">
            <v>Filter bag cage 1200 RB  Galvanized</v>
          </cell>
          <cell r="D4233">
            <v>120</v>
          </cell>
          <cell r="E4233">
            <v>16.129032258064516</v>
          </cell>
        </row>
        <row r="4234">
          <cell r="A4234">
            <v>60424</v>
          </cell>
          <cell r="B4234" t="str">
            <v>Poseholder 1200 R    AISI 304</v>
          </cell>
          <cell r="C4234" t="str">
            <v>Filter bag cage 1200 R    Stainless</v>
          </cell>
          <cell r="D4234">
            <v>242</v>
          </cell>
          <cell r="E4234">
            <v>32.526881720430104</v>
          </cell>
        </row>
        <row r="4235">
          <cell r="A4235">
            <v>60425</v>
          </cell>
          <cell r="B4235" t="str">
            <v>Poseholder 1800 R    AISI 304</v>
          </cell>
          <cell r="C4235" t="str">
            <v>Filter bag cage 1800 R    Stainless</v>
          </cell>
          <cell r="D4235">
            <v>348</v>
          </cell>
          <cell r="E4235">
            <v>46.774193548387096</v>
          </cell>
        </row>
        <row r="4236">
          <cell r="A4236">
            <v>60426</v>
          </cell>
          <cell r="B4236" t="str">
            <v>Poseholder 2400 R    AISI 304</v>
          </cell>
          <cell r="C4236" t="str">
            <v>Filter bag cage 2400 R    Stainless</v>
          </cell>
          <cell r="D4236">
            <v>428</v>
          </cell>
          <cell r="E4236">
            <v>57.526881720430104</v>
          </cell>
        </row>
        <row r="4237">
          <cell r="A4237">
            <v>60427</v>
          </cell>
          <cell r="B4237" t="str">
            <v>Poseholder 3000 R    AISI 304</v>
          </cell>
          <cell r="C4237" t="str">
            <v>Filter bag cage 3000 R    Stainless</v>
          </cell>
          <cell r="D4237">
            <v>485</v>
          </cell>
          <cell r="E4237">
            <v>65.188172043010752</v>
          </cell>
        </row>
        <row r="4238">
          <cell r="A4238">
            <v>60428</v>
          </cell>
          <cell r="B4238" t="str">
            <v>Poseholder 3600 R    AISI 304</v>
          </cell>
          <cell r="C4238" t="str">
            <v>Filter bag cage 3600 R    Stainless</v>
          </cell>
          <cell r="D4238">
            <v>551</v>
          </cell>
          <cell r="E4238">
            <v>74.05913978494624</v>
          </cell>
        </row>
        <row r="4239">
          <cell r="A4239">
            <v>60429</v>
          </cell>
          <cell r="B4239" t="str">
            <v>Poseholder 4200 R    AISI 304</v>
          </cell>
          <cell r="C4239" t="str">
            <v>Filter bag cage 4200 R    Stainless</v>
          </cell>
          <cell r="D4239">
            <v>637</v>
          </cell>
          <cell r="E4239">
            <v>85.618279569892465</v>
          </cell>
        </row>
        <row r="4240">
          <cell r="A4240">
            <v>60430</v>
          </cell>
          <cell r="B4240" t="str">
            <v>Poseholder 1200 RB  AISI 304</v>
          </cell>
          <cell r="C4240" t="str">
            <v>Filter bag cage 1200 RB  Stainless</v>
          </cell>
          <cell r="D4240">
            <v>242</v>
          </cell>
          <cell r="E4240">
            <v>32.526881720430104</v>
          </cell>
        </row>
        <row r="4241">
          <cell r="A4241">
            <v>60431</v>
          </cell>
          <cell r="B4241" t="str">
            <v>Poseholder 1800 RB  AISI 304</v>
          </cell>
          <cell r="C4241" t="str">
            <v>Filter bag cage 1800 RB  Stainless</v>
          </cell>
          <cell r="D4241">
            <v>311</v>
          </cell>
          <cell r="E4241">
            <v>41.8010752688172</v>
          </cell>
        </row>
        <row r="4242">
          <cell r="A4242">
            <v>60432</v>
          </cell>
          <cell r="B4242" t="str">
            <v>Poseholder 2400 RB  AISI 304</v>
          </cell>
          <cell r="C4242" t="str">
            <v>Filter bag cage 2400 RB  Stainless</v>
          </cell>
          <cell r="D4242">
            <v>382</v>
          </cell>
          <cell r="E4242">
            <v>51.344086021505376</v>
          </cell>
        </row>
        <row r="4243">
          <cell r="A4243">
            <v>60477</v>
          </cell>
          <cell r="B4243" t="str">
            <v>Feder AB 18 x 11 x 200 DS96</v>
          </cell>
          <cell r="C4243" t="str">
            <v>Parallel key AB 18 x 11 x 200 DS96</v>
          </cell>
          <cell r="D4243">
            <v>24</v>
          </cell>
          <cell r="E4243">
            <v>3.225806451612903</v>
          </cell>
        </row>
        <row r="4244">
          <cell r="A4244">
            <v>60506</v>
          </cell>
          <cell r="B4244" t="str">
            <v xml:space="preserve">Knivhoved  16-blads EX17 </v>
          </cell>
          <cell r="C4244" t="str">
            <v xml:space="preserve">Knifehead 16-blade EX17 </v>
          </cell>
          <cell r="D4244">
            <v>24320</v>
          </cell>
          <cell r="E4244">
            <v>3268.817204301075</v>
          </cell>
        </row>
        <row r="4245">
          <cell r="A4245">
            <v>60538</v>
          </cell>
          <cell r="B4245" t="str">
            <v>Kompensatorsæt</v>
          </cell>
          <cell r="C4245" t="str">
            <v>Compensator kit</v>
          </cell>
          <cell r="D4245">
            <v>6500</v>
          </cell>
          <cell r="E4245">
            <v>873.6559139784946</v>
          </cell>
        </row>
        <row r="4246">
          <cell r="A4246">
            <v>60700</v>
          </cell>
          <cell r="B4246" t="str">
            <v>Gearmotor 2,2 kW</v>
          </cell>
          <cell r="C4246" t="str">
            <v>Gear motor 2,2 kW</v>
          </cell>
          <cell r="D4246">
            <v>15370</v>
          </cell>
          <cell r="E4246">
            <v>2065.8602150537631</v>
          </cell>
        </row>
        <row r="4247">
          <cell r="A4247">
            <v>60701</v>
          </cell>
          <cell r="B4247" t="str">
            <v>Tandkobling</v>
          </cell>
          <cell r="C4247" t="str">
            <v>Claw coupling</v>
          </cell>
          <cell r="D4247">
            <v>20670</v>
          </cell>
          <cell r="E4247">
            <v>2778.2258064516127</v>
          </cell>
        </row>
        <row r="4248">
          <cell r="A4248">
            <v>60754</v>
          </cell>
          <cell r="B4248" t="str">
            <v>Cyl skrue M4x30 DIN912 FZB</v>
          </cell>
          <cell r="C4248" t="str">
            <v>Round headed screw M4x30 DIN912 FZB</v>
          </cell>
          <cell r="D4248">
            <v>0.4</v>
          </cell>
          <cell r="E4248">
            <v>5.3763440860215055E-2</v>
          </cell>
        </row>
        <row r="4249">
          <cell r="A4249">
            <v>60772</v>
          </cell>
          <cell r="B4249" t="str">
            <v>Cyl. Skrue M12 x 35 DIN912</v>
          </cell>
          <cell r="C4249" t="str">
            <v>Cyl. screw M12 x 35 DIN912</v>
          </cell>
          <cell r="D4249">
            <v>2.7</v>
          </cell>
          <cell r="E4249">
            <v>0.36290322580645162</v>
          </cell>
        </row>
        <row r="4250">
          <cell r="A4250">
            <v>60811</v>
          </cell>
          <cell r="B4250" t="str">
            <v>Pinolskrue M 5X012 14,9DIN 916</v>
          </cell>
          <cell r="C4250" t="str">
            <v>Pin bolt/pointed screw</v>
          </cell>
          <cell r="D4250">
            <v>0.5</v>
          </cell>
          <cell r="E4250">
            <v>6.7204301075268813E-2</v>
          </cell>
        </row>
        <row r="4251">
          <cell r="A4251">
            <v>61035</v>
          </cell>
          <cell r="B4251" t="str">
            <v>Brystnippel ½” AISI316</v>
          </cell>
          <cell r="C4251" t="str">
            <v>Nipple ½"  AISI 316</v>
          </cell>
          <cell r="D4251">
            <v>113</v>
          </cell>
          <cell r="E4251">
            <v>15.188172043010752</v>
          </cell>
        </row>
        <row r="4252">
          <cell r="A4252">
            <v>61043</v>
          </cell>
          <cell r="B4252" t="str">
            <v>O-ring Ø300,0 x 6,50 VITON</v>
          </cell>
          <cell r="C4252" t="str">
            <v>O-ring Ø300,0 x 6,50 VITON</v>
          </cell>
          <cell r="D4252">
            <v>435</v>
          </cell>
          <cell r="E4252">
            <v>58.467741935483865</v>
          </cell>
        </row>
        <row r="4253">
          <cell r="A4253">
            <v>61044</v>
          </cell>
          <cell r="B4253" t="str">
            <v>O-ring Ø265,0 x 6,50 VITON</v>
          </cell>
          <cell r="C4253" t="str">
            <v>O-ring Ø265,0 x 6,50 VITON</v>
          </cell>
          <cell r="D4253">
            <v>297</v>
          </cell>
          <cell r="E4253">
            <v>39.919354838709673</v>
          </cell>
        </row>
        <row r="4254">
          <cell r="A4254">
            <v>61186</v>
          </cell>
          <cell r="B4254" t="str">
            <v>Rulleholderaksel, komplet, incl.  pos. 748 - 764</v>
          </cell>
          <cell r="C4254" t="str">
            <v>Roller main shaft, complete, incl.  item 748 - 764</v>
          </cell>
          <cell r="D4254">
            <v>51834</v>
          </cell>
          <cell r="E4254">
            <v>6966.9354838709678</v>
          </cell>
        </row>
        <row r="4255">
          <cell r="A4255">
            <v>61237</v>
          </cell>
          <cell r="B4255" t="str">
            <v>Afstandsklods</v>
          </cell>
          <cell r="C4255" t="str">
            <v>Intermediate brick</v>
          </cell>
          <cell r="D4255">
            <v>3790</v>
          </cell>
          <cell r="E4255">
            <v>509.4086021505376</v>
          </cell>
        </row>
        <row r="4256">
          <cell r="A4256">
            <v>61398</v>
          </cell>
          <cell r="B4256" t="str">
            <v xml:space="preserve">Dysehoved for FEX34 komplet monteret komplet           </v>
          </cell>
          <cell r="C4256" t="str">
            <v>Nozzle head complete  FEX  34</v>
          </cell>
          <cell r="D4256">
            <v>85100</v>
          </cell>
          <cell r="E4256">
            <v>11438.172043010753</v>
          </cell>
        </row>
        <row r="4257">
          <cell r="A4257">
            <v>61399</v>
          </cell>
          <cell r="B4257" t="str">
            <v>Bundspjæld  ST 37   HPB 10001</v>
          </cell>
          <cell r="C4257" t="str">
            <v>Buttom slide</v>
          </cell>
          <cell r="D4257">
            <v>55500</v>
          </cell>
          <cell r="E4257">
            <v>7459.6774193548381</v>
          </cell>
        </row>
        <row r="4258">
          <cell r="A4258">
            <v>61483</v>
          </cell>
          <cell r="B4258" t="str">
            <v>Fødecylinder med vinger PM615 S2</v>
          </cell>
          <cell r="C4258" t="str">
            <v>Feed cone with wings PM615 S2</v>
          </cell>
          <cell r="D4258">
            <v>7185</v>
          </cell>
          <cell r="E4258">
            <v>965.72580645161281</v>
          </cell>
        </row>
        <row r="4259">
          <cell r="A4259">
            <v>61495</v>
          </cell>
          <cell r="B4259" t="str">
            <v>Knivhoved 5-blads EX20</v>
          </cell>
          <cell r="C4259" t="str">
            <v>Knifehead 5-blade EX20</v>
          </cell>
          <cell r="D4259">
            <v>7900</v>
          </cell>
          <cell r="E4259">
            <v>1061.8279569892472</v>
          </cell>
        </row>
        <row r="4260">
          <cell r="A4260">
            <v>61559</v>
          </cell>
          <cell r="B4260" t="str">
            <v>Tætningsring for knivhus</v>
          </cell>
          <cell r="C4260" t="str">
            <v>Sealing ring for knife house</v>
          </cell>
          <cell r="D4260">
            <v>6670</v>
          </cell>
          <cell r="E4260">
            <v>896.50537634408602</v>
          </cell>
        </row>
        <row r="4261">
          <cell r="A4261">
            <v>61560</v>
          </cell>
          <cell r="B4261" t="str">
            <v xml:space="preserve">Dysebase </v>
          </cell>
          <cell r="C4261" t="str">
            <v>Diebase</v>
          </cell>
          <cell r="D4261">
            <v>14310</v>
          </cell>
          <cell r="E4261">
            <v>1923.3870967741934</v>
          </cell>
        </row>
        <row r="4262">
          <cell r="A4262">
            <v>61561</v>
          </cell>
          <cell r="B4262" t="str">
            <v>Adapter for tætningsring ved knivhus</v>
          </cell>
          <cell r="C4262" t="str">
            <v>Adapter for sealing ring at knife house</v>
          </cell>
          <cell r="D4262">
            <v>8268</v>
          </cell>
          <cell r="E4262">
            <v>1111.2903225806451</v>
          </cell>
        </row>
        <row r="4263">
          <cell r="A4263">
            <v>61562</v>
          </cell>
          <cell r="B4263" t="str">
            <v>Speedi sleeve  94,7 x 19,8</v>
          </cell>
          <cell r="C4263" t="str">
            <v>Speedi sleeve  94,7 x 19,8</v>
          </cell>
          <cell r="D4263">
            <v>249</v>
          </cell>
          <cell r="E4263">
            <v>33.467741935483872</v>
          </cell>
        </row>
        <row r="4264">
          <cell r="A4264">
            <v>61568</v>
          </cell>
          <cell r="B4264" t="str">
            <v>Ring for hovedleje</v>
          </cell>
          <cell r="C4264" t="str">
            <v>Ring for main bearing</v>
          </cell>
          <cell r="D4264">
            <v>5183</v>
          </cell>
          <cell r="E4264">
            <v>696.63978494623655</v>
          </cell>
        </row>
        <row r="4265">
          <cell r="A4265">
            <v>61623</v>
          </cell>
          <cell r="B4265" t="str">
            <v>Følgeplade for 200 l FAD</v>
          </cell>
          <cell r="C4265" t="str">
            <v>String plate for 200 I FAD</v>
          </cell>
          <cell r="D4265">
            <v>1102</v>
          </cell>
          <cell r="E4265">
            <v>148.11827956989248</v>
          </cell>
        </row>
        <row r="4266">
          <cell r="A4266">
            <v>61649</v>
          </cell>
          <cell r="B4266" t="str">
            <v>Borebøsning A31 x56 DIN179</v>
          </cell>
          <cell r="C4266" t="str">
            <v xml:space="preserve">Bushing A31 x56 DIN179 </v>
          </cell>
          <cell r="D4266">
            <v>575</v>
          </cell>
          <cell r="E4266">
            <v>77.284946236559136</v>
          </cell>
        </row>
        <row r="4267">
          <cell r="A4267">
            <v>61656</v>
          </cell>
          <cell r="B4267" t="str">
            <v>Bærerulle</v>
          </cell>
          <cell r="C4267" t="str">
            <v>Supporting roller</v>
          </cell>
          <cell r="D4267">
            <v>498</v>
          </cell>
          <cell r="E4267">
            <v>66.935483870967744</v>
          </cell>
        </row>
        <row r="4268">
          <cell r="A4268">
            <v>61659</v>
          </cell>
          <cell r="B4268" t="str">
            <v>Montagebeslag</v>
          </cell>
          <cell r="C4268" t="str">
            <v>Bracket</v>
          </cell>
          <cell r="D4268">
            <v>451</v>
          </cell>
          <cell r="E4268">
            <v>60.618279569892472</v>
          </cell>
        </row>
        <row r="4269">
          <cell r="A4269">
            <v>61660</v>
          </cell>
          <cell r="B4269" t="str">
            <v>Pasbolt CYL Ø20X60 M16 KV 12,9</v>
          </cell>
          <cell r="C4269" t="str">
            <v>Centre bolt</v>
          </cell>
          <cell r="D4269">
            <v>58</v>
          </cell>
          <cell r="E4269">
            <v>7.7956989247311821</v>
          </cell>
        </row>
        <row r="4270">
          <cell r="A4270">
            <v>61662</v>
          </cell>
          <cell r="B4270" t="str">
            <v>Passkive 20x28x1 DIN988</v>
          </cell>
          <cell r="C4270" t="str">
            <v>Washer</v>
          </cell>
          <cell r="D4270">
            <v>0.8</v>
          </cell>
          <cell r="E4270">
            <v>0.10752688172043011</v>
          </cell>
        </row>
        <row r="4271">
          <cell r="A4271">
            <v>61663</v>
          </cell>
          <cell r="B4271" t="str">
            <v>Sporkugleleje 61904 2RS1</v>
          </cell>
          <cell r="C4271" t="str">
            <v>Bearing</v>
          </cell>
          <cell r="D4271">
            <v>85</v>
          </cell>
          <cell r="E4271">
            <v>11.424731182795698</v>
          </cell>
        </row>
        <row r="4272">
          <cell r="A4272">
            <v>61706</v>
          </cell>
          <cell r="B4272" t="str">
            <v>Beslag</v>
          </cell>
          <cell r="C4272" t="str">
            <v>Bracket</v>
          </cell>
          <cell r="D4272">
            <v>1155</v>
          </cell>
          <cell r="E4272">
            <v>155.24193548387095</v>
          </cell>
        </row>
        <row r="4273">
          <cell r="A4273">
            <v>61768</v>
          </cell>
          <cell r="B4273" t="str">
            <v>Momentarm</v>
          </cell>
          <cell r="C4273" t="str">
            <v>Torque arm</v>
          </cell>
          <cell r="D4273">
            <v>1564</v>
          </cell>
          <cell r="E4273">
            <v>210.21505376344084</v>
          </cell>
        </row>
        <row r="4274">
          <cell r="A4274">
            <v>61769</v>
          </cell>
          <cell r="B4274" t="str">
            <v>Momentarm</v>
          </cell>
          <cell r="C4274" t="str">
            <v>Torque arm</v>
          </cell>
          <cell r="D4274">
            <v>1601</v>
          </cell>
          <cell r="E4274">
            <v>215.18817204301075</v>
          </cell>
        </row>
        <row r="4275">
          <cell r="A4275">
            <v>61770</v>
          </cell>
          <cell r="B4275" t="str">
            <v>Akseltap</v>
          </cell>
          <cell r="C4275" t="str">
            <v>Shaft</v>
          </cell>
          <cell r="D4275">
            <v>657</v>
          </cell>
          <cell r="E4275">
            <v>88.306451612903217</v>
          </cell>
        </row>
        <row r="4276">
          <cell r="A4276">
            <v>61771</v>
          </cell>
          <cell r="B4276" t="str">
            <v>Flange</v>
          </cell>
          <cell r="C4276" t="str">
            <v>Flange</v>
          </cell>
          <cell r="D4276">
            <v>1473</v>
          </cell>
          <cell r="E4276">
            <v>197.98387096774192</v>
          </cell>
        </row>
        <row r="4277">
          <cell r="A4277">
            <v>61774</v>
          </cell>
          <cell r="B4277" t="str">
            <v>Glideleje PAP8040 P10</v>
          </cell>
          <cell r="C4277" t="str">
            <v>Slide bearing PAP 8040 P10</v>
          </cell>
          <cell r="D4277">
            <v>196</v>
          </cell>
          <cell r="E4277">
            <v>26.344086021505376</v>
          </cell>
        </row>
        <row r="4278">
          <cell r="A4278">
            <v>61779</v>
          </cell>
          <cell r="B4278" t="str">
            <v>Låsering RA024X2,0DIN6799</v>
          </cell>
          <cell r="C4278" t="str">
            <v>Lock ring</v>
          </cell>
          <cell r="D4278">
            <v>1.7</v>
          </cell>
          <cell r="E4278">
            <v>0.22849462365591397</v>
          </cell>
        </row>
        <row r="4279">
          <cell r="A4279">
            <v>61798</v>
          </cell>
          <cell r="B4279" t="str">
            <v>Knivhoved 8-blads BC 105</v>
          </cell>
          <cell r="C4279" t="str">
            <v>Knife head complete with 8 knife</v>
          </cell>
          <cell r="D4279">
            <v>13100</v>
          </cell>
          <cell r="E4279">
            <v>1760.752688172043</v>
          </cell>
        </row>
        <row r="4280">
          <cell r="A4280">
            <v>61802</v>
          </cell>
          <cell r="B4280" t="str">
            <v>Knivhoved 6 knive BC 105</v>
          </cell>
          <cell r="C4280" t="str">
            <v xml:space="preserve">Knife head complete with 6 knife </v>
          </cell>
          <cell r="D4280">
            <v>8900</v>
          </cell>
          <cell r="E4280">
            <v>1196.236559139785</v>
          </cell>
        </row>
        <row r="4281">
          <cell r="A4281">
            <v>61832</v>
          </cell>
          <cell r="B4281" t="str">
            <v xml:space="preserve">PT-100 Multispænding  f.malekammer </v>
          </cell>
          <cell r="C4281" t="str">
            <v>Pt 100 sensor</v>
          </cell>
          <cell r="D4281">
            <v>1855</v>
          </cell>
          <cell r="E4281">
            <v>249.3279569892473</v>
          </cell>
        </row>
        <row r="4282">
          <cell r="A4282">
            <v>61836</v>
          </cell>
          <cell r="B4282" t="str">
            <v>Torsionsfjeder</v>
          </cell>
          <cell r="C4282" t="str">
            <v>Spring</v>
          </cell>
          <cell r="D4282">
            <v>143</v>
          </cell>
          <cell r="E4282">
            <v>19.22043010752688</v>
          </cell>
        </row>
        <row r="4283">
          <cell r="A4283">
            <v>61842</v>
          </cell>
          <cell r="B4283" t="str">
            <v>Stift</v>
          </cell>
          <cell r="C4283" t="str">
            <v>Pin</v>
          </cell>
          <cell r="D4283">
            <v>175</v>
          </cell>
          <cell r="E4283">
            <v>23.521505376344084</v>
          </cell>
        </row>
        <row r="4284">
          <cell r="A4284">
            <v>61843</v>
          </cell>
          <cell r="B4284" t="str">
            <v>Låsering</v>
          </cell>
          <cell r="C4284" t="str">
            <v>Lock ring</v>
          </cell>
          <cell r="D4284">
            <v>0.3</v>
          </cell>
          <cell r="E4284">
            <v>4.0322580645161289E-2</v>
          </cell>
        </row>
        <row r="4285">
          <cell r="A4285">
            <v>61858</v>
          </cell>
          <cell r="B4285" t="str">
            <v>Skærm</v>
          </cell>
          <cell r="C4285" t="str">
            <v>Cover</v>
          </cell>
          <cell r="D4285">
            <v>461</v>
          </cell>
          <cell r="E4285">
            <v>61.962365591397848</v>
          </cell>
        </row>
        <row r="4286">
          <cell r="A4286">
            <v>61869</v>
          </cell>
          <cell r="B4286" t="str">
            <v>Justeringsspindel</v>
          </cell>
          <cell r="C4286" t="str">
            <v xml:space="preserve">Adjustment spindle </v>
          </cell>
          <cell r="D4286">
            <v>514</v>
          </cell>
          <cell r="E4286">
            <v>69.086021505376337</v>
          </cell>
        </row>
        <row r="4287">
          <cell r="A4287">
            <v>61920</v>
          </cell>
          <cell r="B4287" t="str">
            <v>O-ring Ø105,0 x 4,00 VITON</v>
          </cell>
          <cell r="C4287" t="str">
            <v>O-ring Ø105,0 x 4,00 VITON</v>
          </cell>
          <cell r="D4287">
            <v>21</v>
          </cell>
          <cell r="E4287">
            <v>2.82258064516129</v>
          </cell>
        </row>
        <row r="4288">
          <cell r="A4288">
            <v>61921</v>
          </cell>
          <cell r="B4288" t="str">
            <v>Forplade PM919XW 2-Rulle 2vejs</v>
          </cell>
          <cell r="C4288" t="str">
            <v>Frontplate PM919XW 2-roller</v>
          </cell>
          <cell r="D4288">
            <v>23426</v>
          </cell>
          <cell r="E4288">
            <v>3148.6559139784945</v>
          </cell>
        </row>
        <row r="4289">
          <cell r="A4289">
            <v>61922</v>
          </cell>
          <cell r="B4289" t="str">
            <v>Forplade (PM 919XW) 2 Ruller 2 vejs</v>
          </cell>
          <cell r="C4289" t="str">
            <v>Front plate (PM 919XW)</v>
          </cell>
          <cell r="D4289">
            <v>12932</v>
          </cell>
          <cell r="E4289">
            <v>1738.1720430107525</v>
          </cell>
        </row>
        <row r="4290">
          <cell r="A4290">
            <v>61924</v>
          </cell>
          <cell r="B4290" t="str">
            <v>Fødecylinder PM919XW/TW 2-Rulle</v>
          </cell>
          <cell r="C4290" t="str">
            <v>Feed cone PM919XW/TW 2-roller</v>
          </cell>
          <cell r="D4290">
            <v>16154</v>
          </cell>
          <cell r="E4290">
            <v>2171.2365591397847</v>
          </cell>
        </row>
        <row r="4291">
          <cell r="A4291">
            <v>62045</v>
          </cell>
          <cell r="B4291" t="str">
            <v>Nav for kobling</v>
          </cell>
          <cell r="C4291" t="str">
            <v>Hub for coupling</v>
          </cell>
          <cell r="D4291">
            <v>4187</v>
          </cell>
          <cell r="E4291">
            <v>562.76881720430106</v>
          </cell>
        </row>
        <row r="4292">
          <cell r="A4292">
            <v>62046</v>
          </cell>
          <cell r="B4292" t="str">
            <v>Afstandsring</v>
          </cell>
          <cell r="C4292" t="str">
            <v>Distance ring</v>
          </cell>
          <cell r="D4292">
            <v>1892</v>
          </cell>
          <cell r="E4292">
            <v>254.30107526881719</v>
          </cell>
        </row>
        <row r="4293">
          <cell r="A4293">
            <v>62047</v>
          </cell>
          <cell r="B4293" t="str">
            <v>Motorfundament</v>
          </cell>
          <cell r="C4293" t="str">
            <v>Motor frame</v>
          </cell>
          <cell r="D4293">
            <v>5894</v>
          </cell>
          <cell r="E4293">
            <v>792.20430107526875</v>
          </cell>
        </row>
        <row r="4294">
          <cell r="A4294">
            <v>62048</v>
          </cell>
          <cell r="B4294" t="str">
            <v>Motorkonsol</v>
          </cell>
          <cell r="C4294" t="str">
            <v>Motor console</v>
          </cell>
          <cell r="D4294">
            <v>4002</v>
          </cell>
          <cell r="E4294">
            <v>537.90322580645159</v>
          </cell>
        </row>
        <row r="4295">
          <cell r="A4295">
            <v>62057</v>
          </cell>
          <cell r="B4295" t="str">
            <v>Boks for motorkonsol</v>
          </cell>
          <cell r="C4295" t="str">
            <v>Box for motor console</v>
          </cell>
          <cell r="D4295">
            <v>4770</v>
          </cell>
          <cell r="E4295">
            <v>641.12903225806451</v>
          </cell>
        </row>
        <row r="4296">
          <cell r="A4296">
            <v>62082</v>
          </cell>
          <cell r="B4296" t="str">
            <v>Rulleholderaksel PM919 2-Rulle</v>
          </cell>
          <cell r="C4296" t="str">
            <v>Roller main shaft PM919 2-roller</v>
          </cell>
          <cell r="D4296">
            <v>110530</v>
          </cell>
          <cell r="E4296">
            <v>14856.182795698924</v>
          </cell>
        </row>
        <row r="4297">
          <cell r="A4297">
            <v>62085</v>
          </cell>
          <cell r="B4297" t="str">
            <v>Godsfordeler PM919W 2-Rulle</v>
          </cell>
          <cell r="C4297" t="str">
            <v>Deflector PM919W 2-roller</v>
          </cell>
          <cell r="D4297">
            <v>4187</v>
          </cell>
          <cell r="E4297">
            <v>562.76881720430106</v>
          </cell>
        </row>
        <row r="4298">
          <cell r="A4298">
            <v>62091</v>
          </cell>
          <cell r="B4298" t="str">
            <v>Skærm</v>
          </cell>
          <cell r="C4298" t="str">
            <v>Screen</v>
          </cell>
          <cell r="D4298">
            <v>3816</v>
          </cell>
          <cell r="E4298">
            <v>512.90322580645159</v>
          </cell>
        </row>
        <row r="4299">
          <cell r="A4299">
            <v>62092</v>
          </cell>
          <cell r="B4299" t="str">
            <v>Skive for motor</v>
          </cell>
          <cell r="C4299" t="str">
            <v>Disc for motor</v>
          </cell>
          <cell r="D4299">
            <v>254</v>
          </cell>
          <cell r="E4299">
            <v>34.13978494623656</v>
          </cell>
        </row>
        <row r="4300">
          <cell r="A4300">
            <v>62093</v>
          </cell>
          <cell r="B4300" t="str">
            <v>Skive for tørnedrev</v>
          </cell>
          <cell r="C4300" t="str">
            <v>Disc for turning gear</v>
          </cell>
          <cell r="D4300">
            <v>281</v>
          </cell>
          <cell r="E4300">
            <v>37.768817204301072</v>
          </cell>
        </row>
        <row r="4301">
          <cell r="A4301">
            <v>62099</v>
          </cell>
          <cell r="B4301" t="str">
            <v>Låseplade for kobling</v>
          </cell>
          <cell r="C4301" t="str">
            <v>Lock plate for coupling</v>
          </cell>
          <cell r="D4301">
            <v>636</v>
          </cell>
          <cell r="E4301">
            <v>85.483870967741936</v>
          </cell>
        </row>
        <row r="4302">
          <cell r="A4302">
            <v>62127</v>
          </cell>
          <cell r="B4302" t="str">
            <v>Forplade PM919TW 2-Rulle 2 vejs</v>
          </cell>
          <cell r="C4302" t="str">
            <v>Frontplate PM919TW 2- rollers</v>
          </cell>
          <cell r="D4302">
            <v>24486</v>
          </cell>
          <cell r="E4302">
            <v>3291.1290322580644</v>
          </cell>
        </row>
        <row r="4303">
          <cell r="A4303">
            <v>62128</v>
          </cell>
          <cell r="B4303" t="str">
            <v>Forplade (PM 919TW) 2 Ruller 2 vejs</v>
          </cell>
          <cell r="C4303" t="str">
            <v>Front plate (PM 919TW)</v>
          </cell>
          <cell r="D4303">
            <v>14432</v>
          </cell>
          <cell r="E4303">
            <v>1939.7849462365591</v>
          </cell>
        </row>
        <row r="4304">
          <cell r="A4304">
            <v>62129</v>
          </cell>
          <cell r="B4304" t="str">
            <v>Rulleaksel PM919TW 2-Rulle</v>
          </cell>
          <cell r="C4304" t="str">
            <v>Roller shaft PM919TW 2-roller</v>
          </cell>
          <cell r="D4304">
            <v>11431</v>
          </cell>
          <cell r="E4304">
            <v>1536.4247311827955</v>
          </cell>
        </row>
        <row r="4305">
          <cell r="A4305">
            <v>62130</v>
          </cell>
          <cell r="B4305" t="str">
            <v>Afstandsring PM919TW 2-Rulle</v>
          </cell>
          <cell r="C4305" t="str">
            <v>Distance ring PM919TW 2-roller</v>
          </cell>
          <cell r="D4305">
            <v>1007</v>
          </cell>
          <cell r="E4305">
            <v>135.34946236559139</v>
          </cell>
        </row>
        <row r="4306">
          <cell r="A4306">
            <v>62212</v>
          </cell>
          <cell r="B4306" t="str">
            <v>Koblingsnav ø 90  R7  T5</v>
          </cell>
          <cell r="C4306" t="str">
            <v>Coupling, hub  ø90 R7  T5</v>
          </cell>
          <cell r="D4306">
            <v>3127</v>
          </cell>
          <cell r="E4306">
            <v>420.29569892473114</v>
          </cell>
        </row>
        <row r="4307">
          <cell r="A4307">
            <v>62251</v>
          </cell>
          <cell r="B4307" t="str">
            <v>Brystnippel ¼”BSP - ¼”BSP</v>
          </cell>
          <cell r="C4307" t="str">
            <v>Hexagon nipple ¼”BSP - ¼”BSP</v>
          </cell>
          <cell r="D4307">
            <v>69</v>
          </cell>
          <cell r="E4307">
            <v>9.2741935483870961</v>
          </cell>
        </row>
        <row r="4308">
          <cell r="A4308">
            <v>62252</v>
          </cell>
          <cell r="B4308" t="str">
            <v>Prop ¼” BSP for pos. 34</v>
          </cell>
          <cell r="C4308" t="str">
            <v>Plug ¼” BSP</v>
          </cell>
          <cell r="D4308">
            <v>64</v>
          </cell>
          <cell r="E4308">
            <v>8.6021505376344081</v>
          </cell>
        </row>
        <row r="4309">
          <cell r="A4309">
            <v>62351</v>
          </cell>
          <cell r="B4309" t="str">
            <v>Trug for indløbssnegl</v>
          </cell>
          <cell r="C4309" t="str">
            <v>Trough for feed screw</v>
          </cell>
          <cell r="D4309">
            <v>59996</v>
          </cell>
          <cell r="E4309">
            <v>8063.9784946236559</v>
          </cell>
        </row>
        <row r="4310">
          <cell r="A4310">
            <v>62366</v>
          </cell>
          <cell r="B4310" t="str">
            <v>Olie - MOBIL DTE FM32     20 L</v>
          </cell>
          <cell r="C4310" t="str">
            <v>Oil - MOBIL DTE FM32     20 L</v>
          </cell>
          <cell r="D4310">
            <v>1219</v>
          </cell>
          <cell r="E4310">
            <v>163.84408602150538</v>
          </cell>
        </row>
        <row r="4311">
          <cell r="A4311">
            <v>62392</v>
          </cell>
          <cell r="B4311" t="str">
            <v>Cylinder komplet 110V AC</v>
          </cell>
          <cell r="C4311" t="str">
            <v>Cylinder, complete 110v AC</v>
          </cell>
          <cell r="D4311">
            <v>3191</v>
          </cell>
          <cell r="E4311">
            <v>428.89784946236557</v>
          </cell>
        </row>
        <row r="4312">
          <cell r="A4312">
            <v>62393</v>
          </cell>
          <cell r="B4312" t="str">
            <v>Cylinder komplet 110V AC</v>
          </cell>
          <cell r="C4312" t="str">
            <v>Cylinder, complete</v>
          </cell>
          <cell r="D4312">
            <v>4219</v>
          </cell>
          <cell r="E4312">
            <v>567.06989247311822</v>
          </cell>
        </row>
        <row r="4313">
          <cell r="A4313">
            <v>62396</v>
          </cell>
          <cell r="B4313" t="str">
            <v>Cylinder komplet 230V AC</v>
          </cell>
          <cell r="C4313" t="str">
            <v>Cylinder, complete 230V AC</v>
          </cell>
          <cell r="D4313">
            <v>3191</v>
          </cell>
          <cell r="E4313">
            <v>428.89784946236557</v>
          </cell>
        </row>
        <row r="4314">
          <cell r="A4314">
            <v>62397</v>
          </cell>
          <cell r="B4314" t="str">
            <v>Cylinder komplet 230V AC</v>
          </cell>
          <cell r="C4314" t="str">
            <v>Cylinder, complete</v>
          </cell>
          <cell r="D4314">
            <v>4219</v>
          </cell>
          <cell r="E4314">
            <v>567.06989247311822</v>
          </cell>
        </row>
        <row r="4315">
          <cell r="A4315">
            <v>62444</v>
          </cell>
          <cell r="B4315" t="str">
            <v>Ring for hovedleje</v>
          </cell>
          <cell r="C4315" t="str">
            <v>Ring for main bearing</v>
          </cell>
          <cell r="D4315">
            <v>4956</v>
          </cell>
          <cell r="E4315">
            <v>666.12903225806451</v>
          </cell>
        </row>
        <row r="4316">
          <cell r="A4316">
            <v>62504</v>
          </cell>
          <cell r="B4316" t="str">
            <v>Fødecylinder (PM 717XW)  2 rulle</v>
          </cell>
          <cell r="C4316" t="str">
            <v>Feed cone PM717XW 2-roller</v>
          </cell>
          <cell r="D4316">
            <v>10706</v>
          </cell>
          <cell r="E4316">
            <v>1438.9784946236559</v>
          </cell>
        </row>
        <row r="4317">
          <cell r="A4317">
            <v>62506</v>
          </cell>
          <cell r="B4317" t="str">
            <v>Rulleaksel PM717XW 2-rulle</v>
          </cell>
          <cell r="C4317" t="str">
            <v>Roller shaft PM717XW 2-roller</v>
          </cell>
          <cell r="D4317">
            <v>7526</v>
          </cell>
          <cell r="E4317">
            <v>1011.5591397849462</v>
          </cell>
        </row>
        <row r="4318">
          <cell r="A4318">
            <v>62510</v>
          </cell>
          <cell r="B4318" t="str">
            <v>Forplade (PM 717XW) bear. 2ruller 2 vejs</v>
          </cell>
          <cell r="C4318" t="str">
            <v>Frontplate PM717W   2-rollers - 2way</v>
          </cell>
          <cell r="D4318">
            <v>11130</v>
          </cell>
          <cell r="E4318">
            <v>1495.9677419354839</v>
          </cell>
        </row>
        <row r="4319">
          <cell r="A4319">
            <v>62528</v>
          </cell>
          <cell r="B4319" t="str">
            <v>Afstandsring for rulle PM717XW 2-rulle</v>
          </cell>
          <cell r="C4319" t="str">
            <v>Spacer for roller PM717XW 2 roller</v>
          </cell>
          <cell r="D4319">
            <v>1042</v>
          </cell>
          <cell r="E4319">
            <v>140.05376344086019</v>
          </cell>
        </row>
        <row r="4320">
          <cell r="A4320">
            <v>62574</v>
          </cell>
          <cell r="B4320" t="str">
            <v>Filter</v>
          </cell>
          <cell r="C4320" t="str">
            <v>Filter</v>
          </cell>
          <cell r="D4320">
            <v>3127</v>
          </cell>
          <cell r="E4320">
            <v>420.29569892473114</v>
          </cell>
        </row>
        <row r="4321">
          <cell r="A4321">
            <v>62575</v>
          </cell>
          <cell r="B4321" t="str">
            <v>Spin - on filter M30/M900</v>
          </cell>
          <cell r="C4321" t="str">
            <v>Spin - on filter M30/M900</v>
          </cell>
          <cell r="D4321">
            <v>265</v>
          </cell>
          <cell r="E4321">
            <v>35.618279569892472</v>
          </cell>
        </row>
        <row r="4322">
          <cell r="A4322">
            <v>62600</v>
          </cell>
          <cell r="B4322" t="str">
            <v>Skærm for godsfordeler 1 M919</v>
          </cell>
          <cell r="C4322" t="str">
            <v>Screen for deflector 1 M919</v>
          </cell>
          <cell r="D4322">
            <v>489</v>
          </cell>
          <cell r="E4322">
            <v>65.725806451612897</v>
          </cell>
        </row>
        <row r="4323">
          <cell r="A4323">
            <v>62603</v>
          </cell>
          <cell r="B4323" t="str">
            <v>Skrue for knivskaft</v>
          </cell>
          <cell r="C4323" t="str">
            <v>Screw for knife shaft (M12x245)</v>
          </cell>
          <cell r="D4323">
            <v>398</v>
          </cell>
          <cell r="E4323">
            <v>53.494623655913976</v>
          </cell>
        </row>
        <row r="4324">
          <cell r="A4324">
            <v>62752</v>
          </cell>
          <cell r="B4324" t="str">
            <v>Cyl. Skrue UNC ½" x 45 A4</v>
          </cell>
          <cell r="C4324" t="str">
            <v>Cyl. screw UNC½” x 45 A4</v>
          </cell>
          <cell r="D4324">
            <v>15.9</v>
          </cell>
          <cell r="E4324">
            <v>2.1370967741935485</v>
          </cell>
        </row>
        <row r="4325">
          <cell r="A4325">
            <v>62754</v>
          </cell>
          <cell r="B4325" t="str">
            <v>Cyl. Skrue UNC ½" x 102 A4</v>
          </cell>
          <cell r="C4325" t="str">
            <v>Cyl. screw UNC½” x 102 A4</v>
          </cell>
          <cell r="D4325">
            <v>37</v>
          </cell>
          <cell r="E4325">
            <v>4.9731182795698921</v>
          </cell>
        </row>
        <row r="4326">
          <cell r="A4326">
            <v>62758</v>
          </cell>
          <cell r="B4326" t="str">
            <v>Dyse 120GR. 4 l/min ved 2 BAR</v>
          </cell>
          <cell r="C4326" t="str">
            <v>Nozzle 120GR. 4 l/min at 2 BAR</v>
          </cell>
          <cell r="D4326">
            <v>477</v>
          </cell>
          <cell r="E4326">
            <v>64.112903225806448</v>
          </cell>
        </row>
        <row r="4327">
          <cell r="A4327">
            <v>62760</v>
          </cell>
          <cell r="B4327" t="str">
            <v>Knivblad T4 B324</v>
          </cell>
          <cell r="C4327" t="str">
            <v>Knife    T4 B 324</v>
          </cell>
          <cell r="D4327">
            <v>519</v>
          </cell>
          <cell r="E4327">
            <v>69.758064516129025</v>
          </cell>
        </row>
        <row r="4328">
          <cell r="A4328">
            <v>63071</v>
          </cell>
          <cell r="B4328" t="str">
            <v xml:space="preserve">Tætningsring </v>
          </cell>
          <cell r="C4328" t="str">
            <v xml:space="preserve">Sealing ring </v>
          </cell>
          <cell r="D4328">
            <v>615</v>
          </cell>
          <cell r="E4328">
            <v>82.661290322580641</v>
          </cell>
        </row>
        <row r="4329">
          <cell r="A4329">
            <v>63106</v>
          </cell>
          <cell r="B4329" t="str">
            <v>Forplade komplet (PM 919XW) 2 ruller ARJ</v>
          </cell>
          <cell r="C4329" t="str">
            <v>Front plate complete (PM 919XW)</v>
          </cell>
          <cell r="D4329">
            <v>29468</v>
          </cell>
          <cell r="E4329">
            <v>3960.7526881720428</v>
          </cell>
        </row>
        <row r="4330">
          <cell r="A4330">
            <v>63107</v>
          </cell>
          <cell r="B4330" t="str">
            <v>Forplade (PM 919XW) 2 ruller ARJ</v>
          </cell>
          <cell r="C4330" t="str">
            <v>Front plate (PM 919XW)</v>
          </cell>
          <cell r="D4330">
            <v>14190</v>
          </cell>
          <cell r="E4330">
            <v>1907.258064516129</v>
          </cell>
        </row>
        <row r="4331">
          <cell r="A4331">
            <v>63110</v>
          </cell>
          <cell r="B4331" t="str">
            <v>Bøsning</v>
          </cell>
          <cell r="C4331" t="str">
            <v>Bushing</v>
          </cell>
          <cell r="D4331">
            <v>1519</v>
          </cell>
          <cell r="E4331">
            <v>204.16666666666666</v>
          </cell>
        </row>
        <row r="4332">
          <cell r="A4332">
            <v>63115</v>
          </cell>
          <cell r="B4332" t="str">
            <v>Godsfordeler</v>
          </cell>
          <cell r="C4332" t="str">
            <v>Deflector</v>
          </cell>
          <cell r="D4332">
            <v>4563</v>
          </cell>
          <cell r="E4332">
            <v>613.30645161290317</v>
          </cell>
        </row>
        <row r="4333">
          <cell r="A4333">
            <v>63118</v>
          </cell>
          <cell r="B4333" t="str">
            <v>Gaffel</v>
          </cell>
          <cell r="C4333" t="str">
            <v>Fork</v>
          </cell>
          <cell r="D4333">
            <v>20617</v>
          </cell>
          <cell r="E4333">
            <v>2771.1021505376343</v>
          </cell>
        </row>
        <row r="4334">
          <cell r="A4334">
            <v>63119</v>
          </cell>
          <cell r="B4334" t="str">
            <v>Gaffelføring</v>
          </cell>
          <cell r="C4334" t="str">
            <v>Fork guide</v>
          </cell>
          <cell r="D4334">
            <v>14628</v>
          </cell>
          <cell r="E4334">
            <v>1966.1290322580644</v>
          </cell>
        </row>
        <row r="4335">
          <cell r="A4335">
            <v>63130</v>
          </cell>
          <cell r="B4335" t="str">
            <v>Rullejusteringsarm</v>
          </cell>
          <cell r="C4335" t="str">
            <v>Roller adjustment arm</v>
          </cell>
          <cell r="D4335">
            <v>3710</v>
          </cell>
          <cell r="E4335">
            <v>498.6559139784946</v>
          </cell>
        </row>
        <row r="4336">
          <cell r="A4336">
            <v>63139</v>
          </cell>
          <cell r="B4336" t="str">
            <v>Trykskive</v>
          </cell>
          <cell r="C4336" t="str">
            <v>Thrust washer for roller adjustment arm</v>
          </cell>
          <cell r="D4336">
            <v>424</v>
          </cell>
          <cell r="E4336">
            <v>56.989247311827953</v>
          </cell>
        </row>
        <row r="4337">
          <cell r="A4337">
            <v>63143</v>
          </cell>
          <cell r="B4337" t="str">
            <v>Vant skrue M24</v>
          </cell>
          <cell r="C4337" t="str">
            <v>Rigging screw M24</v>
          </cell>
          <cell r="D4337">
            <v>684</v>
          </cell>
          <cell r="E4337">
            <v>91.935483870967744</v>
          </cell>
        </row>
        <row r="4338">
          <cell r="A4338">
            <v>63147</v>
          </cell>
          <cell r="B4338" t="str">
            <v>Trækstang (PM 919XW)</v>
          </cell>
          <cell r="C4338" t="str">
            <v>Tension rod (PM 919XW)</v>
          </cell>
          <cell r="D4338">
            <v>3896</v>
          </cell>
          <cell r="E4338">
            <v>523.6559139784946</v>
          </cell>
        </row>
        <row r="4339">
          <cell r="A4339">
            <v>63153</v>
          </cell>
          <cell r="B4339" t="str">
            <v>Slipring</v>
          </cell>
          <cell r="C4339" t="str">
            <v xml:space="preserve">Slip ring </v>
          </cell>
          <cell r="D4339">
            <v>2062</v>
          </cell>
          <cell r="E4339">
            <v>277.15053763440858</v>
          </cell>
        </row>
        <row r="4340">
          <cell r="A4340">
            <v>63154</v>
          </cell>
          <cell r="B4340" t="str">
            <v>Cylinderholder</v>
          </cell>
          <cell r="C4340" t="str">
            <v>Support for cylinder</v>
          </cell>
          <cell r="D4340">
            <v>2470</v>
          </cell>
          <cell r="E4340">
            <v>331.98924731182797</v>
          </cell>
        </row>
        <row r="4341">
          <cell r="A4341">
            <v>63155</v>
          </cell>
          <cell r="B4341" t="str">
            <v>Hydr. Cylinder NH30-F</v>
          </cell>
          <cell r="C4341" t="str">
            <v>Hydraulic cylinder NH30-F</v>
          </cell>
          <cell r="D4341">
            <v>17490</v>
          </cell>
          <cell r="E4341">
            <v>2350.8064516129029</v>
          </cell>
        </row>
        <row r="4342">
          <cell r="A4342">
            <v>63156</v>
          </cell>
          <cell r="B4342" t="str">
            <v>Møtrik for trækstang</v>
          </cell>
          <cell r="C4342" t="str">
            <v>Nut for tension rod</v>
          </cell>
          <cell r="D4342">
            <v>472</v>
          </cell>
          <cell r="E4342">
            <v>63.44086021505376</v>
          </cell>
        </row>
        <row r="4343">
          <cell r="A4343">
            <v>63159</v>
          </cell>
          <cell r="B4343" t="str">
            <v>Trykskive</v>
          </cell>
          <cell r="C4343" t="str">
            <v>Thrust washer</v>
          </cell>
          <cell r="D4343">
            <v>212</v>
          </cell>
          <cell r="E4343">
            <v>28.494623655913976</v>
          </cell>
        </row>
        <row r="4344">
          <cell r="A4344">
            <v>63160</v>
          </cell>
          <cell r="B4344" t="str">
            <v>Olieblok</v>
          </cell>
          <cell r="C4344" t="str">
            <v>Oil block</v>
          </cell>
          <cell r="D4344">
            <v>1288</v>
          </cell>
          <cell r="E4344">
            <v>173.11827956989245</v>
          </cell>
        </row>
        <row r="4345">
          <cell r="A4345">
            <v>63161</v>
          </cell>
          <cell r="B4345" t="str">
            <v>Beslag for olieblok</v>
          </cell>
          <cell r="C4345" t="str">
            <v>Support for oil block</v>
          </cell>
          <cell r="D4345">
            <v>943</v>
          </cell>
          <cell r="E4345">
            <v>126.74731182795698</v>
          </cell>
        </row>
        <row r="4346">
          <cell r="A4346">
            <v>63166</v>
          </cell>
          <cell r="B4346" t="str">
            <v>Stift for gaffel</v>
          </cell>
          <cell r="C4346" t="str">
            <v>Pin for fork</v>
          </cell>
          <cell r="D4346">
            <v>292</v>
          </cell>
          <cell r="E4346">
            <v>39.247311827956985</v>
          </cell>
        </row>
        <row r="4347">
          <cell r="A4347">
            <v>63167</v>
          </cell>
          <cell r="B4347" t="str">
            <v>Bolt for rullejusteringsarm</v>
          </cell>
          <cell r="C4347" t="str">
            <v>Bolt for roller adjustment arm</v>
          </cell>
          <cell r="D4347">
            <v>509</v>
          </cell>
          <cell r="E4347">
            <v>68.413978494623649</v>
          </cell>
        </row>
        <row r="4348">
          <cell r="A4348">
            <v>63188</v>
          </cell>
          <cell r="B4348" t="str">
            <v xml:space="preserve">Forplade   PM 1219 beard.  3 ruller 2 vejs </v>
          </cell>
          <cell r="C4348" t="str">
            <v>Front palte PM   3 ruller 2 vay</v>
          </cell>
          <cell r="D4348">
            <v>51336</v>
          </cell>
          <cell r="E4348">
            <v>6900</v>
          </cell>
        </row>
        <row r="4349">
          <cell r="A4349">
            <v>63191</v>
          </cell>
          <cell r="B4349" t="str">
            <v>Reparationssæt for PAM Sluse 38/420 UL komplet</v>
          </cell>
          <cell r="C4349" t="str">
            <v>Repairset for PAM Sluise 38/420 UL compl.</v>
          </cell>
          <cell r="D4349">
            <v>9694</v>
          </cell>
          <cell r="E4349">
            <v>1302.9569892473119</v>
          </cell>
        </row>
        <row r="4350">
          <cell r="A4350">
            <v>63200</v>
          </cell>
          <cell r="B4350" t="str">
            <v>Reparationssæt for PAM Sluse 5/220 UL komplet</v>
          </cell>
          <cell r="C4350" t="str">
            <v>Repairset for PAM Sluise 5/220 UL compl.</v>
          </cell>
          <cell r="D4350">
            <v>8634</v>
          </cell>
          <cell r="E4350">
            <v>1160.483870967742</v>
          </cell>
        </row>
        <row r="4351">
          <cell r="A4351">
            <v>63213</v>
          </cell>
          <cell r="B4351" t="str">
            <v>Lige drejeled 4 x 3/8”</v>
          </cell>
          <cell r="C4351" t="str">
            <v>Swivel straight 4 x 3/8”</v>
          </cell>
          <cell r="D4351">
            <v>9646</v>
          </cell>
          <cell r="E4351">
            <v>1296.505376344086</v>
          </cell>
        </row>
        <row r="4352">
          <cell r="A4352">
            <v>63214</v>
          </cell>
          <cell r="B4352" t="str">
            <v>Magnetventil 110VAC VGD-25-ER-ER-2CQ</v>
          </cell>
          <cell r="C4352" t="str">
            <v>Solenoid valve complete 110VAC VGD-25-ER-ER-2CQ</v>
          </cell>
          <cell r="D4352">
            <v>1007</v>
          </cell>
          <cell r="E4352">
            <v>135.34946236559139</v>
          </cell>
        </row>
        <row r="4353">
          <cell r="A4353">
            <v>63215</v>
          </cell>
          <cell r="B4353" t="str">
            <v>Magnetventil komplet 24V DC VGD-25-ER-ER-2CQ</v>
          </cell>
          <cell r="C4353" t="str">
            <v>Solenoid valve 24V DC VGD-25-ER-ER-2CQ</v>
          </cell>
          <cell r="D4353">
            <v>1018</v>
          </cell>
          <cell r="E4353">
            <v>136.8279569892473</v>
          </cell>
        </row>
        <row r="4354">
          <cell r="A4354">
            <v>63220</v>
          </cell>
          <cell r="B4354" t="str">
            <v>Rulleaksel PM919XW 2-Rulle  ARJ</v>
          </cell>
          <cell r="C4354" t="str">
            <v>Roller shaft PM919XW 2-roller  ARJ</v>
          </cell>
          <cell r="D4354">
            <v>9010</v>
          </cell>
          <cell r="E4354">
            <v>1211.0215053763441</v>
          </cell>
        </row>
        <row r="4355">
          <cell r="A4355">
            <v>63229</v>
          </cell>
          <cell r="B4355" t="str">
            <v>Ledleje GE25PO</v>
          </cell>
          <cell r="C4355" t="str">
            <v>Link bearing GE25PO</v>
          </cell>
          <cell r="D4355">
            <v>133</v>
          </cell>
          <cell r="E4355">
            <v>17.876344086021504</v>
          </cell>
        </row>
        <row r="4356">
          <cell r="A4356">
            <v>63246</v>
          </cell>
          <cell r="B4356" t="str">
            <v>Bøsning</v>
          </cell>
          <cell r="C4356" t="str">
            <v>Bushing</v>
          </cell>
          <cell r="D4356">
            <v>1526</v>
          </cell>
          <cell r="E4356">
            <v>205.10752688172042</v>
          </cell>
        </row>
        <row r="4357">
          <cell r="A4357">
            <v>63259</v>
          </cell>
          <cell r="B4357" t="str">
            <v>Stopskinne</v>
          </cell>
          <cell r="C4357" t="str">
            <v>Rail</v>
          </cell>
          <cell r="D4357">
            <v>1473</v>
          </cell>
          <cell r="E4357">
            <v>197.98387096774192</v>
          </cell>
        </row>
        <row r="4358">
          <cell r="A4358">
            <v>63297</v>
          </cell>
          <cell r="B4358" t="str">
            <v>Skinne øverst venstre side  1001</v>
          </cell>
          <cell r="C4358" t="str">
            <v>Rail upper left side</v>
          </cell>
          <cell r="D4358">
            <v>1855</v>
          </cell>
          <cell r="E4358">
            <v>249.3279569892473</v>
          </cell>
        </row>
        <row r="4359">
          <cell r="A4359">
            <v>63501</v>
          </cell>
          <cell r="B4359" t="str">
            <v>Støtte for dyseplade TX 144</v>
          </cell>
          <cell r="C4359" t="str">
            <v>Support for die plate TX144</v>
          </cell>
          <cell r="D4359">
            <v>9116</v>
          </cell>
          <cell r="E4359">
            <v>1225.2688172043011</v>
          </cell>
        </row>
        <row r="4360">
          <cell r="A4360">
            <v>63502</v>
          </cell>
          <cell r="B4360" t="str">
            <v>Afstandsring   TX 144</v>
          </cell>
          <cell r="C4360" t="str">
            <v>Spacer ring TX144</v>
          </cell>
          <cell r="D4360">
            <v>12826</v>
          </cell>
          <cell r="E4360">
            <v>1723.9247311827955</v>
          </cell>
        </row>
        <row r="4361">
          <cell r="A4361">
            <v>63503</v>
          </cell>
          <cell r="B4361" t="str">
            <v>Adapter for knivhus TX 144</v>
          </cell>
          <cell r="C4361" t="str">
            <v>Adapter for knife house TX144</v>
          </cell>
          <cell r="D4361">
            <v>7900</v>
          </cell>
          <cell r="E4361">
            <v>1061.8279569892472</v>
          </cell>
        </row>
        <row r="4362">
          <cell r="A4362">
            <v>63522</v>
          </cell>
          <cell r="B4362" t="str">
            <v>Løftebøjle for ruller  TX 144</v>
          </cell>
          <cell r="C4362" t="str">
            <v>Lifting bracket TX144</v>
          </cell>
          <cell r="D4362">
            <v>318</v>
          </cell>
          <cell r="E4362">
            <v>42.741935483870968</v>
          </cell>
        </row>
        <row r="4363">
          <cell r="A4363">
            <v>63549</v>
          </cell>
          <cell r="B4363" t="str">
            <v>Forplade (PM 919TW) 2 Ruller ARJ</v>
          </cell>
          <cell r="C4363" t="str">
            <v>Front plate (PM 919TW)</v>
          </cell>
          <cell r="D4363">
            <v>20633</v>
          </cell>
          <cell r="E4363">
            <v>2773.2526881720428</v>
          </cell>
        </row>
        <row r="4364">
          <cell r="A4364">
            <v>63552</v>
          </cell>
          <cell r="B4364" t="str">
            <v>Forplade komplet (PM 919TW)  2 Ruller ARJ</v>
          </cell>
          <cell r="C4364" t="str">
            <v>Front plate complete (PM 919TW)</v>
          </cell>
          <cell r="D4364">
            <v>37630</v>
          </cell>
          <cell r="E4364">
            <v>5057.7956989247314</v>
          </cell>
        </row>
        <row r="4365">
          <cell r="A4365">
            <v>63555</v>
          </cell>
          <cell r="B4365" t="str">
            <v>Trækstang (PM 919TW)</v>
          </cell>
          <cell r="C4365" t="str">
            <v>Tension rod (PM 919TW)</v>
          </cell>
          <cell r="D4365">
            <v>4108</v>
          </cell>
          <cell r="E4365">
            <v>552.15053763440858</v>
          </cell>
        </row>
        <row r="4366">
          <cell r="A4366">
            <v>63568</v>
          </cell>
          <cell r="B4366" t="str">
            <v>Slange 1/4 8-8135</v>
          </cell>
          <cell r="C4366" t="str">
            <v>Hose 1/4 8-8135</v>
          </cell>
          <cell r="D4366">
            <v>334</v>
          </cell>
          <cell r="E4366">
            <v>44.892473118279568</v>
          </cell>
        </row>
        <row r="4367">
          <cell r="A4367">
            <v>63610</v>
          </cell>
          <cell r="B4367" t="str">
            <v>Brystnippel ¼” x ¾” BSP</v>
          </cell>
          <cell r="C4367" t="str">
            <v>Nipple ¼” x ¾” BSP</v>
          </cell>
          <cell r="D4367">
            <v>28</v>
          </cell>
          <cell r="E4367">
            <v>3.7634408602150535</v>
          </cell>
        </row>
        <row r="4368">
          <cell r="A4368">
            <v>63692</v>
          </cell>
          <cell r="B4368" t="str">
            <v>Pumpestation 110V60Hz</v>
          </cell>
          <cell r="C4368" t="str">
            <v>Pump unit 110V 60Hz</v>
          </cell>
          <cell r="D4368">
            <v>18974</v>
          </cell>
          <cell r="E4368">
            <v>2550.2688172043008</v>
          </cell>
        </row>
        <row r="4369">
          <cell r="A4369">
            <v>63736</v>
          </cell>
          <cell r="B4369" t="str">
            <v>Hals for dysehoved</v>
          </cell>
          <cell r="C4369" t="str">
            <v>Throat for die head</v>
          </cell>
          <cell r="D4369">
            <v>7897</v>
          </cell>
          <cell r="E4369">
            <v>1061.4247311827955</v>
          </cell>
        </row>
        <row r="4370">
          <cell r="A4370">
            <v>63737</v>
          </cell>
          <cell r="B4370" t="str">
            <v>Indsats for dysehals Ø60</v>
          </cell>
          <cell r="C4370" t="str">
            <v>Liner for die throat Ø60</v>
          </cell>
          <cell r="D4370">
            <v>8904</v>
          </cell>
          <cell r="E4370">
            <v>1196.7741935483871</v>
          </cell>
        </row>
        <row r="4371">
          <cell r="A4371">
            <v>63741</v>
          </cell>
          <cell r="B4371" t="str">
            <v>Dysebase</v>
          </cell>
          <cell r="C4371" t="str">
            <v>Die base</v>
          </cell>
          <cell r="D4371">
            <v>27242</v>
          </cell>
          <cell r="E4371">
            <v>3661.5591397849462</v>
          </cell>
        </row>
        <row r="4372">
          <cell r="A4372">
            <v>63828</v>
          </cell>
          <cell r="B4372" t="str">
            <v>Hus for dysebase</v>
          </cell>
          <cell r="C4372" t="str">
            <v>House for die base</v>
          </cell>
          <cell r="D4372">
            <v>33390</v>
          </cell>
          <cell r="E4372">
            <v>4487.9032258064517</v>
          </cell>
        </row>
        <row r="4373">
          <cell r="A4373">
            <v>63845</v>
          </cell>
          <cell r="B4373" t="str">
            <v>Prop for føler</v>
          </cell>
          <cell r="C4373" t="str">
            <v>Plug for sensor</v>
          </cell>
          <cell r="D4373">
            <v>191</v>
          </cell>
          <cell r="E4373">
            <v>25.672043010752688</v>
          </cell>
        </row>
        <row r="4374">
          <cell r="A4374">
            <v>63852</v>
          </cell>
          <cell r="B4374" t="str">
            <v>Dysehals holder</v>
          </cell>
          <cell r="C4374" t="str">
            <v>Die throat holder</v>
          </cell>
          <cell r="D4374">
            <v>11130</v>
          </cell>
          <cell r="E4374">
            <v>1495.9677419354839</v>
          </cell>
        </row>
        <row r="4375">
          <cell r="A4375">
            <v>63886</v>
          </cell>
          <cell r="B4375" t="str">
            <v>Dysehals holder</v>
          </cell>
          <cell r="C4375" t="str">
            <v>Die throat holder</v>
          </cell>
          <cell r="D4375">
            <v>7187</v>
          </cell>
          <cell r="E4375">
            <v>965.99462365591398</v>
          </cell>
        </row>
        <row r="4376">
          <cell r="A4376">
            <v>63887</v>
          </cell>
          <cell r="B4376" t="str">
            <v>Gummiskraber</v>
          </cell>
          <cell r="C4376" t="str">
            <v>Rubber scraper</v>
          </cell>
          <cell r="D4376">
            <v>125</v>
          </cell>
          <cell r="E4376">
            <v>16.801075268817204</v>
          </cell>
        </row>
        <row r="4377">
          <cell r="A4377">
            <v>63906</v>
          </cell>
          <cell r="B4377" t="str">
            <v>Foring komplet incl. 063913</v>
          </cell>
          <cell r="C4377" t="str">
            <v>Sleve complete incl. 063913</v>
          </cell>
          <cell r="D4377">
            <v>28938</v>
          </cell>
          <cell r="E4377">
            <v>3889.516129032258</v>
          </cell>
        </row>
        <row r="4378">
          <cell r="A4378">
            <v>63913</v>
          </cell>
          <cell r="B4378" t="str">
            <v>O-ring Ø94,5 x 3,00 FEPM</v>
          </cell>
          <cell r="C4378" t="str">
            <v>O-ring Ø94,5 x 3,00 FEPM</v>
          </cell>
          <cell r="D4378">
            <v>398</v>
          </cell>
          <cell r="E4378">
            <v>53.494623655913976</v>
          </cell>
        </row>
        <row r="4379">
          <cell r="A4379">
            <v>63924</v>
          </cell>
          <cell r="B4379" t="str">
            <v>Koblingsmøtrik</v>
          </cell>
          <cell r="C4379" t="str">
            <v>Coupling nut</v>
          </cell>
          <cell r="D4379">
            <v>1166</v>
          </cell>
          <cell r="E4379">
            <v>156.72043010752688</v>
          </cell>
        </row>
        <row r="4380">
          <cell r="A4380">
            <v>63926</v>
          </cell>
          <cell r="B4380" t="str">
            <v>Spindel</v>
          </cell>
          <cell r="C4380" t="str">
            <v>Spindle</v>
          </cell>
          <cell r="D4380">
            <v>583</v>
          </cell>
          <cell r="E4380">
            <v>78.36021505376344</v>
          </cell>
        </row>
        <row r="4381">
          <cell r="A4381">
            <v>63927</v>
          </cell>
          <cell r="B4381" t="str">
            <v>Lejehus</v>
          </cell>
          <cell r="C4381" t="str">
            <v>Bearing housing</v>
          </cell>
          <cell r="D4381">
            <v>790</v>
          </cell>
          <cell r="E4381">
            <v>106.18279569892472</v>
          </cell>
        </row>
        <row r="4382">
          <cell r="A4382">
            <v>63933</v>
          </cell>
          <cell r="B4382" t="str">
            <v>Aksial-nålekrans AXK6590</v>
          </cell>
          <cell r="C4382" t="str">
            <v>Axial needle disc</v>
          </cell>
          <cell r="D4382">
            <v>48</v>
          </cell>
          <cell r="E4382">
            <v>6.4516129032258061</v>
          </cell>
        </row>
        <row r="4383">
          <cell r="A4383">
            <v>63934</v>
          </cell>
          <cell r="B4383" t="str">
            <v>Aksial-lejeskive AS6590</v>
          </cell>
          <cell r="C4383" t="str">
            <v>Axial bearing disc</v>
          </cell>
          <cell r="D4383">
            <v>28</v>
          </cell>
          <cell r="E4383">
            <v>3.7634408602150535</v>
          </cell>
        </row>
        <row r="4384">
          <cell r="A4384">
            <v>63937</v>
          </cell>
          <cell r="B4384" t="str">
            <v>Trykskive</v>
          </cell>
          <cell r="C4384" t="str">
            <v>Thrust washer</v>
          </cell>
          <cell r="D4384">
            <v>583</v>
          </cell>
          <cell r="E4384">
            <v>78.36021505376344</v>
          </cell>
        </row>
        <row r="4385">
          <cell r="A4385">
            <v>64002</v>
          </cell>
          <cell r="B4385" t="str">
            <v>Hængsel for dyseholder</v>
          </cell>
          <cell r="C4385" t="str">
            <v>Hinge for die holder</v>
          </cell>
          <cell r="D4385">
            <v>5247</v>
          </cell>
          <cell r="E4385">
            <v>705.24193548387098</v>
          </cell>
        </row>
        <row r="4386">
          <cell r="A4386">
            <v>64007</v>
          </cell>
          <cell r="B4386" t="str">
            <v>Skive  Ø50/26 x 5 Teflon</v>
          </cell>
          <cell r="C4386" t="str">
            <v>Disc  Ø50/26 x 5 Teflon</v>
          </cell>
          <cell r="D4386">
            <v>27</v>
          </cell>
          <cell r="E4386">
            <v>3.629032258064516</v>
          </cell>
        </row>
        <row r="4387">
          <cell r="A4387">
            <v>64007</v>
          </cell>
          <cell r="B4387" t="str">
            <v>Teflon skive ø50 x26 x 5</v>
          </cell>
          <cell r="C4387" t="str">
            <v>Disc Teflon ø50x26x5</v>
          </cell>
          <cell r="D4387">
            <v>27</v>
          </cell>
          <cell r="E4387">
            <v>3.629032258064516</v>
          </cell>
        </row>
        <row r="4388">
          <cell r="A4388">
            <v>64022</v>
          </cell>
          <cell r="B4388" t="str">
            <v>O-ring 6,0 x 3,00 VITON</v>
          </cell>
          <cell r="C4388" t="str">
            <v>O-ring 6,0 x 3,00 VITON</v>
          </cell>
          <cell r="D4388">
            <v>1.8</v>
          </cell>
          <cell r="E4388">
            <v>0.24193548387096772</v>
          </cell>
        </row>
        <row r="4389">
          <cell r="A4389">
            <v>64023</v>
          </cell>
          <cell r="B4389" t="str">
            <v>O-ring 10,0 x 3,00 VITON</v>
          </cell>
          <cell r="C4389" t="str">
            <v>O-ring 10,0 x 3,00 VITON</v>
          </cell>
          <cell r="D4389">
            <v>4.5999999999999996</v>
          </cell>
          <cell r="E4389">
            <v>0.61827956989247301</v>
          </cell>
        </row>
        <row r="4390">
          <cell r="A4390">
            <v>64044</v>
          </cell>
          <cell r="B4390" t="str">
            <v>Hals for dysehoved AR=2173</v>
          </cell>
          <cell r="C4390" t="str">
            <v>Throat for die head AR=2173</v>
          </cell>
          <cell r="D4390">
            <v>8692</v>
          </cell>
          <cell r="E4390">
            <v>1168.2795698924731</v>
          </cell>
        </row>
        <row r="4391">
          <cell r="A4391">
            <v>64051</v>
          </cell>
          <cell r="B4391" t="str">
            <v>Hovedtandhjul   9,80:1   S2</v>
          </cell>
          <cell r="C4391" t="str">
            <v>Gear wheel  9,80:1</v>
          </cell>
          <cell r="D4391">
            <v>110700</v>
          </cell>
          <cell r="E4391">
            <v>14879.032258064515</v>
          </cell>
        </row>
        <row r="4392">
          <cell r="A4392">
            <v>64062</v>
          </cell>
          <cell r="B4392" t="str">
            <v>Hovedtandhjul   9,73 :1   S1 G</v>
          </cell>
          <cell r="C4392" t="str">
            <v>Gear wheel  9,73:1  S1 G</v>
          </cell>
          <cell r="D4392">
            <v>90100</v>
          </cell>
          <cell r="E4392">
            <v>12110.215053763441</v>
          </cell>
        </row>
        <row r="4393">
          <cell r="A4393">
            <v>64070</v>
          </cell>
          <cell r="B4393" t="str">
            <v>Skærm for kobling</v>
          </cell>
          <cell r="C4393" t="str">
            <v>Screen for coupling</v>
          </cell>
          <cell r="D4393">
            <v>4929</v>
          </cell>
          <cell r="E4393">
            <v>662.5</v>
          </cell>
        </row>
        <row r="4394">
          <cell r="A4394">
            <v>64083</v>
          </cell>
          <cell r="B4394" t="str">
            <v>Positionscylinder</v>
          </cell>
          <cell r="C4394" t="str">
            <v>Position cylinder</v>
          </cell>
          <cell r="D4394">
            <v>23161</v>
          </cell>
          <cell r="E4394">
            <v>3113.0376344086021</v>
          </cell>
        </row>
        <row r="4395">
          <cell r="A4395">
            <v>64092</v>
          </cell>
          <cell r="B4395" t="str">
            <v xml:space="preserve">Multi1000 soldramme speciel </v>
          </cell>
          <cell r="C4395" t="str">
            <v>Multi 1000 screen frame</v>
          </cell>
          <cell r="D4395">
            <v>5100</v>
          </cell>
          <cell r="E4395">
            <v>685.48387096774195</v>
          </cell>
        </row>
        <row r="4396">
          <cell r="A4396">
            <v>64093</v>
          </cell>
          <cell r="B4396" t="str">
            <v>Arm for soldspænder</v>
          </cell>
          <cell r="C4396" t="str">
            <v>Arm for screen fixation</v>
          </cell>
          <cell r="D4396">
            <v>385</v>
          </cell>
          <cell r="E4396">
            <v>51.747311827956985</v>
          </cell>
        </row>
        <row r="4397">
          <cell r="A4397">
            <v>64128</v>
          </cell>
          <cell r="B4397" t="str">
            <v>Afstandsføler</v>
          </cell>
          <cell r="C4397" t="str">
            <v>Distance sensor</v>
          </cell>
          <cell r="D4397">
            <v>9010</v>
          </cell>
          <cell r="E4397">
            <v>1211.0215053763441</v>
          </cell>
        </row>
        <row r="4398">
          <cell r="A4398">
            <v>64197</v>
          </cell>
          <cell r="B4398" t="str">
            <v>Hydraulik slange ¼” L=300</v>
          </cell>
          <cell r="C4398" t="str">
            <v>Hydraulic hose ¼” L=300</v>
          </cell>
          <cell r="D4398">
            <v>87</v>
          </cell>
          <cell r="E4398">
            <v>11.693548387096774</v>
          </cell>
        </row>
        <row r="4399">
          <cell r="A4399">
            <v>64260</v>
          </cell>
          <cell r="B4399" t="str">
            <v>Drivaksel    9,80:1   S2</v>
          </cell>
          <cell r="C4399" t="str">
            <v>Drive shaft 9,80:1   S2</v>
          </cell>
          <cell r="D4399">
            <v>16324</v>
          </cell>
          <cell r="E4399">
            <v>2194.0860215053763</v>
          </cell>
        </row>
        <row r="4400">
          <cell r="A4400">
            <v>64334</v>
          </cell>
          <cell r="B4400" t="str">
            <v>Drivaksel    9,73:1 S1) GASN</v>
          </cell>
          <cell r="C4400" t="str">
            <v>Drive shaft 9,73:1  (S1) GASN PM919</v>
          </cell>
          <cell r="D4400">
            <v>14310</v>
          </cell>
          <cell r="E4400">
            <v>1923.3870967741934</v>
          </cell>
        </row>
        <row r="4401">
          <cell r="A4401">
            <v>64335</v>
          </cell>
          <cell r="B4401" t="str">
            <v>Drivaksel    8,44:1 ( S1) GASN  PM919</v>
          </cell>
          <cell r="C4401" t="str">
            <v>Drive shaft 8,44:1 8S!) GASN   PM919</v>
          </cell>
          <cell r="D4401">
            <v>15370</v>
          </cell>
          <cell r="E4401">
            <v>2065.8602150537631</v>
          </cell>
        </row>
        <row r="4402">
          <cell r="A4402">
            <v>64359</v>
          </cell>
          <cell r="B4402" t="str">
            <v>Hydraulik slange ¼” L=400</v>
          </cell>
          <cell r="C4402" t="str">
            <v>Hydraulic hose ¼” L=400</v>
          </cell>
          <cell r="D4402">
            <v>673</v>
          </cell>
          <cell r="E4402">
            <v>90.456989247311824</v>
          </cell>
        </row>
        <row r="4403">
          <cell r="A4403">
            <v>64411</v>
          </cell>
          <cell r="B4403" t="str">
            <v>Fordelersnegl  POC 1201</v>
          </cell>
          <cell r="C4403" t="str">
            <v>Distributor screw  POC 1201</v>
          </cell>
          <cell r="D4403">
            <v>4950</v>
          </cell>
          <cell r="E4403">
            <v>665.32258064516122</v>
          </cell>
        </row>
        <row r="4404">
          <cell r="A4404">
            <v>64468</v>
          </cell>
          <cell r="B4404" t="str">
            <v>Skinne</v>
          </cell>
          <cell r="C4404" t="str">
            <v>Rail</v>
          </cell>
          <cell r="D4404">
            <v>10.9</v>
          </cell>
          <cell r="E4404">
            <v>1.4650537634408602</v>
          </cell>
        </row>
        <row r="4405">
          <cell r="A4405">
            <v>64469</v>
          </cell>
          <cell r="B4405" t="str">
            <v>Justerplae</v>
          </cell>
          <cell r="C4405" t="str">
            <v>Adjustable plate</v>
          </cell>
          <cell r="D4405">
            <v>40</v>
          </cell>
          <cell r="E4405">
            <v>5.376344086021505</v>
          </cell>
        </row>
        <row r="4406">
          <cell r="A4406">
            <v>64472</v>
          </cell>
          <cell r="B4406" t="str">
            <v>Prelplade</v>
          </cell>
          <cell r="C4406" t="str">
            <v>Guide plate</v>
          </cell>
          <cell r="D4406">
            <v>305</v>
          </cell>
          <cell r="E4406">
            <v>40.994623655913976</v>
          </cell>
        </row>
        <row r="4407">
          <cell r="A4407">
            <v>64477</v>
          </cell>
          <cell r="B4407" t="str">
            <v>Tætningsring</v>
          </cell>
          <cell r="C4407" t="str">
            <v>Sealing ring</v>
          </cell>
          <cell r="D4407">
            <v>95</v>
          </cell>
          <cell r="E4407">
            <v>12.768817204301074</v>
          </cell>
        </row>
        <row r="4408">
          <cell r="A4408">
            <v>64506</v>
          </cell>
          <cell r="B4408" t="str">
            <v>Drivaksel    8,40:1  S2</v>
          </cell>
          <cell r="C4408" t="str">
            <v>Drive shaft 8,40:1  S2</v>
          </cell>
          <cell r="D4408">
            <v>16812</v>
          </cell>
          <cell r="E4408">
            <v>2259.6774193548385</v>
          </cell>
        </row>
        <row r="4409">
          <cell r="A4409">
            <v>64542</v>
          </cell>
          <cell r="B4409" t="str">
            <v>Adapter dyseplade</v>
          </cell>
          <cell r="C4409" t="str">
            <v>Adapter die plate</v>
          </cell>
          <cell r="D4409">
            <v>8586</v>
          </cell>
          <cell r="E4409">
            <v>1154.0322580645161</v>
          </cell>
        </row>
        <row r="4410">
          <cell r="A4410">
            <v>64570</v>
          </cell>
          <cell r="B4410" t="str">
            <v>Skinne</v>
          </cell>
          <cell r="C4410" t="str">
            <v>Rail</v>
          </cell>
          <cell r="D4410">
            <v>14.5</v>
          </cell>
          <cell r="E4410">
            <v>1.9489247311827955</v>
          </cell>
        </row>
        <row r="4411">
          <cell r="A4411">
            <v>64571</v>
          </cell>
          <cell r="B4411" t="str">
            <v>Gummiskraber</v>
          </cell>
          <cell r="C4411" t="str">
            <v>Rubber scraper</v>
          </cell>
          <cell r="D4411">
            <v>1125</v>
          </cell>
          <cell r="E4411">
            <v>151.20967741935482</v>
          </cell>
        </row>
        <row r="4412">
          <cell r="A4412">
            <v>64572</v>
          </cell>
          <cell r="B4412" t="str">
            <v>Justerplade</v>
          </cell>
          <cell r="C4412" t="str">
            <v>Adjustable plate</v>
          </cell>
          <cell r="D4412">
            <v>48</v>
          </cell>
          <cell r="E4412">
            <v>6.4516129032258061</v>
          </cell>
        </row>
        <row r="4413">
          <cell r="A4413">
            <v>64573</v>
          </cell>
          <cell r="B4413" t="str">
            <v>Prelplade</v>
          </cell>
          <cell r="C4413" t="str">
            <v>Guide plate</v>
          </cell>
          <cell r="D4413">
            <v>465</v>
          </cell>
          <cell r="E4413">
            <v>62.5</v>
          </cell>
        </row>
        <row r="4414">
          <cell r="A4414">
            <v>64581</v>
          </cell>
          <cell r="B4414" t="str">
            <v>Dysebase</v>
          </cell>
          <cell r="C4414" t="str">
            <v>Die base</v>
          </cell>
          <cell r="D4414">
            <v>29468</v>
          </cell>
          <cell r="E4414">
            <v>3960.7526881720428</v>
          </cell>
        </row>
        <row r="4415">
          <cell r="A4415">
            <v>64590</v>
          </cell>
          <cell r="B4415" t="str">
            <v>Hovedtandhjul   8,40:1  S2</v>
          </cell>
          <cell r="C4415" t="str">
            <v>Gear wheel  8,40:1</v>
          </cell>
          <cell r="D4415">
            <v>110700</v>
          </cell>
          <cell r="E4415">
            <v>14879.032258064515</v>
          </cell>
        </row>
        <row r="4416">
          <cell r="A4416">
            <v>64608</v>
          </cell>
          <cell r="B4416" t="str">
            <v>Flange</v>
          </cell>
          <cell r="C4416" t="str">
            <v>Flange</v>
          </cell>
          <cell r="D4416">
            <v>8745</v>
          </cell>
          <cell r="E4416">
            <v>1175.4032258064515</v>
          </cell>
        </row>
        <row r="4417">
          <cell r="A4417">
            <v>64609</v>
          </cell>
          <cell r="B4417" t="str">
            <v>Afstiver for olieblok</v>
          </cell>
          <cell r="C4417" t="str">
            <v>Stiffener for oil block</v>
          </cell>
          <cell r="D4417">
            <v>281</v>
          </cell>
          <cell r="E4417">
            <v>37.768817204301072</v>
          </cell>
        </row>
        <row r="4418">
          <cell r="A4418">
            <v>64610</v>
          </cell>
          <cell r="B4418" t="str">
            <v>Skive for øjebolt</v>
          </cell>
          <cell r="C4418" t="str">
            <v>Disc for eye bolt</v>
          </cell>
          <cell r="D4418">
            <v>69</v>
          </cell>
          <cell r="E4418">
            <v>9.2741935483870961</v>
          </cell>
        </row>
        <row r="4419">
          <cell r="A4419">
            <v>64628</v>
          </cell>
          <cell r="B4419" t="str">
            <v>Foring komplet incl. 063913</v>
          </cell>
          <cell r="C4419" t="str">
            <v>Sleeve complete incl. 063913</v>
          </cell>
          <cell r="D4419">
            <v>28938</v>
          </cell>
          <cell r="E4419">
            <v>3889.516129032258</v>
          </cell>
        </row>
        <row r="4420">
          <cell r="A4420">
            <v>64662</v>
          </cell>
          <cell r="B4420" t="str">
            <v>Skive  Ø50/26 x 0,5 AISI304</v>
          </cell>
          <cell r="C4420" t="str">
            <v>Disc Ø50/26 x 0,5 AISI304</v>
          </cell>
          <cell r="D4420">
            <v>33</v>
          </cell>
          <cell r="E4420">
            <v>4.435483870967742</v>
          </cell>
        </row>
        <row r="4421">
          <cell r="A4421">
            <v>64681</v>
          </cell>
          <cell r="B4421" t="str">
            <v>Yderring 12 knive</v>
          </cell>
          <cell r="C4421" t="str">
            <v>Outer ring, 12 knifes</v>
          </cell>
          <cell r="D4421">
            <v>5724</v>
          </cell>
          <cell r="E4421">
            <v>769.35483870967732</v>
          </cell>
        </row>
        <row r="4422">
          <cell r="A4422">
            <v>64682</v>
          </cell>
          <cell r="B4422" t="str">
            <v>Aksel for dyseplade  1 3/4"  x 16 Withworth venstre  TX 144</v>
          </cell>
          <cell r="C4422" t="str">
            <v>Shaft for die plate 1 ¾” x 16 Withworth left hand TX144</v>
          </cell>
          <cell r="D4422">
            <v>901</v>
          </cell>
          <cell r="E4422">
            <v>121.1021505376344</v>
          </cell>
        </row>
        <row r="4423">
          <cell r="A4423">
            <v>64686</v>
          </cell>
          <cell r="B4423" t="str">
            <v>Knivarrangement ECS TX 144</v>
          </cell>
          <cell r="C4423" t="str">
            <v>Knife arrangement ECS TX144 adjustable 12 knifes, composed off:</v>
          </cell>
          <cell r="D4423">
            <v>15100</v>
          </cell>
          <cell r="E4423">
            <v>2029.5698924731182</v>
          </cell>
        </row>
        <row r="4424">
          <cell r="A4424">
            <v>64707</v>
          </cell>
          <cell r="B4424" t="str">
            <v>Filterindsats</v>
          </cell>
          <cell r="C4424" t="str">
            <v>Filter insert</v>
          </cell>
          <cell r="D4424">
            <v>4664</v>
          </cell>
          <cell r="E4424">
            <v>626.88172043010752</v>
          </cell>
        </row>
        <row r="4425">
          <cell r="A4425">
            <v>64709</v>
          </cell>
          <cell r="B4425" t="str">
            <v>Hovedtandhjul   7,63:1 PM717 S2</v>
          </cell>
          <cell r="C4425" t="str">
            <v>Main gear toothed  7,63:1 PM717 S2</v>
          </cell>
          <cell r="D4425">
            <v>77500</v>
          </cell>
          <cell r="E4425">
            <v>10416.666666666666</v>
          </cell>
        </row>
        <row r="4426">
          <cell r="A4426">
            <v>64710</v>
          </cell>
          <cell r="B4426" t="str">
            <v>Hovedtandhjul   9,53:1 PM717 S2</v>
          </cell>
          <cell r="C4426" t="str">
            <v>Main gear toothed  9,5:1 PM717 S2</v>
          </cell>
          <cell r="D4426">
            <v>87700</v>
          </cell>
          <cell r="E4426">
            <v>11787.634408602149</v>
          </cell>
        </row>
        <row r="4427">
          <cell r="A4427">
            <v>64715</v>
          </cell>
          <cell r="B4427" t="str">
            <v>Drivaksel    9,53:1 PM717 S2</v>
          </cell>
          <cell r="C4427" t="str">
            <v>Drive shaft 9,53:1 PM717 S2</v>
          </cell>
          <cell r="D4427">
            <v>14840</v>
          </cell>
          <cell r="E4427">
            <v>1994.6236559139784</v>
          </cell>
        </row>
        <row r="4428">
          <cell r="A4428">
            <v>64716</v>
          </cell>
          <cell r="B4428" t="str">
            <v>Drivaksel    7,63:1 PM717 S2</v>
          </cell>
          <cell r="C4428" t="str">
            <v>Drive shaft 7,63:1 PM717 S2</v>
          </cell>
          <cell r="D4428">
            <v>13780</v>
          </cell>
          <cell r="E4428">
            <v>1852.1505376344085</v>
          </cell>
        </row>
        <row r="4429">
          <cell r="A4429">
            <v>64717</v>
          </cell>
          <cell r="B4429" t="str">
            <v>Hydraulik slange ¼” L=460</v>
          </cell>
          <cell r="C4429" t="str">
            <v>Hydraulic hose ¼” L=460</v>
          </cell>
          <cell r="D4429">
            <v>678</v>
          </cell>
          <cell r="E4429">
            <v>91.129032258064512</v>
          </cell>
        </row>
        <row r="4430">
          <cell r="A4430">
            <v>64719</v>
          </cell>
          <cell r="B4430" t="str">
            <v xml:space="preserve">Multi1000 aksel  for soldspænder  </v>
          </cell>
          <cell r="C4430" t="str">
            <v>Shaft for sreen fixation</v>
          </cell>
          <cell r="D4430">
            <v>1750</v>
          </cell>
          <cell r="E4430">
            <v>235.21505376344084</v>
          </cell>
        </row>
        <row r="4431">
          <cell r="A4431">
            <v>64735</v>
          </cell>
          <cell r="B4431" t="str">
            <v>Beslag komplet</v>
          </cell>
          <cell r="C4431" t="str">
            <v>Support for connection box</v>
          </cell>
          <cell r="D4431">
            <v>2989</v>
          </cell>
          <cell r="E4431">
            <v>401.74731182795699</v>
          </cell>
        </row>
        <row r="4432">
          <cell r="A4432">
            <v>64746</v>
          </cell>
          <cell r="B4432" t="str">
            <v>Højtryksslange 5 meter</v>
          </cell>
          <cell r="C4432" t="str">
            <v>High-pressure hose 5 meter</v>
          </cell>
          <cell r="D4432">
            <v>320</v>
          </cell>
          <cell r="E4432">
            <v>43.01075268817204</v>
          </cell>
        </row>
        <row r="4433">
          <cell r="A4433">
            <v>64780</v>
          </cell>
          <cell r="B4433" t="str">
            <v>Gummiskraber</v>
          </cell>
          <cell r="C4433" t="str">
            <v>Rubber scraper</v>
          </cell>
          <cell r="D4433">
            <v>325</v>
          </cell>
          <cell r="E4433">
            <v>43.682795698924728</v>
          </cell>
        </row>
        <row r="4434">
          <cell r="A4434">
            <v>64782</v>
          </cell>
          <cell r="B4434" t="str">
            <v>Justerplae</v>
          </cell>
          <cell r="C4434" t="str">
            <v>Adjustable plate</v>
          </cell>
          <cell r="D4434">
            <v>55</v>
          </cell>
          <cell r="E4434">
            <v>7.3924731182795691</v>
          </cell>
        </row>
        <row r="4435">
          <cell r="A4435">
            <v>64786</v>
          </cell>
          <cell r="B4435" t="str">
            <v>Prelplade</v>
          </cell>
          <cell r="C4435" t="str">
            <v>Guide plate</v>
          </cell>
          <cell r="D4435">
            <v>540</v>
          </cell>
          <cell r="E4435">
            <v>72.58064516129032</v>
          </cell>
        </row>
        <row r="4436">
          <cell r="A4436">
            <v>64787</v>
          </cell>
          <cell r="B4436" t="str">
            <v>Skinne</v>
          </cell>
          <cell r="C4436" t="str">
            <v>Rail</v>
          </cell>
          <cell r="D4436">
            <v>13</v>
          </cell>
          <cell r="E4436">
            <v>1.7473118279569892</v>
          </cell>
        </row>
        <row r="4437">
          <cell r="A4437">
            <v>64831</v>
          </cell>
          <cell r="B4437" t="str">
            <v>Cyl. Skrue UNC½” x 70</v>
          </cell>
          <cell r="C4437" t="str">
            <v>Cyl. screw UNC½” x 70</v>
          </cell>
          <cell r="D4437">
            <v>23</v>
          </cell>
          <cell r="E4437">
            <v>3.0913978494623655</v>
          </cell>
        </row>
        <row r="4438">
          <cell r="A4438">
            <v>64861</v>
          </cell>
          <cell r="B4438" t="str">
            <v>Kobling Winflex  T5 Ø100/Ø100</v>
          </cell>
          <cell r="C4438" t="str">
            <v>Coupling Winflex Ø100/Ø100</v>
          </cell>
          <cell r="D4438">
            <v>12259</v>
          </cell>
          <cell r="E4438">
            <v>1647.7150537634407</v>
          </cell>
        </row>
        <row r="4439">
          <cell r="A4439">
            <v>64895</v>
          </cell>
          <cell r="B4439" t="str">
            <v>Forplade (PM919XW) 3 ruller 2 vejs</v>
          </cell>
          <cell r="C4439" t="str">
            <v>Front plate (PM919XW)</v>
          </cell>
          <cell r="D4439">
            <v>34270</v>
          </cell>
          <cell r="E4439">
            <v>4606.1827956989246</v>
          </cell>
        </row>
        <row r="4440">
          <cell r="A4440">
            <v>64898</v>
          </cell>
          <cell r="B4440" t="str">
            <v>Holder for godsfordeler 1-3 (PM919XW)</v>
          </cell>
          <cell r="C4440" t="str">
            <v>Holder for deflector 1-3 (PM919XW)</v>
          </cell>
          <cell r="D4440">
            <v>7738</v>
          </cell>
          <cell r="E4440">
            <v>1040.0537634408602</v>
          </cell>
        </row>
        <row r="4441">
          <cell r="A4441">
            <v>65014</v>
          </cell>
          <cell r="B4441" t="str">
            <v xml:space="preserve">Multi1000 komplet arr. soldramme med hængslet soldramme og soldspænder  </v>
          </cell>
          <cell r="C4441" t="str">
            <v xml:space="preserve">Multi 1000  arr with hinged screen frame </v>
          </cell>
          <cell r="D4441">
            <v>28700</v>
          </cell>
          <cell r="E4441">
            <v>3857.5268817204301</v>
          </cell>
        </row>
        <row r="4442">
          <cell r="A4442">
            <v>65075</v>
          </cell>
          <cell r="B4442" t="str">
            <v>Cyl. Skrue M12 x 200 8.8 DIN 912</v>
          </cell>
          <cell r="C4442" t="str">
            <v>Cyl. screw M12 x 200 12.9 DIN912</v>
          </cell>
          <cell r="D4442">
            <v>31</v>
          </cell>
          <cell r="E4442">
            <v>4.1666666666666661</v>
          </cell>
        </row>
        <row r="4443">
          <cell r="A4443">
            <v>65086</v>
          </cell>
          <cell r="B4443" t="str">
            <v>Multi sikkerhedshaspe</v>
          </cell>
          <cell r="C4443" t="str">
            <v xml:space="preserve"> Safety hasp</v>
          </cell>
          <cell r="D4443">
            <v>1050</v>
          </cell>
          <cell r="E4443">
            <v>141.12903225806451</v>
          </cell>
        </row>
        <row r="4444">
          <cell r="A4444">
            <v>65089</v>
          </cell>
          <cell r="B4444" t="str">
            <v xml:space="preserve">Multi beslag sikkerhedshaspe  </v>
          </cell>
          <cell r="C4444" t="str">
            <v>Bracket for safety hasp</v>
          </cell>
          <cell r="D4444">
            <v>175</v>
          </cell>
          <cell r="E4444">
            <v>23.521505376344084</v>
          </cell>
        </row>
        <row r="4445">
          <cell r="A4445">
            <v>65145</v>
          </cell>
          <cell r="B4445" t="str">
            <v>Adapter for knivhus TX 115</v>
          </cell>
          <cell r="C4445" t="str">
            <v>Adapter for knife house TX115</v>
          </cell>
          <cell r="D4445">
            <v>8325</v>
          </cell>
          <cell r="E4445">
            <v>1118.9516129032259</v>
          </cell>
        </row>
        <row r="4446">
          <cell r="A4446">
            <v>65162</v>
          </cell>
          <cell r="B4446" t="str">
            <v>Afstandsring   TX 115</v>
          </cell>
          <cell r="C4446" t="str">
            <v>Spacer ring TX115</v>
          </cell>
          <cell r="D4446">
            <v>10282</v>
          </cell>
          <cell r="E4446">
            <v>1381.989247311828</v>
          </cell>
        </row>
        <row r="4447">
          <cell r="A4447">
            <v>65165</v>
          </cell>
          <cell r="B4447" t="str">
            <v>støtte for konus</v>
          </cell>
          <cell r="C4447" t="str">
            <v>Support for cone</v>
          </cell>
          <cell r="D4447">
            <v>13886</v>
          </cell>
          <cell r="E4447">
            <v>1866.3978494623655</v>
          </cell>
        </row>
        <row r="4448">
          <cell r="A4448">
            <v>65205</v>
          </cell>
          <cell r="B4448" t="str">
            <v>Konus</v>
          </cell>
          <cell r="C4448" t="str">
            <v>Cone</v>
          </cell>
          <cell r="D4448">
            <v>1855</v>
          </cell>
          <cell r="E4448">
            <v>249.3279569892473</v>
          </cell>
        </row>
        <row r="4449">
          <cell r="A4449">
            <v>65206</v>
          </cell>
          <cell r="B4449" t="str">
            <v>Magnetventil u. spole VGD-25-ERC</v>
          </cell>
          <cell r="C4449" t="str">
            <v>Solenoid valve witout coil</v>
          </cell>
          <cell r="D4449">
            <v>689</v>
          </cell>
          <cell r="E4449">
            <v>92.607526881720432</v>
          </cell>
        </row>
        <row r="4450">
          <cell r="A4450">
            <v>65239</v>
          </cell>
          <cell r="B4450" t="str">
            <v>Foring komplet incl. 063913</v>
          </cell>
          <cell r="C4450" t="str">
            <v>Sleve complete incl. 063913</v>
          </cell>
          <cell r="D4450">
            <v>26394</v>
          </cell>
          <cell r="E4450">
            <v>3547.5806451612902</v>
          </cell>
        </row>
        <row r="4451">
          <cell r="A4451">
            <v>65245</v>
          </cell>
          <cell r="B4451" t="str">
            <v>Mellemflange</v>
          </cell>
          <cell r="C4451" t="str">
            <v>Intermediate ring</v>
          </cell>
          <cell r="D4451">
            <v>5724</v>
          </cell>
          <cell r="E4451">
            <v>769.35483870967732</v>
          </cell>
        </row>
        <row r="4452">
          <cell r="A4452">
            <v>65252</v>
          </cell>
          <cell r="B4452" t="str">
            <v>Knivaksel</v>
          </cell>
          <cell r="C4452" t="str">
            <v>Knife shaft</v>
          </cell>
          <cell r="D4452">
            <v>6254</v>
          </cell>
          <cell r="E4452">
            <v>840.59139784946228</v>
          </cell>
        </row>
        <row r="4453">
          <cell r="A4453">
            <v>65265</v>
          </cell>
          <cell r="B4453" t="str">
            <v>Møtrik M36 for snegl</v>
          </cell>
          <cell r="C4453" t="str">
            <v>Nut M36 for screw</v>
          </cell>
          <cell r="D4453">
            <v>2088</v>
          </cell>
          <cell r="E4453">
            <v>280.64516129032256</v>
          </cell>
        </row>
        <row r="4454">
          <cell r="A4454">
            <v>65267</v>
          </cell>
          <cell r="B4454" t="str">
            <v>Indsats for dysehals Ø55</v>
          </cell>
          <cell r="C4454" t="str">
            <v>Cartridge for die throat Ø55</v>
          </cell>
          <cell r="D4454">
            <v>3551</v>
          </cell>
          <cell r="E4454">
            <v>477.28494623655911</v>
          </cell>
        </row>
        <row r="4455">
          <cell r="A4455">
            <v>65268</v>
          </cell>
          <cell r="B4455" t="str">
            <v>Hals for dysehoved</v>
          </cell>
          <cell r="C4455" t="str">
            <v>Throat for die head</v>
          </cell>
          <cell r="D4455">
            <v>7526</v>
          </cell>
          <cell r="E4455">
            <v>1011.5591397849462</v>
          </cell>
        </row>
        <row r="4456">
          <cell r="A4456">
            <v>65280</v>
          </cell>
          <cell r="B4456" t="str">
            <v>Dysering for dysebase</v>
          </cell>
          <cell r="C4456" t="str">
            <v>Die ring for die base</v>
          </cell>
          <cell r="D4456">
            <v>13886</v>
          </cell>
          <cell r="E4456">
            <v>1866.3978494623655</v>
          </cell>
        </row>
        <row r="4457">
          <cell r="A4457">
            <v>65311</v>
          </cell>
          <cell r="B4457" t="str">
            <v>Hovedtandhjul   7,63:1 PM717  S1  G</v>
          </cell>
          <cell r="C4457" t="str">
            <v>Main gear toothed  7,64:1 PM717  S1 G</v>
          </cell>
          <cell r="D4457">
            <v>60420</v>
          </cell>
          <cell r="E4457">
            <v>8120.967741935483</v>
          </cell>
        </row>
        <row r="4458">
          <cell r="A4458">
            <v>65312</v>
          </cell>
          <cell r="B4458" t="str">
            <v>Hovedtandhjul   9,53:1 PM717  S1  G</v>
          </cell>
          <cell r="C4458" t="str">
            <v>Main gear toothed  9,53:1 PM717  S1 G</v>
          </cell>
          <cell r="D4458">
            <v>71020</v>
          </cell>
          <cell r="E4458">
            <v>9545.6989247311831</v>
          </cell>
        </row>
        <row r="4459">
          <cell r="A4459">
            <v>65332</v>
          </cell>
          <cell r="B4459" t="str">
            <v>Gevindklods</v>
          </cell>
          <cell r="C4459" t="str">
            <v>Thread block</v>
          </cell>
          <cell r="D4459">
            <v>331</v>
          </cell>
          <cell r="E4459">
            <v>44.489247311827953</v>
          </cell>
        </row>
        <row r="4460">
          <cell r="A4460">
            <v>65339</v>
          </cell>
          <cell r="B4460" t="str">
            <v>Hus for dysebase</v>
          </cell>
          <cell r="C4460" t="str">
            <v>House for die base</v>
          </cell>
          <cell r="D4460">
            <v>16642</v>
          </cell>
          <cell r="E4460">
            <v>2236.827956989247</v>
          </cell>
        </row>
        <row r="4461">
          <cell r="A4461">
            <v>65401</v>
          </cell>
          <cell r="B4461" t="str">
            <v>Bøsning lukkebeslag</v>
          </cell>
          <cell r="C4461" t="str">
            <v>Bushing for closing bracket</v>
          </cell>
          <cell r="D4461">
            <v>176</v>
          </cell>
          <cell r="E4461">
            <v>23.655913978494624</v>
          </cell>
        </row>
        <row r="4462">
          <cell r="A4462">
            <v>65425</v>
          </cell>
          <cell r="B4462" t="str">
            <v>Bundplade</v>
          </cell>
          <cell r="C4462" t="str">
            <v>Bracket</v>
          </cell>
          <cell r="D4462">
            <v>154</v>
          </cell>
          <cell r="E4462">
            <v>20.698924731182796</v>
          </cell>
        </row>
        <row r="4463">
          <cell r="A4463">
            <v>65469</v>
          </cell>
          <cell r="B4463" t="str">
            <v>Gevindklods</v>
          </cell>
          <cell r="C4463" t="str">
            <v>Thread bolck</v>
          </cell>
          <cell r="D4463">
            <v>331</v>
          </cell>
          <cell r="E4463">
            <v>44.489247311827953</v>
          </cell>
        </row>
        <row r="4464">
          <cell r="A4464">
            <v>65477</v>
          </cell>
          <cell r="B4464" t="str">
            <v>Cyl. Skrue M10 x 70 DIN912</v>
          </cell>
          <cell r="C4464" t="str">
            <v>Cyl. Screw M10 x 70 DIN912</v>
          </cell>
          <cell r="D4464">
            <v>6.1</v>
          </cell>
          <cell r="E4464">
            <v>0.81989247311827951</v>
          </cell>
        </row>
        <row r="4465">
          <cell r="A4465">
            <v>65499</v>
          </cell>
          <cell r="B4465" t="str">
            <v>Spole for magnetventil 110V AC</v>
          </cell>
          <cell r="C4465" t="str">
            <v>Solenoid valve spool 110V AC</v>
          </cell>
          <cell r="D4465">
            <v>249</v>
          </cell>
          <cell r="E4465">
            <v>33.467741935483872</v>
          </cell>
        </row>
        <row r="4466">
          <cell r="A4466">
            <v>65501</v>
          </cell>
          <cell r="B4466" t="str">
            <v>Spole for magnetventil 230V AC</v>
          </cell>
          <cell r="C4466" t="str">
            <v>Solenoid valve spool 230V AC</v>
          </cell>
          <cell r="D4466">
            <v>249</v>
          </cell>
          <cell r="E4466">
            <v>33.467741935483872</v>
          </cell>
        </row>
        <row r="4467">
          <cell r="A4467">
            <v>65509</v>
          </cell>
          <cell r="B4467" t="str">
            <v>Beslag for skinne</v>
          </cell>
          <cell r="C4467" t="str">
            <v>Bracket for rail</v>
          </cell>
          <cell r="D4467">
            <v>583</v>
          </cell>
          <cell r="E4467">
            <v>78.36021505376344</v>
          </cell>
        </row>
        <row r="4468">
          <cell r="A4468">
            <v>65511</v>
          </cell>
          <cell r="B4468" t="str">
            <v>Skinne nederst højre side 1001</v>
          </cell>
          <cell r="C4468" t="str">
            <v>Rail lower right side</v>
          </cell>
          <cell r="D4468">
            <v>1113</v>
          </cell>
          <cell r="E4468">
            <v>149.59677419354838</v>
          </cell>
        </row>
        <row r="4469">
          <cell r="A4469">
            <v>65512</v>
          </cell>
          <cell r="B4469" t="str">
            <v>Skinne nederst venstre side  1001</v>
          </cell>
          <cell r="C4469" t="str">
            <v>Rail lower left side</v>
          </cell>
          <cell r="D4469">
            <v>1113</v>
          </cell>
          <cell r="E4469">
            <v>149.59677419354838</v>
          </cell>
        </row>
        <row r="4470">
          <cell r="A4470">
            <v>65513</v>
          </cell>
          <cell r="B4470" t="str">
            <v>Beslag for skinne</v>
          </cell>
          <cell r="C4470" t="str">
            <v>Bracket for rail</v>
          </cell>
          <cell r="D4470">
            <v>477</v>
          </cell>
          <cell r="E4470">
            <v>64.112903225806448</v>
          </cell>
        </row>
        <row r="4471">
          <cell r="A4471">
            <v>65515</v>
          </cell>
          <cell r="B4471" t="str">
            <v>Skinne nederst højre side  801</v>
          </cell>
          <cell r="C4471" t="str">
            <v>Rail lower right side</v>
          </cell>
          <cell r="D4471">
            <v>1007</v>
          </cell>
          <cell r="E4471">
            <v>135.34946236559139</v>
          </cell>
        </row>
        <row r="4472">
          <cell r="A4472">
            <v>65516</v>
          </cell>
          <cell r="B4472" t="str">
            <v>Skinne nederst venstre side 801</v>
          </cell>
          <cell r="C4472" t="str">
            <v>Rail lower left side</v>
          </cell>
          <cell r="D4472">
            <v>1007</v>
          </cell>
          <cell r="E4472">
            <v>135.34946236559139</v>
          </cell>
        </row>
        <row r="4473">
          <cell r="A4473">
            <v>65517</v>
          </cell>
          <cell r="B4473" t="str">
            <v>Skinne nederst højre side 1001</v>
          </cell>
          <cell r="C4473" t="str">
            <v>Rail lower right side 1001</v>
          </cell>
          <cell r="D4473">
            <v>1325</v>
          </cell>
          <cell r="E4473">
            <v>178.09139784946237</v>
          </cell>
        </row>
        <row r="4474">
          <cell r="A4474">
            <v>65518</v>
          </cell>
          <cell r="B4474" t="str">
            <v>Skinne nederst venstre side 1001</v>
          </cell>
          <cell r="C4474" t="str">
            <v>Rail lower left side 1001</v>
          </cell>
          <cell r="D4474">
            <v>1325</v>
          </cell>
          <cell r="E4474">
            <v>178.09139784946237</v>
          </cell>
        </row>
        <row r="4475">
          <cell r="A4475">
            <v>65519</v>
          </cell>
          <cell r="B4475" t="str">
            <v>Skinne nederst højre side 601</v>
          </cell>
          <cell r="C4475" t="str">
            <v>Rail lower right side 601</v>
          </cell>
          <cell r="D4475">
            <v>901</v>
          </cell>
          <cell r="E4475">
            <v>121.1021505376344</v>
          </cell>
        </row>
        <row r="4476">
          <cell r="A4476">
            <v>65520</v>
          </cell>
          <cell r="B4476" t="str">
            <v>Skinne nederst venstre side 601</v>
          </cell>
          <cell r="C4476" t="str">
            <v>Rail lower left side 601</v>
          </cell>
          <cell r="D4476">
            <v>901</v>
          </cell>
          <cell r="E4476">
            <v>121.1021505376344</v>
          </cell>
        </row>
        <row r="4477">
          <cell r="A4477">
            <v>65548</v>
          </cell>
          <cell r="B4477" t="str">
            <v>Møtrik M24 links DIN934</v>
          </cell>
          <cell r="C4477" t="str">
            <v>Nut M24 links DIN934</v>
          </cell>
          <cell r="D4477">
            <v>133</v>
          </cell>
          <cell r="E4477">
            <v>17.876344086021504</v>
          </cell>
        </row>
        <row r="4478">
          <cell r="A4478">
            <v>65549</v>
          </cell>
          <cell r="B4478" t="str">
            <v>Møtrik M24 DIN934</v>
          </cell>
          <cell r="C4478" t="str">
            <v>Nut M24 DIN934</v>
          </cell>
          <cell r="D4478">
            <v>18.600000000000001</v>
          </cell>
          <cell r="E4478">
            <v>2.5</v>
          </cell>
        </row>
        <row r="4479">
          <cell r="A4479">
            <v>65552</v>
          </cell>
          <cell r="B4479" t="str">
            <v>Hus for dysebase</v>
          </cell>
          <cell r="C4479" t="str">
            <v>House for die base</v>
          </cell>
          <cell r="D4479">
            <v>33390</v>
          </cell>
          <cell r="E4479">
            <v>4487.9032258064517</v>
          </cell>
        </row>
        <row r="4480">
          <cell r="A4480">
            <v>65567</v>
          </cell>
          <cell r="B4480" t="str">
            <v>Oliebronceleje</v>
          </cell>
          <cell r="C4480" t="str">
            <v>Oil bronze bearing</v>
          </cell>
          <cell r="D4480">
            <v>217</v>
          </cell>
          <cell r="E4480">
            <v>29.166666666666664</v>
          </cell>
        </row>
        <row r="4481">
          <cell r="A4481">
            <v>65596</v>
          </cell>
          <cell r="B4481" t="str">
            <v>Stik hun</v>
          </cell>
          <cell r="C4481" t="str">
            <v>Socket female</v>
          </cell>
          <cell r="D4481">
            <v>28</v>
          </cell>
          <cell r="E4481">
            <v>3.7634408602150535</v>
          </cell>
        </row>
        <row r="4482">
          <cell r="A4482">
            <v>65598</v>
          </cell>
          <cell r="B4482" t="str">
            <v>Stik han</v>
          </cell>
          <cell r="C4482" t="str">
            <v>Socket male</v>
          </cell>
          <cell r="D4482">
            <v>23</v>
          </cell>
          <cell r="E4482">
            <v>3.0913978494623655</v>
          </cell>
        </row>
        <row r="4483">
          <cell r="A4483">
            <v>65602</v>
          </cell>
          <cell r="B4483" t="str">
            <v>Godsfordeler</v>
          </cell>
          <cell r="C4483" t="str">
            <v xml:space="preserve">Deflector </v>
          </cell>
          <cell r="D4483">
            <v>5247</v>
          </cell>
          <cell r="E4483">
            <v>705.24193548387098</v>
          </cell>
        </row>
        <row r="4484">
          <cell r="A4484">
            <v>65604</v>
          </cell>
          <cell r="B4484" t="str">
            <v>Forplade komplet (PM 717W)  2ruller ARJ</v>
          </cell>
          <cell r="C4484" t="str">
            <v>Frontplate  compl. PM717W   2-rollers  ARJ</v>
          </cell>
          <cell r="D4484">
            <v>25016</v>
          </cell>
          <cell r="E4484">
            <v>3362.3655913978491</v>
          </cell>
        </row>
        <row r="4485">
          <cell r="A4485">
            <v>65605</v>
          </cell>
          <cell r="B4485" t="str">
            <v>Forplade (PM 717W) bear. 2 ruller ARJ</v>
          </cell>
          <cell r="C4485" t="str">
            <v>Frontplate PM717W   2-rollers  ARJ</v>
          </cell>
          <cell r="D4485">
            <v>18550</v>
          </cell>
          <cell r="E4485">
            <v>2493.2795698924729</v>
          </cell>
        </row>
        <row r="4486">
          <cell r="A4486">
            <v>65607</v>
          </cell>
          <cell r="B4486" t="str">
            <v>Gaffelføring</v>
          </cell>
          <cell r="C4486" t="str">
            <v>Fork guide</v>
          </cell>
          <cell r="D4486">
            <v>12190</v>
          </cell>
          <cell r="E4486">
            <v>1638.4408602150536</v>
          </cell>
        </row>
        <row r="4487">
          <cell r="A4487">
            <v>65608</v>
          </cell>
          <cell r="B4487" t="str">
            <v>Rulleaksel PM 717W 2 ruller ARJ</v>
          </cell>
          <cell r="C4487" t="str">
            <v>Roller shaft PM717W 2-roller ARJ</v>
          </cell>
          <cell r="D4487">
            <v>7473</v>
          </cell>
          <cell r="E4487">
            <v>1004.4354838709677</v>
          </cell>
        </row>
        <row r="4488">
          <cell r="A4488">
            <v>65609</v>
          </cell>
          <cell r="B4488" t="str">
            <v>Afstiver for olieblok</v>
          </cell>
          <cell r="C4488" t="str">
            <v>Stiffener for oil block</v>
          </cell>
          <cell r="D4488">
            <v>615</v>
          </cell>
          <cell r="E4488">
            <v>82.661290322580641</v>
          </cell>
        </row>
        <row r="4489">
          <cell r="A4489">
            <v>65612</v>
          </cell>
          <cell r="B4489" t="str">
            <v>Beslag for olieblok</v>
          </cell>
          <cell r="C4489" t="str">
            <v>Support for oil block</v>
          </cell>
          <cell r="D4489">
            <v>689</v>
          </cell>
          <cell r="E4489">
            <v>92.607526881720432</v>
          </cell>
        </row>
        <row r="4490">
          <cell r="A4490">
            <v>65613</v>
          </cell>
          <cell r="B4490" t="str">
            <v>Bolt for rullejusteringsarm</v>
          </cell>
          <cell r="C4490" t="str">
            <v>Bolt for roller adjustment arm</v>
          </cell>
          <cell r="D4490">
            <v>260</v>
          </cell>
          <cell r="E4490">
            <v>34.946236559139784</v>
          </cell>
        </row>
        <row r="4491">
          <cell r="A4491">
            <v>65615</v>
          </cell>
          <cell r="B4491" t="str">
            <v>Rullejusteringsarm</v>
          </cell>
          <cell r="C4491" t="str">
            <v>Roller adjusting Arm.</v>
          </cell>
          <cell r="D4491">
            <v>2836</v>
          </cell>
          <cell r="E4491">
            <v>381.18279569892474</v>
          </cell>
        </row>
        <row r="4492">
          <cell r="A4492">
            <v>65616</v>
          </cell>
          <cell r="B4492" t="str">
            <v>Gaffel</v>
          </cell>
          <cell r="C4492" t="str">
            <v>Fork</v>
          </cell>
          <cell r="D4492">
            <v>23850</v>
          </cell>
          <cell r="E4492">
            <v>3205.6451612903224</v>
          </cell>
        </row>
        <row r="4493">
          <cell r="A4493">
            <v>65617</v>
          </cell>
          <cell r="B4493" t="str">
            <v>Trykskive</v>
          </cell>
          <cell r="C4493" t="str">
            <v>Thrust washer</v>
          </cell>
          <cell r="D4493">
            <v>229</v>
          </cell>
          <cell r="E4493">
            <v>30.779569892473116</v>
          </cell>
        </row>
        <row r="4494">
          <cell r="A4494">
            <v>65618</v>
          </cell>
          <cell r="B4494" t="str">
            <v>Trækstang (PM 717W)</v>
          </cell>
          <cell r="C4494" t="str">
            <v>Tension rod (PM 717W)</v>
          </cell>
          <cell r="D4494">
            <v>3450</v>
          </cell>
          <cell r="E4494">
            <v>463.70967741935482</v>
          </cell>
        </row>
        <row r="4495">
          <cell r="A4495">
            <v>65619</v>
          </cell>
          <cell r="B4495" t="str">
            <v>Cylinderholder</v>
          </cell>
          <cell r="C4495" t="str">
            <v>Support for cylinder</v>
          </cell>
          <cell r="D4495">
            <v>3286</v>
          </cell>
          <cell r="E4495">
            <v>441.66666666666663</v>
          </cell>
        </row>
        <row r="4496">
          <cell r="A4496">
            <v>65621</v>
          </cell>
          <cell r="B4496" t="str">
            <v>Trykskive</v>
          </cell>
          <cell r="C4496" t="str">
            <v>Thrust washer</v>
          </cell>
          <cell r="D4496">
            <v>334</v>
          </cell>
          <cell r="E4496">
            <v>44.892473118279568</v>
          </cell>
        </row>
        <row r="4497">
          <cell r="A4497">
            <v>65622</v>
          </cell>
          <cell r="B4497" t="str">
            <v>Stift for gaffel</v>
          </cell>
          <cell r="C4497" t="str">
            <v>Pin for fork</v>
          </cell>
          <cell r="D4497">
            <v>514</v>
          </cell>
          <cell r="E4497">
            <v>69.086021505376337</v>
          </cell>
        </row>
        <row r="4498">
          <cell r="A4498">
            <v>65624</v>
          </cell>
          <cell r="B4498" t="str">
            <v>Vant skrue M20</v>
          </cell>
          <cell r="C4498" t="str">
            <v>Rigging screw M20</v>
          </cell>
          <cell r="D4498">
            <v>439</v>
          </cell>
          <cell r="E4498">
            <v>59.005376344086017</v>
          </cell>
        </row>
        <row r="4499">
          <cell r="A4499">
            <v>65625</v>
          </cell>
          <cell r="B4499" t="str">
            <v>Møtrik for trækstang</v>
          </cell>
          <cell r="C4499" t="str">
            <v>Nut for tension rod</v>
          </cell>
          <cell r="D4499">
            <v>348</v>
          </cell>
          <cell r="E4499">
            <v>46.774193548387096</v>
          </cell>
        </row>
        <row r="4500">
          <cell r="A4500">
            <v>65626</v>
          </cell>
          <cell r="B4500" t="str">
            <v>Skive for øjebolt</v>
          </cell>
          <cell r="C4500" t="str">
            <v>Disc for eye bolt</v>
          </cell>
          <cell r="D4500">
            <v>67</v>
          </cell>
          <cell r="E4500">
            <v>9.0053763440860202</v>
          </cell>
        </row>
        <row r="4501">
          <cell r="A4501">
            <v>65709</v>
          </cell>
          <cell r="B4501" t="str">
            <v>Ledleje GE20FO</v>
          </cell>
          <cell r="C4501" t="str">
            <v>Link bearing GE25PO</v>
          </cell>
          <cell r="D4501">
            <v>101</v>
          </cell>
          <cell r="E4501">
            <v>13.5752688172043</v>
          </cell>
        </row>
        <row r="4502">
          <cell r="A4502">
            <v>65713</v>
          </cell>
          <cell r="B4502" t="str">
            <v>Hydr. Cylinder</v>
          </cell>
          <cell r="C4502" t="str">
            <v xml:space="preserve">Hydraulic cylinder </v>
          </cell>
          <cell r="D4502">
            <v>15216</v>
          </cell>
          <cell r="E4502">
            <v>2045.1612903225805</v>
          </cell>
        </row>
        <row r="4503">
          <cell r="A4503">
            <v>65739</v>
          </cell>
          <cell r="B4503" t="str">
            <v>Møtrik M20 DIN934</v>
          </cell>
          <cell r="C4503" t="str">
            <v>Nut M20 DIN 934</v>
          </cell>
          <cell r="D4503">
            <v>9.5</v>
          </cell>
          <cell r="E4503">
            <v>1.2768817204301075</v>
          </cell>
        </row>
        <row r="4504">
          <cell r="A4504">
            <v>65740</v>
          </cell>
          <cell r="B4504" t="str">
            <v>Møtrik M20 links DIN934</v>
          </cell>
          <cell r="C4504" t="str">
            <v>Nut M20 links DIN934</v>
          </cell>
          <cell r="D4504">
            <v>101</v>
          </cell>
          <cell r="E4504">
            <v>13.5752688172043</v>
          </cell>
        </row>
        <row r="4505">
          <cell r="A4505">
            <v>65741</v>
          </cell>
          <cell r="B4505" t="str">
            <v>Lem for indløbssnegl</v>
          </cell>
          <cell r="C4505" t="str">
            <v>Hatch for forced feeder</v>
          </cell>
          <cell r="D4505">
            <v>3922</v>
          </cell>
          <cell r="E4505">
            <v>527.15053763440858</v>
          </cell>
        </row>
        <row r="4506">
          <cell r="A4506">
            <v>65744</v>
          </cell>
          <cell r="B4506" t="str">
            <v>Cyl. skrue M12 x 120 DIN912</v>
          </cell>
          <cell r="C4506" t="str">
            <v>Cyl. Screw M12 x 120 DIN 912</v>
          </cell>
          <cell r="D4506">
            <v>9.5</v>
          </cell>
          <cell r="E4506">
            <v>1.2768817204301075</v>
          </cell>
        </row>
        <row r="4507">
          <cell r="A4507">
            <v>65813</v>
          </cell>
          <cell r="B4507" t="str">
            <v>Motorplade</v>
          </cell>
          <cell r="C4507" t="str">
            <v>Motor plate</v>
          </cell>
          <cell r="D4507">
            <v>254</v>
          </cell>
          <cell r="E4507">
            <v>34.13978494623656</v>
          </cell>
        </row>
        <row r="4508">
          <cell r="A4508">
            <v>65817</v>
          </cell>
          <cell r="B4508" t="str">
            <v>Remskærm</v>
          </cell>
          <cell r="C4508" t="str">
            <v>Guard for belt drive</v>
          </cell>
          <cell r="D4508">
            <v>4081</v>
          </cell>
          <cell r="E4508">
            <v>548.52150537634407</v>
          </cell>
        </row>
        <row r="4509">
          <cell r="A4509">
            <v>65822</v>
          </cell>
          <cell r="B4509" t="str">
            <v>Aksel</v>
          </cell>
          <cell r="C4509" t="str">
            <v>Shaft</v>
          </cell>
          <cell r="D4509">
            <v>6678</v>
          </cell>
          <cell r="E4509">
            <v>897.58064516129025</v>
          </cell>
        </row>
        <row r="4510">
          <cell r="A4510">
            <v>65825</v>
          </cell>
          <cell r="B4510" t="str">
            <v>Arm for bypassklap</v>
          </cell>
          <cell r="C4510" t="str">
            <v>Arm for bypass flap</v>
          </cell>
          <cell r="D4510">
            <v>689</v>
          </cell>
          <cell r="E4510">
            <v>92.607526881720432</v>
          </cell>
        </row>
        <row r="4511">
          <cell r="A4511">
            <v>65831</v>
          </cell>
          <cell r="B4511" t="str">
            <v>Filt</v>
          </cell>
          <cell r="C4511" t="str">
            <v>Felt</v>
          </cell>
          <cell r="D4511">
            <v>111</v>
          </cell>
          <cell r="E4511">
            <v>14.919354838709676</v>
          </cell>
        </row>
        <row r="4512">
          <cell r="A4512">
            <v>65833</v>
          </cell>
          <cell r="B4512" t="str">
            <v>Klods for bypass</v>
          </cell>
          <cell r="C4512" t="str">
            <v>Block for bypass flap</v>
          </cell>
          <cell r="D4512">
            <v>1007</v>
          </cell>
          <cell r="E4512">
            <v>135.34946236559139</v>
          </cell>
        </row>
        <row r="4513">
          <cell r="A4513">
            <v>65863</v>
          </cell>
          <cell r="B4513" t="str">
            <v>O-ring 235,0 x 5,00 VITON</v>
          </cell>
          <cell r="C4513" t="str">
            <v>O-ring 235,0 x 5,00 VITON</v>
          </cell>
          <cell r="D4513">
            <v>94</v>
          </cell>
          <cell r="E4513">
            <v>12.634408602150536</v>
          </cell>
        </row>
        <row r="4514">
          <cell r="A4514">
            <v>65865</v>
          </cell>
          <cell r="B4514" t="str">
            <v>O-ring 270,0 x 3,00 VITON</v>
          </cell>
          <cell r="C4514" t="str">
            <v>O-ring 270,0 x 3,00 VITON</v>
          </cell>
          <cell r="D4514">
            <v>62</v>
          </cell>
          <cell r="E4514">
            <v>8.3333333333333321</v>
          </cell>
        </row>
        <row r="4515">
          <cell r="A4515">
            <v>65921</v>
          </cell>
          <cell r="B4515" t="str">
            <v>Støvhætter ¼” HUN</v>
          </cell>
          <cell r="C4515" t="str">
            <v>Dust cap ¼” HUN</v>
          </cell>
          <cell r="D4515">
            <v>34</v>
          </cell>
          <cell r="E4515">
            <v>4.5698924731182791</v>
          </cell>
        </row>
        <row r="4516">
          <cell r="A4516">
            <v>65938</v>
          </cell>
          <cell r="B4516" t="str">
            <v>Skærm for sikringskobling (PM 717W)</v>
          </cell>
          <cell r="C4516" t="str">
            <v>Screen for safety coupling PM717 W</v>
          </cell>
          <cell r="D4516">
            <v>4876</v>
          </cell>
          <cell r="E4516">
            <v>655.3763440860215</v>
          </cell>
        </row>
        <row r="4517">
          <cell r="A4517">
            <v>65957</v>
          </cell>
          <cell r="B4517" t="str">
            <v>Holder for positionscylinder</v>
          </cell>
          <cell r="C4517" t="str">
            <v>Holder for position cylinder</v>
          </cell>
          <cell r="D4517">
            <v>355</v>
          </cell>
          <cell r="E4517">
            <v>47.715053763440856</v>
          </cell>
        </row>
        <row r="4518">
          <cell r="A4518">
            <v>65989</v>
          </cell>
          <cell r="B4518" t="str">
            <v>Rørholder</v>
          </cell>
          <cell r="C4518" t="str">
            <v>Pipe support</v>
          </cell>
          <cell r="D4518">
            <v>28</v>
          </cell>
          <cell r="E4518">
            <v>3.7634408602150535</v>
          </cell>
        </row>
        <row r="4519">
          <cell r="A4519">
            <v>66014</v>
          </cell>
          <cell r="B4519" t="str">
            <v>Flangeleje FY 20 TF</v>
          </cell>
          <cell r="C4519" t="str">
            <v>Flange bearing FY 20 TF</v>
          </cell>
          <cell r="D4519">
            <v>159</v>
          </cell>
          <cell r="E4519">
            <v>21.370967741935484</v>
          </cell>
        </row>
        <row r="4520">
          <cell r="A4520">
            <v>66050</v>
          </cell>
          <cell r="B4520" t="str">
            <v>Pumpe V01</v>
          </cell>
          <cell r="C4520" t="str">
            <v>Pump V01</v>
          </cell>
          <cell r="D4520">
            <v>5830</v>
          </cell>
          <cell r="E4520">
            <v>783.60215053763432</v>
          </cell>
        </row>
        <row r="4521">
          <cell r="A4521">
            <v>66054</v>
          </cell>
          <cell r="B4521" t="str">
            <v>Magnetventil DHI-0701 uden spoler</v>
          </cell>
          <cell r="C4521" t="str">
            <v>Solenoid valve DHI-0701 without coil</v>
          </cell>
          <cell r="D4521">
            <v>1055</v>
          </cell>
          <cell r="E4521">
            <v>141.80107526881719</v>
          </cell>
        </row>
        <row r="4522">
          <cell r="A4522">
            <v>66061</v>
          </cell>
          <cell r="B4522" t="str">
            <v>Manometer 0-160 BAR ¼” tilslutning nedad</v>
          </cell>
          <cell r="C4522" t="str">
            <v>Manometer 0-160 BAR ¼”</v>
          </cell>
          <cell r="D4522">
            <v>254</v>
          </cell>
          <cell r="E4522">
            <v>34.13978494623656</v>
          </cell>
        </row>
        <row r="4523">
          <cell r="A4523">
            <v>66063</v>
          </cell>
          <cell r="B4523" t="str">
            <v>Ventilblok CA03V</v>
          </cell>
          <cell r="C4523" t="str">
            <v>Valve block CA03V</v>
          </cell>
          <cell r="D4523">
            <v>965</v>
          </cell>
          <cell r="E4523">
            <v>129.7043010752688</v>
          </cell>
        </row>
        <row r="4524">
          <cell r="A4524">
            <v>66064</v>
          </cell>
          <cell r="B4524" t="str">
            <v>Manometerventil ¼”</v>
          </cell>
          <cell r="C4524" t="str">
            <v>Manometer valve  ¼”</v>
          </cell>
          <cell r="D4524">
            <v>143</v>
          </cell>
          <cell r="E4524">
            <v>19.22043010752688</v>
          </cell>
        </row>
        <row r="4525">
          <cell r="A4525">
            <v>66065</v>
          </cell>
          <cell r="B4525" t="str">
            <v>Ventilblok for bremseventil</v>
          </cell>
          <cell r="C4525" t="str">
            <v>Valve block for brake valve</v>
          </cell>
          <cell r="D4525">
            <v>869</v>
          </cell>
          <cell r="E4525">
            <v>116.8010752688172</v>
          </cell>
        </row>
        <row r="4526">
          <cell r="A4526">
            <v>66068</v>
          </cell>
          <cell r="B4526" t="str">
            <v>Akkumulator  SAIP 6:1 210 BAR</v>
          </cell>
          <cell r="C4526" t="str">
            <v>Accumulator SAIP 6:1 210 BAR</v>
          </cell>
          <cell r="D4526">
            <v>721</v>
          </cell>
          <cell r="E4526">
            <v>96.908602150537632</v>
          </cell>
        </row>
        <row r="4527">
          <cell r="A4527">
            <v>66083</v>
          </cell>
          <cell r="B4527" t="str">
            <v>Returfilter 21LPM ½”</v>
          </cell>
          <cell r="C4527" t="str">
            <v>Return filter 21LPM ½”</v>
          </cell>
          <cell r="D4527">
            <v>382</v>
          </cell>
          <cell r="E4527">
            <v>51.344086021505376</v>
          </cell>
        </row>
        <row r="4528">
          <cell r="A4528">
            <v>66085</v>
          </cell>
          <cell r="B4528" t="str">
            <v>Tryktransmitter MBS 3050</v>
          </cell>
          <cell r="C4528" t="str">
            <v>Pressure meter MBS 3050</v>
          </cell>
          <cell r="D4528">
            <v>1855</v>
          </cell>
          <cell r="E4528">
            <v>249.3279569892473</v>
          </cell>
        </row>
        <row r="4529">
          <cell r="A4529">
            <v>66088</v>
          </cell>
          <cell r="B4529" t="str">
            <v>Magnetspole DIN43650 24V DC</v>
          </cell>
          <cell r="C4529" t="str">
            <v>Magnet coil DIN43650 24V DC</v>
          </cell>
          <cell r="D4529">
            <v>276</v>
          </cell>
          <cell r="E4529">
            <v>37.096774193548384</v>
          </cell>
        </row>
        <row r="4530">
          <cell r="A4530">
            <v>66089</v>
          </cell>
          <cell r="B4530" t="str">
            <v>Ventilblok 3/8”</v>
          </cell>
          <cell r="C4530" t="str">
            <v>Valve block 3/8”</v>
          </cell>
          <cell r="D4530">
            <v>207</v>
          </cell>
          <cell r="E4530">
            <v>27.822580645161288</v>
          </cell>
        </row>
        <row r="4531">
          <cell r="A4531">
            <v>66090</v>
          </cell>
          <cell r="B4531" t="str">
            <v>Påfyldningsfilter MP 10my</v>
          </cell>
          <cell r="C4531" t="str">
            <v>Filler filter MP 10my</v>
          </cell>
          <cell r="D4531">
            <v>93</v>
          </cell>
          <cell r="E4531">
            <v>12.5</v>
          </cell>
        </row>
        <row r="4532">
          <cell r="A4532">
            <v>66134</v>
          </cell>
          <cell r="B4532" t="str">
            <v>Olieprop med magnet</v>
          </cell>
          <cell r="C4532" t="str">
            <v>Oil plug with magnet</v>
          </cell>
          <cell r="D4532">
            <v>2385</v>
          </cell>
          <cell r="E4532">
            <v>320.56451612903226</v>
          </cell>
        </row>
        <row r="4533">
          <cell r="A4533">
            <v>66202</v>
          </cell>
          <cell r="B4533" t="str">
            <v>Hovedtandhjul   7,11:1 PM615 S3</v>
          </cell>
          <cell r="C4533" t="str">
            <v>Main gear toothed  7,11:1 PM615 S3</v>
          </cell>
          <cell r="D4533">
            <v>28606</v>
          </cell>
          <cell r="E4533">
            <v>3844.8924731182792</v>
          </cell>
        </row>
        <row r="4534">
          <cell r="A4534">
            <v>66239</v>
          </cell>
          <cell r="B4534" t="str">
            <v>Drivaksel    7,11:1 PM615 S3</v>
          </cell>
          <cell r="C4534" t="str">
            <v>Drive shaft 7,11:1 PM615 S3</v>
          </cell>
          <cell r="D4534">
            <v>12263</v>
          </cell>
          <cell r="E4534">
            <v>1648.252688172043</v>
          </cell>
        </row>
        <row r="4535">
          <cell r="A4535">
            <v>66267</v>
          </cell>
          <cell r="B4535" t="str">
            <v>Nippelmuffe 1 1/4"U-1"I messing</v>
          </cell>
          <cell r="C4535" t="str">
            <v>Nipple socket 1 1/4"U-1"I messing</v>
          </cell>
          <cell r="D4535">
            <v>59</v>
          </cell>
          <cell r="E4535">
            <v>7.93010752688172</v>
          </cell>
        </row>
        <row r="4536">
          <cell r="A4536">
            <v>66286</v>
          </cell>
          <cell r="B4536" t="str">
            <v>Holder for godsfordeler 1-3 (PM919W)</v>
          </cell>
          <cell r="C4536" t="str">
            <v>Holder for deflector 1-3 (PM919W)</v>
          </cell>
          <cell r="D4536">
            <v>8374</v>
          </cell>
          <cell r="E4536">
            <v>1125.5376344086021</v>
          </cell>
        </row>
        <row r="4537">
          <cell r="A4537">
            <v>66289</v>
          </cell>
          <cell r="B4537" t="str">
            <v>Forplade (PM919W) 3 ruller 2 vejs</v>
          </cell>
          <cell r="C4537" t="str">
            <v>Front plate (PM919W)</v>
          </cell>
          <cell r="D4537">
            <v>29076</v>
          </cell>
          <cell r="E4537">
            <v>3908.0645161290322</v>
          </cell>
        </row>
        <row r="4538">
          <cell r="A4538">
            <v>66375</v>
          </cell>
          <cell r="B4538" t="str">
            <v>Føde rotor POC 1201</v>
          </cell>
          <cell r="C4538" t="str">
            <v>feeding roll POC 1201</v>
          </cell>
          <cell r="D4538">
            <v>16500</v>
          </cell>
          <cell r="E4538">
            <v>2217.7419354838707</v>
          </cell>
        </row>
        <row r="4539">
          <cell r="A4539">
            <v>66382</v>
          </cell>
          <cell r="B4539" t="str">
            <v>Gummiskraber</v>
          </cell>
          <cell r="C4539" t="str">
            <v>Rubber scraper</v>
          </cell>
          <cell r="D4539">
            <v>325</v>
          </cell>
          <cell r="E4539">
            <v>43.682795698924728</v>
          </cell>
        </row>
        <row r="4540">
          <cell r="A4540">
            <v>66384</v>
          </cell>
          <cell r="B4540" t="str">
            <v>Justerplae</v>
          </cell>
          <cell r="C4540" t="str">
            <v>Adjustable plate</v>
          </cell>
          <cell r="D4540">
            <v>28</v>
          </cell>
          <cell r="E4540">
            <v>3.7634408602150535</v>
          </cell>
        </row>
        <row r="4541">
          <cell r="A4541">
            <v>66387</v>
          </cell>
          <cell r="B4541" t="str">
            <v>Prelplade</v>
          </cell>
          <cell r="C4541" t="str">
            <v>Guide plate</v>
          </cell>
          <cell r="D4541">
            <v>365</v>
          </cell>
          <cell r="E4541">
            <v>49.059139784946233</v>
          </cell>
        </row>
        <row r="4542">
          <cell r="A4542">
            <v>66389</v>
          </cell>
          <cell r="B4542" t="str">
            <v>Skinne</v>
          </cell>
          <cell r="C4542" t="str">
            <v>Rail</v>
          </cell>
          <cell r="D4542">
            <v>15</v>
          </cell>
          <cell r="E4542">
            <v>2.0161290322580645</v>
          </cell>
        </row>
        <row r="4543">
          <cell r="A4543">
            <v>66420</v>
          </cell>
          <cell r="B4543" t="str">
            <v>Sædeventil ¾” NC</v>
          </cell>
          <cell r="C4543" t="str">
            <v>Seat valve ¾” NC</v>
          </cell>
          <cell r="D4543">
            <v>885</v>
          </cell>
          <cell r="E4543">
            <v>118.95161290322579</v>
          </cell>
        </row>
        <row r="4544">
          <cell r="A4544">
            <v>66422</v>
          </cell>
          <cell r="B4544" t="str">
            <v>Spole for magnetventil</v>
          </cell>
          <cell r="C4544" t="str">
            <v>Coil for solenoid valve</v>
          </cell>
          <cell r="D4544">
            <v>228</v>
          </cell>
          <cell r="E4544">
            <v>30.64516129032258</v>
          </cell>
        </row>
        <row r="4545">
          <cell r="A4545">
            <v>66423</v>
          </cell>
          <cell r="B4545" t="str">
            <v>Manometer 0-160 BAR ¼” tilslutning bagud</v>
          </cell>
          <cell r="C4545" t="str">
            <v>Manometer 0-160 BAR ¼”</v>
          </cell>
          <cell r="D4545">
            <v>281</v>
          </cell>
          <cell r="E4545">
            <v>37.768817204301072</v>
          </cell>
        </row>
        <row r="4546">
          <cell r="A4546">
            <v>66426</v>
          </cell>
          <cell r="B4546" t="str">
            <v>Bremseventil</v>
          </cell>
          <cell r="C4546" t="str">
            <v>Brake valve</v>
          </cell>
          <cell r="D4546">
            <v>716</v>
          </cell>
          <cell r="E4546">
            <v>96.236559139784944</v>
          </cell>
        </row>
        <row r="4547">
          <cell r="A4547">
            <v>66566</v>
          </cell>
          <cell r="B4547" t="str">
            <v>Gummiskraber</v>
          </cell>
          <cell r="C4547" t="str">
            <v>Rubber scraper</v>
          </cell>
          <cell r="D4547">
            <v>135</v>
          </cell>
          <cell r="E4547">
            <v>18.14516129032258</v>
          </cell>
        </row>
        <row r="4548">
          <cell r="A4548">
            <v>66568</v>
          </cell>
          <cell r="B4548" t="str">
            <v>Justerplae</v>
          </cell>
          <cell r="C4548" t="str">
            <v>Adjustable plate</v>
          </cell>
          <cell r="D4548">
            <v>51</v>
          </cell>
          <cell r="E4548">
            <v>6.854838709677419</v>
          </cell>
        </row>
        <row r="4549">
          <cell r="A4549">
            <v>66570</v>
          </cell>
          <cell r="B4549" t="str">
            <v>Prelplade</v>
          </cell>
          <cell r="C4549" t="str">
            <v>Guide plate</v>
          </cell>
          <cell r="D4549">
            <v>325</v>
          </cell>
          <cell r="E4549">
            <v>43.682795698924728</v>
          </cell>
        </row>
        <row r="4550">
          <cell r="A4550">
            <v>66572</v>
          </cell>
          <cell r="B4550" t="str">
            <v>Skinne</v>
          </cell>
          <cell r="C4550" t="str">
            <v>Rail</v>
          </cell>
          <cell r="D4550">
            <v>18</v>
          </cell>
          <cell r="E4550">
            <v>2.4193548387096775</v>
          </cell>
        </row>
        <row r="4551">
          <cell r="A4551">
            <v>66621</v>
          </cell>
          <cell r="B4551" t="str">
            <v>Brystnippel 1/4 x 1/4 MS 10462 DK</v>
          </cell>
          <cell r="C4551" t="str">
            <v>Nippel 1/4x1/4 MS 10462 DK</v>
          </cell>
          <cell r="D4551">
            <v>15.9</v>
          </cell>
          <cell r="E4551">
            <v>2.1370967741935485</v>
          </cell>
        </row>
        <row r="4552">
          <cell r="A4552">
            <v>66734</v>
          </cell>
          <cell r="B4552" t="str">
            <v>Afkasterring for drivaksel</v>
          </cell>
          <cell r="C4552" t="str">
            <v>Discharge ring drive shaft</v>
          </cell>
          <cell r="D4552">
            <v>1113</v>
          </cell>
          <cell r="E4552">
            <v>149.59677419354838</v>
          </cell>
        </row>
        <row r="4553">
          <cell r="A4553">
            <v>66737</v>
          </cell>
          <cell r="B4553" t="str">
            <v>Låseblik for drivaksel</v>
          </cell>
          <cell r="C4553" t="str">
            <v>Lock washer for pinion shaft</v>
          </cell>
          <cell r="D4553">
            <v>323</v>
          </cell>
          <cell r="E4553">
            <v>43.413978494623656</v>
          </cell>
        </row>
        <row r="4554">
          <cell r="A4554">
            <v>66801</v>
          </cell>
          <cell r="B4554" t="str">
            <v>Profilgummi for bundspjæld</v>
          </cell>
          <cell r="C4554" t="str">
            <v xml:space="preserve">Sealing </v>
          </cell>
          <cell r="D4554">
            <v>37</v>
          </cell>
          <cell r="E4554">
            <v>4.9731182795698921</v>
          </cell>
        </row>
        <row r="4555">
          <cell r="A4555">
            <v>67003</v>
          </cell>
          <cell r="B4555" t="str">
            <v>6kt. Skrue M24 x 70 DIN 933</v>
          </cell>
          <cell r="C4555" t="str">
            <v>Hex screw M24 x 70 DIN 933</v>
          </cell>
          <cell r="D4555">
            <v>18</v>
          </cell>
          <cell r="E4555">
            <v>2.4193548387096775</v>
          </cell>
        </row>
        <row r="4556">
          <cell r="A4556">
            <v>67025</v>
          </cell>
          <cell r="B4556" t="str">
            <v>Indløbssnegl</v>
          </cell>
          <cell r="C4556" t="str">
            <v>Inlet screw</v>
          </cell>
          <cell r="D4556">
            <v>51940</v>
          </cell>
          <cell r="E4556">
            <v>6981.1827956989246</v>
          </cell>
        </row>
        <row r="4557">
          <cell r="A4557">
            <v>67070</v>
          </cell>
          <cell r="B4557" t="str">
            <v>Forplade (PM919TW) 3ruller  2vejs</v>
          </cell>
          <cell r="C4557" t="str">
            <v>Front plate (PM919TW)</v>
          </cell>
          <cell r="D4557">
            <v>38570</v>
          </cell>
          <cell r="E4557">
            <v>5184.1397849462364</v>
          </cell>
        </row>
        <row r="4558">
          <cell r="A4558">
            <v>67146</v>
          </cell>
          <cell r="B4558" t="str">
            <v>Holder for godsfordeler 1-3 (PM919TW)</v>
          </cell>
          <cell r="C4558" t="str">
            <v>Holder for deflector 1-3 (PM919TW)</v>
          </cell>
          <cell r="D4558">
            <v>8374</v>
          </cell>
          <cell r="E4558">
            <v>1125.5376344086021</v>
          </cell>
        </row>
        <row r="4559">
          <cell r="A4559">
            <v>67150</v>
          </cell>
          <cell r="B4559" t="str">
            <v>Godsfordeler 1 PM919TW</v>
          </cell>
          <cell r="C4559" t="str">
            <v>Deflector 1 PM919TW</v>
          </cell>
          <cell r="D4559">
            <v>1219</v>
          </cell>
          <cell r="E4559">
            <v>163.84408602150538</v>
          </cell>
        </row>
        <row r="4560">
          <cell r="A4560">
            <v>67151</v>
          </cell>
          <cell r="B4560" t="str">
            <v>Godsfordeler 3 PM919TW</v>
          </cell>
          <cell r="C4560" t="str">
            <v>Deflector 3 PM919TW</v>
          </cell>
          <cell r="D4560">
            <v>1071</v>
          </cell>
          <cell r="E4560">
            <v>143.95161290322579</v>
          </cell>
        </row>
        <row r="4561">
          <cell r="A4561">
            <v>67152</v>
          </cell>
          <cell r="B4561" t="str">
            <v>Godsfordeler 2 PM919TW</v>
          </cell>
          <cell r="C4561" t="str">
            <v>Deflector 2 PM919TW</v>
          </cell>
          <cell r="D4561">
            <v>1251</v>
          </cell>
          <cell r="E4561">
            <v>168.14516129032256</v>
          </cell>
        </row>
        <row r="4562">
          <cell r="A4562">
            <v>67190</v>
          </cell>
          <cell r="B4562" t="str">
            <v>Rulleaksel PM 717XW 2 ruller ARJ</v>
          </cell>
          <cell r="C4562" t="str">
            <v>Roller shaft PM717XW 2-roller ARJ</v>
          </cell>
          <cell r="D4562">
            <v>7791</v>
          </cell>
          <cell r="E4562">
            <v>1047.1774193548385</v>
          </cell>
        </row>
        <row r="4563">
          <cell r="A4563">
            <v>67191</v>
          </cell>
          <cell r="B4563" t="str">
            <v>Trækstang (PM 717XW)</v>
          </cell>
          <cell r="C4563" t="str">
            <v>Tension rod (PM 717XW)</v>
          </cell>
          <cell r="D4563">
            <v>4208</v>
          </cell>
          <cell r="E4563">
            <v>565.59139784946228</v>
          </cell>
        </row>
        <row r="4564">
          <cell r="A4564">
            <v>67192</v>
          </cell>
          <cell r="B4564" t="str">
            <v>Forplade komplet (PM 717XW)</v>
          </cell>
          <cell r="C4564" t="str">
            <v>Frontplate  compl. PM717XW   2-rollers  ARJ</v>
          </cell>
          <cell r="D4564">
            <v>26076</v>
          </cell>
          <cell r="E4564">
            <v>3504.838709677419</v>
          </cell>
        </row>
        <row r="4565">
          <cell r="A4565">
            <v>67193</v>
          </cell>
          <cell r="B4565" t="str">
            <v>Forplade (PM 717XW) 2 ruller ARJ</v>
          </cell>
          <cell r="C4565" t="str">
            <v>Frontplate PM717XW   2-rollers  ARJ</v>
          </cell>
          <cell r="D4565">
            <v>19928</v>
          </cell>
          <cell r="E4565">
            <v>2678.494623655914</v>
          </cell>
        </row>
        <row r="4566">
          <cell r="A4566">
            <v>67195</v>
          </cell>
          <cell r="B4566" t="str">
            <v>Pumpestation  FEX 42  380/ 220V50Hz</v>
          </cell>
          <cell r="C4566" t="str">
            <v>Pump unit  FEX 42   380/220V 50Hz</v>
          </cell>
          <cell r="D4566">
            <v>20910</v>
          </cell>
          <cell r="E4566">
            <v>2810.483870967742</v>
          </cell>
        </row>
        <row r="4567">
          <cell r="A4567">
            <v>67364</v>
          </cell>
          <cell r="B4567" t="str">
            <v>Cyl. Skrue M10 x 60 DIN912</v>
          </cell>
          <cell r="C4567" t="str">
            <v>Cyl. screw M10 x 60 DIN912</v>
          </cell>
          <cell r="D4567">
            <v>6.1</v>
          </cell>
          <cell r="E4567">
            <v>0.81989247311827951</v>
          </cell>
        </row>
        <row r="4568">
          <cell r="A4568">
            <v>67372</v>
          </cell>
          <cell r="B4568" t="str">
            <v>Lågelås, ATEX, AZM 415 24VDC</v>
          </cell>
          <cell r="C4568" t="str">
            <v>Lock, ATEX, AZM 415 24VDC</v>
          </cell>
          <cell r="D4568">
            <v>9010</v>
          </cell>
          <cell r="E4568">
            <v>1211.0215053763441</v>
          </cell>
        </row>
        <row r="4569">
          <cell r="A4569">
            <v>67379</v>
          </cell>
          <cell r="B4569" t="str">
            <v>Cylinder komplet 24V DC ATEX</v>
          </cell>
          <cell r="C4569" t="str">
            <v>Cylinder, complete 24V DC ATEX</v>
          </cell>
          <cell r="D4569">
            <v>4134</v>
          </cell>
          <cell r="E4569">
            <v>555.64516129032256</v>
          </cell>
        </row>
        <row r="4570">
          <cell r="A4570">
            <v>67505</v>
          </cell>
          <cell r="B4570" t="str">
            <v>Bundspjæld  RF HPB  1001</v>
          </cell>
          <cell r="C4570" t="str">
            <v>Bottom slide</v>
          </cell>
          <cell r="D4570">
            <v>16800</v>
          </cell>
          <cell r="E4570">
            <v>2258.0645161290322</v>
          </cell>
        </row>
        <row r="4571">
          <cell r="A4571">
            <v>67522</v>
          </cell>
          <cell r="B4571" t="str">
            <v>Multi1000 ledarm justerbar</v>
          </cell>
          <cell r="C4571" t="str">
            <v>Joint arm , ajustable</v>
          </cell>
          <cell r="D4571">
            <v>1125</v>
          </cell>
          <cell r="E4571">
            <v>151.20967741935482</v>
          </cell>
        </row>
        <row r="4572">
          <cell r="A4572">
            <v>67525</v>
          </cell>
          <cell r="B4572" t="str">
            <v>Arm for spjæld  HPB 1001</v>
          </cell>
          <cell r="C4572" t="str">
            <v>Slide arm</v>
          </cell>
          <cell r="D4572">
            <v>1219</v>
          </cell>
          <cell r="E4572">
            <v>163.84408602150538</v>
          </cell>
        </row>
        <row r="4573">
          <cell r="A4573">
            <v>67528</v>
          </cell>
          <cell r="B4573" t="str">
            <v>Multi1000 tværstiver soldram</v>
          </cell>
          <cell r="C4573" t="str">
            <v>Stifinder for sreen frameinside</v>
          </cell>
          <cell r="D4573">
            <v>815</v>
          </cell>
          <cell r="E4573">
            <v>109.54301075268816</v>
          </cell>
        </row>
        <row r="4574">
          <cell r="A4574">
            <v>67529</v>
          </cell>
          <cell r="B4574" t="str">
            <v>Afstandsholder spjæld  HPB 1001</v>
          </cell>
          <cell r="C4574" t="str">
            <v xml:space="preserve">Spacer for slide </v>
          </cell>
          <cell r="D4574">
            <v>1007</v>
          </cell>
          <cell r="E4574">
            <v>135.34946236559139</v>
          </cell>
        </row>
        <row r="4575">
          <cell r="A4575">
            <v>67540</v>
          </cell>
          <cell r="B4575" t="str">
            <v>Holder for spjældarm HPB 1001</v>
          </cell>
          <cell r="C4575" t="str">
            <v>Holder for slide arm</v>
          </cell>
          <cell r="D4575">
            <v>758</v>
          </cell>
          <cell r="E4575">
            <v>101.88172043010752</v>
          </cell>
        </row>
        <row r="4576">
          <cell r="A4576">
            <v>67551</v>
          </cell>
          <cell r="B4576" t="str">
            <v>Tætningsskinne bundspjæld</v>
          </cell>
          <cell r="C4576" t="str">
            <v xml:space="preserve">Sealing band </v>
          </cell>
          <cell r="D4576">
            <v>3500</v>
          </cell>
          <cell r="E4576">
            <v>470.43010752688167</v>
          </cell>
        </row>
        <row r="4577">
          <cell r="A4577">
            <v>67556</v>
          </cell>
          <cell r="B4577" t="str">
            <v>Pinolskrue M20 x 45 DIN916</v>
          </cell>
          <cell r="C4577" t="str">
            <v>Centre screw M20 x 45 DIN916</v>
          </cell>
          <cell r="D4577">
            <v>65</v>
          </cell>
          <cell r="E4577">
            <v>8.736559139784946</v>
          </cell>
        </row>
        <row r="4578">
          <cell r="A4578">
            <v>67567</v>
          </cell>
          <cell r="B4578" t="str">
            <v>Beslag for filter</v>
          </cell>
          <cell r="C4578" t="str">
            <v>Fitting for Filter</v>
          </cell>
          <cell r="D4578">
            <v>196</v>
          </cell>
          <cell r="E4578">
            <v>26.344086021505376</v>
          </cell>
        </row>
        <row r="4579">
          <cell r="A4579">
            <v>67587</v>
          </cell>
          <cell r="B4579" t="str">
            <v>Indsats for dysehals Ø65</v>
          </cell>
          <cell r="C4579" t="str">
            <v>Liner for die throat Ø65</v>
          </cell>
          <cell r="D4579">
            <v>9646</v>
          </cell>
          <cell r="E4579">
            <v>1296.505376344086</v>
          </cell>
        </row>
        <row r="4580">
          <cell r="A4580">
            <v>67619</v>
          </cell>
          <cell r="B4580" t="str">
            <v xml:space="preserve">Reparationssæt for PAM Sluse 28/360 UL komplet </v>
          </cell>
          <cell r="C4580" t="str">
            <v>Repair set for PAM Sluice 28/360 UL complete including:</v>
          </cell>
          <cell r="D4580">
            <v>4834</v>
          </cell>
          <cell r="E4580">
            <v>649.73118279569894</v>
          </cell>
        </row>
        <row r="4581">
          <cell r="A4581">
            <v>67620</v>
          </cell>
          <cell r="B4581" t="str">
            <v xml:space="preserve">Reparationssæt for PAM Sluse 28/360 UL komplet </v>
          </cell>
          <cell r="C4581" t="str">
            <v>Repair set for PAM Sluice 28/360 UL complete including:</v>
          </cell>
          <cell r="D4581">
            <v>5184</v>
          </cell>
          <cell r="E4581">
            <v>696.77419354838707</v>
          </cell>
        </row>
        <row r="4582">
          <cell r="A4582">
            <v>67639</v>
          </cell>
          <cell r="B4582" t="str">
            <v>Blandeaksel CM 901 K</v>
          </cell>
          <cell r="C4582" t="str">
            <v>Mixing shaft, complete, CM901K</v>
          </cell>
          <cell r="D4582">
            <v>39750</v>
          </cell>
          <cell r="E4582">
            <v>5342.7419354838703</v>
          </cell>
        </row>
        <row r="4583">
          <cell r="A4583">
            <v>67656</v>
          </cell>
          <cell r="B4583" t="str">
            <v>Speciel soldramme</v>
          </cell>
          <cell r="C4583" t="str">
            <v>Special frame for screen</v>
          </cell>
          <cell r="D4583">
            <v>4558</v>
          </cell>
          <cell r="E4583">
            <v>612.63440860215053</v>
          </cell>
        </row>
        <row r="4584">
          <cell r="A4584">
            <v>67658</v>
          </cell>
          <cell r="B4584" t="str">
            <v>Malebro  Opti 700</v>
          </cell>
          <cell r="C4584" t="str">
            <v>Grinding bridge</v>
          </cell>
          <cell r="D4584">
            <v>7950</v>
          </cell>
          <cell r="E4584">
            <v>1068.5483870967741</v>
          </cell>
        </row>
        <row r="4585">
          <cell r="A4585">
            <v>67678</v>
          </cell>
          <cell r="B4585" t="str">
            <v>Dysehoved for FEX42 komplet</v>
          </cell>
          <cell r="C4585" t="str">
            <v>Nozzle head complete  FEX  42</v>
          </cell>
          <cell r="D4585">
            <v>145600</v>
          </cell>
          <cell r="E4585">
            <v>19569.892473118278</v>
          </cell>
        </row>
        <row r="4586">
          <cell r="A4586">
            <v>67709</v>
          </cell>
          <cell r="B4586" t="str">
            <v xml:space="preserve">Oliestandsglas </v>
          </cell>
          <cell r="C4586" t="str">
            <v>Oil level gauge</v>
          </cell>
          <cell r="D4586">
            <v>1325</v>
          </cell>
          <cell r="E4586">
            <v>178.09139784946237</v>
          </cell>
        </row>
        <row r="4587">
          <cell r="A4587">
            <v>67778</v>
          </cell>
          <cell r="B4587" t="str">
            <v>Montageplade for malebro</v>
          </cell>
          <cell r="C4587" t="str">
            <v>Bracket for grinding bridge</v>
          </cell>
          <cell r="D4587">
            <v>4028</v>
          </cell>
          <cell r="E4587">
            <v>541.39784946236557</v>
          </cell>
        </row>
        <row r="4588">
          <cell r="A4588">
            <v>68065</v>
          </cell>
          <cell r="B4588" t="str">
            <v>Sluse</v>
          </cell>
          <cell r="C4588" t="str">
            <v xml:space="preserve">Airlock </v>
          </cell>
          <cell r="D4588">
            <v>128500</v>
          </cell>
          <cell r="E4588">
            <v>17271.505376344085</v>
          </cell>
        </row>
        <row r="4589">
          <cell r="A4589">
            <v>68069</v>
          </cell>
          <cell r="B4589" t="str">
            <v>Hydraulik boks</v>
          </cell>
          <cell r="C4589" t="str">
            <v>Hydraulic box</v>
          </cell>
          <cell r="D4589">
            <v>3445</v>
          </cell>
          <cell r="E4589">
            <v>463.03763440860212</v>
          </cell>
        </row>
        <row r="4590">
          <cell r="A4590">
            <v>68101</v>
          </cell>
          <cell r="B4590" t="str">
            <v>Motorplade</v>
          </cell>
          <cell r="C4590" t="str">
            <v>Motor plate</v>
          </cell>
          <cell r="D4590">
            <v>519</v>
          </cell>
          <cell r="E4590">
            <v>69.758064516129025</v>
          </cell>
        </row>
        <row r="4591">
          <cell r="A4591">
            <v>68110</v>
          </cell>
          <cell r="B4591" t="str">
            <v>Kileremskive SPB 6 ø 140</v>
          </cell>
          <cell r="C4591" t="str">
            <v>V-belt pulley SPB 6, Ø160,</v>
          </cell>
          <cell r="D4591">
            <v>196</v>
          </cell>
          <cell r="E4591">
            <v>26.344086021505376</v>
          </cell>
        </row>
        <row r="4592">
          <cell r="A4592">
            <v>68136</v>
          </cell>
          <cell r="B4592" t="str">
            <v>Nøgle AZ/AZM 415-B2</v>
          </cell>
          <cell r="C4592" t="str">
            <v>Key AZ/AZM 415-B2</v>
          </cell>
          <cell r="D4592">
            <v>625</v>
          </cell>
          <cell r="E4592">
            <v>84.005376344086017</v>
          </cell>
        </row>
        <row r="4593">
          <cell r="A4593">
            <v>68144</v>
          </cell>
          <cell r="B4593" t="str">
            <v>Hydraulik boks</v>
          </cell>
          <cell r="C4593" t="str">
            <v>Hydraulic box</v>
          </cell>
          <cell r="D4593">
            <v>4717</v>
          </cell>
          <cell r="E4593">
            <v>634.00537634408602</v>
          </cell>
        </row>
        <row r="4594">
          <cell r="A4594">
            <v>68145</v>
          </cell>
          <cell r="B4594" t="str">
            <v>Ventilblok</v>
          </cell>
          <cell r="C4594" t="str">
            <v>Valve block</v>
          </cell>
          <cell r="D4594">
            <v>2597</v>
          </cell>
          <cell r="E4594">
            <v>349.05913978494624</v>
          </cell>
        </row>
        <row r="4595">
          <cell r="A4595">
            <v>68189</v>
          </cell>
          <cell r="B4595" t="str">
            <v>Dør venstre  Opti 700</v>
          </cell>
          <cell r="C4595" t="str">
            <v>Door left hand</v>
          </cell>
          <cell r="D4595">
            <v>9646</v>
          </cell>
          <cell r="E4595">
            <v>1296.505376344086</v>
          </cell>
        </row>
        <row r="4596">
          <cell r="A4596">
            <v>68190</v>
          </cell>
          <cell r="B4596" t="str">
            <v>dør højre Opti 700</v>
          </cell>
          <cell r="C4596" t="str">
            <v>Door right hand</v>
          </cell>
          <cell r="D4596">
            <v>9646</v>
          </cell>
          <cell r="E4596">
            <v>1296.505376344086</v>
          </cell>
        </row>
        <row r="4597">
          <cell r="A4597">
            <v>68192</v>
          </cell>
          <cell r="B4597" t="str">
            <v>Monteringsplade</v>
          </cell>
          <cell r="C4597" t="str">
            <v>Mounting plate</v>
          </cell>
          <cell r="D4597">
            <v>1749</v>
          </cell>
          <cell r="E4597">
            <v>235.08064516129031</v>
          </cell>
        </row>
        <row r="4598">
          <cell r="A4598">
            <v>68193</v>
          </cell>
          <cell r="B4598" t="str">
            <v>Skærm</v>
          </cell>
          <cell r="C4598" t="str">
            <v>Cower</v>
          </cell>
          <cell r="D4598">
            <v>175</v>
          </cell>
          <cell r="E4598">
            <v>23.521505376344084</v>
          </cell>
        </row>
        <row r="4599">
          <cell r="A4599">
            <v>68194</v>
          </cell>
          <cell r="B4599" t="str">
            <v>Beslag for cylinder</v>
          </cell>
          <cell r="C4599" t="str">
            <v>Bracket pneu. cylinder</v>
          </cell>
          <cell r="D4599">
            <v>37</v>
          </cell>
          <cell r="E4599">
            <v>4.9731182795698921</v>
          </cell>
        </row>
        <row r="4600">
          <cell r="A4600">
            <v>68196</v>
          </cell>
          <cell r="B4600" t="str">
            <v>Slidring for lejerør</v>
          </cell>
          <cell r="C4600" t="str">
            <v>Wear ring for bearing housing</v>
          </cell>
          <cell r="D4600">
            <v>2115</v>
          </cell>
          <cell r="E4600">
            <v>284.27419354838707</v>
          </cell>
        </row>
        <row r="4601">
          <cell r="A4601">
            <v>68258</v>
          </cell>
          <cell r="B4601" t="str">
            <v>Speciel soldramme</v>
          </cell>
          <cell r="C4601" t="str">
            <v>Special frame for screen</v>
          </cell>
          <cell r="D4601">
            <v>5406</v>
          </cell>
          <cell r="E4601">
            <v>726.61290322580646</v>
          </cell>
        </row>
        <row r="4602">
          <cell r="A4602">
            <v>68260</v>
          </cell>
          <cell r="B4602" t="str">
            <v>Malebro  Opti 900</v>
          </cell>
          <cell r="C4602" t="str">
            <v>Grinding bridge</v>
          </cell>
          <cell r="D4602">
            <v>8692</v>
          </cell>
          <cell r="E4602">
            <v>1168.2795698924731</v>
          </cell>
        </row>
        <row r="4603">
          <cell r="A4603">
            <v>68273</v>
          </cell>
          <cell r="B4603" t="str">
            <v>Montageplade for malebro</v>
          </cell>
          <cell r="C4603" t="str">
            <v>Bracket for grinding bridge</v>
          </cell>
          <cell r="D4603">
            <v>4028</v>
          </cell>
          <cell r="E4603">
            <v>541.39784946236557</v>
          </cell>
        </row>
        <row r="4604">
          <cell r="A4604">
            <v>68376</v>
          </cell>
          <cell r="B4604" t="str">
            <v>Indsats for dysehals Ø57</v>
          </cell>
          <cell r="C4604" t="str">
            <v>Cartridge for die throat Ø57</v>
          </cell>
          <cell r="D4604">
            <v>4759</v>
          </cell>
          <cell r="E4604">
            <v>639.65053763440858</v>
          </cell>
        </row>
        <row r="4605">
          <cell r="A4605">
            <v>68412</v>
          </cell>
          <cell r="B4605" t="str">
            <v>Øjebolt M24 x 59 RH</v>
          </cell>
          <cell r="C4605" t="str">
            <v>Eye bolt M24 x 59 RH</v>
          </cell>
          <cell r="D4605">
            <v>2450</v>
          </cell>
          <cell r="E4605">
            <v>329.30107526881721</v>
          </cell>
        </row>
        <row r="4606">
          <cell r="A4606">
            <v>68413</v>
          </cell>
          <cell r="B4606" t="str">
            <v>Øjebolt M24 x 59 LH</v>
          </cell>
          <cell r="C4606" t="str">
            <v>Eye bolt M24 x 59 LH</v>
          </cell>
          <cell r="D4606">
            <v>2450</v>
          </cell>
          <cell r="E4606">
            <v>329.30107526881721</v>
          </cell>
        </row>
        <row r="4607">
          <cell r="A4607">
            <v>68477</v>
          </cell>
          <cell r="B4607" t="str">
            <v>Beslag for lågelås</v>
          </cell>
          <cell r="C4607" t="str">
            <v>Bracket for door lock</v>
          </cell>
          <cell r="D4607">
            <v>2756</v>
          </cell>
          <cell r="E4607">
            <v>370.43010752688173</v>
          </cell>
        </row>
        <row r="4608">
          <cell r="A4608">
            <v>68480</v>
          </cell>
          <cell r="B4608" t="str">
            <v>Afvisertap lang</v>
          </cell>
          <cell r="C4608" t="str">
            <v>Pin, long</v>
          </cell>
          <cell r="D4608">
            <v>901</v>
          </cell>
          <cell r="E4608">
            <v>121.1021505376344</v>
          </cell>
        </row>
        <row r="4609">
          <cell r="A4609">
            <v>68481</v>
          </cell>
          <cell r="B4609" t="str">
            <v>Pillekammer, 2-vægs, incl. pos. 16-25 (PM919XW)</v>
          </cell>
          <cell r="C4609" t="str">
            <v>Pellet chamber, 2-walled(PM919XW)</v>
          </cell>
          <cell r="D4609">
            <v>90100</v>
          </cell>
          <cell r="E4609">
            <v>12110.215053763441</v>
          </cell>
        </row>
        <row r="4610">
          <cell r="A4610">
            <v>68510</v>
          </cell>
          <cell r="B4610" t="str">
            <v>Øjebolt M20 x 55 RH</v>
          </cell>
          <cell r="C4610" t="str">
            <v>Eye bolt M20 x 55 RH</v>
          </cell>
          <cell r="D4610">
            <v>2703</v>
          </cell>
          <cell r="E4610">
            <v>363.30645161290323</v>
          </cell>
        </row>
        <row r="4611">
          <cell r="A4611">
            <v>68511</v>
          </cell>
          <cell r="B4611" t="str">
            <v>Øjebolt M20 x 55 LH</v>
          </cell>
          <cell r="C4611" t="str">
            <v>Eye bolt M20 x 55 LH</v>
          </cell>
          <cell r="D4611">
            <v>2703</v>
          </cell>
          <cell r="E4611">
            <v>363.30645161290323</v>
          </cell>
        </row>
        <row r="4612">
          <cell r="A4612">
            <v>68556</v>
          </cell>
          <cell r="B4612" t="str">
            <v>Smøremanifold</v>
          </cell>
          <cell r="C4612" t="str">
            <v>Grease manifold</v>
          </cell>
          <cell r="D4612">
            <v>14098</v>
          </cell>
          <cell r="E4612">
            <v>1894.8924731182794</v>
          </cell>
        </row>
        <row r="4613">
          <cell r="A4613">
            <v>68557</v>
          </cell>
          <cell r="B4613" t="str">
            <v>Dør højre Opti 900</v>
          </cell>
          <cell r="C4613" t="str">
            <v>Door right hand</v>
          </cell>
          <cell r="D4613">
            <v>9646</v>
          </cell>
          <cell r="E4613">
            <v>1296.505376344086</v>
          </cell>
        </row>
        <row r="4614">
          <cell r="A4614">
            <v>68558</v>
          </cell>
          <cell r="B4614" t="str">
            <v>Dør venstre  Opti 900</v>
          </cell>
          <cell r="C4614" t="str">
            <v>Door left hand</v>
          </cell>
          <cell r="D4614">
            <v>9646</v>
          </cell>
          <cell r="E4614">
            <v>1296.505376344086</v>
          </cell>
        </row>
        <row r="4615">
          <cell r="A4615">
            <v>68613</v>
          </cell>
          <cell r="B4615" t="str">
            <v>Omdrejningsvagt</v>
          </cell>
          <cell r="C4615" t="str">
            <v>Rotation sensor</v>
          </cell>
          <cell r="D4615">
            <v>4272</v>
          </cell>
          <cell r="E4615">
            <v>574.19354838709671</v>
          </cell>
        </row>
        <row r="4616">
          <cell r="A4616">
            <v>68614</v>
          </cell>
          <cell r="B4616" t="str">
            <v xml:space="preserve">Kædetræk komplet </v>
          </cell>
          <cell r="C4616" t="str">
            <v>Chain drive complete with chain and sprockets</v>
          </cell>
          <cell r="D4616">
            <v>615</v>
          </cell>
          <cell r="E4616">
            <v>82.661290322580641</v>
          </cell>
        </row>
        <row r="4617">
          <cell r="A4617">
            <v>68691</v>
          </cell>
          <cell r="B4617" t="str">
            <v>Switch hydraulic indicator</v>
          </cell>
          <cell r="C4617" t="str">
            <v>Switch hydraulic indicator</v>
          </cell>
          <cell r="D4617">
            <v>1166</v>
          </cell>
          <cell r="E4617">
            <v>156.72043010752688</v>
          </cell>
        </row>
        <row r="4618">
          <cell r="A4618">
            <v>68810</v>
          </cell>
          <cell r="B4618" t="str">
            <v>Paknings</v>
          </cell>
          <cell r="C4618" t="str">
            <v>Packing cord for steady box on shaft 8x8 multi-lon</v>
          </cell>
          <cell r="D4618">
            <v>270</v>
          </cell>
          <cell r="E4618">
            <v>36.29032258064516</v>
          </cell>
        </row>
        <row r="4619">
          <cell r="A4619">
            <v>68811</v>
          </cell>
          <cell r="B4619" t="str">
            <v xml:space="preserve">lejetætning  GR 55 70 10  VITON DIN  4760 </v>
          </cell>
          <cell r="C4619" t="str">
            <v>Bearing sealing GR 55 70 10 Viton DIN 3760</v>
          </cell>
          <cell r="D4619">
            <v>80</v>
          </cell>
          <cell r="E4619">
            <v>10.75268817204301</v>
          </cell>
        </row>
        <row r="4620">
          <cell r="A4620">
            <v>68812</v>
          </cell>
          <cell r="B4620" t="str">
            <v xml:space="preserve">lejetætning  GR 50 70 10  VITON DIN  4760 </v>
          </cell>
          <cell r="C4620" t="str">
            <v>Bearing sealing GR 50 70 10 Viton DIN 3760</v>
          </cell>
          <cell r="D4620">
            <v>48</v>
          </cell>
          <cell r="E4620">
            <v>6.4516129032258061</v>
          </cell>
        </row>
        <row r="4621">
          <cell r="A4621">
            <v>68813</v>
          </cell>
          <cell r="B4621" t="str">
            <v>Pakning for endedæksel -indvendig</v>
          </cell>
          <cell r="C4621" t="str">
            <v>Packing cord for end cover inside</v>
          </cell>
          <cell r="D4621">
            <v>42</v>
          </cell>
          <cell r="E4621">
            <v>5.6451612903225801</v>
          </cell>
        </row>
        <row r="4622">
          <cell r="A4622">
            <v>68858</v>
          </cell>
          <cell r="B4622" t="str">
            <v xml:space="preserve">Bøsning med ø5 markeringshul </v>
          </cell>
          <cell r="C4622" t="str">
            <v xml:space="preserve">Bush with ø5 marking hole </v>
          </cell>
          <cell r="D4622">
            <v>2226</v>
          </cell>
          <cell r="E4622">
            <v>299.19354838709677</v>
          </cell>
        </row>
        <row r="4623">
          <cell r="A4623">
            <v>68947</v>
          </cell>
          <cell r="B4623" t="str">
            <v>Ramme</v>
          </cell>
          <cell r="C4623" t="str">
            <v>frame</v>
          </cell>
          <cell r="D4623">
            <v>1855</v>
          </cell>
          <cell r="E4623">
            <v>249.3279569892473</v>
          </cell>
        </row>
        <row r="4624">
          <cell r="A4624">
            <v>68948</v>
          </cell>
          <cell r="B4624" t="str">
            <v>Nippel for manifold</v>
          </cell>
          <cell r="C4624" t="str">
            <v>Nipple for manifold</v>
          </cell>
          <cell r="D4624">
            <v>376</v>
          </cell>
          <cell r="E4624">
            <v>50.537634408602145</v>
          </cell>
        </row>
        <row r="4625">
          <cell r="A4625">
            <v>68952</v>
          </cell>
          <cell r="B4625" t="str">
            <v>Motorkonsol overpart Str. 280 – 315</v>
          </cell>
          <cell r="C4625" t="str">
            <v>Motor bracket upper part, size 280 – 315</v>
          </cell>
          <cell r="D4625">
            <v>5300</v>
          </cell>
          <cell r="E4625">
            <v>712.36559139784947</v>
          </cell>
        </row>
        <row r="4626">
          <cell r="A4626">
            <v>68988</v>
          </cell>
          <cell r="B4626" t="str">
            <v>Motorkonsol under-part, str. 280 – 315</v>
          </cell>
          <cell r="C4626" t="str">
            <v>Motor bracket lower part, size 280 - 315</v>
          </cell>
          <cell r="D4626">
            <v>3164</v>
          </cell>
          <cell r="E4626">
            <v>425.26881720430106</v>
          </cell>
        </row>
        <row r="4627">
          <cell r="A4627">
            <v>68989</v>
          </cell>
          <cell r="B4627" t="str">
            <v xml:space="preserve">Motorkonsol under-part, str. 355 </v>
          </cell>
          <cell r="C4627" t="str">
            <v>Motor bracket lower part, size 355</v>
          </cell>
          <cell r="D4627">
            <v>3021</v>
          </cell>
          <cell r="E4627">
            <v>406.04838709677415</v>
          </cell>
        </row>
        <row r="4628">
          <cell r="A4628">
            <v>69234</v>
          </cell>
          <cell r="B4628" t="str">
            <v>Dækplade for lejedæksel</v>
          </cell>
          <cell r="C4628" t="str">
            <v>Cover plate for bearing cover</v>
          </cell>
          <cell r="D4628">
            <v>186</v>
          </cell>
          <cell r="E4628">
            <v>25</v>
          </cell>
        </row>
        <row r="4629">
          <cell r="A4629">
            <v>69255</v>
          </cell>
          <cell r="B4629" t="str">
            <v>Termometer ½ x 63 0 – 120 BAR</v>
          </cell>
          <cell r="C4629" t="str">
            <v>Thermometer ½ x 63 0 – 120 BAR</v>
          </cell>
          <cell r="D4629">
            <v>388</v>
          </cell>
          <cell r="E4629">
            <v>52.1505376344086</v>
          </cell>
        </row>
        <row r="4630">
          <cell r="A4630">
            <v>69362</v>
          </cell>
          <cell r="B4630" t="str">
            <v>K315-536 kædehjul inkl. aksel</v>
          </cell>
          <cell r="C4630" t="str">
            <v>K315/536 chain wheel including shaft</v>
          </cell>
          <cell r="D4630">
            <v>8950</v>
          </cell>
          <cell r="E4630">
            <v>1202.9569892473119</v>
          </cell>
        </row>
        <row r="4631">
          <cell r="A4631">
            <v>69365</v>
          </cell>
          <cell r="B4631" t="str">
            <v>Hus for simmerring</v>
          </cell>
          <cell r="C4631" t="str">
            <v>Housing for oil seal</v>
          </cell>
          <cell r="D4631">
            <v>3763</v>
          </cell>
          <cell r="E4631">
            <v>505.77956989247309</v>
          </cell>
        </row>
        <row r="4632">
          <cell r="A4632">
            <v>69369</v>
          </cell>
          <cell r="B4632" t="str">
            <v>Afstandsstykke</v>
          </cell>
          <cell r="C4632" t="str">
            <v xml:space="preserve">Spacer </v>
          </cell>
          <cell r="D4632">
            <v>392</v>
          </cell>
          <cell r="E4632">
            <v>52.688172043010752</v>
          </cell>
        </row>
        <row r="4633">
          <cell r="A4633">
            <v>69370</v>
          </cell>
          <cell r="B4633" t="str">
            <v>Dækplade for tætning</v>
          </cell>
          <cell r="C4633" t="str">
            <v>Cover plate for sealing</v>
          </cell>
          <cell r="D4633">
            <v>270</v>
          </cell>
          <cell r="E4633">
            <v>36.29032258064516</v>
          </cell>
        </row>
        <row r="4634">
          <cell r="A4634">
            <v>69460</v>
          </cell>
          <cell r="B4634" t="str">
            <v>Remskærm kpl. CM901K</v>
          </cell>
          <cell r="C4634" t="str">
            <v>Guard for belt drive</v>
          </cell>
          <cell r="D4634">
            <v>6413</v>
          </cell>
          <cell r="E4634">
            <v>861.96236559139777</v>
          </cell>
        </row>
        <row r="4635">
          <cell r="A4635">
            <v>69656</v>
          </cell>
          <cell r="B4635" t="str">
            <v>Bøsning for sikringsstift</v>
          </cell>
          <cell r="C4635" t="str">
            <v>Bushing f. safety pin</v>
          </cell>
          <cell r="D4635">
            <v>890</v>
          </cell>
          <cell r="E4635">
            <v>119.62365591397848</v>
          </cell>
        </row>
        <row r="4636">
          <cell r="A4636">
            <v>69693</v>
          </cell>
          <cell r="B4636" t="str">
            <v>Lamel for sluse 28/360</v>
          </cell>
          <cell r="C4636" t="str">
            <v>Lamel for Airlock</v>
          </cell>
          <cell r="D4636">
            <v>890</v>
          </cell>
          <cell r="E4636">
            <v>119.62365591397848</v>
          </cell>
        </row>
        <row r="4637">
          <cell r="A4637">
            <v>69721</v>
          </cell>
          <cell r="B4637" t="str">
            <v>Dysebase</v>
          </cell>
          <cell r="C4637" t="str">
            <v>Diebase</v>
          </cell>
          <cell r="D4637">
            <v>14310</v>
          </cell>
          <cell r="E4637">
            <v>1923.3870967741934</v>
          </cell>
        </row>
        <row r="4638">
          <cell r="A4638">
            <v>69726</v>
          </cell>
          <cell r="B4638" t="str">
            <v>Adapter for tætningsring ved knivhus</v>
          </cell>
          <cell r="C4638" t="str">
            <v>Adapter for sealing ring at knife house for original die</v>
          </cell>
          <cell r="D4638">
            <v>9350</v>
          </cell>
          <cell r="E4638">
            <v>1256.7204301075269</v>
          </cell>
        </row>
        <row r="4639">
          <cell r="A4639">
            <v>69728</v>
          </cell>
          <cell r="B4639" t="str">
            <v>Adapter for tætningsring ved knivhus</v>
          </cell>
          <cell r="C4639" t="str">
            <v>Adapter for sealing ring at knife house</v>
          </cell>
          <cell r="D4639">
            <v>9350</v>
          </cell>
          <cell r="E4639">
            <v>1256.7204301075269</v>
          </cell>
        </row>
        <row r="4640">
          <cell r="A4640">
            <v>69759</v>
          </cell>
          <cell r="B4640" t="str">
            <v>Tætningsring  100 x122 x 09  MUPO</v>
          </cell>
          <cell r="C4640" t="str">
            <v>Sealing ring 100 X 122 X 09  MUPO</v>
          </cell>
          <cell r="D4640">
            <v>970</v>
          </cell>
          <cell r="E4640">
            <v>130.3763440860215</v>
          </cell>
        </row>
        <row r="4641">
          <cell r="A4641">
            <v>69803</v>
          </cell>
          <cell r="B4641" t="str">
            <v>Knivhoved  10-blads BC 105</v>
          </cell>
          <cell r="C4641" t="str">
            <v>Knife head complete with 10 knife</v>
          </cell>
          <cell r="D4641">
            <v>15310</v>
          </cell>
          <cell r="E4641">
            <v>2057.7956989247309</v>
          </cell>
        </row>
        <row r="4642">
          <cell r="A4642">
            <v>69805</v>
          </cell>
          <cell r="B4642" t="str">
            <v>Knivhoved 6 knive BC 105</v>
          </cell>
          <cell r="C4642" t="str">
            <v>Knife head complete with 6 knife</v>
          </cell>
          <cell r="D4642">
            <v>12100</v>
          </cell>
          <cell r="E4642">
            <v>1626.3440860215053</v>
          </cell>
        </row>
        <row r="4643">
          <cell r="A4643">
            <v>69807</v>
          </cell>
          <cell r="B4643" t="str">
            <v>Knivhoved 3-blads BC 105</v>
          </cell>
          <cell r="C4643" t="str">
            <v>Knife head complete with 3 knife</v>
          </cell>
          <cell r="D4643">
            <v>8600</v>
          </cell>
          <cell r="E4643">
            <v>1155.9139784946235</v>
          </cell>
        </row>
        <row r="4644">
          <cell r="A4644">
            <v>69847</v>
          </cell>
          <cell r="B4644" t="str">
            <v>Beslag for filter</v>
          </cell>
          <cell r="C4644" t="str">
            <v>Fitting for Filter</v>
          </cell>
          <cell r="D4644">
            <v>323</v>
          </cell>
          <cell r="E4644">
            <v>43.413978494623656</v>
          </cell>
        </row>
        <row r="4645">
          <cell r="A4645">
            <v>69853</v>
          </cell>
          <cell r="B4645" t="str">
            <v>K250 trug slidplade, L=2400, nonfric</v>
          </cell>
          <cell r="C4645" t="str">
            <v>K250 trought wear plate, L = 2400mm, non-fric</v>
          </cell>
          <cell r="D4645">
            <v>1290</v>
          </cell>
          <cell r="E4645">
            <v>173.38709677419354</v>
          </cell>
        </row>
        <row r="4646">
          <cell r="A4646">
            <v>69858</v>
          </cell>
          <cell r="B4646" t="str">
            <v xml:space="preserve">Beslag parker Ø63 CYL </v>
          </cell>
          <cell r="C4646" t="str">
            <v>Bracket pneu. cylinder</v>
          </cell>
          <cell r="D4646">
            <v>310</v>
          </cell>
          <cell r="E4646">
            <v>41.666666666666664</v>
          </cell>
        </row>
        <row r="4647">
          <cell r="A4647">
            <v>69859</v>
          </cell>
          <cell r="B4647" t="str">
            <v xml:space="preserve">Bøsning Ø30,5X50X15         </v>
          </cell>
          <cell r="C4647" t="str">
            <v xml:space="preserve">Bushing </v>
          </cell>
          <cell r="D4647">
            <v>295</v>
          </cell>
          <cell r="E4647">
            <v>39.6505376344086</v>
          </cell>
        </row>
        <row r="4648">
          <cell r="A4648">
            <v>69860</v>
          </cell>
          <cell r="B4648" t="str">
            <v>Multi montageplade</v>
          </cell>
          <cell r="C4648" t="str">
            <v>Multi Mounting plate</v>
          </cell>
          <cell r="D4648">
            <v>325</v>
          </cell>
          <cell r="E4648">
            <v>43.682795698924728</v>
          </cell>
        </row>
        <row r="4649">
          <cell r="A4649">
            <v>69877</v>
          </cell>
          <cell r="B4649" t="str">
            <v>Smøremanifold</v>
          </cell>
          <cell r="C4649" t="str">
            <v>Grease manifold</v>
          </cell>
          <cell r="D4649">
            <v>16430</v>
          </cell>
          <cell r="E4649">
            <v>2208.333333333333</v>
          </cell>
        </row>
        <row r="4650">
          <cell r="A4650">
            <v>69897</v>
          </cell>
          <cell r="B4650" t="str">
            <v>Mellemplade</v>
          </cell>
          <cell r="C4650" t="str">
            <v>Transition plate</v>
          </cell>
          <cell r="D4650">
            <v>10282</v>
          </cell>
          <cell r="E4650">
            <v>1381.989247311828</v>
          </cell>
        </row>
        <row r="4651">
          <cell r="A4651">
            <v>69900</v>
          </cell>
          <cell r="B4651" t="str">
            <v>Hngsel</v>
          </cell>
          <cell r="C4651" t="str">
            <v>Hinge for transition plate</v>
          </cell>
          <cell r="D4651">
            <v>1007</v>
          </cell>
          <cell r="E4651">
            <v>135.34946236559139</v>
          </cell>
        </row>
        <row r="4652">
          <cell r="A4652">
            <v>69901</v>
          </cell>
          <cell r="B4652" t="str">
            <v>Aksel</v>
          </cell>
          <cell r="C4652" t="str">
            <v>Pivot pin</v>
          </cell>
          <cell r="D4652">
            <v>689</v>
          </cell>
          <cell r="E4652">
            <v>92.607526881720432</v>
          </cell>
        </row>
        <row r="4653">
          <cell r="A4653">
            <v>69913</v>
          </cell>
          <cell r="B4653" t="str">
            <v>Konsol for låse stift</v>
          </cell>
          <cell r="C4653" t="str">
            <v>Bracket for lock pin</v>
          </cell>
          <cell r="D4653">
            <v>1283</v>
          </cell>
          <cell r="E4653">
            <v>172.44623655913978</v>
          </cell>
        </row>
        <row r="4654">
          <cell r="A4654">
            <v>69914</v>
          </cell>
          <cell r="B4654" t="str">
            <v>Nøgle for dyseplade</v>
          </cell>
          <cell r="C4654" t="str">
            <v>Key for die plate</v>
          </cell>
          <cell r="D4654">
            <v>779</v>
          </cell>
          <cell r="E4654">
            <v>104.70430107526882</v>
          </cell>
        </row>
        <row r="4655">
          <cell r="A4655">
            <v>69918</v>
          </cell>
          <cell r="B4655" t="str">
            <v>Låsetap</v>
          </cell>
          <cell r="C4655" t="str">
            <v>Lock pin</v>
          </cell>
          <cell r="D4655">
            <v>25</v>
          </cell>
          <cell r="E4655">
            <v>3.3602150537634405</v>
          </cell>
        </row>
        <row r="4656">
          <cell r="A4656">
            <v>70125</v>
          </cell>
          <cell r="B4656" t="str">
            <v>U skrue M10x25 DIN7991 FZB</v>
          </cell>
          <cell r="C4656" t="str">
            <v>Counter sunk screw M10x25 DIN7991 FZB</v>
          </cell>
          <cell r="D4656">
            <v>1.6</v>
          </cell>
          <cell r="E4656">
            <v>0.21505376344086022</v>
          </cell>
        </row>
        <row r="4657">
          <cell r="A4657">
            <v>70224</v>
          </cell>
          <cell r="B4657" t="str">
            <v xml:space="preserve">M10X070 pasbolt ISO 7379 m.indv. sekskant        </v>
          </cell>
          <cell r="C4657" t="str">
            <v>Centre bolt  M 10 x 70 ISO 7379</v>
          </cell>
          <cell r="D4657">
            <v>9</v>
          </cell>
          <cell r="E4657">
            <v>1.2096774193548387</v>
          </cell>
        </row>
        <row r="4658">
          <cell r="A4658">
            <v>70962</v>
          </cell>
          <cell r="B4658" t="str">
            <v>6kt skrue M12x55 DIN933 FZB</v>
          </cell>
          <cell r="C4658" t="str">
            <v>Set screw M12x55 DIN933 FZB</v>
          </cell>
          <cell r="D4658">
            <v>2.4</v>
          </cell>
          <cell r="E4658">
            <v>0.32258064516129031</v>
          </cell>
        </row>
        <row r="4659">
          <cell r="A4659">
            <v>71428</v>
          </cell>
          <cell r="B4659" t="str">
            <v>Smørenippel</v>
          </cell>
          <cell r="C4659" t="str">
            <v>Grease nipple</v>
          </cell>
          <cell r="D4659">
            <v>7.5</v>
          </cell>
          <cell r="E4659">
            <v>1.0080645161290323</v>
          </cell>
        </row>
        <row r="4660">
          <cell r="A4660">
            <v>74350</v>
          </cell>
          <cell r="B4660" t="str">
            <v>6kt skrue M24 x 160 DIN931 (PM 717XW)</v>
          </cell>
          <cell r="C4660" t="str">
            <v>Hex. screw M24 x 160 DIN931</v>
          </cell>
          <cell r="D4660">
            <v>33</v>
          </cell>
          <cell r="E4660">
            <v>4.435483870967742</v>
          </cell>
        </row>
        <row r="4661">
          <cell r="A4661">
            <v>80055</v>
          </cell>
          <cell r="B4661" t="str">
            <v>Slange Ø19/Ø30 ECS</v>
          </cell>
          <cell r="C4661" t="str">
            <v>Hose Ø19/Ø30 ECS</v>
          </cell>
          <cell r="D4661">
            <v>122</v>
          </cell>
          <cell r="E4661">
            <v>16.397849462365592</v>
          </cell>
        </row>
        <row r="4662">
          <cell r="A4662">
            <v>80087</v>
          </cell>
          <cell r="B4662" t="str">
            <v>Beslag f rulleskift u/ma MV919</v>
          </cell>
          <cell r="C4662" t="str">
            <v>Toll for exchange of rollers /without die</v>
          </cell>
          <cell r="D4662">
            <v>1200</v>
          </cell>
          <cell r="E4662">
            <v>161.29032258064515</v>
          </cell>
        </row>
        <row r="4663">
          <cell r="A4663">
            <v>80088</v>
          </cell>
          <cell r="B4663" t="str">
            <v>Omskifter 3 stilling 2 x slutter  med neutral midterstilling</v>
          </cell>
          <cell r="C4663" t="str">
            <v>Switch box neutral centerpos.</v>
          </cell>
          <cell r="D4663">
            <v>205</v>
          </cell>
          <cell r="E4663">
            <v>27.553763440860212</v>
          </cell>
        </row>
        <row r="4664">
          <cell r="A4664">
            <v>80187</v>
          </cell>
          <cell r="B4664" t="str">
            <v>Bundspjæld  St 37  HPB 4001</v>
          </cell>
          <cell r="C4664" t="str">
            <v>Buttom slide</v>
          </cell>
          <cell r="D4664">
            <v>36000</v>
          </cell>
          <cell r="E4664">
            <v>4838.7096774193542</v>
          </cell>
        </row>
        <row r="4665">
          <cell r="A4665">
            <v>80209</v>
          </cell>
          <cell r="B4665" t="str">
            <v>Beslag</v>
          </cell>
          <cell r="C4665" t="str">
            <v>Bracket</v>
          </cell>
          <cell r="D4665">
            <v>159</v>
          </cell>
          <cell r="E4665">
            <v>21.370967741935484</v>
          </cell>
        </row>
        <row r="4666">
          <cell r="A4666">
            <v>80215</v>
          </cell>
          <cell r="B4666" t="str">
            <v>Dæksel for lejehus</v>
          </cell>
          <cell r="C4666" t="str">
            <v>Cover f. bearing housing</v>
          </cell>
          <cell r="D4666">
            <v>1420</v>
          </cell>
          <cell r="E4666">
            <v>190.86021505376343</v>
          </cell>
        </row>
        <row r="4667">
          <cell r="A4667">
            <v>80231</v>
          </cell>
          <cell r="B4667" t="str">
            <v>Bundspjæld  ST 37  HPB 6001</v>
          </cell>
          <cell r="C4667" t="str">
            <v>Buttom slide</v>
          </cell>
          <cell r="D4667">
            <v>41900</v>
          </cell>
          <cell r="E4667">
            <v>5631.7204301075262</v>
          </cell>
        </row>
        <row r="4668">
          <cell r="A4668">
            <v>80254</v>
          </cell>
          <cell r="B4668" t="str">
            <v>Bundspjæld  St 37  HPB 2001</v>
          </cell>
          <cell r="C4668" t="str">
            <v>Buttom slide</v>
          </cell>
          <cell r="D4668">
            <v>31200</v>
          </cell>
          <cell r="E4668">
            <v>4193.5483870967737</v>
          </cell>
        </row>
        <row r="4669">
          <cell r="A4669">
            <v>80495</v>
          </cell>
          <cell r="B4669" t="str">
            <v>Skueglas</v>
          </cell>
          <cell r="C4669" t="str">
            <v>Sight glass</v>
          </cell>
          <cell r="D4669">
            <v>867</v>
          </cell>
          <cell r="E4669">
            <v>116.53225806451613</v>
          </cell>
        </row>
        <row r="4670">
          <cell r="A4670">
            <v>80583</v>
          </cell>
          <cell r="B4670" t="str">
            <v>Skive Ø14 50x50x5 DIN436</v>
          </cell>
          <cell r="C4670" t="str">
            <v>Disc  ø14 50 x50 x 5</v>
          </cell>
          <cell r="D4670">
            <v>15.9</v>
          </cell>
          <cell r="E4670">
            <v>2.1370967741935485</v>
          </cell>
        </row>
        <row r="4671">
          <cell r="A4671">
            <v>80648</v>
          </cell>
          <cell r="B4671" t="str">
            <v>Aksel for rensearrangement, komplet</v>
          </cell>
          <cell r="C4671" t="str">
            <v>Shaft for cleaning arrangement, complete</v>
          </cell>
          <cell r="D4671">
            <v>12084</v>
          </cell>
          <cell r="E4671">
            <v>1624.1935483870966</v>
          </cell>
        </row>
        <row r="4672">
          <cell r="A4672">
            <v>80654</v>
          </cell>
          <cell r="B4672" t="str">
            <v>HB7500 Blanderspiral komp spec.</v>
          </cell>
          <cell r="C4672" t="str">
            <v>HB7500 mixer spiral complete special</v>
          </cell>
          <cell r="D4672">
            <v>125000</v>
          </cell>
          <cell r="E4672">
            <v>16801.075268817203</v>
          </cell>
        </row>
        <row r="4673">
          <cell r="A4673">
            <v>80716</v>
          </cell>
          <cell r="B4673" t="str">
            <v>Cyl. skrue M16 x 255</v>
          </cell>
          <cell r="C4673" t="str">
            <v>Cyl. screw M16 x 255</v>
          </cell>
          <cell r="D4673">
            <v>292</v>
          </cell>
          <cell r="E4673">
            <v>39.247311827956985</v>
          </cell>
        </row>
        <row r="4674">
          <cell r="A4674">
            <v>80766</v>
          </cell>
          <cell r="B4674" t="str">
            <v>Fødecylinder PM919 XW</v>
          </cell>
          <cell r="C4674" t="str">
            <v>Feed cone PMV919 XW</v>
          </cell>
          <cell r="D4674">
            <v>19080</v>
          </cell>
          <cell r="E4674">
            <v>2564.516129032258</v>
          </cell>
        </row>
        <row r="4675">
          <cell r="A4675">
            <v>80768</v>
          </cell>
          <cell r="B4675" t="str">
            <v xml:space="preserve">Ring for pillekammer </v>
          </cell>
          <cell r="C4675" t="str">
            <v>Ring for pellet chamber</v>
          </cell>
          <cell r="D4675">
            <v>950</v>
          </cell>
          <cell r="E4675">
            <v>127.68817204301075</v>
          </cell>
        </row>
        <row r="4676">
          <cell r="A4676">
            <v>80788</v>
          </cell>
          <cell r="B4676" t="str">
            <v>Glidestang for materialeudløbshus</v>
          </cell>
          <cell r="C4676" t="str">
            <v>Slide rod for housing</v>
          </cell>
          <cell r="D4676">
            <v>456</v>
          </cell>
          <cell r="E4676">
            <v>61.29032258064516</v>
          </cell>
        </row>
        <row r="4677">
          <cell r="A4677">
            <v>81006</v>
          </cell>
          <cell r="B4677" t="str">
            <v>Paksnor for tætnnig  K40 8 x8</v>
          </cell>
          <cell r="C4677" t="str">
            <v>Packing cord K40  8 x 8</v>
          </cell>
          <cell r="D4677">
            <v>132</v>
          </cell>
          <cell r="E4677">
            <v>17.741935483870968</v>
          </cell>
        </row>
        <row r="4678">
          <cell r="A4678">
            <v>81165</v>
          </cell>
          <cell r="B4678" t="str">
            <v>Te-stykke 6 mm x 1/4 NPT 69089 DK</v>
          </cell>
          <cell r="C4678" t="str">
            <v>T unit  6 mm x 1/4 NPT 69089 DK</v>
          </cell>
          <cell r="D4678">
            <v>66</v>
          </cell>
          <cell r="E4678">
            <v>8.870967741935484</v>
          </cell>
        </row>
        <row r="4679">
          <cell r="A4679">
            <v>81324</v>
          </cell>
          <cell r="B4679" t="str">
            <v>Bundspjæld   ST 37 HPB 1001</v>
          </cell>
          <cell r="C4679" t="str">
            <v>Buttom slide</v>
          </cell>
          <cell r="D4679">
            <v>14310</v>
          </cell>
          <cell r="E4679">
            <v>1923.3870967741934</v>
          </cell>
        </row>
        <row r="4680">
          <cell r="A4680">
            <v>81375</v>
          </cell>
          <cell r="B4680" t="str">
            <v>Pindbolt  M 20  x 100  A2     DIN  938</v>
          </cell>
          <cell r="C4680" t="str">
            <v>Stud bolt M10 x 100   A2  DIN 938</v>
          </cell>
          <cell r="D4680">
            <v>54</v>
          </cell>
          <cell r="E4680">
            <v>7.258064516129032</v>
          </cell>
        </row>
        <row r="4681">
          <cell r="A4681">
            <v>81835</v>
          </cell>
          <cell r="B4681" t="str">
            <v>Cyl. Skrue M10 x 30 DIN912</v>
          </cell>
          <cell r="C4681" t="str">
            <v>Cyl. screw M10 x 30 DIN912</v>
          </cell>
          <cell r="D4681">
            <v>2.4</v>
          </cell>
          <cell r="E4681">
            <v>0.32258064516129031</v>
          </cell>
        </row>
        <row r="4682">
          <cell r="A4682">
            <v>81941</v>
          </cell>
          <cell r="B4682" t="str">
            <v>Forskruning med anslag 519-30911-1</v>
          </cell>
          <cell r="C4682" t="str">
            <v xml:space="preserve">Joint screw </v>
          </cell>
          <cell r="D4682">
            <v>191</v>
          </cell>
          <cell r="E4682">
            <v>25.672043010752688</v>
          </cell>
        </row>
        <row r="4683">
          <cell r="A4683">
            <v>81942</v>
          </cell>
          <cell r="B4683" t="str">
            <v>Pakning for forskruning pos.15</v>
          </cell>
          <cell r="C4683" t="str">
            <v>Packing</v>
          </cell>
          <cell r="D4683">
            <v>6.6</v>
          </cell>
          <cell r="E4683">
            <v>0.88709677419354827</v>
          </cell>
        </row>
        <row r="4684">
          <cell r="A4684">
            <v>82166</v>
          </cell>
          <cell r="B4684" t="str">
            <v>Beslag for lågelås</v>
          </cell>
          <cell r="C4684" t="str">
            <v>Bracket for door lock</v>
          </cell>
          <cell r="D4684">
            <v>477</v>
          </cell>
          <cell r="E4684">
            <v>64.112903225806448</v>
          </cell>
        </row>
        <row r="4685">
          <cell r="A4685">
            <v>82212</v>
          </cell>
          <cell r="B4685" t="str">
            <v>Lige forskruning</v>
          </cell>
          <cell r="C4685" t="str">
            <v>Straight screwed connection</v>
          </cell>
          <cell r="D4685">
            <v>40</v>
          </cell>
          <cell r="E4685">
            <v>5.376344086021505</v>
          </cell>
        </row>
        <row r="4686">
          <cell r="A4686">
            <v>82233</v>
          </cell>
          <cell r="B4686" t="str">
            <v>Lågestop</v>
          </cell>
          <cell r="C4686" t="str">
            <v>Door stop</v>
          </cell>
          <cell r="D4686">
            <v>345</v>
          </cell>
          <cell r="E4686">
            <v>46.37096774193548</v>
          </cell>
        </row>
        <row r="4687">
          <cell r="A4687">
            <v>82353</v>
          </cell>
          <cell r="B4687" t="str">
            <v>Skinne for låge</v>
          </cell>
          <cell r="C4687" t="str">
            <v>Rail for door</v>
          </cell>
          <cell r="D4687">
            <v>901</v>
          </cell>
          <cell r="E4687">
            <v>121.1021505376344</v>
          </cell>
        </row>
        <row r="4688">
          <cell r="A4688">
            <v>82356</v>
          </cell>
          <cell r="B4688" t="str">
            <v>Skinne for låge</v>
          </cell>
          <cell r="C4688" t="str">
            <v>Rail for door</v>
          </cell>
          <cell r="D4688">
            <v>901</v>
          </cell>
          <cell r="E4688">
            <v>121.1021505376344</v>
          </cell>
        </row>
        <row r="4689">
          <cell r="A4689">
            <v>82357</v>
          </cell>
          <cell r="B4689" t="str">
            <v>Skinne for låge</v>
          </cell>
          <cell r="C4689" t="str">
            <v>Rail for door</v>
          </cell>
          <cell r="D4689">
            <v>901</v>
          </cell>
          <cell r="E4689">
            <v>121.1021505376344</v>
          </cell>
        </row>
        <row r="4690">
          <cell r="A4690">
            <v>82358</v>
          </cell>
          <cell r="B4690" t="str">
            <v>Reurnering af renoverbar M30 Hoved aksel</v>
          </cell>
          <cell r="C4690" t="str">
            <v>Return of M30 Main shaft</v>
          </cell>
          <cell r="D4690">
            <v>29500</v>
          </cell>
          <cell r="E4690">
            <v>3965.0537634408602</v>
          </cell>
        </row>
        <row r="4691">
          <cell r="A4691">
            <v>82359</v>
          </cell>
          <cell r="B4691" t="str">
            <v>Renovering af 0 snegl FEX 34</v>
          </cell>
          <cell r="C4691" t="str">
            <v>Repair of 0-screw FEX 34</v>
          </cell>
          <cell r="D4691">
            <v>7632</v>
          </cell>
          <cell r="E4691">
            <v>1025.8064516129032</v>
          </cell>
        </row>
        <row r="4692">
          <cell r="A4692">
            <v>82360</v>
          </cell>
          <cell r="B4692" t="str">
            <v>kreditering ved retur af bremsekaliber M700</v>
          </cell>
          <cell r="C4692" t="str">
            <v>Credit by return of worklable caliber M700</v>
          </cell>
          <cell r="D4692">
            <v>424</v>
          </cell>
          <cell r="E4692">
            <v>56.989247311827953</v>
          </cell>
        </row>
        <row r="4693">
          <cell r="A4693">
            <v>82361</v>
          </cell>
          <cell r="B4693" t="str">
            <v>kreditering ved retur af bremsekaliber M900</v>
          </cell>
          <cell r="C4693" t="str">
            <v>Credit by return of worklable caliber M900</v>
          </cell>
          <cell r="D4693">
            <v>530</v>
          </cell>
          <cell r="E4693">
            <v>71.236559139784944</v>
          </cell>
        </row>
        <row r="4694">
          <cell r="A4694">
            <v>82441</v>
          </cell>
          <cell r="B4694" t="str">
            <v>Mellemaksel M30 /M900</v>
          </cell>
          <cell r="C4694" t="str">
            <v>Intermidiate shaft M30/M900</v>
          </cell>
          <cell r="D4694">
            <v>34632</v>
          </cell>
          <cell r="E4694">
            <v>4654.8387096774195</v>
          </cell>
        </row>
        <row r="4695">
          <cell r="A4695">
            <v>82590</v>
          </cell>
          <cell r="B4695" t="str">
            <v>Butterfly ventil DN400 fri spindel</v>
          </cell>
          <cell r="C4695" t="str">
            <v>Butterfly valve DN400 free spindle</v>
          </cell>
          <cell r="D4695">
            <v>11024</v>
          </cell>
          <cell r="E4695">
            <v>1481.7204301075269</v>
          </cell>
        </row>
        <row r="4696">
          <cell r="A4696">
            <v>82703</v>
          </cell>
          <cell r="B4696" t="str">
            <v xml:space="preserve">Stopring Ø30/Ø56X12  2-delt klemring </v>
          </cell>
          <cell r="C4696" t="str">
            <v>Stop ring   2 parts</v>
          </cell>
          <cell r="D4696">
            <v>121</v>
          </cell>
          <cell r="E4696">
            <v>16.263440860215052</v>
          </cell>
        </row>
        <row r="4697">
          <cell r="A4697">
            <v>82929</v>
          </cell>
          <cell r="B4697" t="str">
            <v>Motorkonsol under-part, str. 355 kW</v>
          </cell>
          <cell r="C4697" t="str">
            <v>Motor bracket lower part, size 355</v>
          </cell>
          <cell r="D4697">
            <v>3710</v>
          </cell>
          <cell r="E4697">
            <v>498.6559139784946</v>
          </cell>
        </row>
        <row r="4698">
          <cell r="A4698">
            <v>82930</v>
          </cell>
          <cell r="B4698" t="str">
            <v>Motorkonsol under-part, str. 280 – 315</v>
          </cell>
          <cell r="C4698" t="str">
            <v>Motor bracket lower part, size 280 - 315</v>
          </cell>
          <cell r="D4698">
            <v>4452</v>
          </cell>
          <cell r="E4698">
            <v>598.38709677419354</v>
          </cell>
        </row>
        <row r="4699">
          <cell r="A4699">
            <v>82933</v>
          </cell>
          <cell r="B4699" t="str">
            <v>Motorkonsol under-part , str.180 – 250</v>
          </cell>
          <cell r="C4699" t="str">
            <v>Motor bracket lower part str. 180 – 250</v>
          </cell>
          <cell r="D4699">
            <v>3392</v>
          </cell>
          <cell r="E4699">
            <v>455.91397849462362</v>
          </cell>
        </row>
        <row r="4700">
          <cell r="A4700">
            <v>83141</v>
          </cell>
          <cell r="B4700" t="str">
            <v>Skinne øverst venstre side  801</v>
          </cell>
          <cell r="C4700" t="str">
            <v>Rail upper left side</v>
          </cell>
          <cell r="D4700">
            <v>1643</v>
          </cell>
          <cell r="E4700">
            <v>220.83333333333331</v>
          </cell>
        </row>
        <row r="4701">
          <cell r="A4701">
            <v>83397</v>
          </cell>
          <cell r="B4701" t="str">
            <v>Medløbshjul Ø306 M112 med svejsning</v>
          </cell>
          <cell r="C4701" t="str">
            <v>Idler wheel Ø306 M112 with welding</v>
          </cell>
          <cell r="D4701">
            <v>1250</v>
          </cell>
          <cell r="E4701">
            <v>168.01075268817203</v>
          </cell>
        </row>
        <row r="4702">
          <cell r="A4702">
            <v>83417</v>
          </cell>
          <cell r="B4702" t="str">
            <v>Multi låseklods for soldramme</v>
          </cell>
          <cell r="C4702" t="str">
            <v>Lock palte for screen frame</v>
          </cell>
          <cell r="D4702">
            <v>2.5</v>
          </cell>
          <cell r="E4702">
            <v>0.33602150537634407</v>
          </cell>
        </row>
        <row r="4703">
          <cell r="A4703">
            <v>84208</v>
          </cell>
          <cell r="B4703" t="str">
            <v>Sikringskobling nav S2  PM919</v>
          </cell>
          <cell r="C4703" t="str">
            <v>Safety coupling hub  S2 PM919</v>
          </cell>
          <cell r="D4703">
            <v>16430</v>
          </cell>
          <cell r="E4703">
            <v>2208.333333333333</v>
          </cell>
        </row>
        <row r="4704">
          <cell r="A4704">
            <v>84459</v>
          </cell>
          <cell r="B4704" t="str">
            <v>Fødecylinder PM919  2-Rulle  S2  rustfri</v>
          </cell>
          <cell r="C4704" t="str">
            <v>Feed cone PM919 2-roller  S2  Stainless</v>
          </cell>
          <cell r="D4704">
            <v>16154</v>
          </cell>
          <cell r="E4704">
            <v>2171.2365591397847</v>
          </cell>
        </row>
        <row r="4705">
          <cell r="A4705">
            <v>84482</v>
          </cell>
          <cell r="B4705" t="str">
            <v>Ring for sikringskobling</v>
          </cell>
          <cell r="C4705" t="str">
            <v>Ring for safety coupling</v>
          </cell>
          <cell r="D4705">
            <v>950</v>
          </cell>
          <cell r="E4705">
            <v>127.68817204301075</v>
          </cell>
        </row>
        <row r="4706">
          <cell r="A4706">
            <v>84537</v>
          </cell>
          <cell r="B4706" t="str">
            <v>Pakning for inspektionsdæksel</v>
          </cell>
          <cell r="C4706" t="str">
            <v xml:space="preserve">Packing for side inspection </v>
          </cell>
          <cell r="D4706">
            <v>255</v>
          </cell>
          <cell r="E4706">
            <v>34.274193548387096</v>
          </cell>
        </row>
        <row r="4707">
          <cell r="A4707">
            <v>84557</v>
          </cell>
          <cell r="B4707" t="str">
            <v>Gummiskive</v>
          </cell>
          <cell r="C4707" t="str">
            <v>Rubber washer  ø30 xø8 x5</v>
          </cell>
          <cell r="D4707">
            <v>80</v>
          </cell>
          <cell r="E4707">
            <v>10.75268817204301</v>
          </cell>
        </row>
        <row r="4708">
          <cell r="A4708">
            <v>84561</v>
          </cell>
          <cell r="B4708" t="str">
            <v>Tætningsring TSN 516 G</v>
          </cell>
          <cell r="C4708" t="str">
            <v>Seal ring TSN 516 G</v>
          </cell>
          <cell r="D4708">
            <v>70</v>
          </cell>
          <cell r="E4708">
            <v>9.408602150537634</v>
          </cell>
        </row>
        <row r="4709">
          <cell r="A4709">
            <v>84562</v>
          </cell>
          <cell r="B4709" t="str">
            <v>Tætningsring TSN 526 G</v>
          </cell>
          <cell r="C4709" t="str">
            <v>Seal ring TSN 526 G</v>
          </cell>
          <cell r="D4709">
            <v>160</v>
          </cell>
          <cell r="E4709">
            <v>21.50537634408602</v>
          </cell>
        </row>
        <row r="4710">
          <cell r="A4710">
            <v>84671</v>
          </cell>
          <cell r="B4710" t="str">
            <v>Oliesmørimh gearboks S 4</v>
          </cell>
          <cell r="C4710" t="str">
            <v>Oil lubrication system  gear box S4</v>
          </cell>
          <cell r="D4710">
            <v>92</v>
          </cell>
          <cell r="E4710">
            <v>12.365591397849462</v>
          </cell>
        </row>
        <row r="4711">
          <cell r="A4711">
            <v>84672</v>
          </cell>
          <cell r="B4711" t="str">
            <v>Ståleje  SYT 75 F</v>
          </cell>
          <cell r="C4711" t="str">
            <v>Pederstal bearing</v>
          </cell>
          <cell r="D4711">
            <v>3250</v>
          </cell>
          <cell r="E4711">
            <v>436.8279569892473</v>
          </cell>
        </row>
        <row r="4712">
          <cell r="A4712">
            <v>84673</v>
          </cell>
          <cell r="B4712" t="str">
            <v>Ståleje  SYT 75 L</v>
          </cell>
          <cell r="C4712" t="str">
            <v>Pederstal bearing</v>
          </cell>
          <cell r="D4712">
            <v>3250</v>
          </cell>
          <cell r="E4712">
            <v>436.8279569892473</v>
          </cell>
        </row>
        <row r="4713">
          <cell r="A4713">
            <v>84700</v>
          </cell>
          <cell r="B4713" t="str">
            <v>Feder A 36x20x145   DS96</v>
          </cell>
          <cell r="C4713" t="str">
            <v>Parallel key 10x8x30 DS96</v>
          </cell>
          <cell r="D4713">
            <v>92</v>
          </cell>
          <cell r="E4713">
            <v>12.365591397849462</v>
          </cell>
        </row>
        <row r="4714">
          <cell r="A4714">
            <v>84785</v>
          </cell>
          <cell r="B4714" t="str">
            <v>Tandhjul  ø 228  76-3</v>
          </cell>
          <cell r="C4714" t="str">
            <v>Gear wheel</v>
          </cell>
          <cell r="D4714">
            <v>1745</v>
          </cell>
          <cell r="E4714">
            <v>234.54301075268816</v>
          </cell>
        </row>
        <row r="4715">
          <cell r="A4715">
            <v>84828</v>
          </cell>
          <cell r="B4715" t="str">
            <v>Rotor lang udløbssluse CRT 1101</v>
          </cell>
          <cell r="C4715" t="str">
            <v>Rotor Long outlet sluice  CRT 1101</v>
          </cell>
          <cell r="D4715">
            <v>9350</v>
          </cell>
          <cell r="E4715">
            <v>1256.7204301075269</v>
          </cell>
        </row>
        <row r="4716">
          <cell r="A4716">
            <v>84829</v>
          </cell>
          <cell r="B4716" t="str">
            <v>Rotor kort udløbssluse CRT 1101</v>
          </cell>
          <cell r="C4716" t="str">
            <v>Rotor short outlet sluice  CRT 1101</v>
          </cell>
          <cell r="D4716">
            <v>8650</v>
          </cell>
          <cell r="E4716">
            <v>1162.6344086021504</v>
          </cell>
        </row>
        <row r="4717">
          <cell r="A4717">
            <v>84836</v>
          </cell>
          <cell r="B4717" t="str">
            <v>Slidring ,nåleleje IR  ø400 x45 x20,5</v>
          </cell>
          <cell r="C4717" t="str">
            <v>Vear ring</v>
          </cell>
          <cell r="D4717">
            <v>81</v>
          </cell>
          <cell r="E4717">
            <v>10.887096774193548</v>
          </cell>
        </row>
        <row r="4718">
          <cell r="A4718">
            <v>85112</v>
          </cell>
          <cell r="B4718" t="str">
            <v>Knivhoved 14-blads EX20</v>
          </cell>
          <cell r="C4718" t="str">
            <v>Knifehead 14-blade EX20</v>
          </cell>
          <cell r="D4718">
            <v>20270</v>
          </cell>
          <cell r="E4718">
            <v>2724.4623655913979</v>
          </cell>
        </row>
        <row r="4719">
          <cell r="A4719">
            <v>85149</v>
          </cell>
          <cell r="B4719" t="str">
            <v xml:space="preserve">Slidring for akseltætning </v>
          </cell>
          <cell r="C4719" t="str">
            <v xml:space="preserve">Wearring for for shaft proofing </v>
          </cell>
          <cell r="D4719">
            <v>645</v>
          </cell>
          <cell r="E4719">
            <v>86.693548387096769</v>
          </cell>
        </row>
        <row r="4720">
          <cell r="A4720">
            <v>85175</v>
          </cell>
          <cell r="B4720" t="str">
            <v xml:space="preserve">Niveaumelder RN 3004G </v>
          </cell>
          <cell r="C4720" t="str">
            <v>Level sensor RN 3004G</v>
          </cell>
          <cell r="D4720">
            <v>5100</v>
          </cell>
          <cell r="E4720">
            <v>685.48387096774195</v>
          </cell>
        </row>
        <row r="4721">
          <cell r="A4721">
            <v>85177</v>
          </cell>
          <cell r="B4721" t="str">
            <v>Paksnor for tætnnig</v>
          </cell>
          <cell r="C4721" t="str">
            <v xml:space="preserve">Packing cord for steady box on shaft </v>
          </cell>
          <cell r="D4721">
            <v>59</v>
          </cell>
          <cell r="E4721">
            <v>7.93010752688172</v>
          </cell>
        </row>
        <row r="4722">
          <cell r="A4722">
            <v>85178</v>
          </cell>
          <cell r="B4722" t="str">
            <v xml:space="preserve">O-ring Ø190,0 x 5,00 </v>
          </cell>
          <cell r="C4722" t="str">
            <v xml:space="preserve">O-ring Ø190,0 x 5,00 </v>
          </cell>
          <cell r="D4722">
            <v>29</v>
          </cell>
          <cell r="E4722">
            <v>3.897849462365591</v>
          </cell>
        </row>
        <row r="4723">
          <cell r="A4723">
            <v>85179</v>
          </cell>
          <cell r="B4723" t="str">
            <v>Gasdæmper  200</v>
          </cell>
          <cell r="C4723" t="str">
            <v>Gasdamper  200</v>
          </cell>
          <cell r="D4723">
            <v>575</v>
          </cell>
          <cell r="E4723">
            <v>77.284946236559136</v>
          </cell>
        </row>
        <row r="4724">
          <cell r="A4724">
            <v>85180</v>
          </cell>
          <cell r="B4724" t="str">
            <v>Leje Carb 2320</v>
          </cell>
          <cell r="C4724" t="str">
            <v>Bearing Carb 2320</v>
          </cell>
          <cell r="D4724">
            <v>4150</v>
          </cell>
          <cell r="E4724">
            <v>557.79569892473114</v>
          </cell>
        </row>
        <row r="4725">
          <cell r="A4725">
            <v>85185</v>
          </cell>
          <cell r="B4725" t="str">
            <v>Modpart for sikkerhedsafbryder</v>
          </cell>
          <cell r="C4725" t="str">
            <v>Safety switch  (key)</v>
          </cell>
          <cell r="D4725">
            <v>80</v>
          </cell>
          <cell r="E4725">
            <v>10.75268817204301</v>
          </cell>
        </row>
        <row r="4726">
          <cell r="A4726">
            <v>85238</v>
          </cell>
          <cell r="B4726" t="str">
            <v>fittings for smøresystem  PM 919</v>
          </cell>
          <cell r="C4726" t="str">
            <v>Fittins for Lubrication system  PM 919</v>
          </cell>
          <cell r="D4726">
            <v>3950</v>
          </cell>
          <cell r="E4726">
            <v>530.91397849462362</v>
          </cell>
        </row>
        <row r="4727">
          <cell r="A4727">
            <v>85508</v>
          </cell>
          <cell r="B4727" t="str">
            <v>O-ring Ø158,3 x Ø3,53 Viton</v>
          </cell>
          <cell r="C4727" t="str">
            <v>O-ring Ø158,3 x 3,53 Viton</v>
          </cell>
          <cell r="D4727">
            <v>27.5</v>
          </cell>
          <cell r="E4727">
            <v>3.6962365591397845</v>
          </cell>
        </row>
        <row r="4728">
          <cell r="A4728">
            <v>85626</v>
          </cell>
          <cell r="B4728" t="str">
            <v>Hydraulikslange 1 1/4" L=275  lige/lige omløber</v>
          </cell>
          <cell r="C4728" t="str">
            <v>Hydraulic hose 3/4" L=275  Straight./straight criculation</v>
          </cell>
          <cell r="D4728">
            <v>875</v>
          </cell>
          <cell r="E4728">
            <v>117.60752688172042</v>
          </cell>
        </row>
        <row r="4729">
          <cell r="A4729">
            <v>85633</v>
          </cell>
          <cell r="B4729" t="str">
            <v>Hydraulikslange 5/8" L=400  lige/lige omløber</v>
          </cell>
          <cell r="C4729" t="str">
            <v>Hydraulic hose 5/8" L=400  Straight./straight criculation</v>
          </cell>
          <cell r="D4729">
            <v>155</v>
          </cell>
          <cell r="E4729">
            <v>20.833333333333332</v>
          </cell>
        </row>
        <row r="4730">
          <cell r="A4730">
            <v>85634</v>
          </cell>
          <cell r="B4730" t="str">
            <v>Hydraulikslange 1/2" L=425  lige/lige omløber</v>
          </cell>
          <cell r="C4730" t="str">
            <v>Hydraulic hose  1/2" L=425  Straight./straight criculation</v>
          </cell>
          <cell r="D4730">
            <v>160</v>
          </cell>
          <cell r="E4730">
            <v>21.50537634408602</v>
          </cell>
        </row>
        <row r="4731">
          <cell r="A4731">
            <v>85635</v>
          </cell>
          <cell r="B4731" t="str">
            <v>Hydraulikslange 3/4" 240  90G/lige omløber</v>
          </cell>
          <cell r="C4731" t="str">
            <v>Hydraulic hose 3/4" L=240 90degr./straight circulation</v>
          </cell>
          <cell r="D4731">
            <v>275</v>
          </cell>
          <cell r="E4731">
            <v>36.962365591397848</v>
          </cell>
        </row>
        <row r="4732">
          <cell r="A4732">
            <v>85636</v>
          </cell>
          <cell r="B4732" t="str">
            <v>Hydraulikslange 3/4" 400  90G/90G</v>
          </cell>
          <cell r="C4732" t="str">
            <v>Hydraulic hose 3/4" L=400 90degr./90 degr.</v>
          </cell>
          <cell r="D4732">
            <v>331</v>
          </cell>
          <cell r="E4732">
            <v>44.489247311827953</v>
          </cell>
        </row>
        <row r="4733">
          <cell r="A4733">
            <v>85637</v>
          </cell>
          <cell r="B4733" t="str">
            <v>Hydraulikslange 3/4" 610  90G/lige omløber</v>
          </cell>
          <cell r="C4733" t="str">
            <v>Hydraulic hose 3/4" L=610 90degr./straight circulation</v>
          </cell>
          <cell r="D4733">
            <v>305</v>
          </cell>
          <cell r="E4733">
            <v>40.994623655913976</v>
          </cell>
        </row>
        <row r="4734">
          <cell r="A4734">
            <v>85650</v>
          </cell>
          <cell r="B4734" t="str">
            <v>Beslag for føler</v>
          </cell>
          <cell r="C4734" t="str">
            <v>Bracket for sensor.</v>
          </cell>
          <cell r="D4734">
            <v>56</v>
          </cell>
          <cell r="E4734">
            <v>7.5268817204301071</v>
          </cell>
        </row>
        <row r="4735">
          <cell r="A4735">
            <v>500032</v>
          </cell>
          <cell r="B4735" t="str">
            <v>Ståleje</v>
          </cell>
          <cell r="C4735" t="str">
            <v>Pederstal bearing</v>
          </cell>
          <cell r="D4735">
            <v>205</v>
          </cell>
          <cell r="E4735">
            <v>27.553763440860212</v>
          </cell>
        </row>
        <row r="4736">
          <cell r="A4736">
            <v>500075</v>
          </cell>
          <cell r="B4736" t="str">
            <v>6-kt. Skrue M12 x 35 FZB DIN933</v>
          </cell>
          <cell r="C4736" t="str">
            <v>Hex screw M12 x 35 FZB DIN933</v>
          </cell>
          <cell r="D4736">
            <v>1.9</v>
          </cell>
          <cell r="E4736">
            <v>0.2553763440860215</v>
          </cell>
        </row>
        <row r="4737">
          <cell r="A4737">
            <v>500107</v>
          </cell>
          <cell r="B4737" t="str">
            <v>Slidplade/buet malebro  2K</v>
          </cell>
          <cell r="C4737" t="str">
            <v>Wear plate/curved grinding bridge 2K</v>
          </cell>
          <cell r="D4737">
            <v>2550</v>
          </cell>
          <cell r="E4737">
            <v>342.74193548387098</v>
          </cell>
        </row>
        <row r="4738">
          <cell r="A4738">
            <v>500108</v>
          </cell>
          <cell r="B4738" t="str">
            <v>Slidplade/buet malebro  2K</v>
          </cell>
          <cell r="C4738" t="str">
            <v>Wear plate/curved grinding bridge 2K</v>
          </cell>
          <cell r="D4738">
            <v>2250</v>
          </cell>
          <cell r="E4738">
            <v>302.41935483870964</v>
          </cell>
        </row>
        <row r="4739">
          <cell r="A4739">
            <v>500112</v>
          </cell>
          <cell r="B4739" t="str">
            <v>Rotor ventilator højre 4 KTV</v>
          </cell>
          <cell r="C4739" t="str">
            <v>Fan rotor right 4 KTV</v>
          </cell>
          <cell r="D4739">
            <v>7199</v>
          </cell>
          <cell r="E4739">
            <v>967.60752688172033</v>
          </cell>
        </row>
        <row r="4740">
          <cell r="A4740">
            <v>500233</v>
          </cell>
          <cell r="B4740" t="str">
            <v>K200 bærerulle</v>
          </cell>
          <cell r="C4740" t="str">
            <v>K200 supporting roller</v>
          </cell>
          <cell r="D4740">
            <v>280</v>
          </cell>
          <cell r="E4740">
            <v>37.634408602150536</v>
          </cell>
        </row>
        <row r="4741">
          <cell r="A4741">
            <v>500234</v>
          </cell>
          <cell r="B4741" t="str">
            <v xml:space="preserve">K250 bærerulle </v>
          </cell>
          <cell r="C4741" t="str">
            <v xml:space="preserve">K250 supporting roller </v>
          </cell>
          <cell r="D4741">
            <v>305</v>
          </cell>
          <cell r="E4741">
            <v>40.994623655913976</v>
          </cell>
        </row>
        <row r="4742">
          <cell r="A4742">
            <v>500235</v>
          </cell>
          <cell r="B4742" t="str">
            <v>K315 bærerulle</v>
          </cell>
          <cell r="C4742" t="str">
            <v>K315 supporting roller</v>
          </cell>
          <cell r="D4742">
            <v>340</v>
          </cell>
          <cell r="E4742">
            <v>45.698924731182792</v>
          </cell>
        </row>
        <row r="4743">
          <cell r="A4743">
            <v>500236</v>
          </cell>
          <cell r="B4743" t="str">
            <v>K400 bærerulle</v>
          </cell>
          <cell r="C4743" t="str">
            <v>K400 supporting roller</v>
          </cell>
          <cell r="D4743">
            <v>360</v>
          </cell>
          <cell r="E4743">
            <v>48.387096774193544</v>
          </cell>
        </row>
        <row r="4744">
          <cell r="A4744">
            <v>500505</v>
          </cell>
          <cell r="B4744" t="str">
            <v>Sfærisk rulleleje 22220-CCK</v>
          </cell>
          <cell r="C4744" t="str">
            <v>Spherical roller bearing 22220-CCK</v>
          </cell>
          <cell r="D4744">
            <v>1484</v>
          </cell>
          <cell r="E4744">
            <v>199.46236559139783</v>
          </cell>
        </row>
        <row r="4745">
          <cell r="A4745">
            <v>500519</v>
          </cell>
          <cell r="B4745" t="str">
            <v>Klembøsning</v>
          </cell>
          <cell r="C4745" t="str">
            <v>Split bushing</v>
          </cell>
          <cell r="D4745">
            <v>1590</v>
          </cell>
          <cell r="E4745">
            <v>213.70967741935482</v>
          </cell>
        </row>
        <row r="4746">
          <cell r="A4746">
            <v>500524</v>
          </cell>
          <cell r="B4746" t="str">
            <v>Leje</v>
          </cell>
          <cell r="C4746" t="str">
            <v>Bearing</v>
          </cell>
          <cell r="D4746">
            <v>4346</v>
          </cell>
          <cell r="E4746">
            <v>584.13978494623655</v>
          </cell>
        </row>
        <row r="4747">
          <cell r="A4747">
            <v>500540</v>
          </cell>
          <cell r="B4747" t="str">
            <v>Poseholder 3600 T    Galvaniseret</v>
          </cell>
          <cell r="C4747" t="str">
            <v>Filter bag cage 3600 T     Galvanized</v>
          </cell>
          <cell r="D4747">
            <v>374</v>
          </cell>
          <cell r="E4747">
            <v>50.268817204301072</v>
          </cell>
        </row>
        <row r="4748">
          <cell r="A4748">
            <v>500541</v>
          </cell>
          <cell r="B4748" t="str">
            <v>Poseholder 3600 S   AISI 304</v>
          </cell>
          <cell r="C4748" t="str">
            <v>Filter bag cage 3600 S    Stainless</v>
          </cell>
          <cell r="D4748">
            <v>699</v>
          </cell>
          <cell r="E4748">
            <v>93.951612903225808</v>
          </cell>
        </row>
        <row r="4749">
          <cell r="A4749">
            <v>500556</v>
          </cell>
          <cell r="B4749" t="str">
            <v>Fjerder  for  T5</v>
          </cell>
          <cell r="C4749" t="str">
            <v>Spring for T5</v>
          </cell>
          <cell r="D4749">
            <v>5724</v>
          </cell>
          <cell r="E4749">
            <v>769.35483870967732</v>
          </cell>
        </row>
        <row r="4750">
          <cell r="A4750">
            <v>500591</v>
          </cell>
          <cell r="B4750" t="str">
            <v>Svampegummi</v>
          </cell>
          <cell r="C4750" t="str">
            <v>Sponge rubber</v>
          </cell>
          <cell r="D4750">
            <v>85</v>
          </cell>
          <cell r="E4750">
            <v>11.424731182795698</v>
          </cell>
        </row>
        <row r="4751">
          <cell r="A4751">
            <v>500621</v>
          </cell>
          <cell r="B4751" t="str">
            <v>Tætningsring ø60 x ø70 x 8</v>
          </cell>
          <cell r="C4751" t="str">
            <v>Sealing ring</v>
          </cell>
          <cell r="D4751">
            <v>35</v>
          </cell>
          <cell r="E4751">
            <v>4.704301075268817</v>
          </cell>
        </row>
        <row r="4752">
          <cell r="A4752">
            <v>500688</v>
          </cell>
          <cell r="B4752" t="str">
            <v>Flangeleje</v>
          </cell>
          <cell r="C4752" t="str">
            <v>Flanged bearing</v>
          </cell>
          <cell r="D4752">
            <v>1450</v>
          </cell>
          <cell r="E4752">
            <v>194.89247311827955</v>
          </cell>
        </row>
        <row r="4753">
          <cell r="A4753">
            <v>500709</v>
          </cell>
          <cell r="B4753" t="str">
            <v>Poseholder 1200 T    AISI 304</v>
          </cell>
          <cell r="C4753" t="str">
            <v>Filter bag cage 1200 T     Stainless</v>
          </cell>
          <cell r="D4753">
            <v>323</v>
          </cell>
          <cell r="E4753">
            <v>43.413978494623656</v>
          </cell>
        </row>
        <row r="4754">
          <cell r="A4754">
            <v>500710</v>
          </cell>
          <cell r="B4754" t="str">
            <v>Poseholder 1800 T    AISI 304</v>
          </cell>
          <cell r="C4754" t="str">
            <v>Filter bag cage 1800 T     Stainless</v>
          </cell>
          <cell r="D4754">
            <v>422</v>
          </cell>
          <cell r="E4754">
            <v>56.72043010752688</v>
          </cell>
        </row>
        <row r="4755">
          <cell r="A4755">
            <v>500711</v>
          </cell>
          <cell r="B4755" t="str">
            <v>Poseholder 2400 T    AISI 304</v>
          </cell>
          <cell r="C4755" t="str">
            <v>Filter bag cage 2400 T     Stainless</v>
          </cell>
          <cell r="D4755">
            <v>494</v>
          </cell>
          <cell r="E4755">
            <v>66.397849462365585</v>
          </cell>
        </row>
        <row r="4756">
          <cell r="A4756">
            <v>500712</v>
          </cell>
          <cell r="B4756" t="str">
            <v>Poseholder 3000 T    AISI 304</v>
          </cell>
          <cell r="C4756" t="str">
            <v>Filter bag cage 3000 T     Stainles</v>
          </cell>
          <cell r="D4756">
            <v>696</v>
          </cell>
          <cell r="E4756">
            <v>93.548387096774192</v>
          </cell>
        </row>
        <row r="4757">
          <cell r="A4757">
            <v>500713</v>
          </cell>
          <cell r="B4757" t="str">
            <v>Poseholder 3600 T    AISI 304</v>
          </cell>
          <cell r="C4757" t="str">
            <v>Filter bag cage 3600 T     Stainles</v>
          </cell>
          <cell r="D4757">
            <v>795</v>
          </cell>
          <cell r="E4757">
            <v>106.85483870967741</v>
          </cell>
        </row>
        <row r="4758">
          <cell r="A4758">
            <v>500716</v>
          </cell>
          <cell r="B4758" t="str">
            <v>Poseholder 1800 TT  AISI 304</v>
          </cell>
          <cell r="C4758" t="str">
            <v>Filter bag cage 1800 TT   Stainless</v>
          </cell>
          <cell r="D4758">
            <v>475</v>
          </cell>
          <cell r="E4758">
            <v>63.844086021505376</v>
          </cell>
        </row>
        <row r="4759">
          <cell r="A4759">
            <v>500717</v>
          </cell>
          <cell r="B4759" t="str">
            <v>Poseholder 1800 TB Galvaniseret</v>
          </cell>
          <cell r="C4759" t="str">
            <v>Filter bag cage 1800 TB  Galvanized</v>
          </cell>
          <cell r="D4759">
            <v>212</v>
          </cell>
          <cell r="E4759">
            <v>28.494623655913976</v>
          </cell>
        </row>
        <row r="4760">
          <cell r="A4760">
            <v>500718</v>
          </cell>
          <cell r="B4760" t="str">
            <v>Poseholder 1800 TB AISI 304</v>
          </cell>
          <cell r="C4760" t="str">
            <v xml:space="preserve">Filter bag cage 1800 TB  Stainless  </v>
          </cell>
          <cell r="D4760">
            <v>422</v>
          </cell>
          <cell r="E4760">
            <v>56.72043010752688</v>
          </cell>
        </row>
        <row r="4761">
          <cell r="A4761">
            <v>500719</v>
          </cell>
          <cell r="B4761" t="str">
            <v>Styrering FRB 10/180</v>
          </cell>
          <cell r="C4761" t="str">
            <v>Guide ring FRB 10/180</v>
          </cell>
          <cell r="D4761">
            <v>58</v>
          </cell>
          <cell r="E4761">
            <v>7.7956989247311821</v>
          </cell>
        </row>
        <row r="4762">
          <cell r="A4762">
            <v>500882</v>
          </cell>
          <cell r="B4762" t="str">
            <v>6kt skrue M10 x 35 A2 DIN 933</v>
          </cell>
          <cell r="C4762" t="str">
            <v>Hexagon screw M10 x 35 A2 DIN 933</v>
          </cell>
          <cell r="D4762">
            <v>2.8</v>
          </cell>
          <cell r="E4762">
            <v>0.37634408602150532</v>
          </cell>
        </row>
        <row r="4763">
          <cell r="A4763">
            <v>500999</v>
          </cell>
          <cell r="B4763" t="str">
            <v>K200-K250 bundstyr L=2400 M80</v>
          </cell>
          <cell r="C4763" t="str">
            <v>K2500-250 bottom guide, L = 2400mm M80</v>
          </cell>
          <cell r="D4763">
            <v>295</v>
          </cell>
          <cell r="E4763">
            <v>39.6505376344086</v>
          </cell>
        </row>
        <row r="4764">
          <cell r="A4764">
            <v>501082</v>
          </cell>
          <cell r="B4764" t="str">
            <v>Rør Ø021,3X02,65 ST33</v>
          </cell>
          <cell r="C4764" t="str">
            <v xml:space="preserve">Pipe </v>
          </cell>
          <cell r="D4764">
            <v>17.5</v>
          </cell>
          <cell r="E4764">
            <v>2.3521505376344085</v>
          </cell>
        </row>
        <row r="4765">
          <cell r="A4765">
            <v>501153</v>
          </cell>
          <cell r="B4765" t="str">
            <v>Klembøsning H0312</v>
          </cell>
          <cell r="C4765" t="str">
            <v>Split bushing H0312</v>
          </cell>
          <cell r="D4765">
            <v>78</v>
          </cell>
          <cell r="E4765">
            <v>10.483870967741934</v>
          </cell>
        </row>
        <row r="4766">
          <cell r="A4766">
            <v>501154</v>
          </cell>
          <cell r="B4766" t="str">
            <v>Sfærisk kugleleje</v>
          </cell>
          <cell r="C4766" t="str">
            <v>Spherical ball bearing</v>
          </cell>
          <cell r="D4766">
            <v>275</v>
          </cell>
          <cell r="E4766">
            <v>36.962365591397848</v>
          </cell>
        </row>
        <row r="4767">
          <cell r="A4767">
            <v>501155</v>
          </cell>
          <cell r="B4767" t="str">
            <v>Klembøsning</v>
          </cell>
          <cell r="C4767" t="str">
            <v>Split bushing</v>
          </cell>
          <cell r="D4767">
            <v>90</v>
          </cell>
          <cell r="E4767">
            <v>12.096774193548386</v>
          </cell>
        </row>
        <row r="4768">
          <cell r="A4768">
            <v>501164</v>
          </cell>
          <cell r="B4768" t="str">
            <v>Kuglelejer</v>
          </cell>
          <cell r="C4768" t="str">
            <v>Ball bearing</v>
          </cell>
          <cell r="D4768">
            <v>750</v>
          </cell>
          <cell r="E4768">
            <v>100.80645161290322</v>
          </cell>
        </row>
        <row r="4769">
          <cell r="A4769">
            <v>501186</v>
          </cell>
          <cell r="B4769" t="str">
            <v>Sfærisk rulleleje</v>
          </cell>
          <cell r="C4769" t="str">
            <v>Spherical roller bearing</v>
          </cell>
          <cell r="D4769">
            <v>425</v>
          </cell>
          <cell r="E4769">
            <v>57.123655913978489</v>
          </cell>
        </row>
        <row r="4770">
          <cell r="A4770">
            <v>501187</v>
          </cell>
          <cell r="B4770" t="str">
            <v>Klembøsning</v>
          </cell>
          <cell r="C4770" t="str">
            <v>Spilt bushing</v>
          </cell>
          <cell r="D4770">
            <v>145</v>
          </cell>
          <cell r="E4770">
            <v>19.489247311827956</v>
          </cell>
        </row>
        <row r="4771">
          <cell r="A4771">
            <v>501189</v>
          </cell>
          <cell r="B4771" t="str">
            <v>Klembøsning</v>
          </cell>
          <cell r="C4771" t="str">
            <v>Split bushing</v>
          </cell>
          <cell r="D4771">
            <v>180</v>
          </cell>
          <cell r="E4771">
            <v>24.193548387096772</v>
          </cell>
        </row>
        <row r="4772">
          <cell r="A4772">
            <v>501192</v>
          </cell>
          <cell r="B4772" t="str">
            <v>Leje 22218ESK</v>
          </cell>
          <cell r="C4772" t="str">
            <v>Bearing 22218ESK</v>
          </cell>
          <cell r="D4772">
            <v>1166</v>
          </cell>
          <cell r="E4772">
            <v>156.72043010752688</v>
          </cell>
        </row>
        <row r="4773">
          <cell r="A4773">
            <v>501203</v>
          </cell>
          <cell r="B4773" t="str">
            <v>Klembøsning H320</v>
          </cell>
          <cell r="C4773" t="str">
            <v>Split bushing H320</v>
          </cell>
          <cell r="D4773">
            <v>320</v>
          </cell>
          <cell r="E4773">
            <v>43.01075268817204</v>
          </cell>
        </row>
        <row r="4774">
          <cell r="A4774">
            <v>501250</v>
          </cell>
          <cell r="B4774" t="str">
            <v>Leje</v>
          </cell>
          <cell r="C4774" t="str">
            <v xml:space="preserve">Bearing </v>
          </cell>
          <cell r="D4774">
            <v>196</v>
          </cell>
          <cell r="E4774">
            <v>26.344086021505376</v>
          </cell>
        </row>
        <row r="4775">
          <cell r="A4775">
            <v>501268</v>
          </cell>
          <cell r="B4775" t="str">
            <v>Leje</v>
          </cell>
          <cell r="C4775" t="str">
            <v>Bearing</v>
          </cell>
          <cell r="D4775">
            <v>398</v>
          </cell>
          <cell r="E4775">
            <v>53.494623655913976</v>
          </cell>
        </row>
        <row r="4776">
          <cell r="A4776">
            <v>501269</v>
          </cell>
          <cell r="B4776" t="str">
            <v>Flangeleje</v>
          </cell>
          <cell r="C4776" t="str">
            <v>Flanged bearing</v>
          </cell>
          <cell r="D4776">
            <v>360</v>
          </cell>
          <cell r="E4776">
            <v>48.387096774193544</v>
          </cell>
        </row>
        <row r="4777">
          <cell r="A4777">
            <v>501284</v>
          </cell>
          <cell r="B4777" t="str">
            <v>Flangeleje</v>
          </cell>
          <cell r="C4777" t="str">
            <v>Flanged bearing</v>
          </cell>
          <cell r="D4777">
            <v>2378</v>
          </cell>
          <cell r="E4777">
            <v>319.6236559139785</v>
          </cell>
        </row>
        <row r="4778">
          <cell r="A4778">
            <v>501308</v>
          </cell>
          <cell r="B4778" t="str">
            <v>Lejehus</v>
          </cell>
          <cell r="C4778" t="str">
            <v>Bearing housing</v>
          </cell>
          <cell r="D4778">
            <v>475</v>
          </cell>
          <cell r="E4778">
            <v>63.844086021505376</v>
          </cell>
        </row>
        <row r="4779">
          <cell r="A4779">
            <v>501310</v>
          </cell>
          <cell r="B4779" t="str">
            <v>Lejehus</v>
          </cell>
          <cell r="C4779" t="str">
            <v>Bearing housing</v>
          </cell>
          <cell r="D4779">
            <v>650</v>
          </cell>
          <cell r="E4779">
            <v>87.365591397849457</v>
          </cell>
        </row>
        <row r="4780">
          <cell r="A4780">
            <v>501312</v>
          </cell>
          <cell r="B4780" t="str">
            <v>Lejehus SNL518-615</v>
          </cell>
          <cell r="C4780" t="str">
            <v>Housing for bearing SNL518-615</v>
          </cell>
          <cell r="D4780">
            <v>954</v>
          </cell>
          <cell r="E4780">
            <v>128.2258064516129</v>
          </cell>
        </row>
        <row r="4781">
          <cell r="A4781">
            <v>501321</v>
          </cell>
          <cell r="B4781" t="str">
            <v>Tætning</v>
          </cell>
          <cell r="C4781" t="str">
            <v>Seal</v>
          </cell>
          <cell r="D4781">
            <v>75</v>
          </cell>
          <cell r="E4781">
            <v>10.080645161290322</v>
          </cell>
        </row>
        <row r="4782">
          <cell r="A4782">
            <v>501322</v>
          </cell>
          <cell r="B4782" t="str">
            <v>Tætning</v>
          </cell>
          <cell r="C4782" t="str">
            <v>Seal</v>
          </cell>
          <cell r="D4782">
            <v>80</v>
          </cell>
          <cell r="E4782">
            <v>10.75268817204301</v>
          </cell>
        </row>
        <row r="4783">
          <cell r="A4783">
            <v>501325</v>
          </cell>
          <cell r="B4783" t="str">
            <v>Tætningsring TSNA 518 A</v>
          </cell>
          <cell r="C4783" t="str">
            <v>Seal ring TSNA 518A</v>
          </cell>
          <cell r="D4783">
            <v>90</v>
          </cell>
          <cell r="E4783">
            <v>12.096774193548386</v>
          </cell>
        </row>
        <row r="4784">
          <cell r="A4784">
            <v>501329</v>
          </cell>
          <cell r="B4784" t="str">
            <v>Tætning</v>
          </cell>
          <cell r="C4784" t="str">
            <v>Seal</v>
          </cell>
          <cell r="D4784">
            <v>110</v>
          </cell>
          <cell r="E4784">
            <v>14.784946236559138</v>
          </cell>
        </row>
        <row r="4785">
          <cell r="A4785">
            <v>501351</v>
          </cell>
          <cell r="B4785" t="str">
            <v>Styrering</v>
          </cell>
          <cell r="C4785" t="str">
            <v>Guide ring</v>
          </cell>
          <cell r="D4785">
            <v>20</v>
          </cell>
          <cell r="E4785">
            <v>2.6881720430107525</v>
          </cell>
        </row>
        <row r="4786">
          <cell r="A4786">
            <v>501355</v>
          </cell>
          <cell r="B4786" t="str">
            <v>Styrering FRB 12,5/160</v>
          </cell>
          <cell r="C4786" t="str">
            <v>Guide ring FRB 12,5/160</v>
          </cell>
          <cell r="D4786">
            <v>37</v>
          </cell>
          <cell r="E4786">
            <v>4.9731182795698921</v>
          </cell>
        </row>
        <row r="4787">
          <cell r="A4787">
            <v>501361</v>
          </cell>
          <cell r="B4787" t="str">
            <v>Styrering</v>
          </cell>
          <cell r="C4787" t="str">
            <v>Guide ring</v>
          </cell>
          <cell r="D4787">
            <v>58</v>
          </cell>
          <cell r="E4787">
            <v>7.7956989247311821</v>
          </cell>
        </row>
        <row r="4788">
          <cell r="A4788">
            <v>501372</v>
          </cell>
          <cell r="B4788" t="str">
            <v>Styrering</v>
          </cell>
          <cell r="C4788" t="str">
            <v>Guide ring</v>
          </cell>
          <cell r="D4788">
            <v>36</v>
          </cell>
          <cell r="E4788">
            <v>4.838709677419355</v>
          </cell>
        </row>
        <row r="4789">
          <cell r="A4789">
            <v>501389</v>
          </cell>
          <cell r="B4789" t="str">
            <v>Låsemøtrik for leje</v>
          </cell>
          <cell r="C4789" t="str">
            <v>Bearing lock nut</v>
          </cell>
          <cell r="D4789">
            <v>106</v>
          </cell>
          <cell r="E4789">
            <v>14.247311827956988</v>
          </cell>
        </row>
        <row r="4790">
          <cell r="A4790">
            <v>501408</v>
          </cell>
          <cell r="B4790" t="str">
            <v>Låseblik for leje</v>
          </cell>
          <cell r="C4790" t="str">
            <v>Bearing lock nut</v>
          </cell>
          <cell r="D4790">
            <v>19.100000000000001</v>
          </cell>
          <cell r="E4790">
            <v>2.567204301075269</v>
          </cell>
        </row>
        <row r="4791">
          <cell r="A4791">
            <v>501421</v>
          </cell>
          <cell r="B4791" t="str">
            <v>Rullekæde</v>
          </cell>
          <cell r="C4791" t="str">
            <v xml:space="preserve">Rollerchain simplex </v>
          </cell>
          <cell r="D4791">
            <v>159</v>
          </cell>
          <cell r="E4791">
            <v>21.370967741935484</v>
          </cell>
        </row>
        <row r="4792">
          <cell r="A4792">
            <v>501511</v>
          </cell>
          <cell r="B4792" t="str">
            <v>Tilbageløbsbremse</v>
          </cell>
          <cell r="C4792" t="str">
            <v>Reverse brake</v>
          </cell>
          <cell r="D4792">
            <v>7450</v>
          </cell>
          <cell r="E4792">
            <v>1001.3440860215053</v>
          </cell>
        </row>
        <row r="4793">
          <cell r="A4793">
            <v>501541</v>
          </cell>
          <cell r="B4793" t="str">
            <v xml:space="preserve">Koblingsnav   T5  ø 80 </v>
          </cell>
          <cell r="C4793" t="str">
            <v>Coupling, hub   T5 ø80</v>
          </cell>
          <cell r="D4793">
            <v>3127</v>
          </cell>
          <cell r="E4793">
            <v>420.29569892473114</v>
          </cell>
        </row>
        <row r="4794">
          <cell r="A4794">
            <v>501543</v>
          </cell>
          <cell r="B4794" t="str">
            <v>Fjeder for Winflex T2</v>
          </cell>
          <cell r="C4794" t="str">
            <v>Spring for Winflex T2</v>
          </cell>
          <cell r="D4794">
            <v>2449</v>
          </cell>
          <cell r="E4794">
            <v>329.16666666666663</v>
          </cell>
        </row>
        <row r="4795">
          <cell r="A4795">
            <v>501556</v>
          </cell>
          <cell r="B4795" t="str">
            <v>Styrering for leje</v>
          </cell>
          <cell r="C4795" t="str">
            <v>Bearing guide ring</v>
          </cell>
          <cell r="D4795">
            <v>37</v>
          </cell>
          <cell r="E4795">
            <v>4.9731182795698921</v>
          </cell>
        </row>
        <row r="4796">
          <cell r="A4796">
            <v>501851</v>
          </cell>
          <cell r="B4796" t="str">
            <v>T forskruning Parker P6F-ATS48-010</v>
          </cell>
          <cell r="C4796" t="str">
            <v>T connection Parker P6F-ATS48-010</v>
          </cell>
          <cell r="D4796">
            <v>27</v>
          </cell>
          <cell r="E4796">
            <v>3.629032258064516</v>
          </cell>
        </row>
        <row r="4797">
          <cell r="A4797">
            <v>501852</v>
          </cell>
          <cell r="B4797" t="str">
            <v>T forskruning Parker P6F-ATS-JPB6</v>
          </cell>
          <cell r="C4797" t="str">
            <v>T connection Parker P6F-ATS-JPB6</v>
          </cell>
          <cell r="D4797">
            <v>23</v>
          </cell>
          <cell r="E4797">
            <v>3.0913978494623655</v>
          </cell>
        </row>
        <row r="4798">
          <cell r="A4798">
            <v>501855</v>
          </cell>
          <cell r="B4798" t="str">
            <v>Lyddæmper G 1/8”</v>
          </cell>
          <cell r="C4798" t="str">
            <v>Throttle valve G 1/8”</v>
          </cell>
          <cell r="D4798">
            <v>45</v>
          </cell>
          <cell r="E4798">
            <v>6.0483870967741931</v>
          </cell>
        </row>
        <row r="4799">
          <cell r="A4799">
            <v>501866</v>
          </cell>
          <cell r="B4799" t="str">
            <v>Lav vinkel 1/8”-ø6</v>
          </cell>
          <cell r="C4799" t="str">
            <v>Low elbow</v>
          </cell>
          <cell r="D4799">
            <v>28</v>
          </cell>
          <cell r="E4799">
            <v>3.7634408602150535</v>
          </cell>
        </row>
        <row r="4800">
          <cell r="A4800">
            <v>501868</v>
          </cell>
          <cell r="B4800" t="str">
            <v>Ligeforskruning Parker P6F-ASYA148</v>
          </cell>
          <cell r="C4800" t="str">
            <v>Straight screw closure Parker P6F-ASYA148</v>
          </cell>
          <cell r="D4800">
            <v>23</v>
          </cell>
          <cell r="E4800">
            <v>3.0913978494623655</v>
          </cell>
        </row>
        <row r="4801">
          <cell r="A4801">
            <v>501869</v>
          </cell>
          <cell r="B4801" t="str">
            <v>Lige fitting ¼”-ø8</v>
          </cell>
          <cell r="C4801" t="str">
            <v>Straight fitting ¼”-ø8</v>
          </cell>
          <cell r="D4801">
            <v>30</v>
          </cell>
          <cell r="E4801">
            <v>4.032258064516129</v>
          </cell>
        </row>
        <row r="4802">
          <cell r="A4802">
            <v>501874</v>
          </cell>
          <cell r="B4802" t="str">
            <v>Lige fitting ¼”-ø6</v>
          </cell>
          <cell r="C4802" t="str">
            <v>Straight fitting ¼”-ø6</v>
          </cell>
          <cell r="D4802">
            <v>27</v>
          </cell>
          <cell r="E4802">
            <v>3.629032258064516</v>
          </cell>
        </row>
        <row r="4803">
          <cell r="A4803">
            <v>501885</v>
          </cell>
          <cell r="B4803" t="str">
            <v>Lyddæmper 1/8"</v>
          </cell>
          <cell r="C4803" t="str">
            <v>Noise damper 1/8"</v>
          </cell>
          <cell r="D4803">
            <v>23</v>
          </cell>
          <cell r="E4803">
            <v>3.0913978494623655</v>
          </cell>
        </row>
        <row r="4804">
          <cell r="A4804">
            <v>501956</v>
          </cell>
          <cell r="B4804" t="str">
            <v>Vibrationsdæmper</v>
          </cell>
          <cell r="C4804" t="str">
            <v>Vibration damper</v>
          </cell>
          <cell r="D4804">
            <v>260</v>
          </cell>
          <cell r="E4804">
            <v>34.946236559139784</v>
          </cell>
        </row>
        <row r="4805">
          <cell r="A4805">
            <v>501975</v>
          </cell>
          <cell r="B4805" t="str">
            <v>Stjernegreb</v>
          </cell>
          <cell r="C4805" t="str">
            <v>Star handle</v>
          </cell>
          <cell r="D4805">
            <v>27</v>
          </cell>
          <cell r="E4805">
            <v>3.629032258064516</v>
          </cell>
        </row>
        <row r="4806">
          <cell r="A4806">
            <v>501976</v>
          </cell>
          <cell r="B4806" t="str">
            <v>Fingerskrue</v>
          </cell>
          <cell r="C4806" t="str">
            <v>Thumb screw</v>
          </cell>
          <cell r="D4806">
            <v>49</v>
          </cell>
          <cell r="E4806">
            <v>6.586021505376344</v>
          </cell>
        </row>
        <row r="4807">
          <cell r="A4807">
            <v>501977</v>
          </cell>
          <cell r="B4807" t="str">
            <v>Håndtag</v>
          </cell>
          <cell r="C4807" t="str">
            <v>Handle</v>
          </cell>
          <cell r="D4807">
            <v>58</v>
          </cell>
          <cell r="E4807">
            <v>7.7956989247311821</v>
          </cell>
        </row>
        <row r="4808">
          <cell r="A4808">
            <v>501994</v>
          </cell>
          <cell r="B4808" t="str">
            <v>Kærvstift Ø8 x 40 FZB DIN1475</v>
          </cell>
          <cell r="C4808" t="str">
            <v>Slot pin Ø8 x 40 FZB DIN1475</v>
          </cell>
          <cell r="D4808">
            <v>2.7</v>
          </cell>
          <cell r="E4808">
            <v>0.36290322580645162</v>
          </cell>
        </row>
        <row r="4809">
          <cell r="A4809">
            <v>501997</v>
          </cell>
          <cell r="B4809" t="str">
            <v>Øjebolt</v>
          </cell>
          <cell r="C4809" t="str">
            <v xml:space="preserve">Eyebolt </v>
          </cell>
          <cell r="D4809">
            <v>37</v>
          </cell>
          <cell r="E4809">
            <v>4.9731182795698921</v>
          </cell>
        </row>
        <row r="4810">
          <cell r="A4810">
            <v>502010</v>
          </cell>
          <cell r="B4810" t="str">
            <v>Øjebolt B M12x100 DIN 444 4.6</v>
          </cell>
          <cell r="C4810" t="str">
            <v>Eye bolt B M12 x 100 DIN 444 4.6</v>
          </cell>
          <cell r="D4810">
            <v>27</v>
          </cell>
          <cell r="E4810">
            <v>3.629032258064516</v>
          </cell>
        </row>
        <row r="4811">
          <cell r="A4811">
            <v>502021</v>
          </cell>
          <cell r="B4811" t="str">
            <v>Smørenippel 1/8" RG lige</v>
          </cell>
          <cell r="C4811" t="str">
            <v>Grease nipple 1/8" RG straight</v>
          </cell>
          <cell r="D4811">
            <v>2.4</v>
          </cell>
          <cell r="E4811">
            <v>0.32258064516129031</v>
          </cell>
        </row>
        <row r="4812">
          <cell r="A4812">
            <v>502022</v>
          </cell>
          <cell r="B4812" t="str">
            <v>Smørenippel 1/8” 45°</v>
          </cell>
          <cell r="C4812" t="str">
            <v>Grease nipple 1/8” 45°</v>
          </cell>
          <cell r="D4812">
            <v>5.6</v>
          </cell>
          <cell r="E4812">
            <v>0.75268817204301064</v>
          </cell>
        </row>
        <row r="4813">
          <cell r="A4813">
            <v>502025</v>
          </cell>
          <cell r="B4813" t="str">
            <v>Smørenippel</v>
          </cell>
          <cell r="C4813" t="str">
            <v>Grease nipple</v>
          </cell>
          <cell r="D4813">
            <v>8</v>
          </cell>
          <cell r="E4813">
            <v>1.075268817204301</v>
          </cell>
        </row>
        <row r="4814">
          <cell r="A4814">
            <v>502076</v>
          </cell>
          <cell r="B4814" t="str">
            <v>Oliebronzeleje 30/40x20-50x5</v>
          </cell>
          <cell r="C4814" t="str">
            <v>Bronze bearing 30/40x20-50x5</v>
          </cell>
          <cell r="D4814">
            <v>80</v>
          </cell>
          <cell r="E4814">
            <v>10.75268817204301</v>
          </cell>
        </row>
        <row r="4815">
          <cell r="A4815">
            <v>502112</v>
          </cell>
          <cell r="B4815" t="str">
            <v>Feder 18x11x60</v>
          </cell>
          <cell r="C4815" t="str">
            <v>Parallel key 18x11x60</v>
          </cell>
          <cell r="D4815">
            <v>10.6</v>
          </cell>
          <cell r="E4815">
            <v>1.4247311827956988</v>
          </cell>
        </row>
        <row r="4816">
          <cell r="A4816">
            <v>502120</v>
          </cell>
          <cell r="B4816" t="str">
            <v>Feder</v>
          </cell>
          <cell r="C4816" t="str">
            <v>Parallel key</v>
          </cell>
          <cell r="D4816">
            <v>20</v>
          </cell>
          <cell r="E4816">
            <v>2.6881720430107525</v>
          </cell>
        </row>
        <row r="4817">
          <cell r="A4817">
            <v>502121</v>
          </cell>
          <cell r="B4817" t="str">
            <v>Feder A 8x7x36 DS96</v>
          </cell>
          <cell r="C4817" t="str">
            <v>Parallel Key A 8x7x36   DS96</v>
          </cell>
          <cell r="D4817">
            <v>3.2</v>
          </cell>
          <cell r="E4817">
            <v>0.43010752688172044</v>
          </cell>
        </row>
        <row r="4818">
          <cell r="A4818">
            <v>502129</v>
          </cell>
          <cell r="B4818" t="str">
            <v>Feder A 10x8x30 DS96</v>
          </cell>
          <cell r="C4818" t="str">
            <v>Parallel key 10x8x30 DS96</v>
          </cell>
          <cell r="D4818">
            <v>3.6</v>
          </cell>
          <cell r="E4818">
            <v>0.48387096774193544</v>
          </cell>
        </row>
        <row r="4819">
          <cell r="A4819">
            <v>502130</v>
          </cell>
          <cell r="B4819" t="str">
            <v>Feder</v>
          </cell>
          <cell r="C4819" t="str">
            <v>Parallel key</v>
          </cell>
          <cell r="D4819">
            <v>9</v>
          </cell>
          <cell r="E4819">
            <v>1.2096774193548387</v>
          </cell>
        </row>
        <row r="4820">
          <cell r="A4820">
            <v>502131</v>
          </cell>
          <cell r="B4820" t="str">
            <v>Feder</v>
          </cell>
          <cell r="C4820" t="str">
            <v>Parallel key</v>
          </cell>
          <cell r="D4820">
            <v>6</v>
          </cell>
          <cell r="E4820">
            <v>0.80645161290322576</v>
          </cell>
        </row>
        <row r="4821">
          <cell r="A4821">
            <v>502134</v>
          </cell>
          <cell r="B4821" t="str">
            <v>Feder</v>
          </cell>
          <cell r="C4821" t="str">
            <v>Parallel key</v>
          </cell>
          <cell r="D4821">
            <v>12</v>
          </cell>
          <cell r="E4821">
            <v>1.6129032258064515</v>
          </cell>
        </row>
        <row r="4822">
          <cell r="A4822">
            <v>502382</v>
          </cell>
          <cell r="B4822" t="str">
            <v>Spændekrog</v>
          </cell>
          <cell r="C4822" t="str">
            <v>Clamping hook</v>
          </cell>
          <cell r="D4822">
            <v>37</v>
          </cell>
          <cell r="E4822">
            <v>4.9731182795698921</v>
          </cell>
        </row>
        <row r="4823">
          <cell r="A4823">
            <v>502383</v>
          </cell>
          <cell r="B4823" t="str">
            <v>Stjernenøgle</v>
          </cell>
          <cell r="C4823" t="str">
            <v>Ring spanner</v>
          </cell>
          <cell r="D4823">
            <v>578</v>
          </cell>
          <cell r="E4823">
            <v>77.688172043010752</v>
          </cell>
        </row>
        <row r="4824">
          <cell r="A4824">
            <v>502557</v>
          </cell>
          <cell r="B4824" t="str">
            <v>Spændeskive  buet  M 8 DIN  15237</v>
          </cell>
          <cell r="C4824" t="str">
            <v>Washer M8  DIN 15237</v>
          </cell>
          <cell r="D4824">
            <v>0.9</v>
          </cell>
          <cell r="E4824">
            <v>0.12096774193548386</v>
          </cell>
        </row>
        <row r="4825">
          <cell r="A4825">
            <v>502558</v>
          </cell>
          <cell r="B4825" t="str">
            <v>Gummiskive ø 30 x ø8  x 5</v>
          </cell>
          <cell r="C4825" t="str">
            <v>Rubber washer  ø30 xø8 x5</v>
          </cell>
          <cell r="D4825">
            <v>1.6</v>
          </cell>
          <cell r="E4825">
            <v>0.21505376344086022</v>
          </cell>
        </row>
        <row r="4826">
          <cell r="A4826">
            <v>502589</v>
          </cell>
          <cell r="B4826" t="str">
            <v>Tilbageløbsbremse</v>
          </cell>
          <cell r="C4826" t="str">
            <v>Reverse brake</v>
          </cell>
          <cell r="D4826">
            <v>2375</v>
          </cell>
          <cell r="E4826">
            <v>319.22043010752685</v>
          </cell>
        </row>
        <row r="4827">
          <cell r="A4827">
            <v>502618</v>
          </cell>
          <cell r="B4827" t="str">
            <v>Taperlock 2517 ø 60</v>
          </cell>
          <cell r="C4827" t="str">
            <v>Taperlock 2517 ø 60</v>
          </cell>
          <cell r="D4827">
            <v>65</v>
          </cell>
          <cell r="E4827">
            <v>8.736559139784946</v>
          </cell>
        </row>
        <row r="4828">
          <cell r="A4828">
            <v>502619</v>
          </cell>
          <cell r="B4828" t="str">
            <v>Spændeelement TL 3030 – ø75</v>
          </cell>
          <cell r="C4828" t="str">
            <v>Shaft adapter, taper-lock TL 3030 – ø75</v>
          </cell>
          <cell r="D4828">
            <v>84</v>
          </cell>
          <cell r="E4828">
            <v>11.29032258064516</v>
          </cell>
        </row>
        <row r="4829">
          <cell r="A4829">
            <v>502897</v>
          </cell>
          <cell r="B4829" t="str">
            <v>Slange NYLON NRM08 natur</v>
          </cell>
          <cell r="C4829" t="str">
            <v>Hose nylon NRM08 nature</v>
          </cell>
          <cell r="D4829">
            <v>9.5</v>
          </cell>
          <cell r="E4829">
            <v>1.2768817204301075</v>
          </cell>
        </row>
        <row r="4830">
          <cell r="A4830">
            <v>502906</v>
          </cell>
          <cell r="B4830" t="str">
            <v>Poseholder 2400 S   AISI 304</v>
          </cell>
          <cell r="C4830" t="str">
            <v>Filter bag cage 2400 S    Stainless</v>
          </cell>
          <cell r="D4830">
            <v>494</v>
          </cell>
          <cell r="E4830">
            <v>66.397849462365585</v>
          </cell>
        </row>
        <row r="4831">
          <cell r="A4831">
            <v>502907</v>
          </cell>
          <cell r="B4831" t="str">
            <v>Poseholder 3000 S   AISI 304</v>
          </cell>
          <cell r="C4831" t="str">
            <v>Filter bag cage 3000 S    Stainless</v>
          </cell>
          <cell r="D4831">
            <v>677</v>
          </cell>
          <cell r="E4831">
            <v>90.994623655913969</v>
          </cell>
        </row>
        <row r="4832">
          <cell r="A4832">
            <v>502908</v>
          </cell>
          <cell r="B4832" t="str">
            <v>Poseholder 1800 S   AISI 304</v>
          </cell>
          <cell r="C4832" t="str">
            <v>Filter bag cage 1800 S    Stainless</v>
          </cell>
          <cell r="D4832">
            <v>382</v>
          </cell>
          <cell r="E4832">
            <v>51.344086021505376</v>
          </cell>
        </row>
        <row r="4833">
          <cell r="A4833">
            <v>502909</v>
          </cell>
          <cell r="B4833" t="str">
            <v>Poseholder 1800 S   Galvaniseret</v>
          </cell>
          <cell r="C4833" t="str">
            <v>Filter bag cage 1800 S    Galvanized</v>
          </cell>
          <cell r="D4833">
            <v>223</v>
          </cell>
          <cell r="E4833">
            <v>29.973118279569892</v>
          </cell>
        </row>
        <row r="4834">
          <cell r="A4834">
            <v>502910</v>
          </cell>
          <cell r="B4834" t="str">
            <v>Poseholder 2400 S   Galvaniseret</v>
          </cell>
          <cell r="C4834" t="str">
            <v>Filter bag cage 2400 S    Galvanized</v>
          </cell>
          <cell r="D4834">
            <v>271</v>
          </cell>
          <cell r="E4834">
            <v>36.424731182795696</v>
          </cell>
        </row>
        <row r="4835">
          <cell r="A4835">
            <v>502911</v>
          </cell>
          <cell r="B4835" t="str">
            <v>Poseholder 3000 S   Galvaniseret</v>
          </cell>
          <cell r="C4835" t="str">
            <v>Filter bag cage 3000 S    Galvanized</v>
          </cell>
          <cell r="D4835">
            <v>312</v>
          </cell>
          <cell r="E4835">
            <v>41.935483870967737</v>
          </cell>
        </row>
        <row r="4836">
          <cell r="A4836">
            <v>502912</v>
          </cell>
          <cell r="B4836" t="str">
            <v>Poseholder 1200 S   Galvaniseret</v>
          </cell>
          <cell r="C4836" t="str">
            <v>Filter bag cage 1200 S    Galvanized</v>
          </cell>
          <cell r="D4836">
            <v>187</v>
          </cell>
          <cell r="E4836">
            <v>25.134408602150536</v>
          </cell>
        </row>
        <row r="4837">
          <cell r="A4837">
            <v>502913</v>
          </cell>
          <cell r="B4837" t="str">
            <v>Poseholder 3600 S   Galvaniseret</v>
          </cell>
          <cell r="C4837" t="str">
            <v>Filter bag cage 3600 S    Galvanized</v>
          </cell>
          <cell r="D4837">
            <v>362</v>
          </cell>
          <cell r="E4837">
            <v>48.655913978494624</v>
          </cell>
        </row>
        <row r="4838">
          <cell r="A4838">
            <v>502983</v>
          </cell>
          <cell r="B4838" t="str">
            <v>Låsemøtrik M8 DIN985 FZB</v>
          </cell>
          <cell r="C4838" t="str">
            <v>Lock nut M8 DIN985 FZB</v>
          </cell>
          <cell r="D4838">
            <v>1</v>
          </cell>
          <cell r="E4838">
            <v>0.13440860215053763</v>
          </cell>
        </row>
        <row r="4839">
          <cell r="A4839">
            <v>503007</v>
          </cell>
          <cell r="B4839" t="str">
            <v>6-kt. Skrue M12 x 40 DIN 933</v>
          </cell>
          <cell r="C4839" t="str">
            <v>Hex screw M12 x 40 DIN 933</v>
          </cell>
          <cell r="D4839">
            <v>2</v>
          </cell>
          <cell r="E4839">
            <v>0.26881720430107525</v>
          </cell>
        </row>
        <row r="4840">
          <cell r="A4840">
            <v>503029</v>
          </cell>
          <cell r="B4840" t="str">
            <v>Cyl. skrue M10x25 FZB DIN912</v>
          </cell>
          <cell r="C4840" t="str">
            <v>Cyl. screw M10 x25  FZB  DIN912</v>
          </cell>
          <cell r="D4840">
            <v>1.6</v>
          </cell>
          <cell r="E4840">
            <v>0.21505376344086022</v>
          </cell>
        </row>
        <row r="4841">
          <cell r="A4841">
            <v>503030</v>
          </cell>
          <cell r="B4841" t="str">
            <v>Cyl. skrue M10 x 60 12.9 DIN912</v>
          </cell>
          <cell r="C4841" t="str">
            <v>Cyl. screw M10 x 60 12.9 DIN912</v>
          </cell>
          <cell r="D4841">
            <v>4.2</v>
          </cell>
          <cell r="E4841">
            <v>0.56451612903225801</v>
          </cell>
        </row>
        <row r="4842">
          <cell r="A4842">
            <v>503035</v>
          </cell>
          <cell r="B4842" t="str">
            <v>6-kt. Skrue M20 x 80 DIN 931</v>
          </cell>
          <cell r="C4842" t="str">
            <v>Hex screw M20 x 80 DIN 931</v>
          </cell>
          <cell r="D4842">
            <v>12.2</v>
          </cell>
          <cell r="E4842">
            <v>1.639784946236559</v>
          </cell>
        </row>
        <row r="4843">
          <cell r="A4843">
            <v>503048</v>
          </cell>
          <cell r="B4843" t="str">
            <v>6kt skrue M16x30 DIN933 FZB</v>
          </cell>
          <cell r="C4843" t="str">
            <v>Set screw M16x30 DIN933 FZB</v>
          </cell>
          <cell r="D4843">
            <v>3.7</v>
          </cell>
          <cell r="E4843">
            <v>0.49731182795698925</v>
          </cell>
        </row>
        <row r="4844">
          <cell r="A4844">
            <v>503059</v>
          </cell>
          <cell r="B4844" t="str">
            <v>6KT skrue M12x100 DIN 931 FZB</v>
          </cell>
          <cell r="C4844" t="str">
            <v>Hex. screw M12x100 DIN 931 FZB</v>
          </cell>
          <cell r="D4844">
            <v>4.2</v>
          </cell>
          <cell r="E4844">
            <v>0.56451612903225801</v>
          </cell>
        </row>
        <row r="4845">
          <cell r="A4845">
            <v>503075</v>
          </cell>
          <cell r="B4845" t="str">
            <v>Pinolskrue M 8X012 45H DIN 916</v>
          </cell>
          <cell r="C4845" t="str">
            <v>Centre screw M 8 x 12  45H DIN916</v>
          </cell>
          <cell r="D4845">
            <v>1.01</v>
          </cell>
          <cell r="E4845">
            <v>0.135752688172043</v>
          </cell>
        </row>
        <row r="4846">
          <cell r="A4846">
            <v>503108</v>
          </cell>
          <cell r="B4846" t="str">
            <v>Mikroswitch kort arm XCK  M115</v>
          </cell>
          <cell r="C4846" t="str">
            <v>Micro switch  XCK -M 115</v>
          </cell>
          <cell r="D4846">
            <v>196</v>
          </cell>
          <cell r="E4846">
            <v>26.344086021505376</v>
          </cell>
        </row>
        <row r="4847">
          <cell r="A4847">
            <v>503124</v>
          </cell>
          <cell r="B4847" t="str">
            <v>Split Ø5 x 40 DIN 94</v>
          </cell>
          <cell r="C4847" t="str">
            <v>Spring split Ø5 x 40 DIN 94</v>
          </cell>
          <cell r="D4847">
            <v>0.7</v>
          </cell>
          <cell r="E4847">
            <v>9.408602150537633E-2</v>
          </cell>
        </row>
        <row r="4848">
          <cell r="A4848">
            <v>503150</v>
          </cell>
          <cell r="B4848" t="str">
            <v>Møtrik M16 A2</v>
          </cell>
          <cell r="C4848" t="str">
            <v>Nut M16 A2</v>
          </cell>
          <cell r="D4848">
            <v>3.7</v>
          </cell>
          <cell r="E4848">
            <v>0.49731182795698925</v>
          </cell>
        </row>
        <row r="4849">
          <cell r="A4849">
            <v>503166</v>
          </cell>
          <cell r="B4849" t="str">
            <v>6-kt. Skrue M5 x 16 A2 DIN933</v>
          </cell>
          <cell r="C4849" t="str">
            <v>Hex screw M5 x 16 A2 DIN933</v>
          </cell>
          <cell r="D4849">
            <v>0.5</v>
          </cell>
          <cell r="E4849">
            <v>6.7204301075268813E-2</v>
          </cell>
        </row>
        <row r="4850">
          <cell r="A4850">
            <v>503168</v>
          </cell>
          <cell r="B4850" t="str">
            <v>Topmøtrik M5 DIN 158A2</v>
          </cell>
          <cell r="C4850" t="str">
            <v>Top nut M5 DIN 158A2</v>
          </cell>
          <cell r="D4850">
            <v>6.1</v>
          </cell>
          <cell r="E4850">
            <v>0.81989247311827951</v>
          </cell>
        </row>
        <row r="4851">
          <cell r="A4851">
            <v>503207</v>
          </cell>
          <cell r="B4851" t="str">
            <v>K315 slidplade strammestation</v>
          </cell>
          <cell r="C4851" t="str">
            <v>K315 tightening station wear plate</v>
          </cell>
          <cell r="D4851">
            <v>285</v>
          </cell>
          <cell r="E4851">
            <v>38.306451612903224</v>
          </cell>
        </row>
        <row r="4852">
          <cell r="A4852">
            <v>503210</v>
          </cell>
          <cell r="B4852" t="str">
            <v>6-kantskrue M20 x 55 DIN 933 8.8 FZB</v>
          </cell>
          <cell r="C4852" t="str">
            <v>Hex. head screw M20 x 55 DIN 933 8.8 FZB</v>
          </cell>
          <cell r="D4852">
            <v>8.6999999999999993</v>
          </cell>
          <cell r="E4852">
            <v>1.1693548387096773</v>
          </cell>
        </row>
        <row r="4853">
          <cell r="A4853">
            <v>503237</v>
          </cell>
          <cell r="B4853" t="str">
            <v>Møtrik M6 DIN934</v>
          </cell>
          <cell r="C4853" t="str">
            <v>Nut M6  DIN934</v>
          </cell>
          <cell r="D4853">
            <v>0.1</v>
          </cell>
          <cell r="E4853">
            <v>1.3440860215053764E-2</v>
          </cell>
        </row>
        <row r="4854">
          <cell r="A4854">
            <v>503275</v>
          </cell>
          <cell r="B4854" t="str">
            <v>K200 trug slidplade, L=2400</v>
          </cell>
          <cell r="C4854" t="str">
            <v>K200 trough wear plate, L = 2400mm</v>
          </cell>
          <cell r="D4854">
            <v>625</v>
          </cell>
          <cell r="E4854">
            <v>84.005376344086017</v>
          </cell>
        </row>
        <row r="4855">
          <cell r="A4855">
            <v>503276</v>
          </cell>
          <cell r="B4855" t="str">
            <v>K200 trugslidplade, L=1200</v>
          </cell>
          <cell r="C4855" t="str">
            <v>K200 trough wear plate, L = 1200mm</v>
          </cell>
          <cell r="D4855">
            <v>405</v>
          </cell>
          <cell r="E4855">
            <v>54.435483870967737</v>
          </cell>
        </row>
        <row r="4856">
          <cell r="A4856">
            <v>503278</v>
          </cell>
          <cell r="B4856" t="str">
            <v>K250 trug slidplade, L=2400</v>
          </cell>
          <cell r="C4856" t="str">
            <v>K250 trough wear plate, L = 2400mm</v>
          </cell>
          <cell r="D4856">
            <v>695</v>
          </cell>
          <cell r="E4856">
            <v>93.413978494623649</v>
          </cell>
        </row>
        <row r="4857">
          <cell r="A4857">
            <v>503281</v>
          </cell>
          <cell r="B4857" t="str">
            <v>K315 trug slidplade, L=2400</v>
          </cell>
          <cell r="C4857" t="str">
            <v>K315 trough wear plate, L = 2400mm</v>
          </cell>
          <cell r="D4857">
            <v>795</v>
          </cell>
          <cell r="E4857">
            <v>106.85483870967741</v>
          </cell>
        </row>
        <row r="4858">
          <cell r="A4858">
            <v>503283</v>
          </cell>
          <cell r="B4858" t="str">
            <v>K315 trug slidplade, L=600</v>
          </cell>
          <cell r="C4858" t="str">
            <v>K315 trough wear plate, L = 600mm</v>
          </cell>
          <cell r="D4858">
            <v>345</v>
          </cell>
          <cell r="E4858">
            <v>46.37096774193548</v>
          </cell>
        </row>
        <row r="4859">
          <cell r="A4859">
            <v>503284</v>
          </cell>
          <cell r="B4859" t="str">
            <v>K400 trug slidplade, L=2400</v>
          </cell>
          <cell r="C4859" t="str">
            <v>K400 trough wear plate, L = 2400mm</v>
          </cell>
          <cell r="D4859">
            <v>890</v>
          </cell>
          <cell r="E4859">
            <v>119.62365591397848</v>
          </cell>
        </row>
        <row r="4860">
          <cell r="A4860">
            <v>503285</v>
          </cell>
          <cell r="B4860" t="str">
            <v>K400 trug slidplade, L=1200</v>
          </cell>
          <cell r="C4860" t="str">
            <v>K400 trough wear plate, L= 1200mm</v>
          </cell>
          <cell r="D4860">
            <v>590</v>
          </cell>
          <cell r="E4860">
            <v>79.3010752688172</v>
          </cell>
        </row>
        <row r="4861">
          <cell r="A4861">
            <v>503286</v>
          </cell>
          <cell r="B4861" t="str">
            <v>K400 trug slidplade, L=600</v>
          </cell>
          <cell r="C4861" t="str">
            <v>K400 trough wear plate, L = 600mm</v>
          </cell>
          <cell r="D4861">
            <v>395</v>
          </cell>
          <cell r="E4861">
            <v>53.091397849462361</v>
          </cell>
        </row>
        <row r="4862">
          <cell r="A4862">
            <v>503321</v>
          </cell>
          <cell r="B4862" t="str">
            <v>Cyl. skrue M6 x 20 FZB DIN912</v>
          </cell>
          <cell r="C4862" t="str">
            <v>Cyl. screw M6 x 20 FZB DIN912</v>
          </cell>
          <cell r="D4862">
            <v>0.5</v>
          </cell>
          <cell r="E4862">
            <v>6.7204301075268813E-2</v>
          </cell>
        </row>
        <row r="4863">
          <cell r="A4863">
            <v>503322</v>
          </cell>
          <cell r="B4863" t="str">
            <v>Pinolskrue M10x12 DIN916 45H</v>
          </cell>
          <cell r="C4863" t="str">
            <v>Pin bolt M10x12 DIN916 45H</v>
          </cell>
          <cell r="D4863">
            <v>3.9</v>
          </cell>
          <cell r="E4863">
            <v>0.52419354838709675</v>
          </cell>
        </row>
        <row r="4864">
          <cell r="A4864">
            <v>503338</v>
          </cell>
          <cell r="B4864" t="str">
            <v>6-kt. Skrue M12 x 40 A2 DIN933</v>
          </cell>
          <cell r="C4864" t="str">
            <v>Hex screw M12 x 40 A2 DIN933</v>
          </cell>
          <cell r="D4864">
            <v>4.2</v>
          </cell>
          <cell r="E4864">
            <v>0.56451612903225801</v>
          </cell>
        </row>
        <row r="4865">
          <cell r="A4865">
            <v>503339</v>
          </cell>
          <cell r="B4865" t="str">
            <v>Møtrik M10 A2 DIN 934</v>
          </cell>
          <cell r="C4865" t="str">
            <v>Nut M10 A2 DIN 934</v>
          </cell>
          <cell r="D4865">
            <v>1.4</v>
          </cell>
          <cell r="E4865">
            <v>0.18817204301075266</v>
          </cell>
        </row>
        <row r="4866">
          <cell r="A4866">
            <v>503348</v>
          </cell>
          <cell r="B4866" t="str">
            <v>6-kt. Skrue M10 x 35 FZB DIN 932</v>
          </cell>
          <cell r="C4866" t="str">
            <v>Hex screw M10 x 35 FZB DIN 932</v>
          </cell>
          <cell r="D4866">
            <v>1.4</v>
          </cell>
          <cell r="E4866">
            <v>0.18817204301075266</v>
          </cell>
        </row>
        <row r="4867">
          <cell r="A4867">
            <v>503360</v>
          </cell>
          <cell r="B4867" t="str">
            <v>U skrue M10x25 DIN7991 8.8</v>
          </cell>
          <cell r="C4867" t="str">
            <v>Round headed screw M10x25 DIN7991</v>
          </cell>
          <cell r="D4867">
            <v>2.2999999999999998</v>
          </cell>
          <cell r="E4867">
            <v>0.30913978494623651</v>
          </cell>
        </row>
        <row r="4868">
          <cell r="A4868">
            <v>503415</v>
          </cell>
          <cell r="B4868" t="str">
            <v>Magnet</v>
          </cell>
          <cell r="C4868" t="str">
            <v>Magnet</v>
          </cell>
          <cell r="D4868">
            <v>2450</v>
          </cell>
          <cell r="E4868">
            <v>329.30107526881721</v>
          </cell>
        </row>
        <row r="4869">
          <cell r="A4869">
            <v>503416</v>
          </cell>
          <cell r="B4869" t="str">
            <v>Magnet</v>
          </cell>
          <cell r="C4869" t="str">
            <v>Magnet</v>
          </cell>
          <cell r="D4869">
            <v>4275</v>
          </cell>
          <cell r="E4869">
            <v>574.59677419354841</v>
          </cell>
        </row>
        <row r="4870">
          <cell r="A4870">
            <v>503417</v>
          </cell>
          <cell r="B4870" t="str">
            <v>Magnet</v>
          </cell>
          <cell r="C4870" t="str">
            <v>Magnet</v>
          </cell>
          <cell r="D4870">
            <v>4790</v>
          </cell>
          <cell r="E4870">
            <v>643.81720430107521</v>
          </cell>
        </row>
        <row r="4871">
          <cell r="A4871">
            <v>503418</v>
          </cell>
          <cell r="B4871" t="str">
            <v>Magnet</v>
          </cell>
          <cell r="C4871" t="str">
            <v>Magnet</v>
          </cell>
          <cell r="D4871">
            <v>5900</v>
          </cell>
          <cell r="E4871">
            <v>793.01075268817203</v>
          </cell>
        </row>
        <row r="4872">
          <cell r="A4872">
            <v>503421</v>
          </cell>
          <cell r="B4872" t="str">
            <v>Låsering U 22 x 1.2 A</v>
          </cell>
          <cell r="C4872" t="str">
            <v>Lock ring 020 x1,2 A</v>
          </cell>
          <cell r="D4872">
            <v>1.1000000000000001</v>
          </cell>
          <cell r="E4872">
            <v>0.14784946236559141</v>
          </cell>
        </row>
        <row r="4873">
          <cell r="A4873">
            <v>503425</v>
          </cell>
          <cell r="B4873" t="str">
            <v>6-kt. Skrue M10 x 60 FZB DIN 933</v>
          </cell>
          <cell r="C4873" t="str">
            <v>Hexagon screw M10 x 60 FZB DIN 933</v>
          </cell>
          <cell r="D4873">
            <v>2.1</v>
          </cell>
          <cell r="E4873">
            <v>0.282258064516129</v>
          </cell>
        </row>
        <row r="4874">
          <cell r="A4874">
            <v>503427</v>
          </cell>
          <cell r="B4874" t="str">
            <v>U skrue M8x20 DIN7991 FZB</v>
          </cell>
          <cell r="C4874" t="str">
            <v xml:space="preserve">Counter sunk screw M8x20 DIN7991 </v>
          </cell>
          <cell r="D4874">
            <v>1.2</v>
          </cell>
          <cell r="E4874">
            <v>0.16129032258064516</v>
          </cell>
        </row>
        <row r="4875">
          <cell r="A4875">
            <v>503452</v>
          </cell>
          <cell r="B4875" t="str">
            <v>Gaffel Parker ø40</v>
          </cell>
          <cell r="C4875" t="str">
            <v>Fork Parker Ø40</v>
          </cell>
          <cell r="D4875">
            <v>57</v>
          </cell>
          <cell r="E4875">
            <v>7.661290322580645</v>
          </cell>
        </row>
        <row r="4876">
          <cell r="A4876">
            <v>503458</v>
          </cell>
          <cell r="B4876" t="str">
            <v>U-skrue M6 x 20</v>
          </cell>
          <cell r="C4876" t="str">
            <v>Counter sunk screw M6 x 20</v>
          </cell>
          <cell r="D4876">
            <v>1</v>
          </cell>
          <cell r="E4876">
            <v>0.13440860215053763</v>
          </cell>
        </row>
        <row r="4877">
          <cell r="A4877">
            <v>503471</v>
          </cell>
          <cell r="B4877" t="str">
            <v>Stopring</v>
          </cell>
          <cell r="C4877" t="str">
            <v>Stop ring</v>
          </cell>
          <cell r="D4877">
            <v>15.9</v>
          </cell>
          <cell r="E4877">
            <v>2.1370967741935485</v>
          </cell>
        </row>
        <row r="4878">
          <cell r="A4878">
            <v>503491</v>
          </cell>
          <cell r="B4878" t="str">
            <v>Cylindergafffel</v>
          </cell>
          <cell r="C4878" t="str">
            <v>Cylinder fork</v>
          </cell>
          <cell r="D4878">
            <v>102</v>
          </cell>
          <cell r="E4878">
            <v>13.709677419354838</v>
          </cell>
        </row>
        <row r="4879">
          <cell r="A4879">
            <v>503512</v>
          </cell>
          <cell r="B4879" t="str">
            <v>Kopbolt M 8  x35  FZB   DIN 15237</v>
          </cell>
          <cell r="C4879" t="str">
            <v>Screw for buckets  M8  x 35  FZB  DIN 15237</v>
          </cell>
          <cell r="D4879">
            <v>3.6</v>
          </cell>
          <cell r="E4879">
            <v>0.48387096774193544</v>
          </cell>
        </row>
        <row r="4880">
          <cell r="A4880">
            <v>503518</v>
          </cell>
          <cell r="B4880" t="str">
            <v>Svampegummi</v>
          </cell>
          <cell r="C4880" t="str">
            <v>Sponge rubber</v>
          </cell>
          <cell r="D4880">
            <v>14</v>
          </cell>
          <cell r="E4880">
            <v>1.8817204301075268</v>
          </cell>
        </row>
        <row r="4881">
          <cell r="A4881">
            <v>503525</v>
          </cell>
          <cell r="B4881" t="str">
            <v>Svampegummi 020x030</v>
          </cell>
          <cell r="C4881" t="str">
            <v xml:space="preserve">Seal 020x030 </v>
          </cell>
          <cell r="D4881">
            <v>80</v>
          </cell>
          <cell r="E4881">
            <v>10.75268817204301</v>
          </cell>
        </row>
        <row r="4882">
          <cell r="A4882">
            <v>503552</v>
          </cell>
          <cell r="B4882" t="str">
            <v>Cylindergaffel</v>
          </cell>
          <cell r="C4882" t="str">
            <v>Cylinder fork</v>
          </cell>
          <cell r="D4882">
            <v>115</v>
          </cell>
          <cell r="E4882">
            <v>15.456989247311828</v>
          </cell>
        </row>
        <row r="4883">
          <cell r="A4883">
            <v>503570</v>
          </cell>
          <cell r="B4883" t="str">
            <v>Leje</v>
          </cell>
          <cell r="C4883" t="str">
            <v>Bearing</v>
          </cell>
          <cell r="D4883">
            <v>2067</v>
          </cell>
          <cell r="E4883">
            <v>277.82258064516128</v>
          </cell>
        </row>
        <row r="4884">
          <cell r="A4884">
            <v>503589</v>
          </cell>
          <cell r="B4884" t="str">
            <v>Poseholder 1200 S   AISI 304</v>
          </cell>
          <cell r="C4884" t="str">
            <v>Filter bag cage 1200 S    Stainless</v>
          </cell>
          <cell r="D4884">
            <v>290</v>
          </cell>
          <cell r="E4884">
            <v>38.978494623655912</v>
          </cell>
        </row>
        <row r="4885">
          <cell r="A4885">
            <v>503612</v>
          </cell>
          <cell r="B4885" t="str">
            <v>Tætningsring Ø45 x Ø65 x 10  AS NB</v>
          </cell>
          <cell r="C4885" t="str">
            <v>Sealing ring Ø45 x Ø65 x 10 AS NB</v>
          </cell>
          <cell r="D4885">
            <v>25</v>
          </cell>
          <cell r="E4885">
            <v>3.3602150537634405</v>
          </cell>
        </row>
        <row r="4886">
          <cell r="A4886">
            <v>503618</v>
          </cell>
          <cell r="B4886" t="str">
            <v>Drøvleventil 1/8”</v>
          </cell>
          <cell r="C4886" t="str">
            <v>Shrottle valve 1/8"</v>
          </cell>
          <cell r="D4886">
            <v>67</v>
          </cell>
          <cell r="E4886">
            <v>9.0053763440860202</v>
          </cell>
        </row>
        <row r="4887">
          <cell r="A4887">
            <v>503892</v>
          </cell>
          <cell r="B4887" t="str">
            <v>Malebro  450A</v>
          </cell>
          <cell r="C4887" t="str">
            <v>Grinding bridge  450A</v>
          </cell>
          <cell r="D4887">
            <v>6800</v>
          </cell>
          <cell r="E4887">
            <v>913.97849462365582</v>
          </cell>
        </row>
        <row r="4888">
          <cell r="A4888">
            <v>503926</v>
          </cell>
          <cell r="B4888" t="str">
            <v>Malebro 630A</v>
          </cell>
          <cell r="C4888" t="str">
            <v>Grinding bridge 630A</v>
          </cell>
          <cell r="D4888">
            <v>8637</v>
          </cell>
          <cell r="E4888">
            <v>1160.8870967741934</v>
          </cell>
        </row>
        <row r="4889">
          <cell r="A4889">
            <v>503956</v>
          </cell>
          <cell r="B4889" t="str">
            <v>Malebro  8000A</v>
          </cell>
          <cell r="C4889" t="str">
            <v>Grinding bridge 800  A</v>
          </cell>
          <cell r="D4889">
            <v>9537</v>
          </cell>
          <cell r="E4889">
            <v>1281.8548387096773</v>
          </cell>
        </row>
        <row r="4890">
          <cell r="A4890">
            <v>504015</v>
          </cell>
          <cell r="B4890" t="str">
            <v>Soldkæde øverste</v>
          </cell>
          <cell r="C4890" t="str">
            <v>Chain for screen frame upper part</v>
          </cell>
          <cell r="D4890">
            <v>242</v>
          </cell>
          <cell r="E4890">
            <v>32.526881720430104</v>
          </cell>
        </row>
        <row r="4891">
          <cell r="A4891">
            <v>504112</v>
          </cell>
          <cell r="B4891" t="str">
            <v>Cyl. skrue M5x35 A2 DIN912</v>
          </cell>
          <cell r="C4891" t="str">
            <v>Round headed screw M5x35 A2 DIN912</v>
          </cell>
          <cell r="D4891">
            <v>1.3</v>
          </cell>
          <cell r="E4891">
            <v>0.17473118279569891</v>
          </cell>
        </row>
        <row r="4892">
          <cell r="A4892">
            <v>504186</v>
          </cell>
          <cell r="B4892" t="str">
            <v>Malebro  1000A</v>
          </cell>
          <cell r="C4892" t="str">
            <v>Grinding bridge 1000A</v>
          </cell>
          <cell r="D4892">
            <v>11488</v>
          </cell>
          <cell r="E4892">
            <v>1544.0860215053763</v>
          </cell>
        </row>
        <row r="4893">
          <cell r="A4893">
            <v>504221</v>
          </cell>
          <cell r="B4893" t="str">
            <v>2KTV  Ventilatorrotor højre</v>
          </cell>
          <cell r="C4893" t="str">
            <v>2KTV fan rotor right</v>
          </cell>
          <cell r="D4893">
            <v>7878</v>
          </cell>
          <cell r="E4893">
            <v>1058.8709677419354</v>
          </cell>
        </row>
        <row r="4894">
          <cell r="A4894">
            <v>504291</v>
          </cell>
          <cell r="B4894" t="str">
            <v>Spændelement TL 1610, Ø20</v>
          </cell>
          <cell r="C4894" t="str">
            <v>Taper bush TL 1610, Ø20</v>
          </cell>
          <cell r="D4894">
            <v>32</v>
          </cell>
          <cell r="E4894">
            <v>4.301075268817204</v>
          </cell>
        </row>
        <row r="4895">
          <cell r="A4895">
            <v>504312</v>
          </cell>
          <cell r="B4895" t="str">
            <v>Taperlock  2012 ø50</v>
          </cell>
          <cell r="C4895" t="str">
            <v>Taper lock 2012 ø50</v>
          </cell>
          <cell r="D4895">
            <v>65</v>
          </cell>
          <cell r="E4895">
            <v>8.736559139784946</v>
          </cell>
        </row>
        <row r="4896">
          <cell r="A4896">
            <v>504347</v>
          </cell>
          <cell r="B4896" t="str">
            <v>Spændelement TL 3020, Ø60</v>
          </cell>
          <cell r="C4896" t="str">
            <v>Taper bush TL 3020, Ø60</v>
          </cell>
          <cell r="D4896">
            <v>70</v>
          </cell>
          <cell r="E4896">
            <v>9.408602150537634</v>
          </cell>
        </row>
        <row r="4897">
          <cell r="A4897">
            <v>504355</v>
          </cell>
          <cell r="B4897" t="str">
            <v>Taper-Lock bøsning</v>
          </cell>
          <cell r="C4897" t="str">
            <v>Taper Lock bushing</v>
          </cell>
          <cell r="D4897">
            <v>165</v>
          </cell>
          <cell r="E4897">
            <v>22.177419354838708</v>
          </cell>
        </row>
        <row r="4898">
          <cell r="A4898">
            <v>504472</v>
          </cell>
          <cell r="B4898" t="str">
            <v>Slidring  2KTV</v>
          </cell>
          <cell r="C4898" t="str">
            <v>Wear ring  2KTV</v>
          </cell>
          <cell r="D4898">
            <v>1645</v>
          </cell>
          <cell r="E4898">
            <v>221.1021505376344</v>
          </cell>
        </row>
        <row r="4899">
          <cell r="A4899">
            <v>504712</v>
          </cell>
          <cell r="B4899" t="str">
            <v>Bøsning</v>
          </cell>
          <cell r="C4899" t="str">
            <v>Taperlock bushing</v>
          </cell>
          <cell r="D4899">
            <v>75</v>
          </cell>
          <cell r="E4899">
            <v>10.080645161290322</v>
          </cell>
        </row>
        <row r="4900">
          <cell r="A4900">
            <v>504745</v>
          </cell>
          <cell r="B4900" t="str">
            <v>Flangeleje</v>
          </cell>
          <cell r="C4900" t="str">
            <v>Flanged bearing</v>
          </cell>
          <cell r="D4900">
            <v>350</v>
          </cell>
          <cell r="E4900">
            <v>47.043010752688168</v>
          </cell>
        </row>
        <row r="4901">
          <cell r="A4901">
            <v>504793</v>
          </cell>
          <cell r="B4901" t="str">
            <v>Lejedæksel  2K-4K</v>
          </cell>
          <cell r="C4901" t="str">
            <v>Bearing cover  2 K -4K</v>
          </cell>
          <cell r="D4901">
            <v>2850</v>
          </cell>
          <cell r="E4901">
            <v>383.06451612903226</v>
          </cell>
        </row>
        <row r="4902">
          <cell r="A4902">
            <v>504940</v>
          </cell>
          <cell r="B4902" t="str">
            <v>Sporkugleleje 6206-2RS</v>
          </cell>
          <cell r="C4902" t="str">
            <v>Ball bearing 6206-2RS</v>
          </cell>
          <cell r="D4902">
            <v>83</v>
          </cell>
          <cell r="E4902">
            <v>11.155913978494622</v>
          </cell>
        </row>
        <row r="4903">
          <cell r="A4903">
            <v>504947</v>
          </cell>
          <cell r="B4903" t="str">
            <v>Sfærisk kugleleje</v>
          </cell>
          <cell r="C4903" t="str">
            <v>Spherical ball bearing</v>
          </cell>
          <cell r="D4903">
            <v>550</v>
          </cell>
          <cell r="E4903">
            <v>73.924731182795696</v>
          </cell>
        </row>
        <row r="4904">
          <cell r="A4904">
            <v>504957</v>
          </cell>
          <cell r="B4904" t="str">
            <v>Spændbøsning</v>
          </cell>
          <cell r="C4904" t="str">
            <v>Split bushing</v>
          </cell>
          <cell r="D4904">
            <v>150</v>
          </cell>
          <cell r="E4904">
            <v>20.161290322580644</v>
          </cell>
        </row>
        <row r="4905">
          <cell r="A4905">
            <v>504961</v>
          </cell>
          <cell r="B4905" t="str">
            <v>V-ring</v>
          </cell>
          <cell r="C4905" t="str">
            <v>V-ring</v>
          </cell>
          <cell r="D4905">
            <v>17.5</v>
          </cell>
          <cell r="E4905">
            <v>2.3521505376344085</v>
          </cell>
        </row>
        <row r="4906">
          <cell r="A4906">
            <v>504963</v>
          </cell>
          <cell r="B4906" t="str">
            <v>V-ring</v>
          </cell>
          <cell r="C4906" t="str">
            <v>V-ring</v>
          </cell>
          <cell r="D4906">
            <v>10</v>
          </cell>
          <cell r="E4906">
            <v>1.3440860215053763</v>
          </cell>
        </row>
        <row r="4907">
          <cell r="A4907">
            <v>504970</v>
          </cell>
          <cell r="B4907" t="str">
            <v>Styrering</v>
          </cell>
          <cell r="C4907" t="str">
            <v>Guide ring</v>
          </cell>
          <cell r="D4907">
            <v>64</v>
          </cell>
          <cell r="E4907">
            <v>8.6021505376344081</v>
          </cell>
        </row>
        <row r="4908">
          <cell r="A4908">
            <v>504985</v>
          </cell>
          <cell r="B4908" t="str">
            <v>V-ring</v>
          </cell>
          <cell r="C4908" t="str">
            <v>V-ring</v>
          </cell>
          <cell r="D4908">
            <v>16</v>
          </cell>
          <cell r="E4908">
            <v>2.150537634408602</v>
          </cell>
        </row>
        <row r="4909">
          <cell r="A4909">
            <v>504988</v>
          </cell>
          <cell r="B4909" t="str">
            <v>V-ring</v>
          </cell>
          <cell r="C4909" t="str">
            <v>V-ring</v>
          </cell>
          <cell r="D4909">
            <v>11</v>
          </cell>
          <cell r="E4909">
            <v>1.478494623655914</v>
          </cell>
        </row>
        <row r="4910">
          <cell r="A4910">
            <v>505113</v>
          </cell>
          <cell r="B4910" t="str">
            <v>Stålbro  4KTV</v>
          </cell>
          <cell r="C4910" t="str">
            <v>Steel bridge 4 KTV</v>
          </cell>
          <cell r="D4910">
            <v>620</v>
          </cell>
          <cell r="E4910">
            <v>83.333333333333329</v>
          </cell>
        </row>
        <row r="4911">
          <cell r="A4911">
            <v>505114</v>
          </cell>
          <cell r="B4911" t="str">
            <v>Stålbro  2K</v>
          </cell>
          <cell r="C4911" t="str">
            <v>Steel bridge  2K</v>
          </cell>
          <cell r="D4911">
            <v>720</v>
          </cell>
          <cell r="E4911">
            <v>96.774193548387089</v>
          </cell>
        </row>
        <row r="4912">
          <cell r="A4912">
            <v>505123</v>
          </cell>
          <cell r="B4912" t="str">
            <v>Ledeplade  2K</v>
          </cell>
          <cell r="C4912" t="str">
            <v>Guide plate 2K</v>
          </cell>
          <cell r="D4912">
            <v>1250</v>
          </cell>
          <cell r="E4912">
            <v>168.01075268817203</v>
          </cell>
        </row>
        <row r="4913">
          <cell r="A4913">
            <v>505124</v>
          </cell>
          <cell r="B4913" t="str">
            <v>Ledeplade 4 KTV</v>
          </cell>
          <cell r="C4913" t="str">
            <v>Guide plate 4KTV</v>
          </cell>
          <cell r="D4913">
            <v>1350</v>
          </cell>
          <cell r="E4913">
            <v>181.45161290322579</v>
          </cell>
        </row>
        <row r="4914">
          <cell r="A4914">
            <v>505175</v>
          </cell>
          <cell r="B4914" t="str">
            <v>6kt. Skrue M8 x 10 FZB DIN933</v>
          </cell>
          <cell r="C4914" t="str">
            <v>Hex. screw M8 x 10 FZB DIN933</v>
          </cell>
          <cell r="D4914">
            <v>0.6</v>
          </cell>
          <cell r="E4914">
            <v>8.0645161290322578E-2</v>
          </cell>
        </row>
        <row r="4915">
          <cell r="A4915">
            <v>505191</v>
          </cell>
          <cell r="B4915" t="str">
            <v xml:space="preserve">6kt skrue M10X060 FZB DIN931 8.8                          </v>
          </cell>
          <cell r="C4915" t="str">
            <v xml:space="preserve">Hex srew M10X60 DIN931 BZP </v>
          </cell>
          <cell r="D4915">
            <v>2.9</v>
          </cell>
          <cell r="E4915">
            <v>0.38978494623655913</v>
          </cell>
        </row>
        <row r="4916">
          <cell r="A4916">
            <v>505233</v>
          </cell>
          <cell r="B4916" t="str">
            <v>6kt skrue M20x150 DIN931 FZB</v>
          </cell>
          <cell r="C4916" t="str">
            <v>Bolt M20x150 DIN 931 FZB</v>
          </cell>
          <cell r="D4916">
            <v>32</v>
          </cell>
          <cell r="E4916">
            <v>4.301075268817204</v>
          </cell>
        </row>
        <row r="4917">
          <cell r="A4917">
            <v>505246</v>
          </cell>
          <cell r="B4917" t="str">
            <v>6kt. skrue M8 x 16 FZB</v>
          </cell>
          <cell r="C4917" t="str">
            <v>Hex screw M8 x 16</v>
          </cell>
          <cell r="D4917">
            <v>0.8</v>
          </cell>
          <cell r="E4917">
            <v>0.10752688172043011</v>
          </cell>
        </row>
        <row r="4918">
          <cell r="A4918">
            <v>505249</v>
          </cell>
          <cell r="B4918" t="str">
            <v>Cyl. skrue M8 x 40 8.8 DIN912</v>
          </cell>
          <cell r="C4918" t="str">
            <v>Cyl. screw M8 x 40 8.8 DIN912</v>
          </cell>
          <cell r="D4918">
            <v>1.1000000000000001</v>
          </cell>
          <cell r="E4918">
            <v>0.14784946236559141</v>
          </cell>
        </row>
        <row r="4919">
          <cell r="A4919">
            <v>505259</v>
          </cell>
          <cell r="B4919" t="str">
            <v>Cyl. Skrue M10 x 45 DIN912</v>
          </cell>
          <cell r="C4919" t="str">
            <v>Cyl. Screw M10 x 45 DIN912</v>
          </cell>
          <cell r="D4919">
            <v>2.9</v>
          </cell>
          <cell r="E4919">
            <v>0.38978494623655913</v>
          </cell>
        </row>
        <row r="4920">
          <cell r="A4920">
            <v>505282</v>
          </cell>
          <cell r="B4920" t="str">
            <v>Pinolskrue M8x8 DIN916 45H</v>
          </cell>
          <cell r="C4920" t="str">
            <v>Pin bolt M8x8 DIN916 45H</v>
          </cell>
          <cell r="D4920">
            <v>2.5</v>
          </cell>
          <cell r="E4920">
            <v>0.33602150537634407</v>
          </cell>
        </row>
        <row r="4921">
          <cell r="A4921">
            <v>505285</v>
          </cell>
          <cell r="B4921" t="str">
            <v>Pinolskrue M 8X025 45H DIN 916</v>
          </cell>
          <cell r="C4921" t="str">
            <v>Pin bolt/pointed screw</v>
          </cell>
          <cell r="D4921">
            <v>6.6</v>
          </cell>
          <cell r="E4921">
            <v>0.88709677419354827</v>
          </cell>
        </row>
        <row r="4922">
          <cell r="A4922">
            <v>505291</v>
          </cell>
          <cell r="B4922" t="str">
            <v>Pinolskrue M10X050 45H DIN 916</v>
          </cell>
          <cell r="C4922" t="str">
            <v>Pin bolt/pointed screw</v>
          </cell>
          <cell r="D4922">
            <v>11.1</v>
          </cell>
          <cell r="E4922">
            <v>1.4919354838709675</v>
          </cell>
        </row>
        <row r="4923">
          <cell r="A4923">
            <v>505296</v>
          </cell>
          <cell r="B4923" t="str">
            <v>Pinolskrue M16 x 20 A4 DIN916</v>
          </cell>
          <cell r="C4923" t="str">
            <v>Pointed screw M16 x 20 A4 DIN916</v>
          </cell>
          <cell r="D4923">
            <v>8.6</v>
          </cell>
          <cell r="E4923">
            <v>1.1559139784946235</v>
          </cell>
        </row>
        <row r="4924">
          <cell r="A4924">
            <v>505317</v>
          </cell>
          <cell r="B4924" t="str">
            <v>U skrue M12x30 DIN7991 FZB</v>
          </cell>
          <cell r="C4924" t="str">
            <v>Counter sunk screw M12x30 DIN7991 FZB</v>
          </cell>
          <cell r="D4924">
            <v>3.3</v>
          </cell>
          <cell r="E4924">
            <v>0.44354838709677413</v>
          </cell>
        </row>
        <row r="4925">
          <cell r="A4925">
            <v>505340</v>
          </cell>
          <cell r="B4925" t="str">
            <v>6kt skrue M16x45 DIN 933 FZB</v>
          </cell>
          <cell r="C4925" t="str">
            <v>Set screw M16x45 DIN 933 FZB</v>
          </cell>
          <cell r="D4925">
            <v>4.2</v>
          </cell>
          <cell r="E4925">
            <v>0.56451612903225801</v>
          </cell>
        </row>
        <row r="4926">
          <cell r="A4926">
            <v>505367</v>
          </cell>
          <cell r="B4926" t="str">
            <v>Tætningsring A Ø070 x Ø090 x 10 NB</v>
          </cell>
          <cell r="C4926" t="str">
            <v>Sealing ring A Ø070 x Ø090 x 10 NB</v>
          </cell>
          <cell r="D4926">
            <v>15.9</v>
          </cell>
          <cell r="E4926">
            <v>2.1370967741935485</v>
          </cell>
        </row>
        <row r="4927">
          <cell r="A4927">
            <v>505368</v>
          </cell>
          <cell r="B4927" t="str">
            <v>Tætningsring</v>
          </cell>
          <cell r="C4927" t="str">
            <v>Sealing ring</v>
          </cell>
          <cell r="D4927">
            <v>27</v>
          </cell>
          <cell r="E4927">
            <v>3.629032258064516</v>
          </cell>
        </row>
        <row r="4928">
          <cell r="A4928">
            <v>505369</v>
          </cell>
          <cell r="B4928" t="str">
            <v>Tætningsring</v>
          </cell>
          <cell r="C4928" t="str">
            <v>Sealing ring</v>
          </cell>
          <cell r="D4928">
            <v>45</v>
          </cell>
          <cell r="E4928">
            <v>6.0483870967741931</v>
          </cell>
        </row>
        <row r="4929">
          <cell r="A4929">
            <v>505371</v>
          </cell>
          <cell r="B4929" t="str">
            <v>Tætningsring</v>
          </cell>
          <cell r="C4929" t="str">
            <v>Sealing ring</v>
          </cell>
          <cell r="D4929">
            <v>48</v>
          </cell>
          <cell r="E4929">
            <v>6.4516129032258061</v>
          </cell>
        </row>
        <row r="4930">
          <cell r="A4930">
            <v>505373</v>
          </cell>
          <cell r="B4930" t="str">
            <v>Tætningsring</v>
          </cell>
          <cell r="C4930" t="str">
            <v>Sealing ring</v>
          </cell>
          <cell r="D4930">
            <v>90</v>
          </cell>
          <cell r="E4930">
            <v>12.096774193548386</v>
          </cell>
        </row>
        <row r="4931">
          <cell r="A4931">
            <v>505415</v>
          </cell>
          <cell r="B4931" t="str">
            <v>2K Rotor kompl.</v>
          </cell>
          <cell r="C4931" t="str">
            <v xml:space="preserve">2K Rotor compl.      </v>
          </cell>
          <cell r="D4931">
            <v>33500</v>
          </cell>
          <cell r="E4931">
            <v>4502.6881720430101</v>
          </cell>
        </row>
        <row r="4932">
          <cell r="A4932">
            <v>505435</v>
          </cell>
          <cell r="B4932" t="str">
            <v xml:space="preserve">Svampegummi 020X025  </v>
          </cell>
          <cell r="C4932" t="str">
            <v xml:space="preserve">Spronge rubber  20 x25 </v>
          </cell>
          <cell r="D4932">
            <v>60</v>
          </cell>
          <cell r="E4932">
            <v>8.064516129032258</v>
          </cell>
        </row>
        <row r="4933">
          <cell r="A4933">
            <v>505475</v>
          </cell>
          <cell r="B4933" t="str">
            <v>Tilbageløbsbremse</v>
          </cell>
          <cell r="C4933" t="str">
            <v>Reverse brake</v>
          </cell>
          <cell r="D4933">
            <v>2750</v>
          </cell>
          <cell r="E4933">
            <v>369.6236559139785</v>
          </cell>
        </row>
        <row r="4934">
          <cell r="A4934">
            <v>505833</v>
          </cell>
          <cell r="B4934" t="str">
            <v>Lejedæksel  2K-4K</v>
          </cell>
          <cell r="C4934" t="str">
            <v>Bearing cover  2 K -4K</v>
          </cell>
          <cell r="D4934">
            <v>695</v>
          </cell>
          <cell r="E4934">
            <v>93.413978494623649</v>
          </cell>
        </row>
        <row r="4935">
          <cell r="A4935">
            <v>505861</v>
          </cell>
          <cell r="B4935" t="str">
            <v>Lejedæksel (åben)</v>
          </cell>
          <cell r="C4935" t="str">
            <v>Bearing cover (open)</v>
          </cell>
          <cell r="D4935">
            <v>1219</v>
          </cell>
          <cell r="E4935">
            <v>163.84408602150538</v>
          </cell>
        </row>
        <row r="4936">
          <cell r="A4936">
            <v>505862</v>
          </cell>
          <cell r="B4936" t="str">
            <v>Lejehus</v>
          </cell>
          <cell r="C4936" t="str">
            <v>Bearing housing</v>
          </cell>
          <cell r="D4936">
            <v>3869</v>
          </cell>
          <cell r="E4936">
            <v>520.02688172043008</v>
          </cell>
        </row>
        <row r="4937">
          <cell r="A4937">
            <v>505869</v>
          </cell>
          <cell r="B4937" t="str">
            <v>Remsamler  komplet KBS</v>
          </cell>
          <cell r="C4937" t="str">
            <v>KBS Belt fastener</v>
          </cell>
          <cell r="D4937">
            <v>75</v>
          </cell>
          <cell r="E4937">
            <v>10.080645161290322</v>
          </cell>
        </row>
        <row r="4938">
          <cell r="A4938">
            <v>506090</v>
          </cell>
          <cell r="B4938" t="str">
            <v>Buet malebro 4 KTV</v>
          </cell>
          <cell r="C4938" t="str">
            <v>Curved grinding bridge 4 KTV</v>
          </cell>
          <cell r="D4938">
            <v>2795</v>
          </cell>
          <cell r="E4938">
            <v>375.67204301075265</v>
          </cell>
        </row>
        <row r="4939">
          <cell r="A4939">
            <v>506240</v>
          </cell>
          <cell r="B4939" t="str">
            <v>V-ring V 55S</v>
          </cell>
          <cell r="C4939" t="str">
            <v>V-ring V 55S</v>
          </cell>
          <cell r="D4939">
            <v>5.3</v>
          </cell>
          <cell r="E4939">
            <v>0.71236559139784938</v>
          </cell>
        </row>
        <row r="4940">
          <cell r="A4940">
            <v>506267</v>
          </cell>
          <cell r="B4940" t="str">
            <v>Klembøsning</v>
          </cell>
          <cell r="C4940" t="str">
            <v>Split bushing</v>
          </cell>
          <cell r="D4940">
            <v>583</v>
          </cell>
          <cell r="E4940">
            <v>78.36021505376344</v>
          </cell>
        </row>
        <row r="4941">
          <cell r="A4941">
            <v>506283</v>
          </cell>
          <cell r="B4941" t="str">
            <v>Leje</v>
          </cell>
          <cell r="C4941" t="str">
            <v>Bearing</v>
          </cell>
          <cell r="D4941">
            <v>1590</v>
          </cell>
          <cell r="E4941">
            <v>213.70967741935482</v>
          </cell>
        </row>
        <row r="4942">
          <cell r="A4942">
            <v>506588</v>
          </cell>
          <cell r="B4942" t="str">
            <v>Poseholder 1200 TB  Galvaniseret</v>
          </cell>
          <cell r="C4942" t="str">
            <v>Filter bag cage 1200 TB  Galvanized</v>
          </cell>
          <cell r="D4942">
            <v>194</v>
          </cell>
          <cell r="E4942">
            <v>26.0752688172043</v>
          </cell>
        </row>
        <row r="4943">
          <cell r="A4943">
            <v>506589</v>
          </cell>
          <cell r="B4943" t="str">
            <v>Poseholder 1800 TT  Galvaniseret</v>
          </cell>
          <cell r="C4943" t="str">
            <v>Filter bag cage 1800 TT  Galvanized</v>
          </cell>
          <cell r="D4943">
            <v>255</v>
          </cell>
          <cell r="E4943">
            <v>34.274193548387096</v>
          </cell>
        </row>
        <row r="4944">
          <cell r="A4944">
            <v>506597</v>
          </cell>
          <cell r="B4944" t="str">
            <v>Poseholder 1200 T    Galvaniseret</v>
          </cell>
          <cell r="C4944" t="str">
            <v>Filter bag cage 1200 T    Galvanized</v>
          </cell>
          <cell r="D4944">
            <v>205</v>
          </cell>
          <cell r="E4944">
            <v>27.553763440860212</v>
          </cell>
        </row>
        <row r="4945">
          <cell r="A4945">
            <v>506598</v>
          </cell>
          <cell r="B4945" t="str">
            <v>Poseholder 1800 T    Galvaniseret</v>
          </cell>
          <cell r="C4945" t="str">
            <v>Filter bag cage 1800 T    Galvanized</v>
          </cell>
          <cell r="D4945">
            <v>231</v>
          </cell>
          <cell r="E4945">
            <v>31.048387096774192</v>
          </cell>
        </row>
        <row r="4946">
          <cell r="A4946">
            <v>506599</v>
          </cell>
          <cell r="B4946" t="str">
            <v>Poseholder 2400 T    Galvaniseret</v>
          </cell>
          <cell r="C4946" t="str">
            <v>Filter bag cage 2400 T    Galvanized</v>
          </cell>
          <cell r="D4946">
            <v>271</v>
          </cell>
          <cell r="E4946">
            <v>36.424731182795696</v>
          </cell>
        </row>
        <row r="4947">
          <cell r="A4947">
            <v>506600</v>
          </cell>
          <cell r="B4947" t="str">
            <v>Poseholder 3000 T    Galvaniseret</v>
          </cell>
          <cell r="C4947" t="str">
            <v>Fitler bag cage 3000 T    Galvanized</v>
          </cell>
          <cell r="D4947">
            <v>324</v>
          </cell>
          <cell r="E4947">
            <v>43.548387096774192</v>
          </cell>
        </row>
        <row r="4948">
          <cell r="A4948">
            <v>509565</v>
          </cell>
          <cell r="B4948" t="str">
            <v>Vejecelle</v>
          </cell>
          <cell r="C4948" t="str">
            <v>Loadcell</v>
          </cell>
          <cell r="D4948">
            <v>7388</v>
          </cell>
          <cell r="E4948">
            <v>993.01075268817203</v>
          </cell>
        </row>
        <row r="4949">
          <cell r="A4949">
            <v>510418</v>
          </cell>
          <cell r="B4949" t="str">
            <v>Niveaumelder DOL 21R</v>
          </cell>
          <cell r="C4949" t="str">
            <v>Levelindicator DOL 21R</v>
          </cell>
          <cell r="D4949">
            <v>850</v>
          </cell>
          <cell r="E4949">
            <v>114.24731182795698</v>
          </cell>
        </row>
        <row r="4950">
          <cell r="A4950">
            <v>510719</v>
          </cell>
          <cell r="B4950" t="str">
            <v>Forskruning PG11</v>
          </cell>
          <cell r="C4950" t="str">
            <v>Joint screw PG 11</v>
          </cell>
          <cell r="D4950">
            <v>17.5</v>
          </cell>
          <cell r="E4950">
            <v>2.3521505376344085</v>
          </cell>
        </row>
        <row r="4951">
          <cell r="A4951">
            <v>511041</v>
          </cell>
          <cell r="B4951" t="str">
            <v>Skueglas for seperator</v>
          </cell>
          <cell r="C4951" t="str">
            <v>Inspection window</v>
          </cell>
          <cell r="D4951">
            <v>69</v>
          </cell>
          <cell r="E4951">
            <v>9.2741935483870961</v>
          </cell>
        </row>
        <row r="4952">
          <cell r="A4952">
            <v>511065</v>
          </cell>
          <cell r="B4952" t="str">
            <v>Opt rotorpl yderst type 1</v>
          </cell>
          <cell r="C4952" t="str">
            <v xml:space="preserve">Opti rotorplate thick </v>
          </cell>
          <cell r="D4952">
            <v>1431</v>
          </cell>
          <cell r="E4952">
            <v>192.33870967741933</v>
          </cell>
        </row>
        <row r="4953">
          <cell r="A4953">
            <v>511066</v>
          </cell>
          <cell r="B4953" t="str">
            <v>Opt rotorplade normal</v>
          </cell>
          <cell r="C4953" t="str">
            <v xml:space="preserve">Opti rotorplate thin </v>
          </cell>
          <cell r="D4953">
            <v>1007</v>
          </cell>
          <cell r="E4953">
            <v>135.34946236559139</v>
          </cell>
        </row>
        <row r="4954">
          <cell r="A4954">
            <v>511068</v>
          </cell>
          <cell r="B4954" t="str">
            <v>Plade rotor  Opti 700</v>
          </cell>
          <cell r="C4954" t="str">
            <v>Plate rotor</v>
          </cell>
          <cell r="D4954" t="str">
            <v>seperate list</v>
          </cell>
          <cell r="E4954" t="e">
            <v>#VALUE!</v>
          </cell>
        </row>
        <row r="4955">
          <cell r="A4955">
            <v>511083</v>
          </cell>
          <cell r="B4955" t="str">
            <v>Beslag for cylinder</v>
          </cell>
          <cell r="C4955" t="str">
            <v>Bracket for cylinder</v>
          </cell>
          <cell r="D4955">
            <v>223</v>
          </cell>
          <cell r="E4955">
            <v>29.973118279569892</v>
          </cell>
        </row>
        <row r="4956">
          <cell r="A4956">
            <v>511084</v>
          </cell>
          <cell r="B4956" t="str">
            <v>Ledeplade kpl  Opti 700</v>
          </cell>
          <cell r="C4956" t="str">
            <v>Guide plate</v>
          </cell>
          <cell r="D4956">
            <v>3233</v>
          </cell>
          <cell r="E4956">
            <v>434.54301075268813</v>
          </cell>
        </row>
        <row r="4957">
          <cell r="A4957">
            <v>511096</v>
          </cell>
          <cell r="B4957" t="str">
            <v>Ledeplade  Opti 700</v>
          </cell>
          <cell r="C4957" t="str">
            <v>Guide plate</v>
          </cell>
          <cell r="D4957">
            <v>1272</v>
          </cell>
          <cell r="E4957">
            <v>170.96774193548387</v>
          </cell>
        </row>
        <row r="4958">
          <cell r="A4958">
            <v>511131</v>
          </cell>
          <cell r="B4958" t="str">
            <v>OPT lukkemøtrik</v>
          </cell>
          <cell r="C4958" t="str">
            <v>OPT nut</v>
          </cell>
          <cell r="D4958">
            <v>80</v>
          </cell>
          <cell r="E4958">
            <v>10.75268817204301</v>
          </cell>
        </row>
        <row r="4959">
          <cell r="A4959">
            <v>511137</v>
          </cell>
          <cell r="B4959" t="str">
            <v>Lukke møtrik</v>
          </cell>
          <cell r="C4959" t="str">
            <v>Special nut</v>
          </cell>
          <cell r="D4959">
            <v>80</v>
          </cell>
          <cell r="E4959">
            <v>10.75268817204301</v>
          </cell>
        </row>
        <row r="4960">
          <cell r="A4960">
            <v>511139</v>
          </cell>
          <cell r="B4960" t="str">
            <v>Opt700 lås for soldramme</v>
          </cell>
          <cell r="C4960" t="str">
            <v>700 lock f screenframe compl</v>
          </cell>
          <cell r="D4960">
            <v>1394</v>
          </cell>
          <cell r="E4960">
            <v>187.36559139784944</v>
          </cell>
        </row>
        <row r="4961">
          <cell r="A4961">
            <v>511140</v>
          </cell>
          <cell r="B4961" t="str">
            <v>Øjebolt M12x100 DIN444B FZB</v>
          </cell>
          <cell r="C4961" t="str">
            <v>Eye bolt M16x70 DIN444B FZB</v>
          </cell>
          <cell r="D4961">
            <v>63</v>
          </cell>
          <cell r="E4961">
            <v>8.4677419354838701</v>
          </cell>
        </row>
        <row r="4962">
          <cell r="A4962">
            <v>511149</v>
          </cell>
          <cell r="B4962" t="str">
            <v>Soldramme  Opti 700</v>
          </cell>
          <cell r="C4962" t="str">
            <v>Frame for screen</v>
          </cell>
          <cell r="D4962">
            <v>4665</v>
          </cell>
          <cell r="E4962">
            <v>627.01612903225805</v>
          </cell>
        </row>
        <row r="4963">
          <cell r="A4963">
            <v>511194</v>
          </cell>
          <cell r="B4963" t="str">
            <v>Aksel for låge opti 700</v>
          </cell>
          <cell r="C4963" t="str">
            <v>Mounting rail</v>
          </cell>
          <cell r="D4963">
            <v>689</v>
          </cell>
          <cell r="E4963">
            <v>92.607526881720432</v>
          </cell>
        </row>
        <row r="4964">
          <cell r="A4964">
            <v>511196</v>
          </cell>
          <cell r="B4964" t="str">
            <v>Aksel for soldramme Opti 700</v>
          </cell>
          <cell r="C4964" t="str">
            <v>Pivot pin for frame</v>
          </cell>
          <cell r="D4964">
            <v>572</v>
          </cell>
          <cell r="E4964">
            <v>76.881720430107521</v>
          </cell>
        </row>
        <row r="4965">
          <cell r="A4965">
            <v>511204</v>
          </cell>
          <cell r="B4965" t="str">
            <v>6kt skrue M10x12 DIN 933 FZB</v>
          </cell>
          <cell r="C4965" t="str">
            <v>Hex screw M10x12 DIN 933 FZB</v>
          </cell>
          <cell r="D4965">
            <v>2.4</v>
          </cell>
          <cell r="E4965">
            <v>0.32258064516129031</v>
          </cell>
        </row>
        <row r="4966">
          <cell r="A4966">
            <v>511305</v>
          </cell>
          <cell r="B4966" t="str">
            <v>Drøvl/lyddæmper ¼”</v>
          </cell>
          <cell r="C4966" t="str">
            <v>Silencer ¼”</v>
          </cell>
          <cell r="D4966">
            <v>24</v>
          </cell>
          <cell r="E4966">
            <v>3.225806451612903</v>
          </cell>
        </row>
        <row r="4967">
          <cell r="A4967">
            <v>511361</v>
          </cell>
          <cell r="B4967" t="str">
            <v>Reduktionsmuffe ½ x ¼ ”</v>
          </cell>
          <cell r="C4967" t="str">
            <v>Reduction socket ½ x ¼ ”</v>
          </cell>
          <cell r="D4967">
            <v>8.3000000000000007</v>
          </cell>
          <cell r="E4967">
            <v>1.1155913978494625</v>
          </cell>
        </row>
        <row r="4968">
          <cell r="A4968">
            <v>511385</v>
          </cell>
          <cell r="B4968" t="str">
            <v>FB Konsol for mikrokontakt.</v>
          </cell>
          <cell r="C4968" t="str">
            <v>FB micro switch bracket</v>
          </cell>
          <cell r="D4968">
            <v>150</v>
          </cell>
          <cell r="E4968">
            <v>20.161290322580644</v>
          </cell>
        </row>
        <row r="4969">
          <cell r="A4969">
            <v>511407</v>
          </cell>
          <cell r="B4969" t="str">
            <v>6kt. skrue M12 x 70 DIN933</v>
          </cell>
          <cell r="C4969" t="str">
            <v>Hex. screw M12 x 70 DIN933</v>
          </cell>
          <cell r="D4969">
            <v>1.9</v>
          </cell>
          <cell r="E4969">
            <v>0.2553763440860215</v>
          </cell>
        </row>
        <row r="4970">
          <cell r="A4970">
            <v>511408</v>
          </cell>
          <cell r="B4970" t="str">
            <v>FB7500 Spjældpakning</v>
          </cell>
          <cell r="C4970" t="str">
            <v>FP7500 slide sealing</v>
          </cell>
          <cell r="D4970">
            <v>850</v>
          </cell>
          <cell r="E4970">
            <v>114.24731182795698</v>
          </cell>
        </row>
        <row r="4971">
          <cell r="A4971">
            <v>511423</v>
          </cell>
          <cell r="B4971" t="str">
            <v>FB Trykstang</v>
          </cell>
          <cell r="C4971" t="str">
            <v>FB pressure lever</v>
          </cell>
          <cell r="D4971">
            <v>140</v>
          </cell>
          <cell r="E4971">
            <v>18.817204301075268</v>
          </cell>
        </row>
        <row r="4972">
          <cell r="A4972">
            <v>511424</v>
          </cell>
          <cell r="B4972" t="str">
            <v>FB Trykstang med øjeplade</v>
          </cell>
          <cell r="C4972" t="str">
            <v>FB pressure lever with eye plate</v>
          </cell>
          <cell r="D4972">
            <v>395</v>
          </cell>
          <cell r="E4972">
            <v>53.091397849462361</v>
          </cell>
        </row>
        <row r="4973">
          <cell r="A4973">
            <v>511428</v>
          </cell>
          <cell r="B4973" t="str">
            <v>FB Splitbolt</v>
          </cell>
          <cell r="C4973" t="str">
            <v>FB cotter bolt</v>
          </cell>
          <cell r="D4973">
            <v>180</v>
          </cell>
          <cell r="E4973">
            <v>24.193548387096772</v>
          </cell>
        </row>
        <row r="4974">
          <cell r="A4974">
            <v>511440</v>
          </cell>
          <cell r="B4974" t="str">
            <v>Mandeluge</v>
          </cell>
          <cell r="C4974" t="str">
            <v>Man door</v>
          </cell>
          <cell r="D4974">
            <v>2450</v>
          </cell>
          <cell r="E4974">
            <v>329.30107526881721</v>
          </cell>
        </row>
        <row r="4975">
          <cell r="A4975">
            <v>511473</v>
          </cell>
          <cell r="B4975" t="str">
            <v>Gear HB 7500</v>
          </cell>
          <cell r="C4975" t="str">
            <v>Gear</v>
          </cell>
          <cell r="D4975">
            <v>105800</v>
          </cell>
          <cell r="E4975">
            <v>14220.430107526881</v>
          </cell>
        </row>
        <row r="4976">
          <cell r="A4976">
            <v>511477</v>
          </cell>
          <cell r="B4976" t="str">
            <v>Spændeelement  TL 4040  ø70</v>
          </cell>
          <cell r="C4976" t="str">
            <v>Shaft adapter, taper-lock TL 4040 Ø 070</v>
          </cell>
          <cell r="D4976">
            <v>223</v>
          </cell>
          <cell r="E4976">
            <v>29.973118279569892</v>
          </cell>
        </row>
        <row r="4977">
          <cell r="A4977">
            <v>511478</v>
          </cell>
          <cell r="B4977" t="str">
            <v>Kilerem</v>
          </cell>
          <cell r="C4977" t="str">
            <v>V-belt</v>
          </cell>
          <cell r="D4977">
            <v>135</v>
          </cell>
          <cell r="E4977">
            <v>18.14516129032258</v>
          </cell>
        </row>
        <row r="4978">
          <cell r="A4978">
            <v>511492</v>
          </cell>
          <cell r="B4978" t="str">
            <v>HB Bundudløb spjældklap</v>
          </cell>
          <cell r="C4978" t="str">
            <v>HB bottom outlet slide flap</v>
          </cell>
          <cell r="D4978">
            <v>4050</v>
          </cell>
          <cell r="E4978">
            <v>544.35483870967744</v>
          </cell>
        </row>
        <row r="4979">
          <cell r="A4979">
            <v>511500</v>
          </cell>
          <cell r="B4979" t="str">
            <v>HB7500 Bundudløb spændeliste</v>
          </cell>
          <cell r="C4979" t="str">
            <v>HB7500 bottom outlet clamping fillet</v>
          </cell>
          <cell r="D4979">
            <v>165</v>
          </cell>
          <cell r="E4979">
            <v>22.177419354838708</v>
          </cell>
        </row>
        <row r="4980">
          <cell r="A4980">
            <v>511501</v>
          </cell>
          <cell r="B4980" t="str">
            <v>Arm for spjæld</v>
          </cell>
          <cell r="C4980" t="str">
            <v xml:space="preserve">Slide arm </v>
          </cell>
          <cell r="D4980">
            <v>795</v>
          </cell>
          <cell r="E4980">
            <v>106.85483870967741</v>
          </cell>
        </row>
        <row r="4981">
          <cell r="A4981">
            <v>511505</v>
          </cell>
          <cell r="B4981" t="str">
            <v>HB7500 Bundudløb spændeliste</v>
          </cell>
          <cell r="C4981" t="str">
            <v>HB7500 bottom outlet clamping fillet</v>
          </cell>
          <cell r="D4981">
            <v>335</v>
          </cell>
          <cell r="E4981">
            <v>45.026881720430104</v>
          </cell>
        </row>
        <row r="4982">
          <cell r="A4982">
            <v>511506</v>
          </cell>
          <cell r="B4982" t="str">
            <v>Centertap</v>
          </cell>
          <cell r="C4982" t="str">
            <v>Centre pivot</v>
          </cell>
          <cell r="D4982">
            <v>780</v>
          </cell>
          <cell r="E4982">
            <v>104.83870967741935</v>
          </cell>
        </row>
        <row r="4983">
          <cell r="A4983">
            <v>511510</v>
          </cell>
          <cell r="B4983" t="str">
            <v>HB Konsol centertap stopskive</v>
          </cell>
          <cell r="C4983" t="str">
            <v>HB bracket central pin stop washer</v>
          </cell>
          <cell r="D4983">
            <v>65</v>
          </cell>
          <cell r="E4983">
            <v>8.736559139784946</v>
          </cell>
        </row>
        <row r="4984">
          <cell r="A4984">
            <v>511511</v>
          </cell>
          <cell r="B4984" t="str">
            <v>Lænkeled</v>
          </cell>
          <cell r="C4984" t="str">
            <v xml:space="preserve">Link </v>
          </cell>
          <cell r="D4984">
            <v>345</v>
          </cell>
          <cell r="E4984">
            <v>46.37096774193548</v>
          </cell>
        </row>
        <row r="4985">
          <cell r="A4985">
            <v>511512</v>
          </cell>
          <cell r="B4985" t="str">
            <v>Akseltap</v>
          </cell>
          <cell r="C4985" t="str">
            <v>Shaft journal</v>
          </cell>
          <cell r="D4985">
            <v>164</v>
          </cell>
          <cell r="E4985">
            <v>22.043010752688172</v>
          </cell>
        </row>
        <row r="4986">
          <cell r="A4986">
            <v>511516</v>
          </cell>
          <cell r="B4986" t="str">
            <v>Arm</v>
          </cell>
          <cell r="C4986" t="str">
            <v>Arm</v>
          </cell>
          <cell r="D4986">
            <v>1299</v>
          </cell>
          <cell r="E4986">
            <v>174.59677419354838</v>
          </cell>
        </row>
        <row r="4987">
          <cell r="A4987">
            <v>511524</v>
          </cell>
          <cell r="B4987" t="str">
            <v>Lejehus</v>
          </cell>
          <cell r="C4987" t="str">
            <v>Bearing housing</v>
          </cell>
          <cell r="D4987">
            <v>7632</v>
          </cell>
          <cell r="E4987">
            <v>1025.8064516129032</v>
          </cell>
        </row>
        <row r="4988">
          <cell r="A4988">
            <v>511525</v>
          </cell>
          <cell r="B4988" t="str">
            <v>Lejedæksel (åben)</v>
          </cell>
          <cell r="C4988" t="str">
            <v>Bearing cover (open)</v>
          </cell>
          <cell r="D4988">
            <v>3021</v>
          </cell>
          <cell r="E4988">
            <v>406.04838709677415</v>
          </cell>
        </row>
        <row r="4989">
          <cell r="A4989">
            <v>511526</v>
          </cell>
          <cell r="B4989" t="str">
            <v>Lejedæksel</v>
          </cell>
          <cell r="C4989" t="str">
            <v>Bearing cover</v>
          </cell>
          <cell r="D4989">
            <v>2332</v>
          </cell>
          <cell r="E4989">
            <v>313.44086021505376</v>
          </cell>
        </row>
        <row r="4990">
          <cell r="A4990">
            <v>511529</v>
          </cell>
          <cell r="B4990" t="str">
            <v>Blandespiral HB 7500</v>
          </cell>
          <cell r="C4990" t="str">
            <v>Mixer spiral</v>
          </cell>
          <cell r="D4990">
            <v>115000</v>
          </cell>
          <cell r="E4990">
            <v>15456.989247311827</v>
          </cell>
        </row>
        <row r="4991">
          <cell r="A4991">
            <v>511580</v>
          </cell>
          <cell r="B4991" t="str">
            <v>Drøvle/lyddæmper Parker G1/8</v>
          </cell>
          <cell r="C4991" t="str">
            <v>Shrottle valve/silencer Parker G1/8</v>
          </cell>
          <cell r="D4991">
            <v>21</v>
          </cell>
          <cell r="E4991">
            <v>2.82258064516129</v>
          </cell>
        </row>
        <row r="4992">
          <cell r="A4992">
            <v>511670</v>
          </cell>
          <cell r="B4992" t="str">
            <v>FB Spjæld</v>
          </cell>
          <cell r="C4992" t="str">
            <v>FB slide</v>
          </cell>
          <cell r="D4992">
            <v>23500</v>
          </cell>
          <cell r="E4992">
            <v>3158.6021505376343</v>
          </cell>
        </row>
        <row r="4993">
          <cell r="A4993">
            <v>511673</v>
          </cell>
          <cell r="B4993" t="str">
            <v>FB5000 Spjældpakning</v>
          </cell>
          <cell r="C4993" t="str">
            <v>FB5000 slide sealing</v>
          </cell>
          <cell r="D4993">
            <v>1280</v>
          </cell>
          <cell r="E4993">
            <v>172.04301075268816</v>
          </cell>
        </row>
        <row r="4994">
          <cell r="A4994">
            <v>511871</v>
          </cell>
          <cell r="B4994" t="str">
            <v>Plade rotor  Opti 500</v>
          </cell>
          <cell r="C4994" t="str">
            <v>Plate rotor</v>
          </cell>
          <cell r="D4994" t="str">
            <v>seperate list</v>
          </cell>
          <cell r="E4994" t="e">
            <v>#VALUE!</v>
          </cell>
        </row>
        <row r="4995">
          <cell r="A4995">
            <v>511872</v>
          </cell>
          <cell r="B4995" t="str">
            <v>Plade rotor Opti 900</v>
          </cell>
          <cell r="C4995" t="str">
            <v>Plate rotor</v>
          </cell>
          <cell r="D4995" t="str">
            <v>seperate list</v>
          </cell>
          <cell r="E4995" t="e">
            <v>#VALUE!</v>
          </cell>
        </row>
        <row r="4996">
          <cell r="A4996">
            <v>511949</v>
          </cell>
          <cell r="B4996" t="str">
            <v>6kt skrue M24 x 100 DIN931 (PM 717W)</v>
          </cell>
          <cell r="C4996" t="str">
            <v>Hex. screw M24 x 100 DIN931</v>
          </cell>
          <cell r="D4996">
            <v>13</v>
          </cell>
          <cell r="E4996">
            <v>1.7473118279569892</v>
          </cell>
        </row>
        <row r="4997">
          <cell r="A4997">
            <v>511982</v>
          </cell>
          <cell r="B4997" t="str">
            <v>Dør  svejst  Opti 500</v>
          </cell>
          <cell r="C4997" t="str">
            <v>Door Opti 500</v>
          </cell>
          <cell r="D4997">
            <v>9646</v>
          </cell>
          <cell r="E4997">
            <v>1296.505376344086</v>
          </cell>
        </row>
        <row r="4998">
          <cell r="A4998">
            <v>511983</v>
          </cell>
          <cell r="B4998" t="str">
            <v>Soldramme  Opti 500</v>
          </cell>
          <cell r="C4998" t="str">
            <v>Frame for screen</v>
          </cell>
          <cell r="D4998">
            <v>3975</v>
          </cell>
          <cell r="E4998">
            <v>534.27419354838707</v>
          </cell>
        </row>
        <row r="4999">
          <cell r="A4999">
            <v>511984</v>
          </cell>
          <cell r="B4999" t="str">
            <v>Soldramme Opti 900</v>
          </cell>
          <cell r="C4999" t="str">
            <v>Frame for screen</v>
          </cell>
          <cell r="D4999">
            <v>4997</v>
          </cell>
          <cell r="E4999">
            <v>671.63978494623655</v>
          </cell>
        </row>
        <row r="5000">
          <cell r="A5000">
            <v>511993</v>
          </cell>
          <cell r="B5000" t="str">
            <v>Opt500 lås for soldramme</v>
          </cell>
          <cell r="C5000" t="str">
            <v>500 lock f screen  frame complete</v>
          </cell>
          <cell r="D5000">
            <v>1320</v>
          </cell>
          <cell r="E5000">
            <v>177.41935483870967</v>
          </cell>
        </row>
        <row r="5001">
          <cell r="A5001">
            <v>511994</v>
          </cell>
          <cell r="B5001" t="str">
            <v>Opt900 Lås for soldramme</v>
          </cell>
          <cell r="C5001" t="str">
            <v xml:space="preserve">Lock f screenframe opt900 </v>
          </cell>
          <cell r="D5001">
            <v>1554</v>
          </cell>
          <cell r="E5001">
            <v>208.87096774193546</v>
          </cell>
        </row>
        <row r="5002">
          <cell r="A5002">
            <v>512051</v>
          </cell>
          <cell r="B5002" t="str">
            <v>Ledeplade Kpl Opti 500</v>
          </cell>
          <cell r="C5002" t="str">
            <v>Guide plate</v>
          </cell>
          <cell r="D5002">
            <v>2703</v>
          </cell>
          <cell r="E5002">
            <v>363.30645161290323</v>
          </cell>
        </row>
        <row r="5003">
          <cell r="A5003">
            <v>512052</v>
          </cell>
          <cell r="B5003" t="str">
            <v>Ledeplade kpl Opti 900</v>
          </cell>
          <cell r="C5003" t="str">
            <v>Guide plate</v>
          </cell>
          <cell r="D5003">
            <v>3445</v>
          </cell>
          <cell r="E5003">
            <v>463.03763440860212</v>
          </cell>
        </row>
        <row r="5004">
          <cell r="A5004">
            <v>512053</v>
          </cell>
          <cell r="B5004" t="str">
            <v>Ledeplade  Opti 500</v>
          </cell>
          <cell r="C5004" t="str">
            <v>Guide plate</v>
          </cell>
          <cell r="D5004">
            <v>1060</v>
          </cell>
          <cell r="E5004">
            <v>142.47311827956989</v>
          </cell>
        </row>
        <row r="5005">
          <cell r="A5005">
            <v>512054</v>
          </cell>
          <cell r="B5005" t="str">
            <v>Ledeplade  Opti 900</v>
          </cell>
          <cell r="C5005" t="str">
            <v>Guide plate</v>
          </cell>
          <cell r="D5005">
            <v>1484</v>
          </cell>
          <cell r="E5005">
            <v>199.46236559139783</v>
          </cell>
        </row>
        <row r="5006">
          <cell r="A5006">
            <v>512059</v>
          </cell>
          <cell r="B5006" t="str">
            <v>Aksel for låge  Opti 500</v>
          </cell>
          <cell r="C5006" t="str">
            <v>Mounting rail</v>
          </cell>
          <cell r="D5006">
            <v>583</v>
          </cell>
          <cell r="E5006">
            <v>78.36021505376344</v>
          </cell>
        </row>
        <row r="5007">
          <cell r="A5007">
            <v>512060</v>
          </cell>
          <cell r="B5007" t="str">
            <v>Aksel for låge  Opti 900</v>
          </cell>
          <cell r="C5007" t="str">
            <v>Mounting rail</v>
          </cell>
          <cell r="D5007">
            <v>1007</v>
          </cell>
          <cell r="E5007">
            <v>135.34946236559139</v>
          </cell>
        </row>
        <row r="5008">
          <cell r="A5008">
            <v>512061</v>
          </cell>
          <cell r="B5008" t="str">
            <v>Aksel for soldramme  Opti 500</v>
          </cell>
          <cell r="C5008" t="str">
            <v>Pivot pin for frame</v>
          </cell>
          <cell r="D5008">
            <v>551</v>
          </cell>
          <cell r="E5008">
            <v>74.05913978494624</v>
          </cell>
        </row>
        <row r="5009">
          <cell r="A5009">
            <v>512062</v>
          </cell>
          <cell r="B5009" t="str">
            <v>Aksel for soldramme  Opti 900</v>
          </cell>
          <cell r="C5009" t="str">
            <v>Pivot pin for frame</v>
          </cell>
          <cell r="D5009">
            <v>668</v>
          </cell>
          <cell r="E5009">
            <v>89.784946236559136</v>
          </cell>
        </row>
        <row r="5010">
          <cell r="A5010">
            <v>512100</v>
          </cell>
          <cell r="B5010" t="str">
            <v>Magnet</v>
          </cell>
          <cell r="C5010" t="str">
            <v>Magnet</v>
          </cell>
          <cell r="D5010">
            <v>2950</v>
          </cell>
          <cell r="E5010">
            <v>396.50537634408602</v>
          </cell>
        </row>
        <row r="5011">
          <cell r="A5011">
            <v>512101</v>
          </cell>
          <cell r="B5011" t="str">
            <v>Magnet</v>
          </cell>
          <cell r="C5011" t="str">
            <v>Magnet</v>
          </cell>
          <cell r="D5011">
            <v>4750</v>
          </cell>
          <cell r="E5011">
            <v>638.4408602150537</v>
          </cell>
        </row>
        <row r="5012">
          <cell r="A5012">
            <v>512216</v>
          </cell>
          <cell r="B5012" t="str">
            <v>K200-K250 trug sideplade, L=2400</v>
          </cell>
          <cell r="C5012" t="str">
            <v>K200-K250 trough side plate, L = 2400mm</v>
          </cell>
          <cell r="D5012">
            <v>925</v>
          </cell>
          <cell r="E5012">
            <v>124.32795698924731</v>
          </cell>
        </row>
        <row r="5013">
          <cell r="A5013">
            <v>512257</v>
          </cell>
          <cell r="B5013" t="str">
            <v>K315-K500 trug sideplade, L=2400</v>
          </cell>
          <cell r="C5013" t="str">
            <v>K315-K500 trough side plate, L = 2400mm</v>
          </cell>
          <cell r="D5013">
            <v>1350</v>
          </cell>
          <cell r="E5013">
            <v>181.45161290322579</v>
          </cell>
        </row>
        <row r="5014">
          <cell r="A5014">
            <v>512440</v>
          </cell>
          <cell r="B5014" t="str">
            <v>Styr for leje</v>
          </cell>
          <cell r="C5014" t="str">
            <v>Bearing guide</v>
          </cell>
          <cell r="D5014">
            <v>1955</v>
          </cell>
          <cell r="E5014">
            <v>262.76881720430106</v>
          </cell>
        </row>
        <row r="5015">
          <cell r="A5015">
            <v>512443</v>
          </cell>
          <cell r="B5015" t="str">
            <v>Blandespiral HB 5000</v>
          </cell>
          <cell r="C5015" t="str">
            <v>Mixer spiral</v>
          </cell>
          <cell r="D5015">
            <v>81900</v>
          </cell>
          <cell r="E5015">
            <v>11008.064516129032</v>
          </cell>
        </row>
        <row r="5016">
          <cell r="A5016">
            <v>512468</v>
          </cell>
          <cell r="B5016" t="str">
            <v>Gear HB 5000</v>
          </cell>
          <cell r="C5016" t="str">
            <v>Gear</v>
          </cell>
          <cell r="D5016">
            <v>74500</v>
          </cell>
          <cell r="E5016">
            <v>10013.440860215052</v>
          </cell>
        </row>
        <row r="5017">
          <cell r="A5017">
            <v>512472</v>
          </cell>
          <cell r="B5017" t="str">
            <v>Kilerem</v>
          </cell>
          <cell r="C5017" t="str">
            <v>V-belt</v>
          </cell>
          <cell r="D5017">
            <v>135</v>
          </cell>
          <cell r="E5017">
            <v>18.14516129032258</v>
          </cell>
        </row>
        <row r="5018">
          <cell r="A5018">
            <v>512609</v>
          </cell>
          <cell r="B5018" t="str">
            <v>K200-400 laskesamling</v>
          </cell>
          <cell r="C5018" t="str">
            <v>K200-400 plate link joint</v>
          </cell>
          <cell r="D5018">
            <v>650</v>
          </cell>
          <cell r="E5018">
            <v>87.365591397849457</v>
          </cell>
        </row>
        <row r="5019">
          <cell r="A5019">
            <v>512682</v>
          </cell>
          <cell r="B5019" t="str">
            <v>Rotor-komplet</v>
          </cell>
          <cell r="C5019" t="str">
            <v>Rotor complete</v>
          </cell>
          <cell r="D5019" t="str">
            <v>seperate list</v>
          </cell>
          <cell r="E5019" t="e">
            <v>#VALUE!</v>
          </cell>
        </row>
        <row r="5020">
          <cell r="A5020">
            <v>512684</v>
          </cell>
          <cell r="B5020" t="str">
            <v>Multi  A rotorplade m not</v>
          </cell>
          <cell r="C5020" t="str">
            <v xml:space="preserve">Rotorplate </v>
          </cell>
          <cell r="D5020">
            <v>270</v>
          </cell>
          <cell r="E5020">
            <v>36.29032258064516</v>
          </cell>
        </row>
        <row r="5021">
          <cell r="A5021">
            <v>512685</v>
          </cell>
          <cell r="B5021" t="str">
            <v>Rotor-komplet</v>
          </cell>
          <cell r="C5021" t="str">
            <v>Rotor complete</v>
          </cell>
          <cell r="D5021" t="str">
            <v>seperate list</v>
          </cell>
          <cell r="E5021" t="e">
            <v>#VALUE!</v>
          </cell>
        </row>
        <row r="5022">
          <cell r="A5022">
            <v>512686</v>
          </cell>
          <cell r="B5022" t="str">
            <v>Rotor-komplet</v>
          </cell>
          <cell r="C5022" t="str">
            <v>Rotor complete</v>
          </cell>
          <cell r="D5022" t="str">
            <v>seperate list</v>
          </cell>
          <cell r="E5022" t="e">
            <v>#VALUE!</v>
          </cell>
        </row>
        <row r="5023">
          <cell r="A5023">
            <v>512687</v>
          </cell>
          <cell r="B5023" t="str">
            <v>Rotor-komplet</v>
          </cell>
          <cell r="C5023" t="str">
            <v>Rotor complete</v>
          </cell>
          <cell r="D5023" t="str">
            <v>seperate list</v>
          </cell>
          <cell r="E5023" t="e">
            <v>#VALUE!</v>
          </cell>
        </row>
        <row r="5024">
          <cell r="A5024">
            <v>512695</v>
          </cell>
          <cell r="B5024" t="str">
            <v>Afstandsbøsning</v>
          </cell>
          <cell r="C5024" t="str">
            <v>Distance ring</v>
          </cell>
          <cell r="D5024">
            <v>1034</v>
          </cell>
          <cell r="E5024">
            <v>138.97849462365591</v>
          </cell>
        </row>
        <row r="5025">
          <cell r="A5025">
            <v>512733</v>
          </cell>
          <cell r="B5025" t="str">
            <v>MultiA lukkebeslag</v>
          </cell>
          <cell r="C5025" t="str">
            <v>Bracket</v>
          </cell>
          <cell r="D5025">
            <v>80</v>
          </cell>
          <cell r="E5025">
            <v>10.75268817204301</v>
          </cell>
        </row>
        <row r="5026">
          <cell r="A5026">
            <v>512781</v>
          </cell>
          <cell r="B5026" t="str">
            <v>Gaffel</v>
          </cell>
          <cell r="C5026" t="str">
            <v>Fork</v>
          </cell>
          <cell r="D5026">
            <v>307</v>
          </cell>
          <cell r="E5026">
            <v>41.263440860215049</v>
          </cell>
        </row>
        <row r="5027">
          <cell r="A5027">
            <v>513029</v>
          </cell>
          <cell r="B5027" t="str">
            <v>Låg med malebro, standard 800A</v>
          </cell>
          <cell r="C5027" t="str">
            <v>Grinding bridge, standard</v>
          </cell>
          <cell r="D5027">
            <v>19500</v>
          </cell>
          <cell r="E5027">
            <v>2620.9677419354839</v>
          </cell>
        </row>
        <row r="5028">
          <cell r="A5028">
            <v>513041</v>
          </cell>
          <cell r="B5028" t="str">
            <v>Lem  800 A</v>
          </cell>
          <cell r="C5028" t="str">
            <v>Door</v>
          </cell>
          <cell r="D5028">
            <v>5830</v>
          </cell>
          <cell r="E5028">
            <v>783.60215053763432</v>
          </cell>
        </row>
        <row r="5029">
          <cell r="A5029">
            <v>513075</v>
          </cell>
          <cell r="B5029" t="str">
            <v>Labyrinttætning</v>
          </cell>
          <cell r="C5029" t="str">
            <v>Labyrinth seal</v>
          </cell>
          <cell r="D5029">
            <v>689</v>
          </cell>
          <cell r="E5029">
            <v>92.607526881720432</v>
          </cell>
        </row>
        <row r="5030">
          <cell r="A5030">
            <v>513078</v>
          </cell>
          <cell r="B5030" t="str">
            <v>Flange</v>
          </cell>
          <cell r="C5030" t="str">
            <v>Flange</v>
          </cell>
          <cell r="D5030">
            <v>1007</v>
          </cell>
          <cell r="E5030">
            <v>135.34946236559139</v>
          </cell>
        </row>
        <row r="5031">
          <cell r="A5031">
            <v>513079</v>
          </cell>
          <cell r="B5031" t="str">
            <v>Palhjulholder</v>
          </cell>
          <cell r="C5031" t="str">
            <v>Holder for ratchet wheel</v>
          </cell>
          <cell r="D5031">
            <v>689</v>
          </cell>
          <cell r="E5031">
            <v>92.607526881720432</v>
          </cell>
        </row>
        <row r="5032">
          <cell r="A5032">
            <v>513080</v>
          </cell>
          <cell r="B5032" t="str">
            <v>Lem for slagleskift</v>
          </cell>
          <cell r="C5032" t="str">
            <v>Door for hammer exchange</v>
          </cell>
          <cell r="D5032">
            <v>456</v>
          </cell>
          <cell r="E5032">
            <v>61.29032258064516</v>
          </cell>
        </row>
        <row r="5033">
          <cell r="A5033">
            <v>513081</v>
          </cell>
          <cell r="B5033" t="str">
            <v>Excenteraksel  Multi 315</v>
          </cell>
          <cell r="C5033" t="str">
            <v>Eccentric shaft</v>
          </cell>
          <cell r="D5033">
            <v>1696</v>
          </cell>
          <cell r="E5033">
            <v>227.95698924731181</v>
          </cell>
        </row>
        <row r="5034">
          <cell r="A5034">
            <v>513082</v>
          </cell>
          <cell r="B5034" t="str">
            <v>Excenteraksel  Multi 450</v>
          </cell>
          <cell r="C5034" t="str">
            <v>Eccentric shaft</v>
          </cell>
          <cell r="D5034">
            <v>1855</v>
          </cell>
          <cell r="E5034">
            <v>249.3279569892473</v>
          </cell>
        </row>
        <row r="5035">
          <cell r="A5035">
            <v>513083</v>
          </cell>
          <cell r="B5035" t="str">
            <v>Excenteraksel  Multi 630</v>
          </cell>
          <cell r="C5035" t="str">
            <v>Eccentric shaft</v>
          </cell>
          <cell r="D5035">
            <v>2279</v>
          </cell>
          <cell r="E5035">
            <v>306.31720430107526</v>
          </cell>
        </row>
        <row r="5036">
          <cell r="A5036">
            <v>513084</v>
          </cell>
          <cell r="B5036" t="str">
            <v>Excenteraksel  multi 800</v>
          </cell>
          <cell r="C5036" t="str">
            <v>Eccentric shaft</v>
          </cell>
          <cell r="D5036">
            <v>2491</v>
          </cell>
          <cell r="E5036">
            <v>334.81182795698925</v>
          </cell>
        </row>
        <row r="5037">
          <cell r="A5037">
            <v>513102</v>
          </cell>
          <cell r="B5037" t="str">
            <v>Udløbsramme Opti 500</v>
          </cell>
          <cell r="C5037" t="str">
            <v>Outlet frame</v>
          </cell>
          <cell r="D5037">
            <v>1060</v>
          </cell>
          <cell r="E5037">
            <v>142.47311827956989</v>
          </cell>
        </row>
        <row r="5038">
          <cell r="A5038">
            <v>513103</v>
          </cell>
          <cell r="B5038" t="str">
            <v>Udløbsramme Opti 700</v>
          </cell>
          <cell r="C5038" t="str">
            <v>Outlet frame</v>
          </cell>
          <cell r="D5038">
            <v>954</v>
          </cell>
          <cell r="E5038">
            <v>128.2258064516129</v>
          </cell>
        </row>
        <row r="5039">
          <cell r="A5039">
            <v>513104</v>
          </cell>
          <cell r="B5039" t="str">
            <v>Udløbsramme Opti 700</v>
          </cell>
          <cell r="C5039" t="str">
            <v>Outlet frame</v>
          </cell>
          <cell r="D5039">
            <v>1060</v>
          </cell>
          <cell r="E5039">
            <v>142.47311827956989</v>
          </cell>
        </row>
        <row r="5040">
          <cell r="A5040">
            <v>513112</v>
          </cell>
          <cell r="B5040" t="str">
            <v>Endedæksel</v>
          </cell>
          <cell r="C5040" t="str">
            <v>End cover</v>
          </cell>
          <cell r="D5040">
            <v>8268</v>
          </cell>
          <cell r="E5040">
            <v>1111.2903225806451</v>
          </cell>
        </row>
        <row r="5041">
          <cell r="A5041">
            <v>513115</v>
          </cell>
          <cell r="B5041" t="str">
            <v>Afstandsklods for leje</v>
          </cell>
          <cell r="C5041" t="str">
            <v>Distanceblock for bearing</v>
          </cell>
          <cell r="D5041">
            <v>1166</v>
          </cell>
          <cell r="E5041">
            <v>156.72043010752688</v>
          </cell>
        </row>
        <row r="5042">
          <cell r="A5042">
            <v>513117</v>
          </cell>
          <cell r="B5042" t="str">
            <v>Trækbolt</v>
          </cell>
          <cell r="C5042" t="str">
            <v>Draw bolt</v>
          </cell>
          <cell r="D5042">
            <v>102</v>
          </cell>
          <cell r="E5042">
            <v>13.709677419354838</v>
          </cell>
        </row>
        <row r="5043">
          <cell r="A5043">
            <v>513118</v>
          </cell>
          <cell r="B5043" t="str">
            <v>Palhjul</v>
          </cell>
          <cell r="C5043" t="str">
            <v>Ratchet wheel</v>
          </cell>
          <cell r="D5043">
            <v>783</v>
          </cell>
          <cell r="E5043">
            <v>105.24193548387096</v>
          </cell>
        </row>
        <row r="5044">
          <cell r="A5044">
            <v>513119</v>
          </cell>
          <cell r="B5044" t="str">
            <v>Pal</v>
          </cell>
          <cell r="C5044" t="str">
            <v>Ratchet</v>
          </cell>
          <cell r="D5044">
            <v>186</v>
          </cell>
          <cell r="E5044">
            <v>25</v>
          </cell>
        </row>
        <row r="5045">
          <cell r="A5045">
            <v>513144</v>
          </cell>
          <cell r="B5045" t="str">
            <v>Låg med malebro, standard  315</v>
          </cell>
          <cell r="C5045" t="str">
            <v>Grinding bridge, standard</v>
          </cell>
          <cell r="D5045">
            <v>7020</v>
          </cell>
          <cell r="E5045">
            <v>943.54838709677415</v>
          </cell>
        </row>
        <row r="5046">
          <cell r="A5046">
            <v>513146</v>
          </cell>
          <cell r="B5046" t="str">
            <v>Låg med malebro, standard  450  A</v>
          </cell>
          <cell r="C5046" t="str">
            <v>Grinding bridge, standard</v>
          </cell>
          <cell r="D5046">
            <v>12500</v>
          </cell>
          <cell r="E5046">
            <v>1680.1075268817203</v>
          </cell>
        </row>
        <row r="5047">
          <cell r="A5047">
            <v>513148</v>
          </cell>
          <cell r="B5047" t="str">
            <v>Låg med malebro, standard  630 A</v>
          </cell>
          <cell r="C5047" t="str">
            <v>Grinding bridge, standard</v>
          </cell>
          <cell r="D5047">
            <v>16500</v>
          </cell>
          <cell r="E5047">
            <v>2217.7419354838707</v>
          </cell>
        </row>
        <row r="5048">
          <cell r="A5048">
            <v>513160</v>
          </cell>
          <cell r="B5048" t="str">
            <v>Skærm for aksel</v>
          </cell>
          <cell r="C5048" t="str">
            <v>Shaft guard</v>
          </cell>
          <cell r="D5048">
            <v>610</v>
          </cell>
          <cell r="E5048">
            <v>81.989247311827953</v>
          </cell>
        </row>
        <row r="5049">
          <cell r="A5049">
            <v>513166</v>
          </cell>
          <cell r="B5049" t="str">
            <v>Topmøtrik DIN1587 M12 FZB</v>
          </cell>
          <cell r="C5049" t="str">
            <v>Top nut DIN1587 M12 FZB</v>
          </cell>
          <cell r="D5049">
            <v>6.1</v>
          </cell>
          <cell r="E5049">
            <v>0.81989247311827951</v>
          </cell>
        </row>
        <row r="5050">
          <cell r="A5050">
            <v>513267</v>
          </cell>
          <cell r="B5050" t="str">
            <v>Møtrik M12 A2 DIN934</v>
          </cell>
          <cell r="C5050" t="str">
            <v>Nut M12 A2 DIN934</v>
          </cell>
          <cell r="D5050">
            <v>1.8</v>
          </cell>
          <cell r="E5050">
            <v>0.24193548387096772</v>
          </cell>
        </row>
        <row r="5051">
          <cell r="A5051">
            <v>513345</v>
          </cell>
          <cell r="B5051" t="str">
            <v>FB2500 Spjældpakning</v>
          </cell>
          <cell r="C5051" t="str">
            <v>FB2500 slide sealing</v>
          </cell>
          <cell r="D5051">
            <v>950</v>
          </cell>
          <cell r="E5051">
            <v>127.68817204301075</v>
          </cell>
        </row>
        <row r="5052">
          <cell r="A5052">
            <v>513368</v>
          </cell>
          <cell r="B5052" t="str">
            <v>Blandespiral HB 2500</v>
          </cell>
          <cell r="C5052" t="str">
            <v>Mixer spiral</v>
          </cell>
          <cell r="D5052">
            <v>60998</v>
          </cell>
          <cell r="E5052">
            <v>8198.6559139784949</v>
          </cell>
        </row>
        <row r="5053">
          <cell r="A5053">
            <v>513400</v>
          </cell>
          <cell r="B5053" t="str">
            <v>Lejehus</v>
          </cell>
          <cell r="C5053" t="str">
            <v>Bearing housing</v>
          </cell>
          <cell r="D5053">
            <v>1855</v>
          </cell>
          <cell r="E5053">
            <v>249.3279569892473</v>
          </cell>
        </row>
        <row r="5054">
          <cell r="A5054">
            <v>513402</v>
          </cell>
          <cell r="B5054" t="str">
            <v>Konisk stift</v>
          </cell>
          <cell r="C5054" t="str">
            <v>Conical pin</v>
          </cell>
          <cell r="D5054">
            <v>8</v>
          </cell>
          <cell r="E5054">
            <v>1.075268817204301</v>
          </cell>
        </row>
        <row r="5055">
          <cell r="A5055">
            <v>513432</v>
          </cell>
          <cell r="B5055" t="str">
            <v>Gear HB 2500</v>
          </cell>
          <cell r="C5055" t="str">
            <v>Gear</v>
          </cell>
          <cell r="D5055">
            <v>36300</v>
          </cell>
          <cell r="E5055">
            <v>4879.0322580645161</v>
          </cell>
        </row>
        <row r="5056">
          <cell r="A5056">
            <v>513433</v>
          </cell>
          <cell r="B5056" t="str">
            <v>Kilerem</v>
          </cell>
          <cell r="C5056" t="str">
            <v>V-belt</v>
          </cell>
          <cell r="D5056">
            <v>105</v>
          </cell>
          <cell r="E5056">
            <v>14.11290322580645</v>
          </cell>
        </row>
        <row r="5057">
          <cell r="A5057">
            <v>513506</v>
          </cell>
          <cell r="B5057" t="str">
            <v>K200 bærerulle aksel</v>
          </cell>
          <cell r="C5057" t="str">
            <v>K200 supportion roller shaft</v>
          </cell>
          <cell r="D5057">
            <v>85</v>
          </cell>
          <cell r="E5057">
            <v>11.424731182795698</v>
          </cell>
        </row>
        <row r="5058">
          <cell r="A5058">
            <v>513562</v>
          </cell>
          <cell r="B5058" t="str">
            <v>Kilerem</v>
          </cell>
          <cell r="C5058" t="str">
            <v>V-belt</v>
          </cell>
          <cell r="D5058">
            <v>65</v>
          </cell>
          <cell r="E5058">
            <v>8.736559139784946</v>
          </cell>
        </row>
        <row r="5059">
          <cell r="A5059">
            <v>513688</v>
          </cell>
          <cell r="B5059" t="str">
            <v>Kopper  opti 0 - 23</v>
          </cell>
          <cell r="C5059" t="str">
            <v xml:space="preserve">Buckets opti 0-23 </v>
          </cell>
          <cell r="D5059">
            <v>35</v>
          </cell>
          <cell r="E5059">
            <v>4.704301075268817</v>
          </cell>
        </row>
        <row r="5060">
          <cell r="A5060">
            <v>513921</v>
          </cell>
          <cell r="B5060" t="str">
            <v>Motorkonsol</v>
          </cell>
          <cell r="C5060" t="str">
            <v>Motor bracket</v>
          </cell>
          <cell r="D5060">
            <v>1185</v>
          </cell>
          <cell r="E5060">
            <v>159.27419354838707</v>
          </cell>
        </row>
        <row r="5061">
          <cell r="A5061">
            <v>513959</v>
          </cell>
          <cell r="B5061" t="str">
            <v>K250 drivstation aksel</v>
          </cell>
          <cell r="C5061" t="str">
            <v>K250 driving station, shaft</v>
          </cell>
          <cell r="D5061">
            <v>1450</v>
          </cell>
          <cell r="E5061">
            <v>194.89247311827955</v>
          </cell>
        </row>
        <row r="5062">
          <cell r="A5062">
            <v>513967</v>
          </cell>
          <cell r="B5062" t="str">
            <v>K250 bærerulle aksel</v>
          </cell>
          <cell r="C5062" t="str">
            <v>K250 supporting roller, shaft</v>
          </cell>
          <cell r="D5062">
            <v>194</v>
          </cell>
          <cell r="E5062">
            <v>26.0752688172043</v>
          </cell>
        </row>
        <row r="5063">
          <cell r="A5063">
            <v>514000</v>
          </cell>
          <cell r="B5063" t="str">
            <v>Cyl. Skrue M8 x 50 DIN912</v>
          </cell>
          <cell r="C5063" t="str">
            <v>Cyl. screw M8 x 50 DIN912</v>
          </cell>
          <cell r="D5063">
            <v>4.3</v>
          </cell>
          <cell r="E5063">
            <v>0.57795698924731176</v>
          </cell>
        </row>
        <row r="5064">
          <cell r="A5064">
            <v>514053</v>
          </cell>
          <cell r="B5064" t="str">
            <v>K315-K500 strammestation sideplade</v>
          </cell>
          <cell r="C5064" t="str">
            <v>K315-K500 tightening station side plate</v>
          </cell>
          <cell r="D5064">
            <v>1050</v>
          </cell>
          <cell r="E5064">
            <v>141.12903225806451</v>
          </cell>
        </row>
        <row r="5065">
          <cell r="A5065">
            <v>514070</v>
          </cell>
          <cell r="B5065" t="str">
            <v>K315 bærerulle aksel</v>
          </cell>
          <cell r="C5065" t="str">
            <v>K315 supporting roller shaft</v>
          </cell>
          <cell r="D5065">
            <v>103</v>
          </cell>
          <cell r="E5065">
            <v>13.844086021505376</v>
          </cell>
        </row>
        <row r="5066">
          <cell r="A5066">
            <v>514242</v>
          </cell>
          <cell r="B5066" t="str">
            <v>Topdæksel</v>
          </cell>
          <cell r="C5066" t="str">
            <v>Top covel</v>
          </cell>
          <cell r="D5066">
            <v>690</v>
          </cell>
          <cell r="E5066">
            <v>92.741935483870961</v>
          </cell>
        </row>
        <row r="5067">
          <cell r="A5067">
            <v>514244</v>
          </cell>
          <cell r="B5067" t="str">
            <v>Endedæksel</v>
          </cell>
          <cell r="C5067" t="str">
            <v>End coverl</v>
          </cell>
          <cell r="D5067">
            <v>850</v>
          </cell>
          <cell r="E5067">
            <v>114.24731182795698</v>
          </cell>
        </row>
        <row r="5068">
          <cell r="A5068">
            <v>514249</v>
          </cell>
          <cell r="B5068" t="str">
            <v>K400 bæreruller aksel</v>
          </cell>
          <cell r="C5068" t="str">
            <v>K400 supporting rolle shaft</v>
          </cell>
          <cell r="D5068">
            <v>110</v>
          </cell>
          <cell r="E5068">
            <v>14.784946236559138</v>
          </cell>
        </row>
        <row r="5069">
          <cell r="A5069">
            <v>515553</v>
          </cell>
          <cell r="B5069" t="str">
            <v>Arm for automatik</v>
          </cell>
          <cell r="C5069" t="str">
            <v>Automatics arm</v>
          </cell>
          <cell r="D5069">
            <v>890</v>
          </cell>
          <cell r="E5069">
            <v>119.62365591397848</v>
          </cell>
        </row>
        <row r="5070">
          <cell r="A5070">
            <v>515555</v>
          </cell>
          <cell r="B5070" t="str">
            <v>Rørstift Ø 8 x 60  DIN 1481</v>
          </cell>
          <cell r="C5070" t="str">
            <v>Pipe pin Ø8 x 60 DIN1481</v>
          </cell>
          <cell r="D5070">
            <v>2.9</v>
          </cell>
          <cell r="E5070">
            <v>0.38978494623655913</v>
          </cell>
        </row>
        <row r="5071">
          <cell r="A5071">
            <v>515565</v>
          </cell>
          <cell r="B5071" t="str">
            <v>Separator plexiglasrude</v>
          </cell>
          <cell r="C5071" t="str">
            <v>Separator plexiglas pane</v>
          </cell>
          <cell r="D5071">
            <v>148</v>
          </cell>
          <cell r="E5071">
            <v>19.892473118279568</v>
          </cell>
        </row>
        <row r="5072">
          <cell r="A5072">
            <v>515624</v>
          </cell>
          <cell r="B5072" t="str">
            <v>U skrue M 8X025 DIN7991 8.8</v>
          </cell>
          <cell r="C5072" t="str">
            <v>Countersunk screw M8 x 25  DIN 7991 8,8</v>
          </cell>
          <cell r="D5072">
            <v>1.37</v>
          </cell>
          <cell r="E5072">
            <v>0.18413978494623656</v>
          </cell>
        </row>
        <row r="5073">
          <cell r="A5073">
            <v>515727</v>
          </cell>
          <cell r="B5073" t="str">
            <v>Magnet</v>
          </cell>
          <cell r="C5073" t="str">
            <v>Magnet</v>
          </cell>
          <cell r="D5073">
            <v>2975</v>
          </cell>
          <cell r="E5073">
            <v>399.86559139784941</v>
          </cell>
        </row>
        <row r="5074">
          <cell r="A5074">
            <v>515740</v>
          </cell>
          <cell r="B5074" t="str">
            <v>Separatorledeplade 450</v>
          </cell>
          <cell r="C5074" t="str">
            <v>Separator guide plate</v>
          </cell>
          <cell r="D5074">
            <v>1750</v>
          </cell>
          <cell r="E5074">
            <v>235.21505376344084</v>
          </cell>
        </row>
        <row r="5075">
          <cell r="A5075">
            <v>515741</v>
          </cell>
          <cell r="B5075" t="str">
            <v>Separatorledeplade  630</v>
          </cell>
          <cell r="C5075" t="str">
            <v>Separator guide plate</v>
          </cell>
          <cell r="D5075">
            <v>2010</v>
          </cell>
          <cell r="E5075">
            <v>270.16129032258061</v>
          </cell>
        </row>
        <row r="5076">
          <cell r="A5076">
            <v>515742</v>
          </cell>
          <cell r="B5076" t="str">
            <v>Separatorledeplade  800</v>
          </cell>
          <cell r="C5076" t="str">
            <v>Separator guide plate</v>
          </cell>
          <cell r="D5076">
            <v>2550</v>
          </cell>
          <cell r="E5076">
            <v>342.74193548387098</v>
          </cell>
        </row>
        <row r="5077">
          <cell r="A5077">
            <v>515743</v>
          </cell>
          <cell r="B5077" t="str">
            <v>Separatorledeplade   1000</v>
          </cell>
          <cell r="C5077" t="str">
            <v>Separator guide plate</v>
          </cell>
          <cell r="D5077">
            <v>4050</v>
          </cell>
          <cell r="E5077">
            <v>544.35483870967744</v>
          </cell>
        </row>
        <row r="5078">
          <cell r="A5078">
            <v>517005</v>
          </cell>
          <cell r="B5078" t="str">
            <v>K200-K250 bundstyr L=600 M80</v>
          </cell>
          <cell r="C5078" t="str">
            <v>K200-K250 bottom guide, L = 600mm, M80</v>
          </cell>
          <cell r="D5078">
            <v>350</v>
          </cell>
          <cell r="E5078">
            <v>47.043010752688168</v>
          </cell>
        </row>
        <row r="5079">
          <cell r="A5079">
            <v>517100</v>
          </cell>
          <cell r="B5079" t="str">
            <v>Låsering  I 62 x2,00  Jv DIN 472</v>
          </cell>
          <cell r="C5079" t="str">
            <v>Lock ring I 062X2,00 J   DIN472</v>
          </cell>
          <cell r="D5079">
            <v>8</v>
          </cell>
          <cell r="E5079">
            <v>1.075268817204301</v>
          </cell>
        </row>
        <row r="5080">
          <cell r="A5080">
            <v>517104</v>
          </cell>
          <cell r="B5080" t="str">
            <v>Låsering I 70 DIN 472</v>
          </cell>
          <cell r="C5080" t="str">
            <v>Lock ring I 70  DIN 472</v>
          </cell>
          <cell r="D5080">
            <v>10.6</v>
          </cell>
          <cell r="E5080">
            <v>1.4247311827956988</v>
          </cell>
        </row>
        <row r="5081">
          <cell r="A5081">
            <v>517152</v>
          </cell>
          <cell r="B5081" t="str">
            <v xml:space="preserve">Oliebronzeleje </v>
          </cell>
          <cell r="C5081" t="str">
            <v>Bronze bearing</v>
          </cell>
          <cell r="D5081">
            <v>244</v>
          </cell>
          <cell r="E5081">
            <v>32.795698924731184</v>
          </cell>
        </row>
        <row r="5082">
          <cell r="A5082">
            <v>517591</v>
          </cell>
          <cell r="B5082" t="str">
            <v>Feder A 28x16x100</v>
          </cell>
          <cell r="C5082" t="str">
            <v>Parallel key A 28x16x100</v>
          </cell>
          <cell r="D5082">
            <v>39</v>
          </cell>
          <cell r="E5082">
            <v>5.2419354838709671</v>
          </cell>
        </row>
        <row r="5083">
          <cell r="A5083">
            <v>517618</v>
          </cell>
          <cell r="B5083" t="str">
            <v>Fjederhus for T 5</v>
          </cell>
          <cell r="C5083" t="str">
            <v>Housing complete</v>
          </cell>
          <cell r="D5083">
            <v>6254</v>
          </cell>
          <cell r="E5083">
            <v>840.59139784946228</v>
          </cell>
        </row>
        <row r="5084">
          <cell r="A5084">
            <v>517619</v>
          </cell>
          <cell r="B5084" t="str">
            <v>Fjederhus for T 1</v>
          </cell>
          <cell r="C5084" t="str">
            <v>Housing complete  T!</v>
          </cell>
          <cell r="D5084">
            <v>2650</v>
          </cell>
          <cell r="E5084">
            <v>356.18279569892474</v>
          </cell>
        </row>
        <row r="5085">
          <cell r="A5085">
            <v>517620</v>
          </cell>
          <cell r="B5085" t="str">
            <v>Fjederhus komplet</v>
          </cell>
          <cell r="C5085" t="str">
            <v>Housing complete</v>
          </cell>
          <cell r="D5085">
            <v>3445</v>
          </cell>
          <cell r="E5085">
            <v>463.03763440860212</v>
          </cell>
        </row>
        <row r="5086">
          <cell r="A5086">
            <v>517632</v>
          </cell>
          <cell r="B5086" t="str">
            <v xml:space="preserve">Lyddæmper 1/8" </v>
          </cell>
          <cell r="C5086" t="str">
            <v xml:space="preserve">Silencer 1/8" </v>
          </cell>
          <cell r="D5086">
            <v>34</v>
          </cell>
          <cell r="E5086">
            <v>4.5698924731182791</v>
          </cell>
        </row>
        <row r="5087">
          <cell r="A5087">
            <v>517635</v>
          </cell>
          <cell r="B5087" t="str">
            <v>Øjebolt</v>
          </cell>
          <cell r="C5087" t="str">
            <v xml:space="preserve">Eyebolt </v>
          </cell>
          <cell r="D5087">
            <v>55</v>
          </cell>
          <cell r="E5087">
            <v>7.3924731182795691</v>
          </cell>
        </row>
        <row r="5088">
          <cell r="A5088">
            <v>517914</v>
          </cell>
          <cell r="B5088" t="str">
            <v>Tromleplade  2KAV +2KTV</v>
          </cell>
          <cell r="C5088" t="str">
            <v>Rotor plate 2KAV +2KTV</v>
          </cell>
          <cell r="D5088">
            <v>805</v>
          </cell>
          <cell r="E5088">
            <v>108.19892473118279</v>
          </cell>
        </row>
        <row r="5089">
          <cell r="A5089">
            <v>517945</v>
          </cell>
          <cell r="B5089" t="str">
            <v>Håndtag</v>
          </cell>
          <cell r="C5089" t="str">
            <v>Handle</v>
          </cell>
          <cell r="D5089">
            <v>242</v>
          </cell>
          <cell r="E5089">
            <v>32.526881720430104</v>
          </cell>
        </row>
        <row r="5090">
          <cell r="A5090">
            <v>517950</v>
          </cell>
          <cell r="B5090" t="str">
            <v>Kuglegreb</v>
          </cell>
          <cell r="C5090" t="str">
            <v>Ball handle</v>
          </cell>
          <cell r="D5090">
            <v>25</v>
          </cell>
          <cell r="E5090">
            <v>3.3602150537634405</v>
          </cell>
        </row>
        <row r="5091">
          <cell r="A5091">
            <v>518236</v>
          </cell>
          <cell r="B5091" t="str">
            <v>Kopper  opti 0 - 28</v>
          </cell>
          <cell r="C5091" t="str">
            <v xml:space="preserve">Buckets opti 0-28 </v>
          </cell>
          <cell r="D5091">
            <v>58</v>
          </cell>
          <cell r="E5091">
            <v>7.7956989247311821</v>
          </cell>
        </row>
        <row r="5092">
          <cell r="A5092">
            <v>518369</v>
          </cell>
          <cell r="B5092" t="str">
            <v>Kopper  opti 0 - 13</v>
          </cell>
          <cell r="C5092" t="str">
            <v xml:space="preserve">Buckets  opti 0-13 </v>
          </cell>
          <cell r="D5092">
            <v>22</v>
          </cell>
          <cell r="E5092">
            <v>2.956989247311828</v>
          </cell>
        </row>
        <row r="5093">
          <cell r="A5093">
            <v>518370</v>
          </cell>
          <cell r="B5093" t="str">
            <v>Kopper  opti 0 - 18</v>
          </cell>
          <cell r="C5093" t="str">
            <v xml:space="preserve">Buckets  opti 0-18 </v>
          </cell>
          <cell r="D5093">
            <v>28</v>
          </cell>
          <cell r="E5093">
            <v>3.7634408602150535</v>
          </cell>
        </row>
        <row r="5094">
          <cell r="A5094">
            <v>518373</v>
          </cell>
          <cell r="B5094" t="str">
            <v>U skrue M6x16 DIN7991 FZB</v>
          </cell>
          <cell r="C5094" t="str">
            <v>Counter sunk M6x16 DIN7991 FZB</v>
          </cell>
          <cell r="D5094">
            <v>0.6</v>
          </cell>
          <cell r="E5094">
            <v>8.0645161290322578E-2</v>
          </cell>
        </row>
        <row r="5095">
          <cell r="A5095">
            <v>520256</v>
          </cell>
          <cell r="B5095" t="str">
            <v>Cirkulationspumpe, 230V-50Hz</v>
          </cell>
          <cell r="C5095" t="str">
            <v>Circulation pump 230V-50Hz</v>
          </cell>
          <cell r="D5095">
            <v>1399</v>
          </cell>
          <cell r="E5095">
            <v>188.03763440860214</v>
          </cell>
        </row>
        <row r="5096">
          <cell r="A5096">
            <v>520291</v>
          </cell>
          <cell r="B5096" t="str">
            <v>O-ring Ø10,3 x 2,4 Nitril</v>
          </cell>
          <cell r="C5096" t="str">
            <v>O-ring Ø10,3 x 2,4 NITRIL</v>
          </cell>
          <cell r="D5096">
            <v>0.3</v>
          </cell>
          <cell r="E5096">
            <v>4.0322580645161289E-2</v>
          </cell>
        </row>
        <row r="5097">
          <cell r="A5097">
            <v>520668</v>
          </cell>
          <cell r="B5097" t="str">
            <v>Stift</v>
          </cell>
          <cell r="C5097" t="str">
            <v>Pin</v>
          </cell>
          <cell r="D5097">
            <v>8.5</v>
          </cell>
          <cell r="E5097">
            <v>1.1424731182795698</v>
          </cell>
        </row>
        <row r="5098">
          <cell r="A5098">
            <v>520732</v>
          </cell>
          <cell r="B5098" t="str">
            <v>6kt. Skrue M8 x 25 DIN125A DIN933</v>
          </cell>
          <cell r="C5098" t="str">
            <v>Hex screw M8 x 25 DIN125A DIN933</v>
          </cell>
          <cell r="D5098">
            <v>1.4</v>
          </cell>
          <cell r="E5098">
            <v>0.18817204301075266</v>
          </cell>
        </row>
        <row r="5099">
          <cell r="A5099">
            <v>520894</v>
          </cell>
          <cell r="B5099" t="str">
            <v>Filt</v>
          </cell>
          <cell r="C5099" t="str">
            <v>Felt</v>
          </cell>
          <cell r="D5099">
            <v>1196</v>
          </cell>
          <cell r="E5099">
            <v>160.75268817204301</v>
          </cell>
        </row>
        <row r="5100">
          <cell r="A5100">
            <v>520896</v>
          </cell>
          <cell r="B5100" t="str">
            <v>Pakningssæt Winflex T"</v>
          </cell>
          <cell r="C5100" t="str">
            <v>Sealing for Winflex T2</v>
          </cell>
          <cell r="D5100">
            <v>546</v>
          </cell>
          <cell r="E5100">
            <v>73.387096774193552</v>
          </cell>
        </row>
        <row r="5101">
          <cell r="A5101">
            <v>520897</v>
          </cell>
          <cell r="B5101" t="str">
            <v>Pakningssæt T5</v>
          </cell>
          <cell r="C5101" t="str">
            <v>Packings, set</v>
          </cell>
          <cell r="D5101">
            <v>604</v>
          </cell>
          <cell r="E5101">
            <v>81.182795698924721</v>
          </cell>
        </row>
        <row r="5102">
          <cell r="A5102">
            <v>520952</v>
          </cell>
          <cell r="B5102" t="str">
            <v>K315 kædehjul med aksel,  M112 kæde</v>
          </cell>
          <cell r="C5102" t="str">
            <v>K315 chain wheel with shaft, M112 chain</v>
          </cell>
          <cell r="D5102">
            <v>3685</v>
          </cell>
          <cell r="E5102">
            <v>495.29569892473114</v>
          </cell>
        </row>
        <row r="5103">
          <cell r="A5103">
            <v>521058</v>
          </cell>
          <cell r="B5103" t="str">
            <v>K315-K500 styreskinne, L=300, M112</v>
          </cell>
          <cell r="C5103" t="str">
            <v>K315-K500 guide rail, L = 300mm, M112</v>
          </cell>
          <cell r="D5103">
            <v>155</v>
          </cell>
          <cell r="E5103">
            <v>20.833333333333332</v>
          </cell>
        </row>
        <row r="5104">
          <cell r="A5104">
            <v>521059</v>
          </cell>
          <cell r="B5104" t="str">
            <v>K315-K500 styreskinne, L=600, M112</v>
          </cell>
          <cell r="C5104" t="str">
            <v>K315-K500 guide rail, L =600mm, M112</v>
          </cell>
          <cell r="D5104">
            <v>175</v>
          </cell>
          <cell r="E5104">
            <v>23.521505376344084</v>
          </cell>
        </row>
        <row r="5105">
          <cell r="A5105">
            <v>521060</v>
          </cell>
          <cell r="B5105" t="str">
            <v>K315-K500 styreskinne, L=1200, M112</v>
          </cell>
          <cell r="C5105" t="str">
            <v>K315-K500 guide rail, L=1200mm, M112</v>
          </cell>
          <cell r="D5105">
            <v>205</v>
          </cell>
          <cell r="E5105">
            <v>27.553763440860212</v>
          </cell>
        </row>
        <row r="5106">
          <cell r="A5106">
            <v>521061</v>
          </cell>
          <cell r="B5106" t="str">
            <v>K315-K500 styreskinne, L=2400, M112</v>
          </cell>
          <cell r="C5106" t="str">
            <v>K315-K500 guide rail, L =2400mm, M112</v>
          </cell>
          <cell r="D5106">
            <v>295</v>
          </cell>
          <cell r="E5106">
            <v>39.6505376344086</v>
          </cell>
        </row>
        <row r="5107">
          <cell r="A5107">
            <v>521139</v>
          </cell>
          <cell r="B5107" t="str">
            <v>Labyrinttætning  2K-4K</v>
          </cell>
          <cell r="C5107" t="str">
            <v>Labyrinth seal  2K-4K</v>
          </cell>
          <cell r="D5107">
            <v>1250</v>
          </cell>
          <cell r="E5107">
            <v>168.01075268817203</v>
          </cell>
        </row>
        <row r="5108">
          <cell r="A5108">
            <v>521145</v>
          </cell>
          <cell r="B5108" t="str">
            <v>Cyl. skrue M5 x 10 DIN912</v>
          </cell>
          <cell r="C5108" t="str">
            <v>Cyl. Screw M5 x 10 DIN912</v>
          </cell>
          <cell r="D5108">
            <v>1</v>
          </cell>
          <cell r="E5108">
            <v>0.13440860215053763</v>
          </cell>
        </row>
        <row r="5109">
          <cell r="A5109">
            <v>521216</v>
          </cell>
          <cell r="B5109" t="str">
            <v>KBS10/13 Rør komplet L=2480</v>
          </cell>
          <cell r="C5109" t="str">
            <v>KBS 10/13  Elevastor pipe L =2480</v>
          </cell>
          <cell r="D5109">
            <v>2750</v>
          </cell>
          <cell r="E5109">
            <v>369.6236559139785</v>
          </cell>
        </row>
        <row r="5110">
          <cell r="A5110">
            <v>521219</v>
          </cell>
          <cell r="B5110" t="str">
            <v>KBS18 Rør komplet 2480</v>
          </cell>
          <cell r="C5110" t="str">
            <v>KBS 18 Elevator pipe. L =2480</v>
          </cell>
          <cell r="D5110">
            <v>3150</v>
          </cell>
          <cell r="E5110">
            <v>423.38709677419354</v>
          </cell>
        </row>
        <row r="5111">
          <cell r="A5111">
            <v>521220</v>
          </cell>
          <cell r="B5111" t="str">
            <v>KBS18 Rør komplet 1240</v>
          </cell>
          <cell r="C5111" t="str">
            <v>KBS 18 Elevator pipe. L =1240</v>
          </cell>
          <cell r="D5111">
            <v>2850</v>
          </cell>
          <cell r="E5111">
            <v>383.06451612903226</v>
          </cell>
        </row>
        <row r="5112">
          <cell r="A5112">
            <v>521318</v>
          </cell>
          <cell r="B5112" t="str">
            <v xml:space="preserve">Kæde for lille sold </v>
          </cell>
          <cell r="C5112" t="str">
            <v>Chain for small screen</v>
          </cell>
          <cell r="D5112">
            <v>315</v>
          </cell>
          <cell r="E5112">
            <v>42.338709677419352</v>
          </cell>
        </row>
        <row r="5113">
          <cell r="A5113">
            <v>521400</v>
          </cell>
          <cell r="B5113" t="str">
            <v>Låseskinne-bund</v>
          </cell>
          <cell r="C5113" t="str">
            <v>Locking rail-botttom</v>
          </cell>
          <cell r="D5113">
            <v>110</v>
          </cell>
          <cell r="E5113">
            <v>14.784946236559138</v>
          </cell>
        </row>
        <row r="5114">
          <cell r="A5114">
            <v>521408</v>
          </cell>
          <cell r="B5114" t="str">
            <v>Lejeplade-komplet</v>
          </cell>
          <cell r="C5114" t="str">
            <v>Bearing plate-complete</v>
          </cell>
          <cell r="D5114">
            <v>1190</v>
          </cell>
          <cell r="E5114">
            <v>159.94623655913978</v>
          </cell>
        </row>
        <row r="5115">
          <cell r="A5115">
            <v>521415</v>
          </cell>
          <cell r="B5115" t="str">
            <v>Remskive-massiv  KBS 10/13</v>
          </cell>
          <cell r="C5115" t="str">
            <v>Belt pulley soloid</v>
          </cell>
          <cell r="D5115">
            <v>4100</v>
          </cell>
          <cell r="E5115">
            <v>551.07526881720423</v>
          </cell>
        </row>
        <row r="5116">
          <cell r="A5116">
            <v>521416</v>
          </cell>
          <cell r="B5116" t="str">
            <v>Remskive-massiv fod  KBS 18</v>
          </cell>
          <cell r="C5116" t="str">
            <v>Belt pulley soloid  KBS 18</v>
          </cell>
          <cell r="D5116">
            <v>5600</v>
          </cell>
          <cell r="E5116">
            <v>752.6881720430107</v>
          </cell>
        </row>
        <row r="5117">
          <cell r="A5117">
            <v>521417</v>
          </cell>
          <cell r="B5117" t="str">
            <v>Remskive-massiv  KBS 23/28</v>
          </cell>
          <cell r="C5117" t="str">
            <v>Belt pulley soloid</v>
          </cell>
          <cell r="D5117">
            <v>6125</v>
          </cell>
          <cell r="E5117">
            <v>823.25268817204301</v>
          </cell>
        </row>
        <row r="5118">
          <cell r="A5118">
            <v>521426</v>
          </cell>
          <cell r="B5118" t="str">
            <v>Remskive top  KBS  18</v>
          </cell>
          <cell r="C5118" t="str">
            <v>Belt pulley top  KBS 18</v>
          </cell>
          <cell r="D5118">
            <v>5450</v>
          </cell>
          <cell r="E5118">
            <v>732.52688172043008</v>
          </cell>
        </row>
        <row r="5119">
          <cell r="A5119">
            <v>521429</v>
          </cell>
          <cell r="B5119" t="str">
            <v>Remskive top  KBS   10/13</v>
          </cell>
          <cell r="C5119" t="str">
            <v>Belt pulley top</v>
          </cell>
          <cell r="D5119">
            <v>6350</v>
          </cell>
          <cell r="E5119">
            <v>853.49462365591398</v>
          </cell>
        </row>
        <row r="5120">
          <cell r="A5120">
            <v>521510</v>
          </cell>
          <cell r="B5120" t="str">
            <v>Styrering</v>
          </cell>
          <cell r="C5120" t="str">
            <v>Guide ring</v>
          </cell>
          <cell r="D5120">
            <v>33</v>
          </cell>
          <cell r="E5120">
            <v>4.435483870967742</v>
          </cell>
        </row>
        <row r="5121">
          <cell r="A5121">
            <v>521600</v>
          </cell>
          <cell r="B5121" t="str">
            <v>Indækningskasse omdr.vagt</v>
          </cell>
          <cell r="C5121" t="str">
            <v>Rotation guard cover box</v>
          </cell>
          <cell r="D5121">
            <v>1150</v>
          </cell>
          <cell r="E5121">
            <v>154.56989247311827</v>
          </cell>
        </row>
        <row r="5122">
          <cell r="A5122">
            <v>521603</v>
          </cell>
          <cell r="B5122" t="str">
            <v>Testfane</v>
          </cell>
          <cell r="C5122" t="str">
            <v>KBS test fab</v>
          </cell>
          <cell r="D5122">
            <v>210</v>
          </cell>
          <cell r="E5122">
            <v>28.2258064516129</v>
          </cell>
        </row>
        <row r="5123">
          <cell r="A5123">
            <v>521604</v>
          </cell>
          <cell r="B5123" t="str">
            <v>KBS 10/13  Drivaksel</v>
          </cell>
          <cell r="C5123" t="str">
            <v>KBS 10/13 pinion shaft</v>
          </cell>
          <cell r="D5123">
            <v>1775</v>
          </cell>
          <cell r="E5123">
            <v>238.57526881720429</v>
          </cell>
        </row>
        <row r="5124">
          <cell r="A5124">
            <v>521665</v>
          </cell>
          <cell r="B5124" t="str">
            <v>KBS 18 Elevator top komplet</v>
          </cell>
          <cell r="C5124" t="str">
            <v xml:space="preserve">KBS elevator top </v>
          </cell>
          <cell r="D5124">
            <v>26400</v>
          </cell>
          <cell r="E5124">
            <v>3548.3870967741932</v>
          </cell>
        </row>
        <row r="5125">
          <cell r="A5125">
            <v>521691</v>
          </cell>
          <cell r="B5125" t="str">
            <v>Filtpakning</v>
          </cell>
          <cell r="C5125" t="str">
            <v xml:space="preserve">Felt seal </v>
          </cell>
          <cell r="D5125">
            <v>125</v>
          </cell>
          <cell r="E5125">
            <v>16.801075268817204</v>
          </cell>
        </row>
        <row r="5126">
          <cell r="A5126">
            <v>521710</v>
          </cell>
          <cell r="B5126" t="str">
            <v>K200 M80 kæde med påsvejst laske</v>
          </cell>
          <cell r="C5126" t="str">
            <v>K200 M80 chain with welded on plate link</v>
          </cell>
          <cell r="D5126">
            <v>920</v>
          </cell>
          <cell r="E5126">
            <v>123.65591397849462</v>
          </cell>
        </row>
        <row r="5127">
          <cell r="A5127">
            <v>521712</v>
          </cell>
          <cell r="B5127" t="str">
            <v>K315 M80 kæde med påsvejst laske</v>
          </cell>
          <cell r="C5127" t="str">
            <v>K315 M80 chain with welded on plate link</v>
          </cell>
          <cell r="D5127">
            <v>920</v>
          </cell>
          <cell r="E5127">
            <v>123.65591397849462</v>
          </cell>
        </row>
        <row r="5128">
          <cell r="A5128">
            <v>521716</v>
          </cell>
          <cell r="B5128" t="str">
            <v>K400 M160 kæde med påsvejst laske</v>
          </cell>
          <cell r="C5128" t="str">
            <v>K400 M160 chain with welded on plate link</v>
          </cell>
          <cell r="D5128">
            <v>845</v>
          </cell>
          <cell r="E5128">
            <v>113.57526881720429</v>
          </cell>
        </row>
        <row r="5129">
          <cell r="A5129">
            <v>521774</v>
          </cell>
          <cell r="B5129" t="str">
            <v>Skive ø20 messing</v>
          </cell>
          <cell r="C5129" t="str">
            <v>Brass washer Ø20</v>
          </cell>
          <cell r="D5129">
            <v>8.5</v>
          </cell>
          <cell r="E5129">
            <v>1.1424731182795698</v>
          </cell>
        </row>
        <row r="5130">
          <cell r="A5130">
            <v>521782</v>
          </cell>
          <cell r="B5130" t="str">
            <v>Opt hjulaksel</v>
          </cell>
          <cell r="C5130" t="str">
            <v>Opti shaft for drive wheel</v>
          </cell>
          <cell r="D5130">
            <v>101</v>
          </cell>
          <cell r="E5130">
            <v>13.5752688172043</v>
          </cell>
        </row>
        <row r="5131">
          <cell r="A5131">
            <v>521783</v>
          </cell>
          <cell r="B5131" t="str">
            <v>OPT afstandsrør</v>
          </cell>
          <cell r="C5131" t="str">
            <v>OPT distance piece</v>
          </cell>
          <cell r="D5131">
            <v>41</v>
          </cell>
          <cell r="E5131">
            <v>5.510752688172043</v>
          </cell>
        </row>
        <row r="5132">
          <cell r="A5132">
            <v>521790</v>
          </cell>
          <cell r="B5132" t="str">
            <v>Opt500 bremsearm svejst</v>
          </cell>
          <cell r="C5132" t="str">
            <v xml:space="preserve">500 brake lever </v>
          </cell>
          <cell r="D5132">
            <v>959</v>
          </cell>
          <cell r="E5132">
            <v>128.89784946236557</v>
          </cell>
        </row>
        <row r="5133">
          <cell r="A5133">
            <v>521792</v>
          </cell>
          <cell r="B5133" t="str">
            <v>Opt900 bremsearm svejst</v>
          </cell>
          <cell r="C5133" t="str">
            <v xml:space="preserve">900 brake arm </v>
          </cell>
          <cell r="D5133">
            <v>1198</v>
          </cell>
          <cell r="E5133">
            <v>161.02150537634407</v>
          </cell>
        </row>
        <row r="5134">
          <cell r="A5134">
            <v>521882</v>
          </cell>
          <cell r="B5134" t="str">
            <v>OPT kørehjul</v>
          </cell>
          <cell r="C5134" t="str">
            <v>Wheel for door</v>
          </cell>
          <cell r="D5134">
            <v>265</v>
          </cell>
          <cell r="E5134">
            <v>35.618279569892472</v>
          </cell>
        </row>
        <row r="5135">
          <cell r="A5135">
            <v>521949</v>
          </cell>
          <cell r="B5135" t="str">
            <v>Feder</v>
          </cell>
          <cell r="C5135" t="str">
            <v>Parallel key</v>
          </cell>
          <cell r="D5135">
            <v>5.5</v>
          </cell>
          <cell r="E5135">
            <v>0.739247311827957</v>
          </cell>
        </row>
        <row r="5136">
          <cell r="A5136">
            <v>521956</v>
          </cell>
          <cell r="B5136" t="str">
            <v>Kopper  opti 0 - 10</v>
          </cell>
          <cell r="C5136" t="str">
            <v>Buckets  opti 0-10</v>
          </cell>
          <cell r="D5136">
            <v>15</v>
          </cell>
          <cell r="E5136">
            <v>2.0161290322580645</v>
          </cell>
        </row>
        <row r="5137">
          <cell r="A5137">
            <v>522102</v>
          </cell>
          <cell r="B5137" t="str">
            <v>K200-K250 styreskinne, L=2400</v>
          </cell>
          <cell r="C5137" t="str">
            <v>K200-K250 guide rail, L = 2400mm</v>
          </cell>
          <cell r="D5137">
            <v>333</v>
          </cell>
          <cell r="E5137">
            <v>44.758064516129032</v>
          </cell>
        </row>
        <row r="5138">
          <cell r="A5138">
            <v>522146</v>
          </cell>
          <cell r="B5138" t="str">
            <v xml:space="preserve">Inspektionsrude </v>
          </cell>
          <cell r="C5138" t="str">
            <v>Inspection pane</v>
          </cell>
          <cell r="D5138">
            <v>382</v>
          </cell>
          <cell r="E5138">
            <v>51.344086021505376</v>
          </cell>
        </row>
        <row r="5139">
          <cell r="A5139">
            <v>522199</v>
          </cell>
          <cell r="B5139" t="str">
            <v>Møtrik  M18</v>
          </cell>
          <cell r="C5139" t="str">
            <v>Nut  M18</v>
          </cell>
          <cell r="D5139">
            <v>5</v>
          </cell>
          <cell r="E5139">
            <v>0.67204301075268813</v>
          </cell>
        </row>
        <row r="5140">
          <cell r="A5140">
            <v>522266</v>
          </cell>
          <cell r="B5140" t="str">
            <v>Pinolskrue M6x8 DIN916 5H</v>
          </cell>
          <cell r="C5140" t="str">
            <v>Pin bolt M6x8 DIN916 45H</v>
          </cell>
          <cell r="D5140">
            <v>3.3</v>
          </cell>
          <cell r="E5140">
            <v>0.44354838709677413</v>
          </cell>
        </row>
        <row r="5141">
          <cell r="A5141">
            <v>522276</v>
          </cell>
          <cell r="B5141" t="str">
            <v>Magnetventil</v>
          </cell>
          <cell r="C5141" t="str">
            <v>Solenoid valve</v>
          </cell>
          <cell r="D5141">
            <v>1115</v>
          </cell>
          <cell r="E5141">
            <v>149.86559139784944</v>
          </cell>
        </row>
        <row r="5142">
          <cell r="A5142">
            <v>522469</v>
          </cell>
          <cell r="B5142" t="str">
            <v>K250 kædehjul glat med aksel M56</v>
          </cell>
          <cell r="C5142" t="str">
            <v>K250 chain wheel smooth with shaft M56</v>
          </cell>
          <cell r="D5142">
            <v>1950</v>
          </cell>
          <cell r="E5142">
            <v>262.09677419354836</v>
          </cell>
        </row>
        <row r="5143">
          <cell r="A5143">
            <v>522471</v>
          </cell>
          <cell r="B5143" t="str">
            <v>Sideplade</v>
          </cell>
          <cell r="C5143" t="str">
            <v>Side plate</v>
          </cell>
          <cell r="D5143">
            <v>1115</v>
          </cell>
          <cell r="E5143">
            <v>149.86559139784944</v>
          </cell>
        </row>
        <row r="5144">
          <cell r="A5144">
            <v>522788</v>
          </cell>
          <cell r="B5144" t="str">
            <v>Feder A 8 x 7 x 40 DS96</v>
          </cell>
          <cell r="C5144" t="str">
            <v>Parallel key A 8 x 7 x 40 DS96</v>
          </cell>
          <cell r="D5144">
            <v>8</v>
          </cell>
          <cell r="E5144">
            <v>1.075268817204301</v>
          </cell>
        </row>
        <row r="5145">
          <cell r="A5145">
            <v>523057</v>
          </cell>
          <cell r="B5145" t="str">
            <v>6kt skrue M12x100 DIN 933 FZB</v>
          </cell>
          <cell r="C5145" t="str">
            <v>Het screw M12x100 DIN 933 FZB</v>
          </cell>
          <cell r="D5145">
            <v>6.4</v>
          </cell>
          <cell r="E5145">
            <v>0.86021505376344087</v>
          </cell>
        </row>
        <row r="5146">
          <cell r="A5146">
            <v>523231</v>
          </cell>
          <cell r="B5146" t="str">
            <v>Svampegumme 3 x 15 selvklæbende</v>
          </cell>
          <cell r="D5146">
            <v>9.5</v>
          </cell>
          <cell r="E5146">
            <v>1.2768817204301075</v>
          </cell>
        </row>
        <row r="5147">
          <cell r="A5147">
            <v>523245</v>
          </cell>
          <cell r="B5147" t="str">
            <v>Taper Lock bøsning</v>
          </cell>
          <cell r="C5147" t="str">
            <v>Bushing</v>
          </cell>
          <cell r="D5147">
            <v>155</v>
          </cell>
          <cell r="E5147">
            <v>20.833333333333332</v>
          </cell>
        </row>
        <row r="5148">
          <cell r="A5148">
            <v>523582</v>
          </cell>
          <cell r="B5148" t="str">
            <v>Teperatursensor MT90 lejeovervågning</v>
          </cell>
          <cell r="C5148" t="str">
            <v>Teperature sensor MT90 for bearings</v>
          </cell>
          <cell r="D5148">
            <v>1219</v>
          </cell>
          <cell r="E5148">
            <v>163.84408602150538</v>
          </cell>
        </row>
        <row r="5149">
          <cell r="A5149">
            <v>523629</v>
          </cell>
          <cell r="B5149" t="str">
            <v>Opt900 slidstykke top gammel</v>
          </cell>
          <cell r="C5149" t="str">
            <v xml:space="preserve">900 Wear piece f bottom guidance </v>
          </cell>
          <cell r="D5149">
            <v>1585</v>
          </cell>
          <cell r="E5149">
            <v>213.03763440860214</v>
          </cell>
        </row>
        <row r="5150">
          <cell r="A5150">
            <v>523631</v>
          </cell>
          <cell r="B5150" t="str">
            <v>Opt500 slidstykke for gammel</v>
          </cell>
          <cell r="C5150" t="str">
            <v xml:space="preserve">500 Wear piece f bottom guidance </v>
          </cell>
          <cell r="D5150">
            <v>1288</v>
          </cell>
          <cell r="E5150">
            <v>173.11827956989245</v>
          </cell>
        </row>
        <row r="5151">
          <cell r="A5151">
            <v>523632</v>
          </cell>
          <cell r="B5151" t="str">
            <v>Holder for slidstykke Opti 900</v>
          </cell>
          <cell r="C5151" t="str">
            <v>Holder for wear part</v>
          </cell>
          <cell r="D5151">
            <v>3010</v>
          </cell>
          <cell r="E5151">
            <v>404.56989247311827</v>
          </cell>
        </row>
        <row r="5152">
          <cell r="A5152">
            <v>523633</v>
          </cell>
          <cell r="B5152" t="str">
            <v>Holder for slidstykke Opti 700</v>
          </cell>
          <cell r="C5152" t="str">
            <v>Holder for wear part</v>
          </cell>
          <cell r="D5152">
            <v>2840</v>
          </cell>
          <cell r="E5152">
            <v>381.72043010752685</v>
          </cell>
        </row>
        <row r="5153">
          <cell r="A5153">
            <v>523634</v>
          </cell>
          <cell r="B5153" t="str">
            <v>Holder for slidstykke  0pti 500</v>
          </cell>
          <cell r="C5153" t="str">
            <v>Holder for wear part</v>
          </cell>
          <cell r="D5153">
            <v>2410</v>
          </cell>
          <cell r="E5153">
            <v>323.92473118279565</v>
          </cell>
        </row>
        <row r="5154">
          <cell r="A5154">
            <v>523701</v>
          </cell>
          <cell r="B5154" t="str">
            <v>VB Styretap</v>
          </cell>
          <cell r="C5154" t="str">
            <v>Guide pin</v>
          </cell>
          <cell r="D5154">
            <v>1750</v>
          </cell>
          <cell r="E5154">
            <v>235.21505376344084</v>
          </cell>
        </row>
        <row r="5155">
          <cell r="A5155">
            <v>523702</v>
          </cell>
          <cell r="B5155" t="str">
            <v>VB Bundplade</v>
          </cell>
          <cell r="C5155" t="str">
            <v xml:space="preserve">VB Bottum plate </v>
          </cell>
          <cell r="D5155">
            <v>330</v>
          </cell>
          <cell r="E5155">
            <v>44.354838709677416</v>
          </cell>
        </row>
        <row r="5156">
          <cell r="A5156">
            <v>523756</v>
          </cell>
          <cell r="B5156" t="str">
            <v>Cyl. skrue M8x010 A2 DIN912</v>
          </cell>
          <cell r="C5156" t="str">
            <v>Rundheaded screw</v>
          </cell>
          <cell r="D5156">
            <v>3.6</v>
          </cell>
          <cell r="E5156">
            <v>0.48387096774193544</v>
          </cell>
        </row>
        <row r="5157">
          <cell r="A5157">
            <v>523775</v>
          </cell>
          <cell r="B5157" t="str">
            <v>Remskive fod, tremmeskive KBS 10/13</v>
          </cell>
          <cell r="C5157" t="str">
            <v>Belt pulley boot, lattice disc</v>
          </cell>
          <cell r="D5157">
            <v>4850</v>
          </cell>
          <cell r="E5157">
            <v>651.88172043010752</v>
          </cell>
        </row>
        <row r="5158">
          <cell r="A5158">
            <v>523777</v>
          </cell>
          <cell r="B5158" t="str">
            <v>Remskive fod, tremmeskive KBS 18</v>
          </cell>
          <cell r="C5158" t="str">
            <v>Belt pulley boot, lattice disc</v>
          </cell>
          <cell r="D5158">
            <v>6750</v>
          </cell>
          <cell r="E5158">
            <v>907.25806451612902</v>
          </cell>
        </row>
        <row r="5159">
          <cell r="A5159">
            <v>523779</v>
          </cell>
          <cell r="B5159" t="str">
            <v>Remskive fod, tremmeskive KBS 23/28</v>
          </cell>
          <cell r="C5159" t="str">
            <v>Belt pulley boot, lattice disc</v>
          </cell>
          <cell r="D5159">
            <v>7450</v>
          </cell>
          <cell r="E5159">
            <v>1001.3440860215053</v>
          </cell>
        </row>
        <row r="5160">
          <cell r="A5160">
            <v>523882</v>
          </cell>
          <cell r="B5160" t="str">
            <v>Låg m. overløbsklap</v>
          </cell>
          <cell r="C5160" t="str">
            <v>Cover with overflow gate</v>
          </cell>
          <cell r="D5160">
            <v>3255</v>
          </cell>
          <cell r="E5160">
            <v>437.5</v>
          </cell>
        </row>
        <row r="5161">
          <cell r="A5161">
            <v>523932</v>
          </cell>
          <cell r="B5161" t="str">
            <v>Feder A 16 x 10 x 70 DS96</v>
          </cell>
          <cell r="C5161" t="str">
            <v>Parallel key A 16 x 10 x 70 DS96</v>
          </cell>
          <cell r="D5161">
            <v>12.2</v>
          </cell>
          <cell r="E5161">
            <v>1.639784946236559</v>
          </cell>
        </row>
        <row r="5162">
          <cell r="A5162">
            <v>523946</v>
          </cell>
          <cell r="B5162" t="str">
            <v>Nippelrør 3/4" sammenskåret</v>
          </cell>
          <cell r="C5162" t="str">
            <v>Nipple pipe 3/4" coupled</v>
          </cell>
          <cell r="D5162">
            <v>8.5</v>
          </cell>
          <cell r="E5162">
            <v>1.1424731182795698</v>
          </cell>
        </row>
        <row r="5163">
          <cell r="A5163">
            <v>523967</v>
          </cell>
          <cell r="B5163" t="str">
            <v>Gaffel for C52M Luftcyl.</v>
          </cell>
          <cell r="C5163" t="str">
            <v>Fork for C52M for air cyl.</v>
          </cell>
          <cell r="D5163">
            <v>38</v>
          </cell>
          <cell r="E5163">
            <v>5.10752688172043</v>
          </cell>
        </row>
        <row r="5164">
          <cell r="A5164">
            <v>523973</v>
          </cell>
          <cell r="B5164" t="str">
            <v>Taperlock TL1210</v>
          </cell>
          <cell r="C5164" t="str">
            <v>Taper lock TL1210</v>
          </cell>
          <cell r="D5164">
            <v>27</v>
          </cell>
          <cell r="E5164">
            <v>3.629032258064516</v>
          </cell>
        </row>
        <row r="5165">
          <cell r="A5165">
            <v>523997</v>
          </cell>
          <cell r="B5165" t="str">
            <v>Soldramme 800 B</v>
          </cell>
          <cell r="C5165" t="str">
            <v>Frame for screen</v>
          </cell>
          <cell r="D5165">
            <v>3801</v>
          </cell>
          <cell r="E5165">
            <v>510.88709677419354</v>
          </cell>
        </row>
        <row r="5166">
          <cell r="A5166">
            <v>523999</v>
          </cell>
          <cell r="B5166" t="str">
            <v>Soldramme 630 B</v>
          </cell>
          <cell r="C5166" t="str">
            <v>Frame for screen</v>
          </cell>
          <cell r="D5166">
            <v>3487</v>
          </cell>
          <cell r="E5166">
            <v>468.68279569892468</v>
          </cell>
        </row>
        <row r="5167">
          <cell r="A5167">
            <v>524035</v>
          </cell>
          <cell r="B5167" t="str">
            <v>K250 børsteholder</v>
          </cell>
          <cell r="C5167" t="str">
            <v>K250 brush holder</v>
          </cell>
          <cell r="D5167">
            <v>1750</v>
          </cell>
          <cell r="E5167">
            <v>235.21505376344084</v>
          </cell>
        </row>
        <row r="5168">
          <cell r="A5168">
            <v>524161</v>
          </cell>
          <cell r="B5168" t="str">
            <v>Feder 6x6x40 DS96</v>
          </cell>
          <cell r="C5168" t="str">
            <v>Parallel key 6 x 6 x 40 A</v>
          </cell>
          <cell r="D5168">
            <v>3.7</v>
          </cell>
          <cell r="E5168">
            <v>0.49731182795698925</v>
          </cell>
        </row>
        <row r="5169">
          <cell r="A5169">
            <v>524201</v>
          </cell>
          <cell r="B5169" t="str">
            <v>Tætningsprofil</v>
          </cell>
          <cell r="C5169" t="str">
            <v>Sealing</v>
          </cell>
          <cell r="D5169">
            <v>223</v>
          </cell>
          <cell r="E5169">
            <v>29.973118279569892</v>
          </cell>
        </row>
        <row r="5170">
          <cell r="A5170">
            <v>524214</v>
          </cell>
          <cell r="B5170" t="str">
            <v>Kontramøtrik M24 A2 DIN439B</v>
          </cell>
          <cell r="C5170" t="str">
            <v>Counter nut M24 A2 DIN439B</v>
          </cell>
          <cell r="D5170">
            <v>21</v>
          </cell>
          <cell r="E5170">
            <v>2.82258064516129</v>
          </cell>
        </row>
        <row r="5171">
          <cell r="A5171">
            <v>524252</v>
          </cell>
          <cell r="B5171" t="str">
            <v>Skueglas</v>
          </cell>
          <cell r="C5171" t="str">
            <v>Sight glass</v>
          </cell>
          <cell r="D5171">
            <v>307</v>
          </cell>
          <cell r="E5171">
            <v>41.263440860215049</v>
          </cell>
        </row>
        <row r="5172">
          <cell r="A5172">
            <v>524281</v>
          </cell>
          <cell r="B5172" t="str">
            <v>Møtrik M12 DIN934</v>
          </cell>
          <cell r="C5172" t="str">
            <v>Nut M12 DIN934</v>
          </cell>
          <cell r="D5172">
            <v>5.3</v>
          </cell>
          <cell r="E5172">
            <v>0.71236559139784938</v>
          </cell>
        </row>
        <row r="5173">
          <cell r="A5173">
            <v>524282</v>
          </cell>
          <cell r="B5173" t="str">
            <v>Plastmedbringer CHV 43X172</v>
          </cell>
          <cell r="C5173" t="str">
            <v>Plastic driver CHV 43X172</v>
          </cell>
          <cell r="D5173">
            <v>26</v>
          </cell>
          <cell r="E5173">
            <v>3.4946236559139785</v>
          </cell>
        </row>
        <row r="5174">
          <cell r="A5174">
            <v>524292</v>
          </cell>
          <cell r="B5174" t="str">
            <v>Plastmedbringer CHV 58X212</v>
          </cell>
          <cell r="C5174" t="str">
            <v>Plastic driver CHV 58X212</v>
          </cell>
          <cell r="D5174">
            <v>32</v>
          </cell>
          <cell r="E5174">
            <v>4.301075268817204</v>
          </cell>
        </row>
        <row r="5175">
          <cell r="A5175">
            <v>524307</v>
          </cell>
          <cell r="B5175" t="str">
            <v xml:space="preserve">Soldkæde nedre </v>
          </cell>
          <cell r="C5175" t="str">
            <v>Chain for screen lower part</v>
          </cell>
          <cell r="D5175">
            <v>315</v>
          </cell>
          <cell r="E5175">
            <v>42.338709677419352</v>
          </cell>
        </row>
        <row r="5176">
          <cell r="A5176">
            <v>524701</v>
          </cell>
          <cell r="B5176" t="str">
            <v>K315 plastskraber M80  kæde</v>
          </cell>
          <cell r="C5176" t="str">
            <v>K315 plastic scraper with shaft M80</v>
          </cell>
          <cell r="D5176">
            <v>25</v>
          </cell>
          <cell r="E5176">
            <v>3.3602150537634405</v>
          </cell>
        </row>
        <row r="5177">
          <cell r="A5177">
            <v>524706</v>
          </cell>
          <cell r="B5177" t="str">
            <v>Lejehus  2K-4K</v>
          </cell>
          <cell r="C5177" t="str">
            <v>Bearing housing  2K-4K</v>
          </cell>
          <cell r="D5177">
            <v>5960</v>
          </cell>
          <cell r="E5177">
            <v>801.07526881720423</v>
          </cell>
        </row>
        <row r="5178">
          <cell r="A5178">
            <v>524800</v>
          </cell>
          <cell r="B5178" t="str">
            <v>K200/400 kædehjul med aksel M80</v>
          </cell>
          <cell r="C5178" t="str">
            <v>K200/400 chain wheel with shaft M80</v>
          </cell>
          <cell r="D5178">
            <v>3805</v>
          </cell>
          <cell r="E5178">
            <v>511.42473118279565</v>
          </cell>
        </row>
        <row r="5179">
          <cell r="A5179">
            <v>524801</v>
          </cell>
          <cell r="B5179" t="str">
            <v>K250/400 kædehjul med aksel M80</v>
          </cell>
          <cell r="C5179" t="str">
            <v>K250/400 chain wheel with shaft M80</v>
          </cell>
          <cell r="D5179">
            <v>3460</v>
          </cell>
          <cell r="E5179">
            <v>465.05376344086017</v>
          </cell>
        </row>
        <row r="5180">
          <cell r="A5180">
            <v>524854</v>
          </cell>
          <cell r="B5180" t="str">
            <v>K315-400 returkop M80 kæde</v>
          </cell>
          <cell r="C5180" t="str">
            <v>K315/400 return bucket M80 chain</v>
          </cell>
          <cell r="D5180">
            <v>100</v>
          </cell>
          <cell r="E5180">
            <v>13.440860215053762</v>
          </cell>
        </row>
        <row r="5181">
          <cell r="A5181">
            <v>524920</v>
          </cell>
          <cell r="B5181" t="str">
            <v>K250/400 plastskraber M80 kæde</v>
          </cell>
          <cell r="C5181" t="str">
            <v>K250/400 plastic scraper M80 chain</v>
          </cell>
          <cell r="D5181">
            <v>22</v>
          </cell>
          <cell r="E5181">
            <v>2.956989247311828</v>
          </cell>
        </row>
        <row r="5182">
          <cell r="A5182">
            <v>524921</v>
          </cell>
          <cell r="B5182" t="str">
            <v>K200/400 plastskraber M80 kæde</v>
          </cell>
          <cell r="C5182" t="str">
            <v>K200/400 plastic scraper M80 chain</v>
          </cell>
          <cell r="D5182">
            <v>20.5</v>
          </cell>
          <cell r="E5182">
            <v>2.7553763440860215</v>
          </cell>
        </row>
        <row r="5183">
          <cell r="A5183">
            <v>524922</v>
          </cell>
          <cell r="B5183" t="str">
            <v>K315-536 plastskraber M112 kæde</v>
          </cell>
          <cell r="C5183" t="str">
            <v>K315/536 plastic scraper M112 chain</v>
          </cell>
          <cell r="D5183">
            <v>28</v>
          </cell>
          <cell r="E5183">
            <v>3.7634408602150535</v>
          </cell>
        </row>
        <row r="5184">
          <cell r="A5184">
            <v>524923</v>
          </cell>
          <cell r="B5184" t="str">
            <v>K315-536 plastskraber M160 kæde</v>
          </cell>
          <cell r="C5184" t="str">
            <v>K315/536 plastic scraper M160 chain</v>
          </cell>
          <cell r="D5184">
            <v>27</v>
          </cell>
          <cell r="E5184">
            <v>3.629032258064516</v>
          </cell>
        </row>
        <row r="5185">
          <cell r="A5185">
            <v>524924</v>
          </cell>
          <cell r="B5185" t="str">
            <v>K400/536 plastskraber M112 kæde</v>
          </cell>
          <cell r="C5185" t="str">
            <v>K400/536 plastic scraper M112 chain</v>
          </cell>
          <cell r="D5185">
            <v>25</v>
          </cell>
          <cell r="E5185">
            <v>3.3602150537634405</v>
          </cell>
        </row>
        <row r="5186">
          <cell r="A5186">
            <v>524925</v>
          </cell>
          <cell r="B5186" t="str">
            <v>K400/536 plastskraber M160 kæde</v>
          </cell>
          <cell r="C5186" t="str">
            <v>K400/536 plastic scraper M160 chain</v>
          </cell>
          <cell r="D5186">
            <v>27</v>
          </cell>
          <cell r="E5186">
            <v>3.629032258064516</v>
          </cell>
        </row>
        <row r="5187">
          <cell r="A5187">
            <v>524926</v>
          </cell>
          <cell r="B5187" t="str">
            <v>K200/400 returkop M80 kæde</v>
          </cell>
          <cell r="C5187" t="str">
            <v>K200/400 return bucket M80 chain</v>
          </cell>
          <cell r="D5187">
            <v>50</v>
          </cell>
          <cell r="E5187">
            <v>6.7204301075268811</v>
          </cell>
        </row>
        <row r="5188">
          <cell r="A5188">
            <v>524927</v>
          </cell>
          <cell r="B5188" t="str">
            <v>K250/400 returkop M80 kæde</v>
          </cell>
          <cell r="C5188" t="str">
            <v>K250/400 return bucket M80 chain</v>
          </cell>
          <cell r="D5188">
            <v>65</v>
          </cell>
          <cell r="E5188">
            <v>8.736559139784946</v>
          </cell>
        </row>
        <row r="5189">
          <cell r="A5189">
            <v>524928</v>
          </cell>
          <cell r="B5189" t="str">
            <v>K315/536 returkop M112 kæde</v>
          </cell>
          <cell r="C5189" t="str">
            <v>K315/536 return bucket M112 chain</v>
          </cell>
          <cell r="D5189">
            <v>80</v>
          </cell>
          <cell r="E5189">
            <v>10.75268817204301</v>
          </cell>
        </row>
        <row r="5190">
          <cell r="A5190">
            <v>524929</v>
          </cell>
          <cell r="B5190" t="str">
            <v>K400/536 returkop M112 kæde</v>
          </cell>
          <cell r="C5190" t="str">
            <v>K400/536 return bucket M112 chain</v>
          </cell>
          <cell r="D5190">
            <v>78</v>
          </cell>
          <cell r="E5190">
            <v>10.483870967741934</v>
          </cell>
        </row>
        <row r="5191">
          <cell r="A5191">
            <v>524938</v>
          </cell>
          <cell r="B5191" t="str">
            <v>K315/536 returkop M160 kæde</v>
          </cell>
          <cell r="C5191" t="str">
            <v>K315/536 return bucket M160 chain</v>
          </cell>
          <cell r="D5191">
            <v>95</v>
          </cell>
          <cell r="E5191">
            <v>12.768817204301074</v>
          </cell>
        </row>
        <row r="5192">
          <cell r="A5192">
            <v>524939</v>
          </cell>
          <cell r="B5192" t="str">
            <v>K400/536 returkop M160 kæde</v>
          </cell>
          <cell r="C5192" t="str">
            <v>K315/536 return bucket M160 chain</v>
          </cell>
          <cell r="D5192">
            <v>95</v>
          </cell>
          <cell r="E5192">
            <v>12.768817204301074</v>
          </cell>
        </row>
        <row r="5193">
          <cell r="A5193">
            <v>525011</v>
          </cell>
          <cell r="B5193" t="str">
            <v>K250 kæde med påsvejst laske</v>
          </cell>
          <cell r="C5193" t="str">
            <v>K250 chain with welded on plate link</v>
          </cell>
          <cell r="D5193">
            <v>924</v>
          </cell>
          <cell r="E5193">
            <v>124.19354838709677</v>
          </cell>
        </row>
        <row r="5194">
          <cell r="A5194">
            <v>525021</v>
          </cell>
          <cell r="B5194" t="str">
            <v>K400/536 plov for drivstation M112</v>
          </cell>
          <cell r="C5194" t="str">
            <v>K400/536 scraper for driving station M112</v>
          </cell>
          <cell r="D5194">
            <v>1350</v>
          </cell>
          <cell r="E5194">
            <v>181.45161290322579</v>
          </cell>
        </row>
        <row r="5195">
          <cell r="A5195">
            <v>525035</v>
          </cell>
          <cell r="B5195" t="str">
            <v>Skrabevinge 1</v>
          </cell>
          <cell r="C5195" t="str">
            <v>Scraper wing 1</v>
          </cell>
          <cell r="D5195">
            <v>495</v>
          </cell>
          <cell r="E5195">
            <v>66.532258064516128</v>
          </cell>
        </row>
        <row r="5196">
          <cell r="A5196">
            <v>525037</v>
          </cell>
          <cell r="B5196" t="str">
            <v>Skrabevinge 2</v>
          </cell>
          <cell r="C5196" t="str">
            <v>Scraper wing 2</v>
          </cell>
          <cell r="D5196">
            <v>495</v>
          </cell>
          <cell r="E5196">
            <v>66.532258064516128</v>
          </cell>
        </row>
        <row r="5197">
          <cell r="A5197">
            <v>525126</v>
          </cell>
          <cell r="B5197" t="str">
            <v>Udløbsramme  Multi 315</v>
          </cell>
          <cell r="C5197" t="str">
            <v>Outlet frame</v>
          </cell>
          <cell r="D5197">
            <v>848</v>
          </cell>
          <cell r="E5197">
            <v>113.97849462365591</v>
          </cell>
        </row>
        <row r="5198">
          <cell r="A5198">
            <v>525127</v>
          </cell>
          <cell r="B5198" t="str">
            <v>Udløbsramme  Multi 450</v>
          </cell>
          <cell r="C5198" t="str">
            <v>Outlet frame</v>
          </cell>
          <cell r="D5198">
            <v>954</v>
          </cell>
          <cell r="E5198">
            <v>128.2258064516129</v>
          </cell>
        </row>
        <row r="5199">
          <cell r="A5199">
            <v>525128</v>
          </cell>
          <cell r="B5199" t="str">
            <v>Udløbsramme Multi 630</v>
          </cell>
          <cell r="C5199" t="str">
            <v>Outlet frame</v>
          </cell>
          <cell r="D5199">
            <v>1060</v>
          </cell>
          <cell r="E5199">
            <v>142.47311827956989</v>
          </cell>
        </row>
        <row r="5200">
          <cell r="A5200">
            <v>525129</v>
          </cell>
          <cell r="B5200" t="str">
            <v>Udløbsramme  Multi 800</v>
          </cell>
          <cell r="C5200" t="str">
            <v>Outlet frame</v>
          </cell>
          <cell r="D5200">
            <v>1166</v>
          </cell>
          <cell r="E5200">
            <v>156.72043010752688</v>
          </cell>
        </row>
        <row r="5201">
          <cell r="A5201">
            <v>525239</v>
          </cell>
          <cell r="B5201" t="str">
            <v>Montagebeslag  Opti 500</v>
          </cell>
          <cell r="C5201" t="str">
            <v>Bracket for frame</v>
          </cell>
          <cell r="D5201">
            <v>989</v>
          </cell>
          <cell r="E5201">
            <v>132.93010752688173</v>
          </cell>
        </row>
        <row r="5202">
          <cell r="A5202">
            <v>525240</v>
          </cell>
          <cell r="B5202" t="str">
            <v>Montagebeslag  Opti 700</v>
          </cell>
          <cell r="C5202" t="str">
            <v>Bracket for frame</v>
          </cell>
          <cell r="D5202">
            <v>1177</v>
          </cell>
          <cell r="E5202">
            <v>158.19892473118279</v>
          </cell>
        </row>
        <row r="5203">
          <cell r="A5203">
            <v>525241</v>
          </cell>
          <cell r="B5203" t="str">
            <v>Montagebeslag  Opti 900</v>
          </cell>
          <cell r="C5203" t="str">
            <v>Bracket for frame</v>
          </cell>
          <cell r="D5203">
            <v>1166</v>
          </cell>
          <cell r="E5203">
            <v>156.72043010752688</v>
          </cell>
        </row>
        <row r="5204">
          <cell r="A5204">
            <v>525242</v>
          </cell>
          <cell r="B5204" t="str">
            <v>Låg med malebro, kød/benmel  315  A</v>
          </cell>
          <cell r="C5204" t="str">
            <v>Grinding bridge, meat and bone</v>
          </cell>
          <cell r="D5204">
            <v>10050</v>
          </cell>
          <cell r="E5204">
            <v>1350.8064516129032</v>
          </cell>
        </row>
        <row r="5205">
          <cell r="A5205">
            <v>525243</v>
          </cell>
          <cell r="B5205" t="str">
            <v>Låg med malebro, kød/benmel  450 A</v>
          </cell>
          <cell r="C5205" t="str">
            <v>Grinding bridge, meat and bone</v>
          </cell>
          <cell r="D5205">
            <v>17278</v>
          </cell>
          <cell r="E5205">
            <v>2322.311827956989</v>
          </cell>
        </row>
        <row r="5206">
          <cell r="A5206">
            <v>525244</v>
          </cell>
          <cell r="B5206" t="str">
            <v>Låg med malebro, kød/benmel  630 A</v>
          </cell>
          <cell r="C5206" t="str">
            <v>Grinding bridge, meat and bone</v>
          </cell>
          <cell r="D5206">
            <v>19409</v>
          </cell>
          <cell r="E5206">
            <v>2608.7365591397847</v>
          </cell>
        </row>
        <row r="5207">
          <cell r="A5207">
            <v>525245</v>
          </cell>
          <cell r="B5207" t="str">
            <v>Låg med malebro, kød/benmel 800 A</v>
          </cell>
          <cell r="C5207" t="str">
            <v>Grinding bridge, meat and bone</v>
          </cell>
          <cell r="D5207">
            <v>21500</v>
          </cell>
          <cell r="E5207">
            <v>2889.7849462365589</v>
          </cell>
        </row>
        <row r="5208">
          <cell r="A5208">
            <v>525354</v>
          </cell>
          <cell r="B5208" t="str">
            <v>Kobling HRC 180 TL 2517</v>
          </cell>
          <cell r="C5208" t="str">
            <v>Coupling HRC 180</v>
          </cell>
          <cell r="D5208">
            <v>575</v>
          </cell>
          <cell r="E5208">
            <v>77.284946236559136</v>
          </cell>
        </row>
        <row r="5209">
          <cell r="A5209">
            <v>525396</v>
          </cell>
          <cell r="B5209" t="str">
            <v>Samleled M112 A100</v>
          </cell>
          <cell r="C5209" t="str">
            <v>Master link M112 A100</v>
          </cell>
          <cell r="D5209">
            <v>95</v>
          </cell>
          <cell r="E5209">
            <v>12.768817204301074</v>
          </cell>
        </row>
        <row r="5210">
          <cell r="A5210">
            <v>525436</v>
          </cell>
          <cell r="B5210" t="str">
            <v>Spjældplade</v>
          </cell>
          <cell r="C5210" t="str">
            <v>Slide plate</v>
          </cell>
          <cell r="D5210">
            <v>3338</v>
          </cell>
          <cell r="E5210">
            <v>448.6559139784946</v>
          </cell>
        </row>
        <row r="5211">
          <cell r="A5211">
            <v>525448</v>
          </cell>
          <cell r="B5211" t="str">
            <v>Udskiftelig sneglegænge VB12 - VB15</v>
          </cell>
          <cell r="C5211" t="str">
            <v>Exchangeable screw flight VB12-VB15</v>
          </cell>
          <cell r="D5211">
            <v>1250</v>
          </cell>
          <cell r="E5211">
            <v>168.01075268817203</v>
          </cell>
        </row>
        <row r="5212">
          <cell r="A5212">
            <v>525449</v>
          </cell>
          <cell r="B5212" t="str">
            <v>Udskiftelig sneglegænge VB24 - VB 30</v>
          </cell>
          <cell r="C5212" t="str">
            <v>Exchangeable screw flight VB24-VB30</v>
          </cell>
          <cell r="D5212">
            <v>1450</v>
          </cell>
          <cell r="E5212">
            <v>194.89247311827955</v>
          </cell>
        </row>
        <row r="5213">
          <cell r="A5213">
            <v>525536</v>
          </cell>
          <cell r="B5213" t="str">
            <v>Fjederskive ø6 DIN 127B</v>
          </cell>
          <cell r="C5213" t="str">
            <v>Spring washer Ø6 DIN 127B</v>
          </cell>
          <cell r="D5213">
            <v>0.2</v>
          </cell>
          <cell r="E5213">
            <v>2.6881720430107527E-2</v>
          </cell>
        </row>
        <row r="5214">
          <cell r="A5214">
            <v>525656</v>
          </cell>
          <cell r="B5214" t="str">
            <v>Skotgennemføring 1/8"</v>
          </cell>
          <cell r="C5214" t="str">
            <v>Sliding screw connection 1/8"</v>
          </cell>
          <cell r="D5214">
            <v>40</v>
          </cell>
          <cell r="E5214">
            <v>5.376344086021505</v>
          </cell>
        </row>
        <row r="5215">
          <cell r="A5215">
            <v>525666</v>
          </cell>
          <cell r="B5215" t="str">
            <v>Kurveskive</v>
          </cell>
          <cell r="C5215" t="str">
            <v>Curved washer</v>
          </cell>
          <cell r="D5215">
            <v>230</v>
          </cell>
          <cell r="E5215">
            <v>30.913978494623656</v>
          </cell>
        </row>
        <row r="5216">
          <cell r="A5216">
            <v>525804</v>
          </cell>
          <cell r="B5216" t="str">
            <v>VB Bærering</v>
          </cell>
          <cell r="C5216" t="str">
            <v>Support ring</v>
          </cell>
          <cell r="D5216">
            <v>1150</v>
          </cell>
          <cell r="E5216">
            <v>154.56989247311827</v>
          </cell>
        </row>
        <row r="5217">
          <cell r="A5217">
            <v>525805</v>
          </cell>
          <cell r="B5217" t="str">
            <v>VB Lejehus</v>
          </cell>
          <cell r="C5217" t="str">
            <v>Bearing house</v>
          </cell>
          <cell r="D5217">
            <v>4750</v>
          </cell>
          <cell r="E5217">
            <v>638.4408602150537</v>
          </cell>
        </row>
        <row r="5218">
          <cell r="A5218">
            <v>526164</v>
          </cell>
          <cell r="B5218" t="str">
            <v>Spjældviser</v>
          </cell>
          <cell r="C5218" t="str">
            <v>Indication bracket</v>
          </cell>
          <cell r="D5218">
            <v>329</v>
          </cell>
          <cell r="E5218">
            <v>44.22043010752688</v>
          </cell>
        </row>
        <row r="5219">
          <cell r="A5219">
            <v>526165</v>
          </cell>
          <cell r="B5219" t="str">
            <v>Anslagsring, 2 halvparter</v>
          </cell>
          <cell r="C5219" t="str">
            <v>Supprt for screen, 2 half parts</v>
          </cell>
          <cell r="D5219">
            <v>1601</v>
          </cell>
          <cell r="E5219">
            <v>215.18817204301075</v>
          </cell>
        </row>
        <row r="5220">
          <cell r="A5220">
            <v>526226</v>
          </cell>
          <cell r="B5220" t="str">
            <v>Flangeleje FYTB20FM</v>
          </cell>
          <cell r="C5220" t="str">
            <v>Flange  FYTB 20FM</v>
          </cell>
          <cell r="D5220">
            <v>186</v>
          </cell>
          <cell r="E5220">
            <v>25</v>
          </cell>
        </row>
        <row r="5221">
          <cell r="A5221">
            <v>526228</v>
          </cell>
          <cell r="B5221" t="str">
            <v>Skinne - lang</v>
          </cell>
          <cell r="C5221" t="str">
            <v>Rail - long</v>
          </cell>
          <cell r="D5221">
            <v>260</v>
          </cell>
          <cell r="E5221">
            <v>34.946236559139784</v>
          </cell>
        </row>
        <row r="5222">
          <cell r="A5222">
            <v>526230</v>
          </cell>
          <cell r="B5222" t="str">
            <v>Skinne-filt</v>
          </cell>
          <cell r="C5222" t="str">
            <v>Rail felt</v>
          </cell>
          <cell r="D5222">
            <v>186</v>
          </cell>
          <cell r="E5222">
            <v>25</v>
          </cell>
        </row>
        <row r="5223">
          <cell r="A5223">
            <v>526231</v>
          </cell>
          <cell r="B5223" t="str">
            <v>Filttætning</v>
          </cell>
          <cell r="C5223" t="str">
            <v>Filt sealing</v>
          </cell>
          <cell r="D5223">
            <v>256</v>
          </cell>
          <cell r="E5223">
            <v>34.408602150537632</v>
          </cell>
        </row>
        <row r="5224">
          <cell r="A5224">
            <v>526329</v>
          </cell>
          <cell r="B5224" t="str">
            <v>Aktiveringssæt</v>
          </cell>
          <cell r="C5224" t="str">
            <v>Activating bracket</v>
          </cell>
          <cell r="D5224">
            <v>1065</v>
          </cell>
          <cell r="E5224">
            <v>143.14516129032256</v>
          </cell>
        </row>
        <row r="5225">
          <cell r="A5225">
            <v>526354</v>
          </cell>
          <cell r="B5225" t="str">
            <v>Lejedæksel åben</v>
          </cell>
          <cell r="C5225" t="str">
            <v>Open cower</v>
          </cell>
          <cell r="D5225">
            <v>610</v>
          </cell>
          <cell r="E5225">
            <v>81.989247311827953</v>
          </cell>
        </row>
        <row r="5226">
          <cell r="A5226">
            <v>526356</v>
          </cell>
          <cell r="B5226" t="str">
            <v>Labyrinttætning</v>
          </cell>
          <cell r="C5226" t="str">
            <v>Labyrinth seal</v>
          </cell>
          <cell r="D5226">
            <v>610</v>
          </cell>
          <cell r="E5226">
            <v>81.989247311827953</v>
          </cell>
        </row>
        <row r="5227">
          <cell r="A5227">
            <v>526361</v>
          </cell>
          <cell r="B5227" t="str">
            <v>Anlægsring motorende</v>
          </cell>
          <cell r="C5227" t="str">
            <v>Support ring motor end</v>
          </cell>
          <cell r="D5227">
            <v>1643</v>
          </cell>
          <cell r="E5227">
            <v>220.83333333333331</v>
          </cell>
        </row>
        <row r="5228">
          <cell r="A5228">
            <v>526365</v>
          </cell>
          <cell r="B5228" t="str">
            <v>Soldramme  1001</v>
          </cell>
          <cell r="C5228" t="str">
            <v>Screen frame</v>
          </cell>
          <cell r="D5228">
            <v>5910</v>
          </cell>
          <cell r="E5228">
            <v>794.35483870967732</v>
          </cell>
        </row>
        <row r="5229">
          <cell r="A5229">
            <v>526370</v>
          </cell>
          <cell r="B5229" t="str">
            <v>Soldramme for finformaling  1001</v>
          </cell>
          <cell r="C5229" t="str">
            <v>Screen frame for fine grinding</v>
          </cell>
          <cell r="D5229">
            <v>6307</v>
          </cell>
          <cell r="E5229">
            <v>847.71505376344078</v>
          </cell>
        </row>
        <row r="5230">
          <cell r="A5230">
            <v>526500</v>
          </cell>
          <cell r="B5230" t="str">
            <v>Rotor-komplet</v>
          </cell>
          <cell r="C5230" t="str">
            <v>Rotor complete</v>
          </cell>
          <cell r="D5230" t="str">
            <v>seperate list</v>
          </cell>
          <cell r="E5230" t="e">
            <v>#VALUE!</v>
          </cell>
        </row>
        <row r="5231">
          <cell r="A5231">
            <v>526516</v>
          </cell>
          <cell r="B5231" t="str">
            <v>Stenfælde  1000 AN</v>
          </cell>
          <cell r="C5231" t="str">
            <v>Stone trap</v>
          </cell>
          <cell r="D5231">
            <v>3763</v>
          </cell>
          <cell r="E5231">
            <v>505.77956989247309</v>
          </cell>
        </row>
        <row r="5232">
          <cell r="A5232">
            <v>526518</v>
          </cell>
          <cell r="B5232" t="str">
            <v>Låg med malebro, standard  1000AN</v>
          </cell>
          <cell r="C5232" t="str">
            <v>Grinding bridge, standard</v>
          </cell>
          <cell r="D5232">
            <v>21500</v>
          </cell>
          <cell r="E5232">
            <v>2889.7849462365589</v>
          </cell>
        </row>
        <row r="5233">
          <cell r="A5233">
            <v>526520</v>
          </cell>
          <cell r="B5233" t="str">
            <v>Excenteraksel  Multi 1000</v>
          </cell>
          <cell r="C5233" t="str">
            <v>Eccentric shaft</v>
          </cell>
          <cell r="D5233">
            <v>2809</v>
          </cell>
          <cell r="E5233">
            <v>377.55376344086022</v>
          </cell>
        </row>
        <row r="5234">
          <cell r="A5234">
            <v>526525</v>
          </cell>
          <cell r="B5234" t="str">
            <v>Lem</v>
          </cell>
          <cell r="C5234" t="str">
            <v>Door</v>
          </cell>
          <cell r="D5234">
            <v>6890</v>
          </cell>
          <cell r="E5234">
            <v>926.07526881720423</v>
          </cell>
        </row>
        <row r="5235">
          <cell r="A5235">
            <v>526530</v>
          </cell>
          <cell r="B5235" t="str">
            <v>Lågeaksel</v>
          </cell>
          <cell r="C5235" t="str">
            <v>Door shaft</v>
          </cell>
          <cell r="D5235">
            <v>938</v>
          </cell>
          <cell r="E5235">
            <v>126.07526881720429</v>
          </cell>
        </row>
        <row r="5236">
          <cell r="A5236">
            <v>526539</v>
          </cell>
          <cell r="B5236" t="str">
            <v>Udløbsramme  Multi 1000</v>
          </cell>
          <cell r="C5236" t="str">
            <v>Outlet frame</v>
          </cell>
          <cell r="D5236">
            <v>1272</v>
          </cell>
          <cell r="E5236">
            <v>170.96774193548387</v>
          </cell>
        </row>
        <row r="5237">
          <cell r="A5237">
            <v>526550</v>
          </cell>
          <cell r="B5237" t="str">
            <v>Ring for flangeleje</v>
          </cell>
          <cell r="C5237" t="str">
            <v>Flanged bearing ring</v>
          </cell>
          <cell r="D5237">
            <v>65</v>
          </cell>
          <cell r="E5237">
            <v>8.736559139784946</v>
          </cell>
        </row>
        <row r="5238">
          <cell r="A5238">
            <v>526551</v>
          </cell>
          <cell r="B5238" t="str">
            <v>Aksel, medløb</v>
          </cell>
          <cell r="C5238" t="str">
            <v>Shaft, driven</v>
          </cell>
          <cell r="D5238">
            <v>2545</v>
          </cell>
          <cell r="E5238">
            <v>342.06989247311827</v>
          </cell>
        </row>
        <row r="5239">
          <cell r="A5239">
            <v>526552</v>
          </cell>
          <cell r="B5239" t="str">
            <v>Aksel, drevet</v>
          </cell>
          <cell r="C5239" t="str">
            <v>Axel, driven</v>
          </cell>
          <cell r="D5239">
            <v>2100</v>
          </cell>
          <cell r="E5239">
            <v>282.25806451612902</v>
          </cell>
        </row>
        <row r="5240">
          <cell r="A5240">
            <v>526553</v>
          </cell>
          <cell r="B5240" t="str">
            <v>DS 250 snegl venstre</v>
          </cell>
          <cell r="C5240" t="str">
            <v>DS 250 screw left</v>
          </cell>
          <cell r="D5240">
            <v>10200</v>
          </cell>
          <cell r="E5240">
            <v>1370.9677419354839</v>
          </cell>
        </row>
        <row r="5241">
          <cell r="A5241">
            <v>526554</v>
          </cell>
          <cell r="B5241" t="str">
            <v>DS 250 snegl høre</v>
          </cell>
          <cell r="C5241" t="str">
            <v>DS 250 screw right</v>
          </cell>
          <cell r="D5241">
            <v>10200</v>
          </cell>
          <cell r="E5241">
            <v>1370.9677419354839</v>
          </cell>
        </row>
        <row r="5242">
          <cell r="A5242">
            <v>526560</v>
          </cell>
          <cell r="B5242" t="str">
            <v>Tandhjul</v>
          </cell>
          <cell r="C5242" t="str">
            <v>Gear-wheel</v>
          </cell>
          <cell r="D5242">
            <v>2210</v>
          </cell>
          <cell r="E5242">
            <v>297.04301075268813</v>
          </cell>
        </row>
        <row r="5243">
          <cell r="A5243">
            <v>526562</v>
          </cell>
          <cell r="B5243" t="str">
            <v>Holder for skærm</v>
          </cell>
          <cell r="C5243" t="str">
            <v>Screen fitting</v>
          </cell>
          <cell r="D5243">
            <v>235</v>
          </cell>
          <cell r="E5243">
            <v>31.586021505376344</v>
          </cell>
        </row>
        <row r="5244">
          <cell r="A5244">
            <v>526564</v>
          </cell>
          <cell r="B5244" t="str">
            <v>Endedæksel-stor</v>
          </cell>
          <cell r="C5244" t="str">
            <v>End cover, large</v>
          </cell>
          <cell r="D5244">
            <v>600</v>
          </cell>
          <cell r="E5244">
            <v>80.645161290322577</v>
          </cell>
        </row>
        <row r="5245">
          <cell r="A5245">
            <v>526565</v>
          </cell>
          <cell r="B5245" t="str">
            <v>Endedæksel, lille</v>
          </cell>
          <cell r="C5245" t="str">
            <v>End cover, small</v>
          </cell>
          <cell r="D5245">
            <v>550</v>
          </cell>
          <cell r="E5245">
            <v>73.924731182795696</v>
          </cell>
        </row>
        <row r="5246">
          <cell r="A5246">
            <v>526622</v>
          </cell>
          <cell r="B5246" t="str">
            <v>Cyl skrue M16x80 DIN912 FZB</v>
          </cell>
          <cell r="C5246" t="str">
            <v>Round screw M16x80 DIN912 FZB</v>
          </cell>
          <cell r="D5246">
            <v>9</v>
          </cell>
          <cell r="E5246">
            <v>1.2096774193548387</v>
          </cell>
        </row>
        <row r="5247">
          <cell r="A5247">
            <v>526642</v>
          </cell>
          <cell r="B5247" t="str">
            <v>Termometer</v>
          </cell>
          <cell r="C5247" t="str">
            <v>Thermometer</v>
          </cell>
          <cell r="D5247">
            <v>41</v>
          </cell>
          <cell r="E5247">
            <v>5.510752688172043</v>
          </cell>
        </row>
        <row r="5248">
          <cell r="A5248">
            <v>526646</v>
          </cell>
          <cell r="B5248" t="str">
            <v>Spændelement TL 1108, Ø25</v>
          </cell>
          <cell r="C5248" t="str">
            <v>Taper bush TL 1108, Ø25</v>
          </cell>
          <cell r="D5248">
            <v>42</v>
          </cell>
          <cell r="E5248">
            <v>5.6451612903225801</v>
          </cell>
        </row>
        <row r="5249">
          <cell r="A5249">
            <v>526672</v>
          </cell>
          <cell r="B5249" t="str">
            <v>Cyl. Skrue M10 x 16 A2 DIN912</v>
          </cell>
          <cell r="C5249" t="str">
            <v>Cyl. Screw M10 x 16 A2 DIN912</v>
          </cell>
          <cell r="D5249">
            <v>3.2</v>
          </cell>
          <cell r="E5249">
            <v>0.43010752688172044</v>
          </cell>
        </row>
        <row r="5250">
          <cell r="A5250">
            <v>526729</v>
          </cell>
          <cell r="B5250" t="str">
            <v>Stenfælde</v>
          </cell>
          <cell r="C5250" t="str">
            <v>Stone trap</v>
          </cell>
          <cell r="D5250">
            <v>5910</v>
          </cell>
          <cell r="E5250">
            <v>794.35483870967732</v>
          </cell>
        </row>
        <row r="5251">
          <cell r="A5251">
            <v>526734</v>
          </cell>
          <cell r="B5251" t="str">
            <v>Momentarm / indikering</v>
          </cell>
          <cell r="C5251" t="str">
            <v>Torque arm / indication</v>
          </cell>
          <cell r="D5251">
            <v>901</v>
          </cell>
          <cell r="E5251">
            <v>121.1021505376344</v>
          </cell>
        </row>
        <row r="5252">
          <cell r="A5252">
            <v>526738</v>
          </cell>
          <cell r="B5252" t="str">
            <v>Låge</v>
          </cell>
          <cell r="C5252" t="str">
            <v>Door</v>
          </cell>
          <cell r="D5252">
            <v>5141</v>
          </cell>
          <cell r="E5252">
            <v>690.99462365591398</v>
          </cell>
        </row>
        <row r="5253">
          <cell r="A5253">
            <v>526742</v>
          </cell>
          <cell r="B5253" t="str">
            <v>Konsol</v>
          </cell>
          <cell r="C5253" t="str">
            <v>Konsole</v>
          </cell>
          <cell r="D5253">
            <v>10600</v>
          </cell>
          <cell r="E5253">
            <v>1424.7311827956989</v>
          </cell>
        </row>
        <row r="5254">
          <cell r="A5254">
            <v>526749</v>
          </cell>
          <cell r="B5254" t="str">
            <v>Bakke</v>
          </cell>
          <cell r="C5254" t="str">
            <v>Tray</v>
          </cell>
          <cell r="D5254">
            <v>2703</v>
          </cell>
          <cell r="E5254">
            <v>363.30645161290323</v>
          </cell>
        </row>
        <row r="5255">
          <cell r="A5255">
            <v>526848</v>
          </cell>
          <cell r="B5255" t="str">
            <v>Split Ø5  FZB DIN 883</v>
          </cell>
          <cell r="C5255" t="str">
            <v>Spring split Ø4  FZB  DIN 883</v>
          </cell>
          <cell r="D5255">
            <v>5.3</v>
          </cell>
          <cell r="E5255">
            <v>0.71236559139784938</v>
          </cell>
        </row>
        <row r="5256">
          <cell r="A5256">
            <v>526876</v>
          </cell>
          <cell r="B5256" t="str">
            <v>Nøgle for låge, kort</v>
          </cell>
          <cell r="C5256" t="str">
            <v>Key for door, short</v>
          </cell>
          <cell r="D5256">
            <v>254</v>
          </cell>
          <cell r="E5256">
            <v>34.13978494623656</v>
          </cell>
        </row>
        <row r="5257">
          <cell r="A5257">
            <v>526881</v>
          </cell>
          <cell r="B5257" t="str">
            <v>Topplade  1001</v>
          </cell>
          <cell r="C5257" t="str">
            <v>Top plate</v>
          </cell>
          <cell r="D5257">
            <v>4770</v>
          </cell>
          <cell r="E5257">
            <v>641.12903225806451</v>
          </cell>
        </row>
        <row r="5258">
          <cell r="A5258">
            <v>526882</v>
          </cell>
          <cell r="B5258" t="str">
            <v>Aksel  1001</v>
          </cell>
          <cell r="C5258" t="str">
            <v>Shaft</v>
          </cell>
          <cell r="D5258">
            <v>1219</v>
          </cell>
          <cell r="E5258">
            <v>163.84408602150538</v>
          </cell>
        </row>
        <row r="5259">
          <cell r="A5259">
            <v>526885</v>
          </cell>
          <cell r="B5259" t="str">
            <v>Ledeplade 1001</v>
          </cell>
          <cell r="C5259" t="str">
            <v>Guide plate</v>
          </cell>
          <cell r="D5259">
            <v>2173</v>
          </cell>
          <cell r="E5259">
            <v>292.06989247311827</v>
          </cell>
        </row>
        <row r="5260">
          <cell r="A5260">
            <v>526896</v>
          </cell>
          <cell r="B5260" t="str">
            <v>Holdeplade</v>
          </cell>
          <cell r="C5260" t="str">
            <v>Bracket</v>
          </cell>
          <cell r="D5260">
            <v>239</v>
          </cell>
          <cell r="E5260">
            <v>32.123655913978496</v>
          </cell>
        </row>
        <row r="5261">
          <cell r="A5261">
            <v>526897</v>
          </cell>
          <cell r="B5261" t="str">
            <v>Aksel for låge  1001</v>
          </cell>
          <cell r="C5261" t="str">
            <v>Mounting rail</v>
          </cell>
          <cell r="D5261">
            <v>535</v>
          </cell>
          <cell r="E5261">
            <v>71.908602150537632</v>
          </cell>
        </row>
        <row r="5262">
          <cell r="A5262">
            <v>526898</v>
          </cell>
          <cell r="B5262" t="str">
            <v>Montageplade</v>
          </cell>
          <cell r="C5262" t="str">
            <v>Mounting plate</v>
          </cell>
          <cell r="D5262">
            <v>2862</v>
          </cell>
          <cell r="E5262">
            <v>384.67741935483866</v>
          </cell>
        </row>
        <row r="5263">
          <cell r="A5263">
            <v>526899</v>
          </cell>
          <cell r="B5263" t="str">
            <v>Afskærmning</v>
          </cell>
          <cell r="C5263" t="str">
            <v>Cower</v>
          </cell>
          <cell r="D5263">
            <v>880</v>
          </cell>
          <cell r="E5263">
            <v>118.27956989247311</v>
          </cell>
        </row>
        <row r="5264">
          <cell r="A5264">
            <v>526941</v>
          </cell>
          <cell r="B5264" t="str">
            <v>6-kt. skrue M12 x 50, DIN 931</v>
          </cell>
          <cell r="C5264" t="str">
            <v>Hex. screw M12 x 50</v>
          </cell>
          <cell r="D5264">
            <v>9.4</v>
          </cell>
          <cell r="E5264">
            <v>1.2634408602150538</v>
          </cell>
        </row>
        <row r="5265">
          <cell r="A5265">
            <v>527091</v>
          </cell>
          <cell r="B5265" t="str">
            <v>Stenfælde  800 B</v>
          </cell>
          <cell r="C5265" t="str">
            <v>Stone trap</v>
          </cell>
          <cell r="D5265">
            <v>3551</v>
          </cell>
          <cell r="E5265">
            <v>477.28494623655911</v>
          </cell>
        </row>
        <row r="5266">
          <cell r="A5266">
            <v>527102</v>
          </cell>
          <cell r="B5266" t="str">
            <v>Bremsearm</v>
          </cell>
          <cell r="C5266" t="str">
            <v>Brake lever</v>
          </cell>
          <cell r="D5266">
            <v>1018</v>
          </cell>
          <cell r="E5266">
            <v>136.8279569892473</v>
          </cell>
        </row>
        <row r="5267">
          <cell r="A5267">
            <v>527397</v>
          </cell>
          <cell r="B5267" t="str">
            <v>Momentarm</v>
          </cell>
          <cell r="C5267" t="str">
            <v>Momentarm</v>
          </cell>
          <cell r="D5267">
            <v>590</v>
          </cell>
          <cell r="E5267">
            <v>79.3010752688172</v>
          </cell>
        </row>
        <row r="5268">
          <cell r="A5268">
            <v>527456</v>
          </cell>
          <cell r="B5268" t="str">
            <v>Luftspjæld</v>
          </cell>
          <cell r="C5268" t="str">
            <v>Air slide</v>
          </cell>
          <cell r="D5268">
            <v>623</v>
          </cell>
          <cell r="E5268">
            <v>83.736559139784944</v>
          </cell>
        </row>
        <row r="5269">
          <cell r="A5269">
            <v>527462</v>
          </cell>
          <cell r="B5269" t="str">
            <v>Justeringsplade</v>
          </cell>
          <cell r="C5269" t="str">
            <v>Adjustment plate</v>
          </cell>
          <cell r="D5269">
            <v>645</v>
          </cell>
          <cell r="E5269">
            <v>86.693548387096769</v>
          </cell>
        </row>
        <row r="5270">
          <cell r="A5270">
            <v>527469</v>
          </cell>
          <cell r="B5270" t="str">
            <v>Magnetkasse  1001</v>
          </cell>
          <cell r="C5270" t="str">
            <v>Magnet box</v>
          </cell>
          <cell r="D5270">
            <v>2320</v>
          </cell>
          <cell r="E5270">
            <v>311.8279569892473</v>
          </cell>
        </row>
        <row r="5271">
          <cell r="A5271">
            <v>527472</v>
          </cell>
          <cell r="B5271" t="str">
            <v>Skuffe</v>
          </cell>
          <cell r="C5271" t="str">
            <v>Stone trap</v>
          </cell>
          <cell r="D5271">
            <v>1405</v>
          </cell>
          <cell r="E5271">
            <v>188.84408602150538</v>
          </cell>
        </row>
        <row r="5272">
          <cell r="A5272">
            <v>527480</v>
          </cell>
          <cell r="B5272" t="str">
            <v>Styrenav</v>
          </cell>
          <cell r="C5272" t="str">
            <v>Guide hub</v>
          </cell>
          <cell r="D5272">
            <v>400</v>
          </cell>
          <cell r="E5272">
            <v>53.763440860215049</v>
          </cell>
        </row>
        <row r="5273">
          <cell r="A5273">
            <v>527510</v>
          </cell>
          <cell r="B5273" t="str">
            <v>Låseøje</v>
          </cell>
          <cell r="C5273" t="str">
            <v>Locking bracket</v>
          </cell>
          <cell r="D5273">
            <v>583</v>
          </cell>
          <cell r="E5273">
            <v>78.36021505376344</v>
          </cell>
        </row>
        <row r="5274">
          <cell r="A5274">
            <v>527511</v>
          </cell>
          <cell r="B5274" t="str">
            <v>Soldskinne 1001</v>
          </cell>
          <cell r="C5274" t="str">
            <v>Rail for screen</v>
          </cell>
          <cell r="D5274">
            <v>175</v>
          </cell>
          <cell r="E5274">
            <v>23.521505376344084</v>
          </cell>
        </row>
        <row r="5275">
          <cell r="A5275">
            <v>527515</v>
          </cell>
          <cell r="B5275" t="str">
            <v>Slagledæksel</v>
          </cell>
          <cell r="C5275" t="str">
            <v>Hammer cover</v>
          </cell>
          <cell r="D5275">
            <v>928</v>
          </cell>
          <cell r="E5275">
            <v>124.73118279569891</v>
          </cell>
        </row>
        <row r="5276">
          <cell r="A5276">
            <v>527521</v>
          </cell>
          <cell r="B5276" t="str">
            <v>Magnet</v>
          </cell>
          <cell r="C5276" t="str">
            <v>Magnet</v>
          </cell>
          <cell r="D5276">
            <v>5050</v>
          </cell>
          <cell r="E5276">
            <v>678.76344086021504</v>
          </cell>
        </row>
        <row r="5277">
          <cell r="A5277">
            <v>527553</v>
          </cell>
          <cell r="B5277" t="str">
            <v>Skive for gear.</v>
          </cell>
          <cell r="C5277" t="str">
            <v>Ring for gear</v>
          </cell>
          <cell r="D5277">
            <v>41</v>
          </cell>
          <cell r="E5277">
            <v>5.510752688172043</v>
          </cell>
        </row>
        <row r="5278">
          <cell r="A5278">
            <v>527729</v>
          </cell>
          <cell r="B5278" t="str">
            <v>Tap for cylinder</v>
          </cell>
          <cell r="C5278" t="str">
            <v>Pivot for cylinder</v>
          </cell>
          <cell r="D5278">
            <v>175</v>
          </cell>
          <cell r="E5278">
            <v>23.521505376344084</v>
          </cell>
        </row>
        <row r="5279">
          <cell r="A5279">
            <v>527742</v>
          </cell>
          <cell r="B5279" t="str">
            <v>Lågestop</v>
          </cell>
          <cell r="C5279" t="str">
            <v>Door stop</v>
          </cell>
          <cell r="D5279">
            <v>48</v>
          </cell>
          <cell r="E5279">
            <v>6.4516129032258061</v>
          </cell>
        </row>
        <row r="5280">
          <cell r="A5280">
            <v>527743</v>
          </cell>
          <cell r="B5280" t="str">
            <v>Udløbsramme  1001</v>
          </cell>
          <cell r="C5280" t="str">
            <v>Outlet frame</v>
          </cell>
          <cell r="D5280">
            <v>1325</v>
          </cell>
          <cell r="E5280">
            <v>178.09139784946237</v>
          </cell>
        </row>
        <row r="5281">
          <cell r="A5281">
            <v>527744</v>
          </cell>
          <cell r="B5281" t="str">
            <v>Dækplade</v>
          </cell>
          <cell r="C5281" t="str">
            <v>Cower plater</v>
          </cell>
          <cell r="D5281">
            <v>1257</v>
          </cell>
          <cell r="E5281">
            <v>168.95161290322579</v>
          </cell>
        </row>
        <row r="5282">
          <cell r="A5282">
            <v>527754</v>
          </cell>
          <cell r="B5282" t="str">
            <v>Multi I800A Soldskinne smal</v>
          </cell>
          <cell r="C5282" t="str">
            <v>650/800 Screen rail narrow</v>
          </cell>
          <cell r="D5282">
            <v>98</v>
          </cell>
          <cell r="E5282">
            <v>13.172043010752688</v>
          </cell>
        </row>
        <row r="5283">
          <cell r="A5283">
            <v>527755</v>
          </cell>
          <cell r="B5283" t="str">
            <v>Multi I800A Soldskinne smal</v>
          </cell>
          <cell r="C5283" t="str">
            <v>650/1000 Screen rail narrow</v>
          </cell>
          <cell r="D5283">
            <v>104</v>
          </cell>
          <cell r="E5283">
            <v>13.978494623655914</v>
          </cell>
        </row>
        <row r="5284">
          <cell r="A5284">
            <v>527757</v>
          </cell>
          <cell r="B5284" t="str">
            <v>MultiI800A Soldskinne bred</v>
          </cell>
          <cell r="C5284" t="str">
            <v>650/800 Screen rail wide</v>
          </cell>
          <cell r="D5284">
            <v>104</v>
          </cell>
          <cell r="E5284">
            <v>13.978494623655914</v>
          </cell>
        </row>
        <row r="5285">
          <cell r="A5285">
            <v>527758</v>
          </cell>
          <cell r="B5285" t="str">
            <v>MultiI 1000A Soldskinne bred</v>
          </cell>
          <cell r="C5285" t="str">
            <v>650/1000 Screen rail wide</v>
          </cell>
          <cell r="D5285">
            <v>109</v>
          </cell>
          <cell r="E5285">
            <v>14.650537634408602</v>
          </cell>
        </row>
        <row r="5286">
          <cell r="A5286">
            <v>527765</v>
          </cell>
          <cell r="B5286" t="str">
            <v>Cylinder</v>
          </cell>
          <cell r="C5286" t="str">
            <v>Cylinder</v>
          </cell>
          <cell r="D5286">
            <v>3286</v>
          </cell>
          <cell r="E5286">
            <v>441.66666666666663</v>
          </cell>
        </row>
        <row r="5287">
          <cell r="A5287">
            <v>527766</v>
          </cell>
          <cell r="B5287" t="str">
            <v>Fæste</v>
          </cell>
          <cell r="C5287" t="str">
            <v>Fastening</v>
          </cell>
          <cell r="D5287">
            <v>376</v>
          </cell>
          <cell r="E5287">
            <v>50.537634408602145</v>
          </cell>
        </row>
        <row r="5288">
          <cell r="A5288">
            <v>527767</v>
          </cell>
          <cell r="B5288" t="str">
            <v>Gaffelfæste</v>
          </cell>
          <cell r="C5288" t="str">
            <v>Fork fastening</v>
          </cell>
          <cell r="D5288">
            <v>737</v>
          </cell>
          <cell r="E5288">
            <v>99.059139784946225</v>
          </cell>
        </row>
        <row r="5289">
          <cell r="A5289">
            <v>527768</v>
          </cell>
          <cell r="B5289" t="str">
            <v>Møtrik</v>
          </cell>
          <cell r="C5289" t="str">
            <v>Møtrik</v>
          </cell>
          <cell r="D5289">
            <v>27</v>
          </cell>
          <cell r="E5289">
            <v>3.629032258064516</v>
          </cell>
        </row>
        <row r="5290">
          <cell r="A5290">
            <v>527985</v>
          </cell>
          <cell r="B5290" t="str">
            <v>Drejeplade</v>
          </cell>
          <cell r="C5290" t="str">
            <v>Drejeplade</v>
          </cell>
          <cell r="D5290">
            <v>2968</v>
          </cell>
          <cell r="E5290">
            <v>398.92473118279565</v>
          </cell>
        </row>
        <row r="5291">
          <cell r="A5291">
            <v>528102</v>
          </cell>
          <cell r="B5291" t="str">
            <v>Leje (ståleje)</v>
          </cell>
          <cell r="C5291" t="str">
            <v xml:space="preserve">Pederstal bearing </v>
          </cell>
          <cell r="D5291">
            <v>260</v>
          </cell>
          <cell r="E5291">
            <v>34.946236559139784</v>
          </cell>
        </row>
        <row r="5292">
          <cell r="A5292">
            <v>528103</v>
          </cell>
          <cell r="B5292" t="str">
            <v>Låsering U 25 c 1,20 A</v>
          </cell>
          <cell r="C5292" t="str">
            <v>Lock ring U 25 x 1,20 A</v>
          </cell>
          <cell r="D5292">
            <v>2.7</v>
          </cell>
          <cell r="E5292">
            <v>0.36290322580645162</v>
          </cell>
        </row>
        <row r="5293">
          <cell r="A5293">
            <v>528127</v>
          </cell>
          <cell r="B5293" t="str">
            <v>Låseblik MB22</v>
          </cell>
          <cell r="C5293" t="str">
            <v>Lock washer MB22</v>
          </cell>
          <cell r="D5293">
            <v>23</v>
          </cell>
          <cell r="E5293">
            <v>3.0913978494623655</v>
          </cell>
        </row>
        <row r="5294">
          <cell r="A5294">
            <v>528131</v>
          </cell>
          <cell r="B5294" t="str">
            <v>Topmøtrik M16  FZB DIN1587 8,8</v>
          </cell>
          <cell r="C5294" t="str">
            <v>Top nut</v>
          </cell>
          <cell r="D5294">
            <v>9.8000000000000007</v>
          </cell>
          <cell r="E5294">
            <v>1.3172043010752688</v>
          </cell>
        </row>
        <row r="5295">
          <cell r="A5295">
            <v>528132</v>
          </cell>
          <cell r="B5295" t="str">
            <v>Klembøsning H0317</v>
          </cell>
          <cell r="C5295" t="str">
            <v>Split bush H0317</v>
          </cell>
          <cell r="D5295">
            <v>359</v>
          </cell>
          <cell r="E5295">
            <v>48.252688172043008</v>
          </cell>
        </row>
        <row r="5296">
          <cell r="A5296">
            <v>528133</v>
          </cell>
          <cell r="B5296" t="str">
            <v>Sfærisk kugleleje 1317K/C3</v>
          </cell>
          <cell r="C5296" t="str">
            <v>Spherical ball bearing 1317K/C3</v>
          </cell>
          <cell r="D5296">
            <v>1325</v>
          </cell>
          <cell r="E5296">
            <v>178.09139784946237</v>
          </cell>
        </row>
        <row r="5297">
          <cell r="A5297">
            <v>528134</v>
          </cell>
          <cell r="B5297" t="str">
            <v>Styrering</v>
          </cell>
          <cell r="C5297" t="str">
            <v>Guide ring</v>
          </cell>
          <cell r="D5297">
            <v>49</v>
          </cell>
          <cell r="E5297">
            <v>6.586021505376344</v>
          </cell>
        </row>
        <row r="5298">
          <cell r="A5298">
            <v>528148</v>
          </cell>
          <cell r="B5298" t="str">
            <v>Feder</v>
          </cell>
          <cell r="C5298" t="str">
            <v>Parallel key</v>
          </cell>
          <cell r="D5298">
            <v>2.5499999999999998</v>
          </cell>
          <cell r="E5298">
            <v>0.34274193548387094</v>
          </cell>
        </row>
        <row r="5299">
          <cell r="A5299">
            <v>528157</v>
          </cell>
          <cell r="B5299" t="str">
            <v>Cyl. skrue M16x100 FZB DIN912</v>
          </cell>
          <cell r="C5299" t="str">
            <v>Cyl. Screw M16 x 100  FZB  DIN 912</v>
          </cell>
          <cell r="D5299">
            <v>10.5</v>
          </cell>
          <cell r="E5299">
            <v>1.411290322580645</v>
          </cell>
        </row>
        <row r="5300">
          <cell r="A5300">
            <v>528177</v>
          </cell>
          <cell r="B5300" t="str">
            <v>Tætningsgummi</v>
          </cell>
          <cell r="C5300" t="str">
            <v>Sealing</v>
          </cell>
          <cell r="D5300">
            <v>101</v>
          </cell>
          <cell r="E5300">
            <v>13.5752688172043</v>
          </cell>
        </row>
        <row r="5301">
          <cell r="A5301">
            <v>528200</v>
          </cell>
          <cell r="B5301" t="str">
            <v>Klembøsning H0318</v>
          </cell>
          <cell r="C5301" t="str">
            <v>Split bush H0318</v>
          </cell>
          <cell r="D5301">
            <v>408</v>
          </cell>
          <cell r="E5301">
            <v>54.838709677419352</v>
          </cell>
        </row>
        <row r="5302">
          <cell r="A5302">
            <v>528315</v>
          </cell>
          <cell r="B5302" t="str">
            <v>Snegl, venstre stigning 150</v>
          </cell>
          <cell r="C5302" t="str">
            <v>Screw, left-hand pitch 150</v>
          </cell>
          <cell r="D5302">
            <v>5860</v>
          </cell>
          <cell r="E5302">
            <v>787.63440860215053</v>
          </cell>
        </row>
        <row r="5303">
          <cell r="A5303">
            <v>528317</v>
          </cell>
          <cell r="B5303" t="str">
            <v>Snegl, højre stigning 150</v>
          </cell>
          <cell r="C5303" t="str">
            <v>Screw, right-hand pitch 150</v>
          </cell>
          <cell r="D5303">
            <v>5860</v>
          </cell>
          <cell r="E5303">
            <v>787.63440860215053</v>
          </cell>
        </row>
        <row r="5304">
          <cell r="A5304">
            <v>528325</v>
          </cell>
          <cell r="B5304" t="str">
            <v>Slidplade  T-model</v>
          </cell>
          <cell r="C5304" t="str">
            <v>Wear plate</v>
          </cell>
          <cell r="D5304">
            <v>3339</v>
          </cell>
          <cell r="E5304">
            <v>448.79032258064512</v>
          </cell>
        </row>
        <row r="5305">
          <cell r="A5305">
            <v>528526</v>
          </cell>
          <cell r="B5305" t="str">
            <v>Lejedæksel lukket</v>
          </cell>
          <cell r="C5305" t="str">
            <v>Blind cower</v>
          </cell>
          <cell r="D5305">
            <v>610</v>
          </cell>
          <cell r="E5305">
            <v>81.989247311827953</v>
          </cell>
        </row>
        <row r="5306">
          <cell r="A5306">
            <v>528527</v>
          </cell>
          <cell r="B5306" t="str">
            <v>Lejehus</v>
          </cell>
          <cell r="C5306" t="str">
            <v>House for bearing</v>
          </cell>
          <cell r="D5306">
            <v>2385</v>
          </cell>
          <cell r="E5306">
            <v>320.56451612903226</v>
          </cell>
        </row>
        <row r="5307">
          <cell r="A5307">
            <v>528530</v>
          </cell>
          <cell r="B5307" t="str">
            <v>Malebro</v>
          </cell>
          <cell r="C5307" t="str">
            <v>Grinding bridge</v>
          </cell>
          <cell r="D5307">
            <v>1277</v>
          </cell>
          <cell r="E5307">
            <v>171.63978494623655</v>
          </cell>
        </row>
        <row r="5308">
          <cell r="A5308">
            <v>528614</v>
          </cell>
          <cell r="B5308" t="str">
            <v>Soldramme 450B</v>
          </cell>
          <cell r="C5308" t="str">
            <v>Frame for screen</v>
          </cell>
          <cell r="D5308">
            <v>2809</v>
          </cell>
          <cell r="E5308">
            <v>377.55376344086022</v>
          </cell>
        </row>
        <row r="5309">
          <cell r="A5309">
            <v>528620</v>
          </cell>
          <cell r="B5309" t="str">
            <v>Dæksel lukket</v>
          </cell>
          <cell r="C5309" t="str">
            <v>Cover ASNH 518-615</v>
          </cell>
          <cell r="D5309">
            <v>48</v>
          </cell>
          <cell r="E5309">
            <v>6.4516129032258061</v>
          </cell>
        </row>
        <row r="5310">
          <cell r="A5310">
            <v>528746</v>
          </cell>
          <cell r="B5310" t="str">
            <v>VB Styretap bund</v>
          </cell>
          <cell r="C5310" t="str">
            <v>VB guide pin   bottum</v>
          </cell>
          <cell r="D5310">
            <v>1370</v>
          </cell>
          <cell r="E5310">
            <v>184.13978494623655</v>
          </cell>
        </row>
        <row r="5311">
          <cell r="A5311">
            <v>528747</v>
          </cell>
          <cell r="B5311" t="str">
            <v>Glideleje</v>
          </cell>
          <cell r="C5311" t="str">
            <v>Slide bearing</v>
          </cell>
          <cell r="D5311">
            <v>1130</v>
          </cell>
          <cell r="E5311">
            <v>151.88172043010752</v>
          </cell>
        </row>
        <row r="5312">
          <cell r="A5312">
            <v>528749</v>
          </cell>
          <cell r="B5312" t="str">
            <v>VB Bundplade</v>
          </cell>
          <cell r="C5312" t="str">
            <v>VB Bottum plate</v>
          </cell>
          <cell r="D5312">
            <v>1450</v>
          </cell>
          <cell r="E5312">
            <v>194.89247311827955</v>
          </cell>
        </row>
        <row r="5313">
          <cell r="A5313">
            <v>528889</v>
          </cell>
          <cell r="B5313" t="str">
            <v>Snegl, venstre stigning 190</v>
          </cell>
          <cell r="C5313" t="str">
            <v>Screw, left-hand pitch 190</v>
          </cell>
          <cell r="D5313">
            <v>5860</v>
          </cell>
          <cell r="E5313">
            <v>787.63440860215053</v>
          </cell>
        </row>
        <row r="5314">
          <cell r="A5314">
            <v>528890</v>
          </cell>
          <cell r="B5314" t="str">
            <v>Snegl, højre stigning 190</v>
          </cell>
          <cell r="C5314" t="str">
            <v>Screw, right-hand pitch 190</v>
          </cell>
          <cell r="D5314">
            <v>5860</v>
          </cell>
          <cell r="E5314">
            <v>787.63440860215053</v>
          </cell>
        </row>
        <row r="5315">
          <cell r="A5315">
            <v>529095</v>
          </cell>
          <cell r="B5315" t="str">
            <v>Kædehjul</v>
          </cell>
          <cell r="C5315" t="str">
            <v>Chain wheel</v>
          </cell>
          <cell r="D5315">
            <v>3570</v>
          </cell>
          <cell r="E5315">
            <v>479.83870967741933</v>
          </cell>
        </row>
        <row r="5316">
          <cell r="A5316">
            <v>529097</v>
          </cell>
          <cell r="B5316" t="str">
            <v>Medløbshjul Ø306 M80  m/svejsning</v>
          </cell>
          <cell r="C5316" t="str">
            <v>Idler wheel Ø306 M80 with welding</v>
          </cell>
          <cell r="D5316">
            <v>1620</v>
          </cell>
          <cell r="E5316">
            <v>217.74193548387095</v>
          </cell>
        </row>
        <row r="5317">
          <cell r="A5317">
            <v>529098</v>
          </cell>
          <cell r="B5317" t="str">
            <v>Medløbshjul Ø420 M112 m/svejsning</v>
          </cell>
          <cell r="C5317" t="str">
            <v>Idler wheel Ø420 M112 with welding</v>
          </cell>
          <cell r="D5317">
            <v>1890</v>
          </cell>
          <cell r="E5317">
            <v>254.03225806451613</v>
          </cell>
        </row>
        <row r="5318">
          <cell r="A5318">
            <v>529099</v>
          </cell>
          <cell r="B5318" t="str">
            <v>Kædehjul</v>
          </cell>
          <cell r="C5318" t="str">
            <v>Chain wheel</v>
          </cell>
          <cell r="D5318">
            <v>4750</v>
          </cell>
          <cell r="E5318">
            <v>638.4408602150537</v>
          </cell>
        </row>
        <row r="5319">
          <cell r="A5319">
            <v>529103</v>
          </cell>
          <cell r="B5319" t="str">
            <v>6kt skrue M10 x 12 A2 DIN 933</v>
          </cell>
          <cell r="C5319" t="str">
            <v>Hexagon screw M10 x 12 A2 DIN 933</v>
          </cell>
          <cell r="D5319">
            <v>9.8000000000000007</v>
          </cell>
          <cell r="E5319">
            <v>1.3172043010752688</v>
          </cell>
        </row>
        <row r="5320">
          <cell r="A5320">
            <v>529106</v>
          </cell>
          <cell r="B5320" t="str">
            <v>Lav vinkel ¼”-ø8</v>
          </cell>
          <cell r="C5320" t="str">
            <v>Low elbow ¼”-ø8</v>
          </cell>
          <cell r="D5320">
            <v>48</v>
          </cell>
          <cell r="E5320">
            <v>6.4516129032258061</v>
          </cell>
        </row>
        <row r="5321">
          <cell r="A5321">
            <v>529203</v>
          </cell>
          <cell r="B5321" t="str">
            <v>Bøjlegreb GN565</v>
          </cell>
          <cell r="C5321" t="str">
            <v>Handle GN565</v>
          </cell>
          <cell r="D5321">
            <v>91</v>
          </cell>
          <cell r="E5321">
            <v>12.231182795698924</v>
          </cell>
        </row>
        <row r="5322">
          <cell r="A5322">
            <v>529232</v>
          </cell>
          <cell r="B5322" t="str">
            <v>Svingbolt</v>
          </cell>
          <cell r="C5322" t="str">
            <v>Swing bolt</v>
          </cell>
          <cell r="D5322">
            <v>127</v>
          </cell>
          <cell r="E5322">
            <v>17.06989247311828</v>
          </cell>
        </row>
        <row r="5323">
          <cell r="A5323">
            <v>529251</v>
          </cell>
          <cell r="B5323" t="str">
            <v>Lejeplade</v>
          </cell>
          <cell r="C5323" t="str">
            <v>Bearing plate</v>
          </cell>
          <cell r="D5323">
            <v>99</v>
          </cell>
          <cell r="E5323">
            <v>13.306451612903226</v>
          </cell>
        </row>
        <row r="5324">
          <cell r="A5324">
            <v>529252</v>
          </cell>
          <cell r="B5324" t="str">
            <v>Palette:   Venstre   2000</v>
          </cell>
          <cell r="C5324" t="str">
            <v>Paddle:    left</v>
          </cell>
          <cell r="D5324">
            <v>1431</v>
          </cell>
          <cell r="E5324">
            <v>192.33870967741933</v>
          </cell>
        </row>
        <row r="5325">
          <cell r="A5325">
            <v>529258</v>
          </cell>
          <cell r="B5325" t="str">
            <v>Skraber Venstre  2000</v>
          </cell>
          <cell r="C5325" t="str">
            <v>Scraber left</v>
          </cell>
          <cell r="D5325">
            <v>1431</v>
          </cell>
          <cell r="E5325">
            <v>192.33870967741933</v>
          </cell>
        </row>
        <row r="5326">
          <cell r="A5326">
            <v>529265</v>
          </cell>
          <cell r="B5326" t="str">
            <v>Palette Venstre  8000</v>
          </cell>
          <cell r="C5326" t="str">
            <v>Paddle left</v>
          </cell>
          <cell r="D5326">
            <v>1961</v>
          </cell>
          <cell r="E5326">
            <v>263.57526881720429</v>
          </cell>
        </row>
        <row r="5327">
          <cell r="A5327">
            <v>529268</v>
          </cell>
          <cell r="B5327" t="str">
            <v>Skraber Venstre 8000</v>
          </cell>
          <cell r="C5327" t="str">
            <v>Scraber left</v>
          </cell>
          <cell r="D5327">
            <v>1590</v>
          </cell>
          <cell r="E5327">
            <v>213.70967741935482</v>
          </cell>
        </row>
        <row r="5328">
          <cell r="A5328">
            <v>529297</v>
          </cell>
          <cell r="B5328" t="str">
            <v>Justeringsbolt</v>
          </cell>
          <cell r="C5328" t="str">
            <v>Adjusting bolt</v>
          </cell>
          <cell r="D5328">
            <v>2099</v>
          </cell>
          <cell r="E5328">
            <v>282.1236559139785</v>
          </cell>
        </row>
        <row r="5329">
          <cell r="A5329">
            <v>529378</v>
          </cell>
          <cell r="B5329" t="str">
            <v>Palette Venstre  4000</v>
          </cell>
          <cell r="C5329" t="str">
            <v>Paddle left</v>
          </cell>
          <cell r="D5329">
            <v>1537</v>
          </cell>
          <cell r="E5329">
            <v>206.58602150537632</v>
          </cell>
        </row>
        <row r="5330">
          <cell r="A5330">
            <v>529381</v>
          </cell>
          <cell r="B5330" t="str">
            <v>Skraber  Venstre  4000</v>
          </cell>
          <cell r="C5330" t="str">
            <v>Scraber  left</v>
          </cell>
          <cell r="D5330">
            <v>1431</v>
          </cell>
          <cell r="E5330">
            <v>192.33870967741933</v>
          </cell>
        </row>
        <row r="5331">
          <cell r="A5331">
            <v>529386</v>
          </cell>
          <cell r="B5331" t="str">
            <v>Aksel – komplet - højre udf.  HPB 4000</v>
          </cell>
          <cell r="C5331" t="str">
            <v>Shaft  – complete – right .</v>
          </cell>
          <cell r="D5331">
            <v>61162</v>
          </cell>
          <cell r="E5331">
            <v>8220.6989247311831</v>
          </cell>
        </row>
        <row r="5332">
          <cell r="A5332">
            <v>529387</v>
          </cell>
          <cell r="B5332" t="str">
            <v>Aksel – komplet - venstre udf.  HPB 4000</v>
          </cell>
          <cell r="C5332" t="str">
            <v xml:space="preserve">Shaft  – complete – left . </v>
          </cell>
          <cell r="D5332">
            <v>61162</v>
          </cell>
          <cell r="E5332">
            <v>8220.6989247311831</v>
          </cell>
        </row>
        <row r="5333">
          <cell r="A5333">
            <v>529388</v>
          </cell>
          <cell r="B5333" t="str">
            <v>Skraber Venstre  6000</v>
          </cell>
          <cell r="C5333" t="str">
            <v>Scraber left</v>
          </cell>
          <cell r="D5333">
            <v>1749</v>
          </cell>
          <cell r="E5333">
            <v>235.08064516129031</v>
          </cell>
        </row>
        <row r="5334">
          <cell r="A5334">
            <v>529396</v>
          </cell>
          <cell r="B5334" t="str">
            <v>Palette Venstre   6000</v>
          </cell>
          <cell r="C5334" t="str">
            <v>Paddle left</v>
          </cell>
          <cell r="D5334">
            <v>1855</v>
          </cell>
          <cell r="E5334">
            <v>249.3279569892473</v>
          </cell>
        </row>
        <row r="5335">
          <cell r="A5335">
            <v>529407</v>
          </cell>
          <cell r="B5335" t="str">
            <v>Stenfælde  801</v>
          </cell>
          <cell r="C5335" t="str">
            <v>Stone trap</v>
          </cell>
          <cell r="D5335">
            <v>5592</v>
          </cell>
          <cell r="E5335">
            <v>751.61290322580646</v>
          </cell>
        </row>
        <row r="5336">
          <cell r="A5336">
            <v>529408</v>
          </cell>
          <cell r="B5336" t="str">
            <v>Aksel 801</v>
          </cell>
          <cell r="C5336" t="str">
            <v>Shaft</v>
          </cell>
          <cell r="D5336">
            <v>1087</v>
          </cell>
          <cell r="E5336">
            <v>146.1021505376344</v>
          </cell>
        </row>
        <row r="5337">
          <cell r="A5337">
            <v>529409</v>
          </cell>
          <cell r="B5337" t="str">
            <v>Ledeplade  801</v>
          </cell>
          <cell r="C5337" t="str">
            <v>Guide plate</v>
          </cell>
          <cell r="D5337">
            <v>1855</v>
          </cell>
          <cell r="E5337">
            <v>249.3279569892473</v>
          </cell>
        </row>
        <row r="5338">
          <cell r="A5338">
            <v>529415</v>
          </cell>
          <cell r="B5338" t="str">
            <v>Låge   801</v>
          </cell>
          <cell r="C5338" t="str">
            <v>Door</v>
          </cell>
          <cell r="D5338">
            <v>4505</v>
          </cell>
          <cell r="E5338">
            <v>605.51075268817203</v>
          </cell>
        </row>
        <row r="5339">
          <cell r="A5339">
            <v>529419</v>
          </cell>
          <cell r="B5339" t="str">
            <v>Soldramme for finformaling  801</v>
          </cell>
          <cell r="C5339" t="str">
            <v>Screen frame for fine grinding</v>
          </cell>
          <cell r="D5339">
            <v>5639</v>
          </cell>
          <cell r="E5339">
            <v>757.93010752688167</v>
          </cell>
        </row>
        <row r="5340">
          <cell r="A5340">
            <v>529421</v>
          </cell>
          <cell r="B5340" t="str">
            <v>Soldramme 801</v>
          </cell>
          <cell r="C5340" t="str">
            <v>Screen frame</v>
          </cell>
          <cell r="D5340">
            <v>4812</v>
          </cell>
          <cell r="E5340">
            <v>646.77419354838707</v>
          </cell>
        </row>
        <row r="5341">
          <cell r="A5341">
            <v>529425</v>
          </cell>
          <cell r="B5341" t="str">
            <v>Udløbsramme  801</v>
          </cell>
          <cell r="C5341" t="str">
            <v>Outlet frame</v>
          </cell>
          <cell r="D5341">
            <v>1219</v>
          </cell>
          <cell r="E5341">
            <v>163.84408602150538</v>
          </cell>
        </row>
        <row r="5342">
          <cell r="A5342">
            <v>529429</v>
          </cell>
          <cell r="B5342" t="str">
            <v>Topplade  801</v>
          </cell>
          <cell r="C5342" t="str">
            <v>Top plate</v>
          </cell>
          <cell r="D5342">
            <v>4240</v>
          </cell>
          <cell r="E5342">
            <v>569.89247311827955</v>
          </cell>
        </row>
        <row r="5343">
          <cell r="A5343">
            <v>529440</v>
          </cell>
          <cell r="B5343" t="str">
            <v>Skuffe</v>
          </cell>
          <cell r="C5343" t="str">
            <v>Stone trap</v>
          </cell>
          <cell r="D5343">
            <v>1105</v>
          </cell>
          <cell r="E5343">
            <v>148.52150537634407</v>
          </cell>
        </row>
        <row r="5344">
          <cell r="A5344">
            <v>529445</v>
          </cell>
          <cell r="B5344" t="str">
            <v>Magnetkasse  801</v>
          </cell>
          <cell r="C5344" t="str">
            <v>Magnet box</v>
          </cell>
          <cell r="D5344">
            <v>2110</v>
          </cell>
          <cell r="E5344">
            <v>283.60215053763437</v>
          </cell>
        </row>
        <row r="5345">
          <cell r="A5345">
            <v>529446</v>
          </cell>
          <cell r="B5345" t="str">
            <v>Justeringsplade</v>
          </cell>
          <cell r="C5345" t="str">
            <v>Adjustment plate</v>
          </cell>
          <cell r="D5345">
            <v>475</v>
          </cell>
          <cell r="E5345">
            <v>63.844086021505376</v>
          </cell>
        </row>
        <row r="5346">
          <cell r="A5346">
            <v>529447</v>
          </cell>
          <cell r="B5346" t="str">
            <v>Luftspjæld</v>
          </cell>
          <cell r="C5346" t="str">
            <v>Air slide</v>
          </cell>
          <cell r="D5346">
            <v>505</v>
          </cell>
          <cell r="E5346">
            <v>67.876344086021504</v>
          </cell>
        </row>
        <row r="5347">
          <cell r="A5347">
            <v>529450</v>
          </cell>
          <cell r="B5347" t="str">
            <v>Aksel for låge  801</v>
          </cell>
          <cell r="C5347" t="str">
            <v>Mounting rail</v>
          </cell>
          <cell r="D5347">
            <v>504</v>
          </cell>
          <cell r="E5347">
            <v>67.741935483870961</v>
          </cell>
        </row>
        <row r="5348">
          <cell r="A5348">
            <v>529454</v>
          </cell>
          <cell r="B5348" t="str">
            <v xml:space="preserve">Drejebeslag parker MP2 Ø63 M                 </v>
          </cell>
          <cell r="C5348" t="str">
            <v>Swing hinging for air cylinder</v>
          </cell>
          <cell r="D5348">
            <v>175</v>
          </cell>
          <cell r="E5348">
            <v>23.521505376344084</v>
          </cell>
        </row>
        <row r="5349">
          <cell r="A5349">
            <v>529470</v>
          </cell>
          <cell r="B5349" t="str">
            <v>Holder til svingningsdæmper</v>
          </cell>
          <cell r="C5349" t="str">
            <v>Vibration damper fitting</v>
          </cell>
          <cell r="D5349">
            <v>371</v>
          </cell>
          <cell r="E5349">
            <v>49.865591397849457</v>
          </cell>
        </row>
        <row r="5350">
          <cell r="A5350">
            <v>529499</v>
          </cell>
          <cell r="B5350" t="str">
            <v>Centerkonsol</v>
          </cell>
          <cell r="C5350" t="str">
            <v>Centre bracket</v>
          </cell>
          <cell r="D5350">
            <v>2067</v>
          </cell>
          <cell r="E5350">
            <v>277.82258064516128</v>
          </cell>
        </row>
        <row r="5351">
          <cell r="A5351">
            <v>529503</v>
          </cell>
          <cell r="B5351" t="str">
            <v>Buffer</v>
          </cell>
          <cell r="C5351" t="str">
            <v>Buffer</v>
          </cell>
          <cell r="D5351">
            <v>864</v>
          </cell>
          <cell r="E5351">
            <v>116.12903225806451</v>
          </cell>
        </row>
        <row r="5352">
          <cell r="A5352">
            <v>529517</v>
          </cell>
          <cell r="B5352" t="str">
            <v>Holder til svingningsdæmper</v>
          </cell>
          <cell r="C5352" t="str">
            <v>Vibration damper fitting</v>
          </cell>
          <cell r="D5352">
            <v>186</v>
          </cell>
          <cell r="E5352">
            <v>25</v>
          </cell>
        </row>
        <row r="5353">
          <cell r="A5353">
            <v>529522</v>
          </cell>
          <cell r="B5353" t="str">
            <v>Motorkonsol  HPB 10000</v>
          </cell>
          <cell r="C5353" t="str">
            <v>Motor bracket</v>
          </cell>
          <cell r="D5353">
            <v>10500</v>
          </cell>
          <cell r="E5353">
            <v>1411.2903225806451</v>
          </cell>
        </row>
        <row r="5354">
          <cell r="A5354">
            <v>529534</v>
          </cell>
          <cell r="B5354" t="str">
            <v>Lænkeled</v>
          </cell>
          <cell r="C5354" t="str">
            <v xml:space="preserve">Link </v>
          </cell>
          <cell r="D5354">
            <v>843</v>
          </cell>
          <cell r="E5354">
            <v>113.30645161290322</v>
          </cell>
        </row>
        <row r="5355">
          <cell r="A5355">
            <v>529539</v>
          </cell>
          <cell r="B5355" t="str">
            <v>Aksel – komplet - højre udf.  HPB 2000</v>
          </cell>
          <cell r="C5355" t="str">
            <v>Shaft  – complete – right .</v>
          </cell>
          <cell r="D5355">
            <v>51940</v>
          </cell>
          <cell r="E5355">
            <v>6981.1827956989246</v>
          </cell>
        </row>
        <row r="5356">
          <cell r="A5356">
            <v>529540</v>
          </cell>
          <cell r="B5356" t="str">
            <v>Aksel – komplet - venstre udf.  HPB 2000</v>
          </cell>
          <cell r="C5356" t="str">
            <v xml:space="preserve">Shaft  – complete – left . </v>
          </cell>
          <cell r="D5356">
            <v>51940</v>
          </cell>
          <cell r="E5356">
            <v>6981.1827956989246</v>
          </cell>
        </row>
        <row r="5357">
          <cell r="A5357">
            <v>529636</v>
          </cell>
          <cell r="B5357" t="str">
            <v>Lejestyr   4000</v>
          </cell>
          <cell r="C5357" t="str">
            <v>Bearing guide</v>
          </cell>
          <cell r="D5357">
            <v>2491</v>
          </cell>
          <cell r="E5357">
            <v>334.81182795698925</v>
          </cell>
        </row>
        <row r="5358">
          <cell r="A5358">
            <v>529650</v>
          </cell>
          <cell r="B5358" t="str">
            <v>Lejestyr</v>
          </cell>
          <cell r="C5358" t="str">
            <v>Bearing guide</v>
          </cell>
          <cell r="D5358">
            <v>4717</v>
          </cell>
          <cell r="E5358">
            <v>634.00537634408602</v>
          </cell>
        </row>
        <row r="5359">
          <cell r="A5359">
            <v>529676</v>
          </cell>
          <cell r="B5359" t="str">
            <v>Lejestyr  2000</v>
          </cell>
          <cell r="C5359" t="str">
            <v>Bearing guide</v>
          </cell>
          <cell r="D5359">
            <v>2650</v>
          </cell>
          <cell r="E5359">
            <v>356.18279569892474</v>
          </cell>
        </row>
        <row r="5360">
          <cell r="A5360">
            <v>529677</v>
          </cell>
          <cell r="B5360" t="str">
            <v>Lejestyr</v>
          </cell>
          <cell r="C5360" t="str">
            <v>Bearing guide</v>
          </cell>
          <cell r="D5360">
            <v>5565</v>
          </cell>
          <cell r="E5360">
            <v>747.98387096774195</v>
          </cell>
        </row>
        <row r="5361">
          <cell r="A5361">
            <v>529702</v>
          </cell>
          <cell r="B5361" t="str">
            <v>Bundplade med styretap</v>
          </cell>
          <cell r="C5361" t="str">
            <v>Bottom plate with guide pin</v>
          </cell>
          <cell r="D5361">
            <v>2420</v>
          </cell>
          <cell r="E5361">
            <v>325.26881720430106</v>
          </cell>
        </row>
        <row r="5362">
          <cell r="A5362">
            <v>529751</v>
          </cell>
          <cell r="B5362" t="str">
            <v>Klemring</v>
          </cell>
          <cell r="C5362" t="str">
            <v xml:space="preserve">Clamping ring </v>
          </cell>
          <cell r="D5362">
            <v>0.5</v>
          </cell>
          <cell r="E5362">
            <v>6.7204301075268813E-2</v>
          </cell>
        </row>
        <row r="5363">
          <cell r="A5363">
            <v>529887</v>
          </cell>
          <cell r="B5363" t="str">
            <v>Magnet</v>
          </cell>
          <cell r="C5363" t="str">
            <v>Magnet</v>
          </cell>
          <cell r="D5363">
            <v>2050</v>
          </cell>
          <cell r="E5363">
            <v>275.53763440860212</v>
          </cell>
        </row>
        <row r="5364">
          <cell r="A5364">
            <v>529888</v>
          </cell>
          <cell r="B5364" t="str">
            <v>Magnet</v>
          </cell>
          <cell r="C5364" t="str">
            <v>Magnet</v>
          </cell>
          <cell r="D5364">
            <v>3350</v>
          </cell>
          <cell r="E5364">
            <v>450.26881720430106</v>
          </cell>
        </row>
        <row r="5365">
          <cell r="A5365">
            <v>529889</v>
          </cell>
          <cell r="B5365" t="str">
            <v>Magnet</v>
          </cell>
          <cell r="C5365" t="str">
            <v>Magnet</v>
          </cell>
          <cell r="D5365">
            <v>4235</v>
          </cell>
          <cell r="E5365">
            <v>569.22043010752691</v>
          </cell>
        </row>
        <row r="5366">
          <cell r="A5366">
            <v>529891</v>
          </cell>
          <cell r="B5366" t="str">
            <v>Gasdæmper</v>
          </cell>
          <cell r="C5366" t="str">
            <v>Gasdamper</v>
          </cell>
          <cell r="D5366">
            <v>329</v>
          </cell>
          <cell r="E5366">
            <v>44.22043010752688</v>
          </cell>
        </row>
        <row r="5367">
          <cell r="A5367">
            <v>529893</v>
          </cell>
          <cell r="B5367" t="str">
            <v>Gasdæmper</v>
          </cell>
          <cell r="C5367" t="str">
            <v xml:space="preserve">Gasdamper </v>
          </cell>
          <cell r="D5367">
            <v>207</v>
          </cell>
          <cell r="E5367">
            <v>27.822580645161288</v>
          </cell>
        </row>
        <row r="5368">
          <cell r="A5368">
            <v>529991</v>
          </cell>
          <cell r="B5368" t="str">
            <v>Fjederskive ø12 DIN137B FZB</v>
          </cell>
          <cell r="C5368" t="str">
            <v>Spring washer ø12 DIN137B FZB</v>
          </cell>
          <cell r="D5368">
            <v>0.5</v>
          </cell>
          <cell r="E5368">
            <v>6.7204301075268813E-2</v>
          </cell>
        </row>
        <row r="5369">
          <cell r="A5369">
            <v>530137</v>
          </cell>
          <cell r="B5369" t="str">
            <v>Temperatursensor BT90 for lejeovervågning</v>
          </cell>
          <cell r="C5369" t="str">
            <v>Temperature sensor BT90 for monitoring of bearings</v>
          </cell>
          <cell r="D5369">
            <v>1045</v>
          </cell>
          <cell r="E5369">
            <v>140.45698924731181</v>
          </cell>
        </row>
        <row r="5370">
          <cell r="A5370">
            <v>530138</v>
          </cell>
          <cell r="B5370" t="str">
            <v>PT 100 føler(kun føler)</v>
          </cell>
          <cell r="C5370" t="str">
            <v>PT100 sensor (sensor only)</v>
          </cell>
          <cell r="D5370">
            <v>451</v>
          </cell>
          <cell r="E5370">
            <v>60.618279569892472</v>
          </cell>
        </row>
        <row r="5371">
          <cell r="A5371">
            <v>530139</v>
          </cell>
          <cell r="B5371" t="str">
            <v>Temperatursensor B1000 for lejeovervågning</v>
          </cell>
          <cell r="C5371" t="str">
            <v>Temperature sensor BT100 for monitoring of bearings</v>
          </cell>
          <cell r="D5371">
            <v>1251</v>
          </cell>
          <cell r="E5371">
            <v>168.14516129032256</v>
          </cell>
        </row>
        <row r="5372">
          <cell r="A5372">
            <v>530190</v>
          </cell>
          <cell r="B5372" t="str">
            <v>Soldskinne  801  Sæt ( 2 stk)</v>
          </cell>
          <cell r="C5372" t="str">
            <v>Rail for screen</v>
          </cell>
          <cell r="D5372">
            <v>413</v>
          </cell>
          <cell r="E5372">
            <v>55.51075268817204</v>
          </cell>
        </row>
        <row r="5373">
          <cell r="A5373">
            <v>530305</v>
          </cell>
          <cell r="B5373" t="str">
            <v>Fæste</v>
          </cell>
          <cell r="C5373" t="str">
            <v>Fæste</v>
          </cell>
          <cell r="D5373">
            <v>207</v>
          </cell>
          <cell r="E5373">
            <v>27.822580645161288</v>
          </cell>
        </row>
        <row r="5374">
          <cell r="A5374">
            <v>530306</v>
          </cell>
          <cell r="B5374" t="str">
            <v>Møtrik</v>
          </cell>
          <cell r="C5374" t="str">
            <v>Møtrik</v>
          </cell>
          <cell r="D5374">
            <v>10.6</v>
          </cell>
          <cell r="E5374">
            <v>1.4247311827956988</v>
          </cell>
        </row>
        <row r="5375">
          <cell r="A5375">
            <v>530312</v>
          </cell>
          <cell r="B5375" t="str">
            <v>Lejedæksel</v>
          </cell>
          <cell r="C5375" t="str">
            <v>Bearing cover</v>
          </cell>
          <cell r="D5375">
            <v>376</v>
          </cell>
          <cell r="E5375">
            <v>50.537634408602145</v>
          </cell>
        </row>
        <row r="5376">
          <cell r="A5376">
            <v>530313</v>
          </cell>
          <cell r="B5376" t="str">
            <v>Cylinder</v>
          </cell>
          <cell r="C5376" t="str">
            <v>Cylinder</v>
          </cell>
          <cell r="D5376">
            <v>1458</v>
          </cell>
          <cell r="E5376">
            <v>195.96774193548387</v>
          </cell>
        </row>
        <row r="5377">
          <cell r="A5377">
            <v>530508</v>
          </cell>
          <cell r="B5377" t="str">
            <v>Endestykke A1, gasdæmper</v>
          </cell>
          <cell r="C5377" t="str">
            <v>End piece A1, gas damper</v>
          </cell>
          <cell r="D5377">
            <v>27</v>
          </cell>
          <cell r="E5377">
            <v>3.629032258064516</v>
          </cell>
        </row>
        <row r="5378">
          <cell r="A5378">
            <v>530512</v>
          </cell>
          <cell r="B5378" t="str">
            <v>Lejehus</v>
          </cell>
          <cell r="C5378" t="str">
            <v>Bearing housing</v>
          </cell>
          <cell r="D5378">
            <v>4505</v>
          </cell>
          <cell r="E5378">
            <v>605.51075268817203</v>
          </cell>
        </row>
        <row r="5379">
          <cell r="A5379">
            <v>530513</v>
          </cell>
          <cell r="B5379" t="str">
            <v>Lejedæksel</v>
          </cell>
          <cell r="C5379" t="str">
            <v>Bearing cover</v>
          </cell>
          <cell r="D5379">
            <v>1299</v>
          </cell>
          <cell r="E5379">
            <v>174.59677419354838</v>
          </cell>
        </row>
        <row r="5380">
          <cell r="A5380">
            <v>530514</v>
          </cell>
          <cell r="B5380" t="str">
            <v>Lejedæksel (åben)</v>
          </cell>
          <cell r="C5380" t="str">
            <v>Bearing cover (open)</v>
          </cell>
          <cell r="D5380">
            <v>1299</v>
          </cell>
          <cell r="E5380">
            <v>174.59677419354838</v>
          </cell>
        </row>
        <row r="5381">
          <cell r="A5381">
            <v>530516</v>
          </cell>
          <cell r="B5381" t="str">
            <v>Leje</v>
          </cell>
          <cell r="C5381" t="str">
            <v>Bearing</v>
          </cell>
          <cell r="D5381">
            <v>1537</v>
          </cell>
          <cell r="E5381">
            <v>206.58602150537632</v>
          </cell>
        </row>
        <row r="5382">
          <cell r="A5382">
            <v>530517</v>
          </cell>
          <cell r="B5382" t="str">
            <v>Klembøsning</v>
          </cell>
          <cell r="C5382" t="str">
            <v>Split bushing</v>
          </cell>
          <cell r="D5382">
            <v>716</v>
          </cell>
          <cell r="E5382">
            <v>96.236559139784944</v>
          </cell>
        </row>
        <row r="5383">
          <cell r="A5383">
            <v>530518</v>
          </cell>
          <cell r="B5383" t="str">
            <v>Styrering</v>
          </cell>
          <cell r="C5383" t="str">
            <v>Guide ring</v>
          </cell>
          <cell r="D5383">
            <v>48</v>
          </cell>
          <cell r="E5383">
            <v>6.4516129032258061</v>
          </cell>
        </row>
        <row r="5384">
          <cell r="A5384">
            <v>530519</v>
          </cell>
          <cell r="B5384" t="str">
            <v>Tætningsring</v>
          </cell>
          <cell r="C5384" t="str">
            <v>Sealing ring</v>
          </cell>
          <cell r="D5384">
            <v>37</v>
          </cell>
          <cell r="E5384">
            <v>4.9731182795698921</v>
          </cell>
        </row>
        <row r="5385">
          <cell r="A5385">
            <v>530644</v>
          </cell>
          <cell r="B5385" t="str">
            <v>Møtrik M24 A2 DIN934</v>
          </cell>
          <cell r="C5385" t="str">
            <v>Nut M24 A2 DIN934</v>
          </cell>
          <cell r="D5385">
            <v>14.3</v>
          </cell>
          <cell r="E5385">
            <v>1.9220430107526882</v>
          </cell>
        </row>
        <row r="5386">
          <cell r="A5386">
            <v>530772</v>
          </cell>
          <cell r="B5386" t="str">
            <v>Vinkelforskruning 1/8"</v>
          </cell>
          <cell r="C5386" t="str">
            <v>Angular screwed connection 1/8"</v>
          </cell>
          <cell r="D5386">
            <v>2714</v>
          </cell>
          <cell r="E5386">
            <v>364.78494623655911</v>
          </cell>
        </row>
        <row r="5387">
          <cell r="A5387">
            <v>530774</v>
          </cell>
          <cell r="B5387" t="str">
            <v>Lige forskruning 1/8"</v>
          </cell>
          <cell r="C5387" t="str">
            <v>Straight screwed connection 1/8"</v>
          </cell>
          <cell r="D5387">
            <v>2325</v>
          </cell>
          <cell r="E5387">
            <v>312.5</v>
          </cell>
        </row>
        <row r="5388">
          <cell r="A5388">
            <v>530880</v>
          </cell>
          <cell r="B5388" t="str">
            <v>Palette:    Højre   10000</v>
          </cell>
          <cell r="C5388" t="str">
            <v xml:space="preserve">Paddle:    right </v>
          </cell>
          <cell r="D5388">
            <v>2385</v>
          </cell>
          <cell r="E5388">
            <v>320.56451612903226</v>
          </cell>
        </row>
        <row r="5389">
          <cell r="A5389">
            <v>530883</v>
          </cell>
          <cell r="B5389" t="str">
            <v>Scraber Venstre  HPB 10000</v>
          </cell>
          <cell r="C5389" t="str">
            <v>Scraber left</v>
          </cell>
          <cell r="D5389">
            <v>2597</v>
          </cell>
          <cell r="E5389">
            <v>349.05913978494624</v>
          </cell>
        </row>
        <row r="5390">
          <cell r="A5390">
            <v>530884</v>
          </cell>
          <cell r="B5390" t="str">
            <v>Aksel – komplet - højre udf.  HPB 10000</v>
          </cell>
          <cell r="C5390" t="str">
            <v>Shaft  – complete – right .</v>
          </cell>
          <cell r="D5390">
            <v>85860</v>
          </cell>
          <cell r="E5390">
            <v>11540.322580645161</v>
          </cell>
        </row>
        <row r="5391">
          <cell r="A5391">
            <v>530885</v>
          </cell>
          <cell r="B5391" t="str">
            <v>Aksel – komplet - venstre udf.  HPB 10000</v>
          </cell>
          <cell r="C5391" t="str">
            <v xml:space="preserve">Shaft  – complete – left . </v>
          </cell>
          <cell r="D5391">
            <v>85860</v>
          </cell>
          <cell r="E5391">
            <v>11540.322580645161</v>
          </cell>
        </row>
        <row r="5392">
          <cell r="A5392">
            <v>530940</v>
          </cell>
          <cell r="B5392" t="str">
            <v>Øjebolt</v>
          </cell>
          <cell r="C5392" t="str">
            <v xml:space="preserve">Eyebolt </v>
          </cell>
          <cell r="D5392">
            <v>286</v>
          </cell>
          <cell r="E5392">
            <v>38.44086021505376</v>
          </cell>
        </row>
        <row r="5393">
          <cell r="A5393">
            <v>530954</v>
          </cell>
          <cell r="B5393" t="str">
            <v>Holder til svingningsdæmper</v>
          </cell>
          <cell r="C5393" t="str">
            <v>Vibration damper fitting</v>
          </cell>
          <cell r="D5393">
            <v>262</v>
          </cell>
          <cell r="E5393">
            <v>35.215053763440856</v>
          </cell>
        </row>
        <row r="5394">
          <cell r="A5394">
            <v>530956</v>
          </cell>
          <cell r="B5394" t="str">
            <v>Motorkonsol HPB 2000</v>
          </cell>
          <cell r="C5394" t="str">
            <v>Motor bracket</v>
          </cell>
          <cell r="D5394">
            <v>5500</v>
          </cell>
          <cell r="E5394">
            <v>739.24731182795699</v>
          </cell>
        </row>
        <row r="5395">
          <cell r="A5395">
            <v>531019</v>
          </cell>
          <cell r="B5395" t="str">
            <v>Møtrik M14 DIN 934 FZB</v>
          </cell>
          <cell r="C5395" t="str">
            <v>Nut M14 DIN 934 FZB</v>
          </cell>
          <cell r="D5395">
            <v>1.1000000000000001</v>
          </cell>
          <cell r="E5395">
            <v>0.14784946236559141</v>
          </cell>
        </row>
        <row r="5396">
          <cell r="A5396">
            <v>531046</v>
          </cell>
          <cell r="B5396" t="str">
            <v>Aksel for hængsel</v>
          </cell>
          <cell r="C5396" t="str">
            <v>Hinge Shaft</v>
          </cell>
          <cell r="D5396">
            <v>27</v>
          </cell>
          <cell r="E5396">
            <v>3.629032258064516</v>
          </cell>
        </row>
        <row r="5397">
          <cell r="A5397">
            <v>531186</v>
          </cell>
          <cell r="B5397" t="str">
            <v>Spjældaksel</v>
          </cell>
          <cell r="C5397" t="str">
            <v>Slide shaft</v>
          </cell>
          <cell r="D5397">
            <v>2597</v>
          </cell>
          <cell r="E5397">
            <v>349.05913978494624</v>
          </cell>
        </row>
        <row r="5398">
          <cell r="A5398">
            <v>531246</v>
          </cell>
          <cell r="B5398" t="str">
            <v>Vinkel 90o ½”</v>
          </cell>
          <cell r="C5398" t="str">
            <v>Elbow 90 deg. ½”</v>
          </cell>
          <cell r="D5398">
            <v>9</v>
          </cell>
          <cell r="E5398">
            <v>1.2096774193548387</v>
          </cell>
        </row>
        <row r="5399">
          <cell r="A5399">
            <v>531261</v>
          </cell>
          <cell r="B5399" t="str">
            <v>Motorkonsol  HPB 6000</v>
          </cell>
          <cell r="C5399" t="str">
            <v>Motor bracket</v>
          </cell>
          <cell r="D5399">
            <v>7500</v>
          </cell>
          <cell r="E5399">
            <v>1008.0645161290322</v>
          </cell>
        </row>
        <row r="5400">
          <cell r="A5400">
            <v>531264</v>
          </cell>
          <cell r="B5400" t="str">
            <v>Holder til svingningsdæmper</v>
          </cell>
          <cell r="C5400" t="str">
            <v>Vibration damper fitting</v>
          </cell>
          <cell r="D5400">
            <v>366</v>
          </cell>
          <cell r="E5400">
            <v>49.193548387096769</v>
          </cell>
        </row>
        <row r="5401">
          <cell r="A5401">
            <v>531362</v>
          </cell>
          <cell r="B5401" t="str">
            <v>Aksel  601</v>
          </cell>
          <cell r="C5401" t="str">
            <v>Shaft</v>
          </cell>
          <cell r="D5401">
            <v>1007</v>
          </cell>
          <cell r="E5401">
            <v>135.34946236559139</v>
          </cell>
        </row>
        <row r="5402">
          <cell r="A5402">
            <v>531366</v>
          </cell>
          <cell r="B5402" t="str">
            <v>Aksel for låge  601</v>
          </cell>
          <cell r="C5402" t="str">
            <v>Mounting rail</v>
          </cell>
          <cell r="D5402">
            <v>477</v>
          </cell>
          <cell r="E5402">
            <v>64.112903225806448</v>
          </cell>
        </row>
        <row r="5403">
          <cell r="A5403">
            <v>531370</v>
          </cell>
          <cell r="B5403" t="str">
            <v>Soldramme  601</v>
          </cell>
          <cell r="C5403" t="str">
            <v>Screen frame</v>
          </cell>
          <cell r="D5403">
            <v>4081</v>
          </cell>
          <cell r="E5403">
            <v>548.52150537634407</v>
          </cell>
        </row>
        <row r="5404">
          <cell r="A5404">
            <v>531371</v>
          </cell>
          <cell r="B5404" t="str">
            <v>Soldramme for finformaling  601</v>
          </cell>
          <cell r="C5404" t="str">
            <v>Screen frame for fine grinding</v>
          </cell>
          <cell r="D5404">
            <v>4770</v>
          </cell>
          <cell r="E5404">
            <v>641.12903225806451</v>
          </cell>
        </row>
        <row r="5405">
          <cell r="A5405">
            <v>531372</v>
          </cell>
          <cell r="B5405" t="str">
            <v>Låge   601</v>
          </cell>
          <cell r="C5405" t="str">
            <v>Door</v>
          </cell>
          <cell r="D5405">
            <v>3657</v>
          </cell>
          <cell r="E5405">
            <v>491.5322580645161</v>
          </cell>
        </row>
        <row r="5406">
          <cell r="A5406">
            <v>531373</v>
          </cell>
          <cell r="B5406" t="str">
            <v>Stenfælde  601</v>
          </cell>
          <cell r="C5406" t="str">
            <v>Stone trap</v>
          </cell>
          <cell r="D5406">
            <v>5035</v>
          </cell>
          <cell r="E5406">
            <v>676.74731182795699</v>
          </cell>
        </row>
        <row r="5407">
          <cell r="A5407">
            <v>531713</v>
          </cell>
          <cell r="B5407" t="str">
            <v>Aksel – komplet - venstre udf.  HPB 6000</v>
          </cell>
          <cell r="C5407" t="str">
            <v xml:space="preserve">Shaft  – complete – left . </v>
          </cell>
          <cell r="D5407">
            <v>68900</v>
          </cell>
          <cell r="E5407">
            <v>9260.7526881720423</v>
          </cell>
        </row>
        <row r="5408">
          <cell r="A5408">
            <v>531714</v>
          </cell>
          <cell r="B5408" t="str">
            <v>Aksel – komplet - højre udf.  HPB 6000</v>
          </cell>
          <cell r="C5408" t="str">
            <v>Shaft  – complete – right .</v>
          </cell>
          <cell r="D5408">
            <v>68900</v>
          </cell>
          <cell r="E5408">
            <v>9260.7526881720423</v>
          </cell>
        </row>
        <row r="5409">
          <cell r="A5409">
            <v>531739</v>
          </cell>
          <cell r="B5409" t="str">
            <v>Skuffe</v>
          </cell>
          <cell r="C5409" t="str">
            <v>Stone trap</v>
          </cell>
          <cell r="D5409">
            <v>950</v>
          </cell>
          <cell r="E5409">
            <v>127.68817204301075</v>
          </cell>
        </row>
        <row r="5410">
          <cell r="A5410">
            <v>531740</v>
          </cell>
          <cell r="B5410" t="str">
            <v>Luftspjæld</v>
          </cell>
          <cell r="C5410" t="str">
            <v>Air slide</v>
          </cell>
          <cell r="D5410">
            <v>350</v>
          </cell>
          <cell r="E5410">
            <v>47.043010752688168</v>
          </cell>
        </row>
        <row r="5411">
          <cell r="A5411">
            <v>531741</v>
          </cell>
          <cell r="B5411" t="str">
            <v>Justeringsplade</v>
          </cell>
          <cell r="C5411" t="str">
            <v>Adjustment plate</v>
          </cell>
          <cell r="D5411">
            <v>375</v>
          </cell>
          <cell r="E5411">
            <v>50.403225806451609</v>
          </cell>
        </row>
        <row r="5412">
          <cell r="A5412">
            <v>531744</v>
          </cell>
          <cell r="B5412" t="str">
            <v>Magnetkasse  601</v>
          </cell>
          <cell r="C5412" t="str">
            <v>Magnet box</v>
          </cell>
          <cell r="D5412">
            <v>1890</v>
          </cell>
          <cell r="E5412">
            <v>254.03225806451613</v>
          </cell>
        </row>
        <row r="5413">
          <cell r="A5413">
            <v>531760</v>
          </cell>
          <cell r="B5413" t="str">
            <v>Udløbsramme  601</v>
          </cell>
          <cell r="C5413" t="str">
            <v>Outlet frame</v>
          </cell>
          <cell r="D5413">
            <v>1113</v>
          </cell>
          <cell r="E5413">
            <v>149.59677419354838</v>
          </cell>
        </row>
        <row r="5414">
          <cell r="A5414">
            <v>531771</v>
          </cell>
          <cell r="B5414" t="str">
            <v>Ledeplade  601</v>
          </cell>
          <cell r="C5414" t="str">
            <v>Guide plate</v>
          </cell>
          <cell r="D5414">
            <v>1749</v>
          </cell>
          <cell r="E5414">
            <v>235.08064516129031</v>
          </cell>
        </row>
        <row r="5415">
          <cell r="A5415">
            <v>532104</v>
          </cell>
          <cell r="B5415" t="str">
            <v xml:space="preserve">Arm for spjæld </v>
          </cell>
          <cell r="C5415" t="str">
            <v xml:space="preserve">Slide arm </v>
          </cell>
          <cell r="D5415">
            <v>795</v>
          </cell>
          <cell r="E5415">
            <v>106.85483870967741</v>
          </cell>
        </row>
        <row r="5416">
          <cell r="A5416">
            <v>532119</v>
          </cell>
          <cell r="B5416" t="str">
            <v>Holder til svingningsdæmper</v>
          </cell>
          <cell r="C5416" t="str">
            <v>Vibration damper fitting</v>
          </cell>
          <cell r="D5416">
            <v>437</v>
          </cell>
          <cell r="E5416">
            <v>58.736559139784944</v>
          </cell>
        </row>
        <row r="5417">
          <cell r="A5417">
            <v>532264</v>
          </cell>
          <cell r="B5417" t="str">
            <v>Endedæksel II</v>
          </cell>
          <cell r="C5417" t="str">
            <v>End cover II</v>
          </cell>
          <cell r="D5417">
            <v>3975</v>
          </cell>
          <cell r="E5417">
            <v>534.27419354838707</v>
          </cell>
        </row>
        <row r="5418">
          <cell r="A5418">
            <v>532317</v>
          </cell>
          <cell r="B5418" t="str">
            <v>Rørstift ø5,0 x 20 A2 DIN 1481</v>
          </cell>
          <cell r="C5418" t="str">
            <v>Pipe pin Ø5.0 x 20 A2 DIN 1481</v>
          </cell>
          <cell r="D5418">
            <v>3.3</v>
          </cell>
          <cell r="E5418">
            <v>0.44354838709677413</v>
          </cell>
        </row>
        <row r="5419">
          <cell r="A5419">
            <v>532438</v>
          </cell>
          <cell r="B5419" t="str">
            <v>Motorkonsol  HPB 8000</v>
          </cell>
          <cell r="C5419" t="str">
            <v>Motor bracket</v>
          </cell>
          <cell r="D5419">
            <v>8500</v>
          </cell>
          <cell r="E5419">
            <v>1142.4731182795699</v>
          </cell>
        </row>
        <row r="5420">
          <cell r="A5420">
            <v>532444</v>
          </cell>
          <cell r="B5420" t="str">
            <v>Aksel – komplet - højre udf.  HPB 8000</v>
          </cell>
          <cell r="C5420" t="str">
            <v>Shaft  – complete – right .</v>
          </cell>
          <cell r="D5420">
            <v>77062</v>
          </cell>
          <cell r="E5420">
            <v>10357.79569892473</v>
          </cell>
        </row>
        <row r="5421">
          <cell r="A5421">
            <v>532445</v>
          </cell>
          <cell r="B5421" t="str">
            <v>Aksel – komplet - venstre udf.  HPB 8000</v>
          </cell>
          <cell r="C5421" t="str">
            <v xml:space="preserve">Shaft  – complete – left . </v>
          </cell>
          <cell r="D5421">
            <v>77062</v>
          </cell>
          <cell r="E5421">
            <v>10357.79569892473</v>
          </cell>
        </row>
        <row r="5422">
          <cell r="A5422">
            <v>532717</v>
          </cell>
          <cell r="B5422" t="str">
            <v>Ledeplade  Multi 1000</v>
          </cell>
          <cell r="C5422" t="str">
            <v>Guide plate</v>
          </cell>
          <cell r="D5422">
            <v>2491</v>
          </cell>
          <cell r="E5422">
            <v>334.81182795698925</v>
          </cell>
        </row>
        <row r="5423">
          <cell r="A5423">
            <v>532718</v>
          </cell>
          <cell r="B5423" t="str">
            <v>Ledeplade  Multi 800</v>
          </cell>
          <cell r="C5423" t="str">
            <v>Guide plate</v>
          </cell>
          <cell r="D5423">
            <v>2226</v>
          </cell>
          <cell r="E5423">
            <v>299.19354838709677</v>
          </cell>
        </row>
        <row r="5424">
          <cell r="A5424">
            <v>532719</v>
          </cell>
          <cell r="B5424" t="str">
            <v>Ledeplade  Multi 630</v>
          </cell>
          <cell r="C5424" t="str">
            <v>Guide plate</v>
          </cell>
          <cell r="D5424">
            <v>2067</v>
          </cell>
          <cell r="E5424">
            <v>277.82258064516128</v>
          </cell>
        </row>
        <row r="5425">
          <cell r="A5425">
            <v>532720</v>
          </cell>
          <cell r="B5425" t="str">
            <v>Ledeplade Multi 450</v>
          </cell>
          <cell r="C5425" t="str">
            <v>Guide plate</v>
          </cell>
          <cell r="D5425">
            <v>1908</v>
          </cell>
          <cell r="E5425">
            <v>256.45161290322579</v>
          </cell>
        </row>
        <row r="5426">
          <cell r="A5426">
            <v>532721</v>
          </cell>
          <cell r="B5426" t="str">
            <v>Ledeplade Multi 315</v>
          </cell>
          <cell r="C5426" t="str">
            <v>Guide plate</v>
          </cell>
          <cell r="D5426">
            <v>1696</v>
          </cell>
          <cell r="E5426">
            <v>227.95698924731181</v>
          </cell>
        </row>
        <row r="5427">
          <cell r="A5427">
            <v>533174</v>
          </cell>
          <cell r="B5427" t="str">
            <v>Låsebøsning</v>
          </cell>
          <cell r="C5427" t="str">
            <v>Lock bushing</v>
          </cell>
          <cell r="D5427">
            <v>190</v>
          </cell>
          <cell r="E5427">
            <v>25.537634408602148</v>
          </cell>
        </row>
        <row r="5428">
          <cell r="A5428">
            <v>533309</v>
          </cell>
          <cell r="B5428" t="str">
            <v>Stenfælde  630 B</v>
          </cell>
          <cell r="C5428" t="str">
            <v>Stone trap</v>
          </cell>
          <cell r="D5428">
            <v>3339</v>
          </cell>
          <cell r="E5428">
            <v>448.79032258064512</v>
          </cell>
        </row>
        <row r="5429">
          <cell r="A5429">
            <v>533313</v>
          </cell>
          <cell r="B5429" t="str">
            <v>Stenfælde  450 B</v>
          </cell>
          <cell r="C5429" t="str">
            <v>Stone trap</v>
          </cell>
          <cell r="D5429">
            <v>3127</v>
          </cell>
          <cell r="E5429">
            <v>420.29569892473114</v>
          </cell>
        </row>
        <row r="5430">
          <cell r="A5430">
            <v>533322</v>
          </cell>
          <cell r="B5430" t="str">
            <v xml:space="preserve">Skærm for kobling </v>
          </cell>
          <cell r="C5430" t="str">
            <v>Coupling guard</v>
          </cell>
          <cell r="D5430">
            <v>1187</v>
          </cell>
          <cell r="E5430">
            <v>159.54301075268816</v>
          </cell>
        </row>
        <row r="5431">
          <cell r="A5431">
            <v>533759</v>
          </cell>
          <cell r="B5431" t="str">
            <v>Poseholder 1800 K    Galvaniseret</v>
          </cell>
          <cell r="C5431" t="str">
            <v>Filter bag cage 1800 K   Galvanized</v>
          </cell>
          <cell r="D5431">
            <v>445</v>
          </cell>
          <cell r="E5431">
            <v>59.811827956989241</v>
          </cell>
        </row>
        <row r="5432">
          <cell r="A5432">
            <v>533885</v>
          </cell>
          <cell r="B5432" t="str">
            <v>Pinolskrue M8 x 16 A2 DIN916</v>
          </cell>
          <cell r="C5432" t="str">
            <v>Centre screw M8 x 16 A2 DIN916</v>
          </cell>
          <cell r="D5432">
            <v>1.5</v>
          </cell>
          <cell r="E5432">
            <v>0.20161290322580644</v>
          </cell>
        </row>
        <row r="5433">
          <cell r="A5433">
            <v>533901</v>
          </cell>
          <cell r="B5433" t="str">
            <v>Låsemøtrik</v>
          </cell>
          <cell r="C5433" t="str">
            <v>Lock screw M 4X010 A2  DIN 916</v>
          </cell>
          <cell r="D5433">
            <v>0.5</v>
          </cell>
          <cell r="E5433">
            <v>6.7204301075268813E-2</v>
          </cell>
        </row>
        <row r="5434">
          <cell r="A5434">
            <v>533947</v>
          </cell>
          <cell r="B5434" t="str">
            <v>Mellemstykke Multi 1000</v>
          </cell>
          <cell r="C5434" t="str">
            <v>Connection piece</v>
          </cell>
          <cell r="D5434">
            <v>4214</v>
          </cell>
          <cell r="E5434">
            <v>566.39784946236557</v>
          </cell>
        </row>
        <row r="5435">
          <cell r="A5435">
            <v>533948</v>
          </cell>
          <cell r="B5435" t="str">
            <v>Mellemstykke  Multi 800</v>
          </cell>
          <cell r="C5435" t="str">
            <v>Connection piece</v>
          </cell>
          <cell r="D5435">
            <v>3949</v>
          </cell>
          <cell r="E5435">
            <v>530.77956989247309</v>
          </cell>
        </row>
        <row r="5436">
          <cell r="A5436">
            <v>533949</v>
          </cell>
          <cell r="B5436" t="str">
            <v>Mellemstykke   Multi 630</v>
          </cell>
          <cell r="C5436" t="str">
            <v>Connection piece</v>
          </cell>
          <cell r="D5436">
            <v>3445</v>
          </cell>
          <cell r="E5436">
            <v>463.03763440860212</v>
          </cell>
        </row>
        <row r="5437">
          <cell r="A5437">
            <v>533950</v>
          </cell>
          <cell r="B5437" t="str">
            <v>Mellemstykke  Multi 450</v>
          </cell>
          <cell r="C5437" t="str">
            <v>Connection piece</v>
          </cell>
          <cell r="D5437">
            <v>3562</v>
          </cell>
          <cell r="E5437">
            <v>478.76344086021504</v>
          </cell>
        </row>
        <row r="5438">
          <cell r="A5438">
            <v>533951</v>
          </cell>
          <cell r="B5438" t="str">
            <v>Mellemstykke  Multi 315</v>
          </cell>
          <cell r="C5438" t="str">
            <v>Connection piece</v>
          </cell>
          <cell r="D5438">
            <v>3339</v>
          </cell>
          <cell r="E5438">
            <v>448.79032258064512</v>
          </cell>
        </row>
        <row r="5439">
          <cell r="A5439">
            <v>534011</v>
          </cell>
          <cell r="B5439" t="str">
            <v>Spjældaksel</v>
          </cell>
          <cell r="C5439" t="str">
            <v>Slide shaft</v>
          </cell>
          <cell r="D5439">
            <v>2359</v>
          </cell>
          <cell r="E5439">
            <v>317.06989247311827</v>
          </cell>
        </row>
        <row r="5440">
          <cell r="A5440">
            <v>534177</v>
          </cell>
          <cell r="B5440" t="str">
            <v>Holder til svingningsdæmper</v>
          </cell>
          <cell r="C5440" t="str">
            <v>Vibration damper fitting</v>
          </cell>
          <cell r="D5440">
            <v>112</v>
          </cell>
          <cell r="E5440">
            <v>15.053763440860214</v>
          </cell>
        </row>
        <row r="5441">
          <cell r="A5441">
            <v>534187</v>
          </cell>
          <cell r="B5441" t="str">
            <v>Afskærmning for leje</v>
          </cell>
          <cell r="C5441" t="str">
            <v>Bearing screen</v>
          </cell>
          <cell r="D5441">
            <v>250</v>
          </cell>
          <cell r="E5441">
            <v>33.602150537634408</v>
          </cell>
        </row>
        <row r="5442">
          <cell r="A5442">
            <v>534248</v>
          </cell>
          <cell r="B5442" t="str">
            <v>Koblingsskærm</v>
          </cell>
          <cell r="C5442" t="str">
            <v>Coupling, cover</v>
          </cell>
          <cell r="D5442">
            <v>2491</v>
          </cell>
          <cell r="E5442">
            <v>334.81182795698925</v>
          </cell>
        </row>
        <row r="5443">
          <cell r="A5443">
            <v>535683</v>
          </cell>
          <cell r="B5443" t="str">
            <v>Poseholder 2400 K    Galvaniseret</v>
          </cell>
          <cell r="C5443" t="str">
            <v>Filter bag cage 2400 K   Galvanized</v>
          </cell>
          <cell r="D5443">
            <v>540</v>
          </cell>
          <cell r="E5443">
            <v>72.58064516129032</v>
          </cell>
        </row>
        <row r="5444">
          <cell r="A5444">
            <v>535686</v>
          </cell>
          <cell r="B5444" t="str">
            <v>Poseholder 1200 K    Galvaniseret</v>
          </cell>
          <cell r="C5444" t="str">
            <v>Filter bag cage 1200 K   Galvanized</v>
          </cell>
          <cell r="D5444">
            <v>414</v>
          </cell>
          <cell r="E5444">
            <v>55.645161290322577</v>
          </cell>
        </row>
        <row r="5445">
          <cell r="A5445">
            <v>535945</v>
          </cell>
          <cell r="B5445" t="str">
            <v>Skærm over el-box</v>
          </cell>
          <cell r="C5445" t="str">
            <v>Gaurd for Electronic conection box</v>
          </cell>
          <cell r="D5445">
            <v>625</v>
          </cell>
          <cell r="E5445">
            <v>84.005376344086017</v>
          </cell>
        </row>
        <row r="5446">
          <cell r="A5446">
            <v>536141</v>
          </cell>
          <cell r="B5446" t="str">
            <v>Koblingsskærm</v>
          </cell>
          <cell r="C5446" t="str">
            <v>Coupling, cover</v>
          </cell>
          <cell r="D5446">
            <v>2067</v>
          </cell>
          <cell r="E5446">
            <v>277.82258064516128</v>
          </cell>
        </row>
        <row r="5447">
          <cell r="A5447">
            <v>536786</v>
          </cell>
          <cell r="B5447" t="str">
            <v>Spjældklap inkl. Tætningsgummi  SPB 1000</v>
          </cell>
          <cell r="C5447" t="str">
            <v>Slide flap</v>
          </cell>
          <cell r="D5447">
            <v>3900</v>
          </cell>
          <cell r="E5447">
            <v>524.19354838709671</v>
          </cell>
        </row>
        <row r="5448">
          <cell r="A5448">
            <v>536881</v>
          </cell>
          <cell r="B5448" t="str">
            <v>Afskærmningsskive</v>
          </cell>
          <cell r="C5448" t="str">
            <v>Protective washer</v>
          </cell>
          <cell r="D5448">
            <v>34</v>
          </cell>
          <cell r="E5448">
            <v>4.5698924731182791</v>
          </cell>
        </row>
        <row r="5449">
          <cell r="A5449">
            <v>536885</v>
          </cell>
          <cell r="B5449" t="str">
            <v>Bundspjæld  2 SPB 1000</v>
          </cell>
          <cell r="C5449" t="str">
            <v>Slide flap</v>
          </cell>
          <cell r="D5449">
            <v>4844</v>
          </cell>
          <cell r="E5449">
            <v>651.07526881720423</v>
          </cell>
        </row>
        <row r="5450">
          <cell r="A5450">
            <v>536887</v>
          </cell>
          <cell r="B5450" t="str">
            <v>Spjældaksel</v>
          </cell>
          <cell r="C5450" t="str">
            <v>Slide shaft</v>
          </cell>
          <cell r="D5450">
            <v>2491</v>
          </cell>
          <cell r="E5450">
            <v>334.81182795698925</v>
          </cell>
        </row>
        <row r="5451">
          <cell r="A5451">
            <v>536943</v>
          </cell>
          <cell r="B5451" t="str">
            <v>Anlægsring fri ende</v>
          </cell>
          <cell r="C5451" t="str">
            <v>Soport ring free end</v>
          </cell>
          <cell r="D5451">
            <v>1034</v>
          </cell>
          <cell r="E5451">
            <v>138.97849462365591</v>
          </cell>
        </row>
        <row r="5452">
          <cell r="A5452">
            <v>536948</v>
          </cell>
          <cell r="B5452" t="str">
            <v>Styr for soldramme</v>
          </cell>
          <cell r="C5452" t="str">
            <v>Giud for screen frame</v>
          </cell>
          <cell r="D5452">
            <v>451</v>
          </cell>
          <cell r="E5452">
            <v>60.618279569892472</v>
          </cell>
        </row>
        <row r="5453">
          <cell r="A5453">
            <v>537576</v>
          </cell>
          <cell r="B5453" t="str">
            <v>Lejestyr</v>
          </cell>
          <cell r="C5453" t="str">
            <v>Bearing guide</v>
          </cell>
          <cell r="D5453">
            <v>1908</v>
          </cell>
          <cell r="E5453">
            <v>256.45161290322579</v>
          </cell>
        </row>
        <row r="5454">
          <cell r="A5454">
            <v>537578</v>
          </cell>
          <cell r="B5454" t="str">
            <v>Lejehus</v>
          </cell>
          <cell r="C5454" t="str">
            <v>Bearing housing</v>
          </cell>
          <cell r="D5454">
            <v>3869</v>
          </cell>
          <cell r="E5454">
            <v>520.02688172043008</v>
          </cell>
        </row>
        <row r="5455">
          <cell r="A5455">
            <v>537579</v>
          </cell>
          <cell r="B5455" t="str">
            <v>Lejedæksel (åben)</v>
          </cell>
          <cell r="C5455" t="str">
            <v>Bearing cover (open)</v>
          </cell>
          <cell r="D5455">
            <v>1521</v>
          </cell>
          <cell r="E5455">
            <v>204.43548387096774</v>
          </cell>
        </row>
        <row r="5456">
          <cell r="A5456">
            <v>537580</v>
          </cell>
          <cell r="B5456" t="str">
            <v>Lejedæksel</v>
          </cell>
          <cell r="C5456" t="str">
            <v>Bearing cover</v>
          </cell>
          <cell r="D5456">
            <v>1511</v>
          </cell>
          <cell r="E5456">
            <v>203.09139784946237</v>
          </cell>
        </row>
        <row r="5457">
          <cell r="A5457">
            <v>537587</v>
          </cell>
          <cell r="B5457" t="str">
            <v>Holder til svingningsdæmper</v>
          </cell>
          <cell r="C5457" t="str">
            <v>Vibration damper fitting</v>
          </cell>
          <cell r="D5457">
            <v>108</v>
          </cell>
          <cell r="E5457">
            <v>14.516129032258064</v>
          </cell>
        </row>
        <row r="5458">
          <cell r="A5458">
            <v>537593</v>
          </cell>
          <cell r="B5458" t="str">
            <v>Motorkonsol  HPB 500</v>
          </cell>
          <cell r="C5458" t="str">
            <v>Motor bracket</v>
          </cell>
          <cell r="D5458">
            <v>5500</v>
          </cell>
          <cell r="E5458">
            <v>739.24731182795699</v>
          </cell>
        </row>
        <row r="5459">
          <cell r="A5459">
            <v>537611</v>
          </cell>
          <cell r="B5459" t="str">
            <v>Bundspjæld</v>
          </cell>
          <cell r="C5459" t="str">
            <v>Buttom slide</v>
          </cell>
          <cell r="D5459">
            <v>6212</v>
          </cell>
          <cell r="E5459">
            <v>834.94623655913972</v>
          </cell>
        </row>
        <row r="5460">
          <cell r="A5460">
            <v>537613</v>
          </cell>
          <cell r="B5460" t="str">
            <v xml:space="preserve">Venstre drejeplade </v>
          </cell>
          <cell r="C5460" t="str">
            <v xml:space="preserve">Rotary plate left </v>
          </cell>
          <cell r="D5460">
            <v>2120</v>
          </cell>
          <cell r="E5460">
            <v>284.94623655913978</v>
          </cell>
        </row>
        <row r="5461">
          <cell r="A5461">
            <v>537675</v>
          </cell>
          <cell r="B5461" t="str">
            <v>Skraber:   Højre  500</v>
          </cell>
          <cell r="C5461" t="str">
            <v xml:space="preserve">Scraper:   right </v>
          </cell>
          <cell r="D5461">
            <v>1219</v>
          </cell>
          <cell r="E5461">
            <v>163.84408602150538</v>
          </cell>
        </row>
        <row r="5462">
          <cell r="A5462">
            <v>537677</v>
          </cell>
          <cell r="B5462" t="str">
            <v>Palette:    Højre  500</v>
          </cell>
          <cell r="C5462" t="str">
            <v xml:space="preserve">Paddle:    right </v>
          </cell>
          <cell r="D5462">
            <v>1537</v>
          </cell>
          <cell r="E5462">
            <v>206.58602150537632</v>
          </cell>
        </row>
        <row r="5463">
          <cell r="A5463">
            <v>538027</v>
          </cell>
          <cell r="B5463" t="str">
            <v>Venstre centerkonsol</v>
          </cell>
          <cell r="C5463" t="str">
            <v>Center bracket left</v>
          </cell>
          <cell r="D5463">
            <v>1855</v>
          </cell>
          <cell r="E5463">
            <v>249.3279569892473</v>
          </cell>
        </row>
        <row r="5464">
          <cell r="A5464">
            <v>538257</v>
          </cell>
          <cell r="B5464" t="str">
            <v>Spjældaksel  HPB 500</v>
          </cell>
          <cell r="C5464" t="str">
            <v>Slide shaft</v>
          </cell>
          <cell r="D5464">
            <v>1855</v>
          </cell>
          <cell r="E5464">
            <v>249.3279569892473</v>
          </cell>
        </row>
        <row r="5465">
          <cell r="A5465">
            <v>538309</v>
          </cell>
          <cell r="B5465" t="str">
            <v>Lejeplade</v>
          </cell>
          <cell r="C5465" t="str">
            <v>Bearing plate</v>
          </cell>
          <cell r="D5465">
            <v>228</v>
          </cell>
          <cell r="E5465">
            <v>30.64516129032258</v>
          </cell>
        </row>
        <row r="5466">
          <cell r="A5466">
            <v>538329</v>
          </cell>
          <cell r="B5466" t="str">
            <v>Spjældklap inkl. Tætningsgummi  SPB 500</v>
          </cell>
          <cell r="C5466" t="str">
            <v>Slide flap</v>
          </cell>
          <cell r="D5466">
            <v>3000</v>
          </cell>
          <cell r="E5466">
            <v>403.22580645161287</v>
          </cell>
        </row>
        <row r="5467">
          <cell r="A5467">
            <v>538330</v>
          </cell>
          <cell r="B5467" t="str">
            <v>Spjældaksel</v>
          </cell>
          <cell r="C5467" t="str">
            <v>Slide shaft</v>
          </cell>
          <cell r="D5467">
            <v>1855</v>
          </cell>
          <cell r="E5467">
            <v>249.3279569892473</v>
          </cell>
        </row>
        <row r="5468">
          <cell r="A5468">
            <v>538864</v>
          </cell>
          <cell r="B5468" t="str">
            <v>Stenfælde  315 B</v>
          </cell>
          <cell r="C5468" t="str">
            <v>Stone trap</v>
          </cell>
          <cell r="D5468">
            <v>2915</v>
          </cell>
          <cell r="E5468">
            <v>391.80107526881716</v>
          </cell>
        </row>
        <row r="5469">
          <cell r="A5469">
            <v>538986</v>
          </cell>
          <cell r="B5469" t="str">
            <v>Spjældaksel</v>
          </cell>
          <cell r="C5469" t="str">
            <v>Slide shaft</v>
          </cell>
          <cell r="D5469">
            <v>2586</v>
          </cell>
          <cell r="E5469">
            <v>347.58064516129031</v>
          </cell>
        </row>
        <row r="5470">
          <cell r="A5470">
            <v>538989</v>
          </cell>
          <cell r="B5470" t="str">
            <v>Spjældklap inkl. Tætningsgummi  SPB 6001</v>
          </cell>
          <cell r="C5470" t="str">
            <v>Slide flap</v>
          </cell>
          <cell r="D5470">
            <v>8500</v>
          </cell>
          <cell r="E5470">
            <v>1142.4731182795699</v>
          </cell>
        </row>
        <row r="5471">
          <cell r="A5471">
            <v>539226</v>
          </cell>
          <cell r="B5471" t="str">
            <v>Spjældaksel</v>
          </cell>
          <cell r="C5471" t="str">
            <v>Slide shaft</v>
          </cell>
          <cell r="D5471">
            <v>3159</v>
          </cell>
          <cell r="E5471">
            <v>424.59677419354836</v>
          </cell>
        </row>
        <row r="5472">
          <cell r="A5472">
            <v>539227</v>
          </cell>
          <cell r="B5472" t="str">
            <v>Spjældklap inkl. Tætningsgummi  SPB 4001</v>
          </cell>
          <cell r="C5472" t="str">
            <v>Slide flap</v>
          </cell>
          <cell r="D5472">
            <v>7800</v>
          </cell>
          <cell r="E5472">
            <v>1048.3870967741934</v>
          </cell>
        </row>
        <row r="5473">
          <cell r="A5473">
            <v>539294</v>
          </cell>
          <cell r="B5473" t="str">
            <v>Spjældklap inkl. Tætningsgummi  SPB 2000</v>
          </cell>
          <cell r="C5473" t="str">
            <v>Slide flap</v>
          </cell>
          <cell r="D5473">
            <v>5989</v>
          </cell>
          <cell r="E5473">
            <v>804.9731182795698</v>
          </cell>
        </row>
        <row r="5474">
          <cell r="A5474">
            <v>539415</v>
          </cell>
          <cell r="B5474" t="str">
            <v>Poseholder 1800 K    AISI 304</v>
          </cell>
          <cell r="C5474" t="str">
            <v>Filter bag cage 1800 K   Stainless</v>
          </cell>
          <cell r="D5474">
            <v>731</v>
          </cell>
          <cell r="E5474">
            <v>98.252688172043008</v>
          </cell>
        </row>
        <row r="5475">
          <cell r="A5475">
            <v>539486</v>
          </cell>
          <cell r="B5475" t="str">
            <v>Skive Ø12x30x3 A2</v>
          </cell>
          <cell r="C5475" t="str">
            <v>Washer ø12x30x3 A2</v>
          </cell>
          <cell r="D5475">
            <v>33</v>
          </cell>
          <cell r="E5475">
            <v>4.435483870967742</v>
          </cell>
        </row>
        <row r="5476">
          <cell r="A5476">
            <v>540225</v>
          </cell>
          <cell r="B5476" t="str">
            <v>Arm for spjæld</v>
          </cell>
          <cell r="C5476" t="str">
            <v>Slide arm</v>
          </cell>
          <cell r="D5476">
            <v>795</v>
          </cell>
          <cell r="E5476">
            <v>106.85483870967741</v>
          </cell>
        </row>
        <row r="5477">
          <cell r="A5477">
            <v>540227</v>
          </cell>
          <cell r="B5477" t="str">
            <v>Spjældaksel</v>
          </cell>
          <cell r="C5477" t="str">
            <v>Slide shaft</v>
          </cell>
          <cell r="D5477">
            <v>4373</v>
          </cell>
          <cell r="E5477">
            <v>587.76881720430106</v>
          </cell>
        </row>
        <row r="5478">
          <cell r="A5478">
            <v>540228</v>
          </cell>
          <cell r="B5478" t="str">
            <v>Spjældklap inkl. Tætningsgummi  SPB 8001</v>
          </cell>
          <cell r="C5478" t="str">
            <v>Slide flap</v>
          </cell>
          <cell r="D5478">
            <v>12500</v>
          </cell>
          <cell r="E5478">
            <v>1680.1075268817203</v>
          </cell>
        </row>
        <row r="5479">
          <cell r="A5479">
            <v>540231</v>
          </cell>
          <cell r="B5479" t="str">
            <v>Arm</v>
          </cell>
          <cell r="C5479" t="str">
            <v>Arm</v>
          </cell>
          <cell r="D5479">
            <v>371</v>
          </cell>
          <cell r="E5479">
            <v>49.865591397849457</v>
          </cell>
        </row>
        <row r="5480">
          <cell r="A5480">
            <v>540323</v>
          </cell>
          <cell r="B5480" t="str">
            <v>MULTI1000B rotorplade</v>
          </cell>
          <cell r="C5480" t="str">
            <v>Multi 100 B rotor plate</v>
          </cell>
          <cell r="D5480">
            <v>395</v>
          </cell>
          <cell r="E5480">
            <v>53.091397849462361</v>
          </cell>
        </row>
        <row r="5481">
          <cell r="A5481">
            <v>540324</v>
          </cell>
          <cell r="B5481" t="str">
            <v>Multi 1000 B Rotorplade yderste</v>
          </cell>
          <cell r="C5481" t="str">
            <v>Multi 1000 b rotor plate outer.</v>
          </cell>
          <cell r="D5481">
            <v>850</v>
          </cell>
          <cell r="E5481">
            <v>114.24731182795698</v>
          </cell>
        </row>
        <row r="5482">
          <cell r="A5482">
            <v>540325</v>
          </cell>
          <cell r="B5482" t="str">
            <v>Rotor</v>
          </cell>
          <cell r="C5482" t="str">
            <v>Rotor</v>
          </cell>
          <cell r="D5482" t="str">
            <v>seperate list</v>
          </cell>
          <cell r="E5482" t="e">
            <v>#VALUE!</v>
          </cell>
        </row>
        <row r="5483">
          <cell r="A5483">
            <v>540546</v>
          </cell>
          <cell r="B5483" t="str">
            <v>K315 M112 kæde med påsvejst laske</v>
          </cell>
          <cell r="C5483" t="str">
            <v>K315 M112 chain  with welded on plate link</v>
          </cell>
          <cell r="D5483">
            <v>830</v>
          </cell>
          <cell r="E5483">
            <v>111.55913978494623</v>
          </cell>
        </row>
        <row r="5484">
          <cell r="A5484">
            <v>540548</v>
          </cell>
          <cell r="B5484" t="str">
            <v>Nøgle for låge, lang</v>
          </cell>
          <cell r="C5484" t="str">
            <v>Key for door, long</v>
          </cell>
          <cell r="D5484">
            <v>270</v>
          </cell>
          <cell r="E5484">
            <v>36.29032258064516</v>
          </cell>
        </row>
        <row r="5485">
          <cell r="A5485">
            <v>540601</v>
          </cell>
          <cell r="B5485" t="str">
            <v>Lejehus</v>
          </cell>
          <cell r="C5485" t="str">
            <v>Bearing housing</v>
          </cell>
          <cell r="D5485">
            <v>12190</v>
          </cell>
          <cell r="E5485">
            <v>1638.4408602150536</v>
          </cell>
        </row>
        <row r="5486">
          <cell r="A5486">
            <v>540603</v>
          </cell>
          <cell r="B5486" t="str">
            <v>Lejedæksel (åben)</v>
          </cell>
          <cell r="C5486" t="str">
            <v>Bearing cover (open)</v>
          </cell>
          <cell r="D5486">
            <v>3392</v>
          </cell>
          <cell r="E5486">
            <v>455.91397849462362</v>
          </cell>
        </row>
        <row r="5487">
          <cell r="A5487">
            <v>540604</v>
          </cell>
          <cell r="B5487" t="str">
            <v>Styrering</v>
          </cell>
          <cell r="C5487" t="str">
            <v>Guide ring</v>
          </cell>
          <cell r="D5487">
            <v>186</v>
          </cell>
          <cell r="E5487">
            <v>25</v>
          </cell>
        </row>
        <row r="5488">
          <cell r="A5488">
            <v>540605</v>
          </cell>
          <cell r="B5488" t="str">
            <v>Lejestyr</v>
          </cell>
          <cell r="C5488" t="str">
            <v>Bearing guide</v>
          </cell>
          <cell r="D5488">
            <v>5782</v>
          </cell>
          <cell r="E5488">
            <v>777.15053763440858</v>
          </cell>
        </row>
        <row r="5489">
          <cell r="A5489">
            <v>540807</v>
          </cell>
          <cell r="B5489" t="str">
            <v>Endeeplade fri ende</v>
          </cell>
          <cell r="C5489" t="str">
            <v>End plate free end</v>
          </cell>
          <cell r="D5489">
            <v>15635</v>
          </cell>
          <cell r="E5489">
            <v>2101.4784946236559</v>
          </cell>
        </row>
        <row r="5490">
          <cell r="A5490">
            <v>540808</v>
          </cell>
          <cell r="B5490" t="str">
            <v>Endeplade motorende</v>
          </cell>
          <cell r="C5490" t="str">
            <v>End plate motor end</v>
          </cell>
          <cell r="D5490">
            <v>15635</v>
          </cell>
          <cell r="E5490">
            <v>2101.4784946236559</v>
          </cell>
        </row>
        <row r="5491">
          <cell r="A5491">
            <v>540844</v>
          </cell>
          <cell r="B5491" t="str">
            <v>Skinne øverst højre side  801</v>
          </cell>
          <cell r="C5491" t="str">
            <v>Rail upper right side</v>
          </cell>
          <cell r="D5491">
            <v>1643</v>
          </cell>
          <cell r="E5491">
            <v>220.83333333333331</v>
          </cell>
        </row>
        <row r="5492">
          <cell r="A5492">
            <v>540848</v>
          </cell>
          <cell r="B5492" t="str">
            <v>Bøsning M16 links gevind</v>
          </cell>
          <cell r="C5492" t="str">
            <v>Bush M16 left hand threaded</v>
          </cell>
          <cell r="D5492">
            <v>292</v>
          </cell>
          <cell r="E5492">
            <v>39.247311827956985</v>
          </cell>
        </row>
        <row r="5493">
          <cell r="A5493">
            <v>540848</v>
          </cell>
          <cell r="B5493" t="str">
            <v>Rotor</v>
          </cell>
          <cell r="C5493" t="str">
            <v>Rotor</v>
          </cell>
          <cell r="D5493" t="str">
            <v>seperate list</v>
          </cell>
          <cell r="E5493" t="e">
            <v>#VALUE!</v>
          </cell>
        </row>
        <row r="5494">
          <cell r="A5494">
            <v>540850</v>
          </cell>
          <cell r="B5494" t="str">
            <v>Endedæksel med afstivning</v>
          </cell>
          <cell r="C5494" t="str">
            <v>End cower with reinforcement</v>
          </cell>
          <cell r="D5494">
            <v>2226</v>
          </cell>
          <cell r="E5494">
            <v>299.19354838709677</v>
          </cell>
        </row>
        <row r="5495">
          <cell r="A5495">
            <v>540855</v>
          </cell>
          <cell r="B5495" t="str">
            <v xml:space="preserve">Endedæksel I </v>
          </cell>
          <cell r="C5495" t="str">
            <v xml:space="preserve">End cover I </v>
          </cell>
          <cell r="D5495">
            <v>3975</v>
          </cell>
          <cell r="E5495">
            <v>534.27419354838707</v>
          </cell>
        </row>
        <row r="5496">
          <cell r="A5496">
            <v>541161</v>
          </cell>
          <cell r="B5496" t="str">
            <v>Kontra møtrik M16 links gevind</v>
          </cell>
          <cell r="C5496" t="str">
            <v>Nut M16 left hand threaded</v>
          </cell>
          <cell r="D5496">
            <v>64</v>
          </cell>
          <cell r="E5496">
            <v>8.6021505376344081</v>
          </cell>
        </row>
        <row r="5497">
          <cell r="A5497">
            <v>541163</v>
          </cell>
          <cell r="B5497" t="str">
            <v>Skinne øverst højre side  1001</v>
          </cell>
          <cell r="C5497" t="str">
            <v>Rail upper right side</v>
          </cell>
          <cell r="D5497">
            <v>1855</v>
          </cell>
          <cell r="E5497">
            <v>249.3279569892473</v>
          </cell>
        </row>
        <row r="5498">
          <cell r="A5498">
            <v>541288</v>
          </cell>
          <cell r="B5498" t="str">
            <v>Rotor</v>
          </cell>
          <cell r="C5498" t="str">
            <v>Rotor</v>
          </cell>
          <cell r="D5498" t="str">
            <v>seperate list</v>
          </cell>
          <cell r="E5498" t="e">
            <v>#VALUE!</v>
          </cell>
        </row>
        <row r="5499">
          <cell r="A5499">
            <v>541289</v>
          </cell>
          <cell r="B5499" t="str">
            <v>Skinne øverst venstre + højre 601</v>
          </cell>
          <cell r="C5499" t="str">
            <v>Rail upper left side</v>
          </cell>
          <cell r="D5499">
            <v>2915</v>
          </cell>
          <cell r="E5499">
            <v>391.80107526881716</v>
          </cell>
        </row>
        <row r="5500">
          <cell r="A5500">
            <v>541520</v>
          </cell>
          <cell r="B5500" t="str">
            <v>K315-536 plastskraber M112 kæde</v>
          </cell>
          <cell r="C5500" t="str">
            <v>K315/536 plastic scraper M112 chain</v>
          </cell>
          <cell r="D5500">
            <v>118</v>
          </cell>
          <cell r="E5500">
            <v>15.86021505376344</v>
          </cell>
        </row>
        <row r="5501">
          <cell r="A5501">
            <v>541695</v>
          </cell>
          <cell r="B5501" t="str">
            <v>Cylinder ophæng</v>
          </cell>
          <cell r="C5501" t="str">
            <v>Cylinder mounting</v>
          </cell>
          <cell r="D5501">
            <v>223</v>
          </cell>
          <cell r="E5501">
            <v>29.973118279569892</v>
          </cell>
        </row>
        <row r="5502">
          <cell r="A5502">
            <v>541919</v>
          </cell>
          <cell r="B5502" t="str">
            <v>K315/400 plastskraber M80 125</v>
          </cell>
          <cell r="C5502" t="str">
            <v>K315/400 plastic scraper M80 125</v>
          </cell>
          <cell r="D5502">
            <v>125</v>
          </cell>
          <cell r="E5502">
            <v>16.801075268817204</v>
          </cell>
        </row>
        <row r="5503">
          <cell r="A5503">
            <v>542150</v>
          </cell>
          <cell r="B5503" t="str">
            <v>Vejeplade</v>
          </cell>
          <cell r="C5503" t="str">
            <v>Weigh plate</v>
          </cell>
          <cell r="D5503">
            <v>4664</v>
          </cell>
          <cell r="E5503">
            <v>626.88172043010752</v>
          </cell>
        </row>
        <row r="5504">
          <cell r="A5504">
            <v>542351</v>
          </cell>
          <cell r="B5504" t="str">
            <v>Tapskrue</v>
          </cell>
          <cell r="C5504" t="str">
            <v>Stud</v>
          </cell>
          <cell r="D5504">
            <v>194</v>
          </cell>
          <cell r="E5504">
            <v>26.0752688172043</v>
          </cell>
        </row>
        <row r="5505">
          <cell r="A5505">
            <v>542553</v>
          </cell>
          <cell r="B5505" t="str">
            <v>Poseholder 1200 K    AISI 304Galvaniseret</v>
          </cell>
          <cell r="C5505" t="str">
            <v>Filter bag cage 1200 K   Stainless</v>
          </cell>
          <cell r="D5505">
            <v>711</v>
          </cell>
          <cell r="E5505">
            <v>95.564516129032256</v>
          </cell>
        </row>
        <row r="5506">
          <cell r="A5506">
            <v>542951</v>
          </cell>
          <cell r="B5506" t="str">
            <v>Momentarm</v>
          </cell>
          <cell r="C5506" t="str">
            <v>Torque arm</v>
          </cell>
          <cell r="D5506">
            <v>1325</v>
          </cell>
          <cell r="E5506">
            <v>178.09139784946237</v>
          </cell>
        </row>
        <row r="5507">
          <cell r="A5507">
            <v>542953</v>
          </cell>
          <cell r="B5507" t="str">
            <v>Bæreaksel, kort</v>
          </cell>
          <cell r="C5507" t="str">
            <v>Shaft, short</v>
          </cell>
          <cell r="D5507">
            <v>419</v>
          </cell>
          <cell r="E5507">
            <v>56.317204301075265</v>
          </cell>
        </row>
        <row r="5508">
          <cell r="A5508">
            <v>542954</v>
          </cell>
          <cell r="B5508" t="str">
            <v>Bæreaksel, lang</v>
          </cell>
          <cell r="C5508" t="str">
            <v>Shaft, long</v>
          </cell>
          <cell r="D5508">
            <v>186</v>
          </cell>
          <cell r="E5508">
            <v>25</v>
          </cell>
        </row>
        <row r="5509">
          <cell r="A5509">
            <v>543028</v>
          </cell>
          <cell r="B5509" t="str">
            <v>Aksel – komplet - venstre udf.  HPB 1000</v>
          </cell>
          <cell r="C5509" t="str">
            <v xml:space="preserve">Shaft  – complete – left . </v>
          </cell>
          <cell r="D5509">
            <v>46640</v>
          </cell>
          <cell r="E5509">
            <v>6268.8172043010745</v>
          </cell>
        </row>
        <row r="5510">
          <cell r="A5510">
            <v>543036</v>
          </cell>
          <cell r="B5510" t="str">
            <v>Skraber  Venstre  HPB 1000</v>
          </cell>
          <cell r="C5510" t="str">
            <v>Scraper left</v>
          </cell>
          <cell r="D5510">
            <v>1060</v>
          </cell>
          <cell r="E5510">
            <v>142.47311827956989</v>
          </cell>
        </row>
        <row r="5511">
          <cell r="A5511">
            <v>543037</v>
          </cell>
          <cell r="B5511" t="str">
            <v>Palette Venstre  HPB  1000</v>
          </cell>
          <cell r="C5511" t="str">
            <v>Paddle left</v>
          </cell>
          <cell r="D5511">
            <v>859</v>
          </cell>
          <cell r="E5511">
            <v>115.45698924731182</v>
          </cell>
        </row>
        <row r="5512">
          <cell r="A5512">
            <v>543161</v>
          </cell>
          <cell r="B5512" t="str">
            <v>Afskærmning</v>
          </cell>
          <cell r="C5512" t="str">
            <v>Cower</v>
          </cell>
          <cell r="D5512">
            <v>1256</v>
          </cell>
          <cell r="E5512">
            <v>168.81720430107526</v>
          </cell>
        </row>
        <row r="5513">
          <cell r="A5513">
            <v>543264</v>
          </cell>
          <cell r="B5513" t="str">
            <v>Palette:    Højre   6000</v>
          </cell>
          <cell r="C5513" t="str">
            <v xml:space="preserve">Paddle:    right </v>
          </cell>
          <cell r="D5513">
            <v>1855</v>
          </cell>
          <cell r="E5513">
            <v>249.3279569892473</v>
          </cell>
        </row>
        <row r="5514">
          <cell r="A5514">
            <v>543265</v>
          </cell>
          <cell r="B5514" t="str">
            <v>Skraber:   Højre 6000</v>
          </cell>
          <cell r="C5514" t="str">
            <v xml:space="preserve">Scraper:   right </v>
          </cell>
          <cell r="D5514">
            <v>1325</v>
          </cell>
          <cell r="E5514">
            <v>178.09139784946237</v>
          </cell>
        </row>
        <row r="5515">
          <cell r="A5515">
            <v>543266</v>
          </cell>
          <cell r="B5515" t="str">
            <v>Palette Venstre   10000</v>
          </cell>
          <cell r="C5515" t="str">
            <v>Paddel  left</v>
          </cell>
          <cell r="D5515">
            <v>2385</v>
          </cell>
          <cell r="E5515">
            <v>320.56451612903226</v>
          </cell>
        </row>
        <row r="5516">
          <cell r="A5516">
            <v>543273</v>
          </cell>
          <cell r="B5516" t="str">
            <v>HB-HBP Drejeplade venstre</v>
          </cell>
          <cell r="C5516" t="str">
            <v>HB-HBP pivotal plate left</v>
          </cell>
          <cell r="D5516">
            <v>2755</v>
          </cell>
          <cell r="E5516">
            <v>370.29569892473114</v>
          </cell>
        </row>
        <row r="5517">
          <cell r="A5517">
            <v>543283</v>
          </cell>
          <cell r="B5517" t="str">
            <v>Skrabeskinne</v>
          </cell>
          <cell r="C5517" t="str">
            <v>Scraper rail</v>
          </cell>
          <cell r="D5517">
            <v>122</v>
          </cell>
          <cell r="E5517">
            <v>16.397849462365592</v>
          </cell>
        </row>
        <row r="5518">
          <cell r="A5518">
            <v>543305</v>
          </cell>
          <cell r="B5518" t="str">
            <v>Skraber:   Højre   8000</v>
          </cell>
          <cell r="C5518" t="str">
            <v xml:space="preserve">Scraper:   right </v>
          </cell>
          <cell r="D5518">
            <v>1363</v>
          </cell>
          <cell r="E5518">
            <v>183.19892473118279</v>
          </cell>
        </row>
        <row r="5519">
          <cell r="A5519">
            <v>543407</v>
          </cell>
          <cell r="B5519" t="str">
            <v>Højre centerkonsol</v>
          </cell>
          <cell r="C5519" t="str">
            <v>Center bracket right</v>
          </cell>
          <cell r="D5519">
            <v>1601</v>
          </cell>
          <cell r="E5519">
            <v>215.18817204301075</v>
          </cell>
        </row>
        <row r="5520">
          <cell r="A5520">
            <v>543408</v>
          </cell>
          <cell r="B5520" t="str">
            <v>HPB/SPB Drejeplade venstre</v>
          </cell>
          <cell r="C5520" t="str">
            <v>HPB/SPB pivotal plate left</v>
          </cell>
          <cell r="D5520">
            <v>2500</v>
          </cell>
          <cell r="E5520">
            <v>336.02150537634407</v>
          </cell>
        </row>
        <row r="5521">
          <cell r="A5521">
            <v>543410</v>
          </cell>
          <cell r="B5521" t="str">
            <v xml:space="preserve">Venstre drejeplade </v>
          </cell>
          <cell r="C5521" t="str">
            <v xml:space="preserve">Rotary plate left </v>
          </cell>
          <cell r="D5521">
            <v>3429</v>
          </cell>
          <cell r="E5521">
            <v>460.88709677419354</v>
          </cell>
        </row>
        <row r="5522">
          <cell r="A5522">
            <v>543411</v>
          </cell>
          <cell r="B5522" t="str">
            <v>Højre drejeplade</v>
          </cell>
          <cell r="C5522" t="str">
            <v>Rotary plate right</v>
          </cell>
          <cell r="D5522">
            <v>3429</v>
          </cell>
          <cell r="E5522">
            <v>460.88709677419354</v>
          </cell>
        </row>
        <row r="5523">
          <cell r="A5523">
            <v>543413</v>
          </cell>
          <cell r="B5523" t="str">
            <v>Tap for cyl.-gaffel</v>
          </cell>
          <cell r="C5523" t="str">
            <v>Journal for fork fastening</v>
          </cell>
          <cell r="D5523">
            <v>186</v>
          </cell>
          <cell r="E5523">
            <v>25</v>
          </cell>
        </row>
        <row r="5524">
          <cell r="A5524">
            <v>543431</v>
          </cell>
          <cell r="B5524" t="str">
            <v>Palette:    Højre   8000</v>
          </cell>
          <cell r="C5524" t="str">
            <v xml:space="preserve">Paddle:    right </v>
          </cell>
          <cell r="D5524">
            <v>1961</v>
          </cell>
          <cell r="E5524">
            <v>263.57526881720429</v>
          </cell>
        </row>
        <row r="5525">
          <cell r="A5525">
            <v>543437</v>
          </cell>
          <cell r="B5525" t="str">
            <v xml:space="preserve">Venstre drejeplade </v>
          </cell>
          <cell r="C5525" t="str">
            <v xml:space="preserve">Pivotable plate left  </v>
          </cell>
          <cell r="D5525">
            <v>3583</v>
          </cell>
          <cell r="E5525">
            <v>481.58602150537632</v>
          </cell>
        </row>
        <row r="5526">
          <cell r="A5526">
            <v>543439</v>
          </cell>
          <cell r="B5526" t="str">
            <v>Venstre centerkonsol</v>
          </cell>
          <cell r="C5526" t="str">
            <v>Center bracket left</v>
          </cell>
          <cell r="D5526">
            <v>2438</v>
          </cell>
          <cell r="E5526">
            <v>327.68817204301075</v>
          </cell>
        </row>
        <row r="5527">
          <cell r="A5527">
            <v>543442</v>
          </cell>
          <cell r="B5527" t="str">
            <v>Højre centerkonsol</v>
          </cell>
          <cell r="C5527" t="str">
            <v>Center bracket right</v>
          </cell>
          <cell r="D5527">
            <v>2173</v>
          </cell>
          <cell r="E5527">
            <v>292.06989247311827</v>
          </cell>
        </row>
        <row r="5528">
          <cell r="A5528">
            <v>543444</v>
          </cell>
          <cell r="B5528" t="str">
            <v>Lænkeled</v>
          </cell>
          <cell r="C5528" t="str">
            <v>Link</v>
          </cell>
          <cell r="D5528">
            <v>668</v>
          </cell>
          <cell r="E5528">
            <v>89.784946236559136</v>
          </cell>
        </row>
        <row r="5529">
          <cell r="A5529">
            <v>543446</v>
          </cell>
          <cell r="B5529" t="str">
            <v>Arm spjældregulering</v>
          </cell>
          <cell r="C5529" t="str">
            <v>Arm slide adjustment</v>
          </cell>
          <cell r="D5529">
            <v>1436</v>
          </cell>
          <cell r="E5529">
            <v>193.01075268817203</v>
          </cell>
        </row>
        <row r="5530">
          <cell r="A5530">
            <v>543448</v>
          </cell>
          <cell r="B5530" t="str">
            <v>Højre drejeplade</v>
          </cell>
          <cell r="C5530" t="str">
            <v>Pivotable plate right</v>
          </cell>
          <cell r="D5530">
            <v>3472</v>
          </cell>
          <cell r="E5530">
            <v>466.66666666666663</v>
          </cell>
        </row>
        <row r="5531">
          <cell r="A5531">
            <v>543449</v>
          </cell>
          <cell r="B5531" t="str">
            <v>Akseltap</v>
          </cell>
          <cell r="C5531" t="str">
            <v>Shaft journal</v>
          </cell>
          <cell r="D5531">
            <v>207</v>
          </cell>
          <cell r="E5531">
            <v>27.822580645161288</v>
          </cell>
        </row>
        <row r="5532">
          <cell r="A5532">
            <v>543450</v>
          </cell>
          <cell r="B5532" t="str">
            <v>Tap for cyl.-gaffel</v>
          </cell>
          <cell r="C5532" t="str">
            <v>Journal for fork fastening</v>
          </cell>
          <cell r="D5532">
            <v>196</v>
          </cell>
          <cell r="E5532">
            <v>26.344086021505376</v>
          </cell>
        </row>
        <row r="5533">
          <cell r="A5533">
            <v>543507</v>
          </cell>
          <cell r="B5533" t="str">
            <v>Skraber:   Højre  2000</v>
          </cell>
          <cell r="C5533" t="str">
            <v xml:space="preserve">Scraper:   right </v>
          </cell>
          <cell r="D5533">
            <v>1405</v>
          </cell>
          <cell r="E5533">
            <v>188.84408602150538</v>
          </cell>
        </row>
        <row r="5534">
          <cell r="A5534">
            <v>543508</v>
          </cell>
          <cell r="B5534" t="str">
            <v>Palette:    Højre   2000</v>
          </cell>
          <cell r="C5534" t="str">
            <v xml:space="preserve">Paddle:    right </v>
          </cell>
          <cell r="D5534">
            <v>1431</v>
          </cell>
          <cell r="E5534">
            <v>192.33870967741933</v>
          </cell>
        </row>
        <row r="5535">
          <cell r="A5535">
            <v>543510</v>
          </cell>
          <cell r="B5535" t="str">
            <v>Arm spjældregulering</v>
          </cell>
          <cell r="C5535" t="str">
            <v>Arm slide adjustment</v>
          </cell>
          <cell r="D5535">
            <v>1325</v>
          </cell>
          <cell r="E5535">
            <v>178.09139784946237</v>
          </cell>
        </row>
        <row r="5536">
          <cell r="A5536">
            <v>543514</v>
          </cell>
          <cell r="B5536" t="str">
            <v>Lænkeled</v>
          </cell>
          <cell r="C5536" t="str">
            <v>Link</v>
          </cell>
          <cell r="D5536">
            <v>647</v>
          </cell>
          <cell r="E5536">
            <v>86.962365591397841</v>
          </cell>
        </row>
        <row r="5537">
          <cell r="A5537">
            <v>543531</v>
          </cell>
          <cell r="B5537" t="str">
            <v>Akseltap</v>
          </cell>
          <cell r="C5537" t="str">
            <v>Shaft journal</v>
          </cell>
          <cell r="D5537">
            <v>186</v>
          </cell>
          <cell r="E5537">
            <v>25</v>
          </cell>
        </row>
        <row r="5538">
          <cell r="A5538">
            <v>543555</v>
          </cell>
          <cell r="B5538" t="str">
            <v xml:space="preserve">Støttearr for spjæld </v>
          </cell>
          <cell r="C5538" t="str">
            <v xml:space="preserve">Supporting shaft for slide </v>
          </cell>
          <cell r="D5538">
            <v>6360</v>
          </cell>
          <cell r="E5538">
            <v>854.83870967741927</v>
          </cell>
        </row>
        <row r="5539">
          <cell r="A5539">
            <v>543597</v>
          </cell>
          <cell r="B5539" t="str">
            <v>Aksel for cellehjul</v>
          </cell>
          <cell r="C5539" t="str">
            <v>Shaft for cellular wheel</v>
          </cell>
          <cell r="D5539">
            <v>5141</v>
          </cell>
          <cell r="E5539">
            <v>690.99462365591398</v>
          </cell>
        </row>
        <row r="5540">
          <cell r="A5540">
            <v>543639</v>
          </cell>
          <cell r="B5540" t="str">
            <v>Lænkeled</v>
          </cell>
          <cell r="C5540" t="str">
            <v>Link</v>
          </cell>
          <cell r="D5540">
            <v>583</v>
          </cell>
          <cell r="E5540">
            <v>78.36021505376344</v>
          </cell>
        </row>
        <row r="5541">
          <cell r="A5541">
            <v>543766</v>
          </cell>
          <cell r="B5541" t="str">
            <v xml:space="preserve">Venstre drejeplade </v>
          </cell>
          <cell r="C5541" t="str">
            <v xml:space="preserve">Rotary plate left </v>
          </cell>
          <cell r="D5541">
            <v>3175</v>
          </cell>
          <cell r="E5541">
            <v>426.74731182795699</v>
          </cell>
        </row>
        <row r="5542">
          <cell r="A5542">
            <v>543767</v>
          </cell>
          <cell r="B5542" t="str">
            <v>Højre drejeplade</v>
          </cell>
          <cell r="C5542" t="str">
            <v>Rotary plate right</v>
          </cell>
          <cell r="D5542">
            <v>3175</v>
          </cell>
          <cell r="E5542">
            <v>426.74731182795699</v>
          </cell>
        </row>
        <row r="5543">
          <cell r="A5543">
            <v>560175</v>
          </cell>
          <cell r="B5543" t="str">
            <v>Elevator rem 2800 B =150</v>
          </cell>
          <cell r="C5543" t="str">
            <v>Bucket belt  2800 B =150</v>
          </cell>
          <cell r="D5543">
            <v>235</v>
          </cell>
          <cell r="E5543">
            <v>31.586021505376344</v>
          </cell>
        </row>
        <row r="5544">
          <cell r="A5544">
            <v>560870</v>
          </cell>
          <cell r="B5544" t="str">
            <v>Poseholder 3000 T M.STEL  Galvaniseret</v>
          </cell>
          <cell r="C5544" t="str">
            <v>Filter bag cage 3000 T   Earthed Galvanized</v>
          </cell>
          <cell r="D5544">
            <v>411</v>
          </cell>
          <cell r="E5544">
            <v>55.241935483870968</v>
          </cell>
        </row>
        <row r="5545">
          <cell r="A5545">
            <v>560920</v>
          </cell>
          <cell r="B5545" t="str">
            <v>Opt900 mont. beslag soldr. H400</v>
          </cell>
          <cell r="C5545" t="str">
            <v xml:space="preserve">900 lock f screenframe compl 2-piece, part 2 in spec. steel </v>
          </cell>
          <cell r="D5545">
            <v>1590</v>
          </cell>
          <cell r="E5545">
            <v>213.70967741935482</v>
          </cell>
        </row>
        <row r="5546">
          <cell r="A5546">
            <v>560922</v>
          </cell>
          <cell r="B5546" t="str">
            <v>Opt900 slidstk./lås hardox 400</v>
          </cell>
          <cell r="C5546" t="str">
            <v xml:space="preserve">900 wear piece part 2 spec. steel f lock f screenframe </v>
          </cell>
          <cell r="D5546">
            <v>795</v>
          </cell>
          <cell r="E5546">
            <v>106.85483870967741</v>
          </cell>
        </row>
        <row r="5547">
          <cell r="A5547">
            <v>561349</v>
          </cell>
          <cell r="B5547" t="str">
            <v>Gear ED2250FS/20/S46 C1</v>
          </cell>
          <cell r="C5547" t="str">
            <v>Gear ED2250FS/20/S46 C1</v>
          </cell>
          <cell r="D5547">
            <v>44200</v>
          </cell>
          <cell r="E5547">
            <v>5940.8602150537636</v>
          </cell>
        </row>
        <row r="5548">
          <cell r="A5548">
            <v>561658</v>
          </cell>
          <cell r="B5548" t="str">
            <v>Soldskinne  601  Sæt ( 2 stk</v>
          </cell>
          <cell r="C5548" t="str">
            <v>Rail for screen</v>
          </cell>
          <cell r="D5548">
            <v>382</v>
          </cell>
          <cell r="E5548">
            <v>51.344086021505376</v>
          </cell>
        </row>
        <row r="5549">
          <cell r="A5549">
            <v>562135</v>
          </cell>
          <cell r="B5549" t="str">
            <v>Leje</v>
          </cell>
          <cell r="C5549" t="str">
            <v>Bearing</v>
          </cell>
          <cell r="D5549">
            <v>4187</v>
          </cell>
          <cell r="E5549">
            <v>562.76881720430106</v>
          </cell>
        </row>
        <row r="5550">
          <cell r="A5550">
            <v>562137</v>
          </cell>
          <cell r="B5550" t="str">
            <v>Klembøsning</v>
          </cell>
          <cell r="C5550" t="str">
            <v>Split bushing</v>
          </cell>
          <cell r="D5550">
            <v>223</v>
          </cell>
          <cell r="E5550">
            <v>29.973118279569892</v>
          </cell>
        </row>
        <row r="5551">
          <cell r="A5551">
            <v>562138</v>
          </cell>
          <cell r="B5551" t="str">
            <v>Tætningsring</v>
          </cell>
          <cell r="C5551" t="str">
            <v>Sealing ring</v>
          </cell>
          <cell r="D5551">
            <v>164</v>
          </cell>
          <cell r="E5551">
            <v>22.043010752688172</v>
          </cell>
        </row>
        <row r="5552">
          <cell r="A5552">
            <v>562161</v>
          </cell>
          <cell r="B5552" t="str">
            <v>Gear PDL 122N FS/20/S65 C1</v>
          </cell>
          <cell r="C5552" t="str">
            <v>Gear PDL 122N FS/20/S65 C1</v>
          </cell>
          <cell r="D5552">
            <v>129200</v>
          </cell>
          <cell r="E5552">
            <v>17365.591397849461</v>
          </cell>
        </row>
        <row r="5553">
          <cell r="A5553">
            <v>562204</v>
          </cell>
          <cell r="B5553" t="str">
            <v>Gear   I = 1:30</v>
          </cell>
          <cell r="C5553" t="str">
            <v>Gear unit  I = 1:30</v>
          </cell>
          <cell r="D5553">
            <v>3150</v>
          </cell>
          <cell r="E5553">
            <v>423.38709677419354</v>
          </cell>
        </row>
        <row r="5554">
          <cell r="A5554">
            <v>562505</v>
          </cell>
          <cell r="B5554" t="str">
            <v>Poseholder 2400 S M.STEL  Galvaniseret</v>
          </cell>
          <cell r="C5554" t="str">
            <v>Filter bag cage 2400 S  Earthed Galvanized</v>
          </cell>
          <cell r="D5554">
            <v>557</v>
          </cell>
          <cell r="E5554">
            <v>74.865591397849457</v>
          </cell>
        </row>
        <row r="5555">
          <cell r="A5555">
            <v>562554</v>
          </cell>
          <cell r="B5555" t="str">
            <v>Gear ED2400 FS/20/S46 C1</v>
          </cell>
          <cell r="C5555" t="str">
            <v>Gear ED2400 FS/20/S46 C1</v>
          </cell>
          <cell r="D5555">
            <v>51200</v>
          </cell>
          <cell r="E5555">
            <v>6881.7204301075262</v>
          </cell>
        </row>
        <row r="5556">
          <cell r="A5556">
            <v>562697</v>
          </cell>
          <cell r="B5556" t="str">
            <v>O-ring</v>
          </cell>
          <cell r="C5556" t="str">
            <v>O-ring</v>
          </cell>
          <cell r="D5556">
            <v>2.8</v>
          </cell>
          <cell r="E5556">
            <v>0.37634408602150532</v>
          </cell>
        </row>
        <row r="5557">
          <cell r="A5557">
            <v>562767</v>
          </cell>
          <cell r="B5557" t="str">
            <v>Gear ED2090 FS/20/S45CR1</v>
          </cell>
          <cell r="C5557" t="str">
            <v>Gear ED2090 FS/20/S45CR1</v>
          </cell>
          <cell r="D5557">
            <v>26190</v>
          </cell>
          <cell r="E5557">
            <v>3520.1612903225805</v>
          </cell>
        </row>
        <row r="5558">
          <cell r="A5558">
            <v>563095</v>
          </cell>
          <cell r="B5558" t="str">
            <v>Skinne for låge 601</v>
          </cell>
          <cell r="C5558" t="str">
            <v>Rail for door</v>
          </cell>
          <cell r="D5558">
            <v>504</v>
          </cell>
          <cell r="E5558">
            <v>67.741935483870961</v>
          </cell>
        </row>
        <row r="5559">
          <cell r="A5559">
            <v>563096</v>
          </cell>
          <cell r="B5559" t="str">
            <v>Skinne for låge  801</v>
          </cell>
          <cell r="C5559" t="str">
            <v>Rail for door</v>
          </cell>
          <cell r="D5559">
            <v>525</v>
          </cell>
          <cell r="E5559">
            <v>70.564516129032256</v>
          </cell>
        </row>
        <row r="5560">
          <cell r="A5560">
            <v>563097</v>
          </cell>
          <cell r="B5560" t="str">
            <v>Skinne for låge  1001</v>
          </cell>
          <cell r="C5560" t="str">
            <v>Rail for door</v>
          </cell>
          <cell r="D5560">
            <v>557</v>
          </cell>
          <cell r="E5560">
            <v>74.865591397849457</v>
          </cell>
        </row>
        <row r="5561">
          <cell r="A5561">
            <v>563331</v>
          </cell>
          <cell r="B5561" t="str">
            <v>Øjebolt</v>
          </cell>
          <cell r="C5561" t="str">
            <v xml:space="preserve">Eyebolt </v>
          </cell>
          <cell r="D5561">
            <v>265</v>
          </cell>
          <cell r="E5561">
            <v>35.618279569892472</v>
          </cell>
        </row>
        <row r="5562">
          <cell r="A5562">
            <v>563333</v>
          </cell>
          <cell r="B5562" t="str">
            <v>Kilirem SPB 2650</v>
          </cell>
          <cell r="C5562" t="str">
            <v>V-belt SPB 2650</v>
          </cell>
          <cell r="D5562">
            <v>180</v>
          </cell>
          <cell r="E5562">
            <v>24.193548387096772</v>
          </cell>
        </row>
        <row r="5563">
          <cell r="A5563">
            <v>563358</v>
          </cell>
          <cell r="B5563" t="str">
            <v>Poseholder 3000 S M.STEL  Galvaniseret</v>
          </cell>
          <cell r="C5563" t="str">
            <v>Filter bag cage 3000 S  Earthed Galvanized</v>
          </cell>
          <cell r="D5563">
            <v>402</v>
          </cell>
          <cell r="E5563">
            <v>54.032258064516128</v>
          </cell>
        </row>
        <row r="5564">
          <cell r="A5564">
            <v>563452</v>
          </cell>
          <cell r="B5564" t="str">
            <v>Elevator rem FR 2800 B =200</v>
          </cell>
          <cell r="C5564" t="str">
            <v>Bucket belt FR 2800 B =200</v>
          </cell>
          <cell r="D5564">
            <v>322</v>
          </cell>
          <cell r="E5564">
            <v>43.279569892473113</v>
          </cell>
        </row>
        <row r="5565">
          <cell r="A5565">
            <v>563505</v>
          </cell>
          <cell r="B5565" t="str">
            <v>Nippelrør 3/4"x60mm</v>
          </cell>
          <cell r="C5565" t="str">
            <v>Nipple pipe 3/4"x60mm</v>
          </cell>
          <cell r="D5565">
            <v>18</v>
          </cell>
          <cell r="E5565">
            <v>2.4193548387096775</v>
          </cell>
        </row>
        <row r="5566">
          <cell r="A5566">
            <v>563805</v>
          </cell>
          <cell r="B5566" t="str">
            <v>Gear   I = 1:56</v>
          </cell>
          <cell r="C5566" t="str">
            <v>Gear unit  I =1:56</v>
          </cell>
          <cell r="D5566">
            <v>2975</v>
          </cell>
          <cell r="E5566">
            <v>399.86559139784941</v>
          </cell>
        </row>
        <row r="5567">
          <cell r="A5567">
            <v>563806</v>
          </cell>
          <cell r="B5567" t="str">
            <v>Gear   I = 1:30</v>
          </cell>
          <cell r="C5567" t="str">
            <v>Gear unit  I = 1:30</v>
          </cell>
          <cell r="D5567">
            <v>2850</v>
          </cell>
          <cell r="E5567">
            <v>383.06451612903226</v>
          </cell>
        </row>
        <row r="5568">
          <cell r="A5568">
            <v>563807</v>
          </cell>
          <cell r="B5568" t="str">
            <v>Gear   I = 1:20</v>
          </cell>
          <cell r="C5568" t="str">
            <v>Gear unit  I = 1:20</v>
          </cell>
          <cell r="D5568">
            <v>2850</v>
          </cell>
          <cell r="E5568">
            <v>383.06451612903226</v>
          </cell>
        </row>
        <row r="5569">
          <cell r="A5569">
            <v>563808</v>
          </cell>
          <cell r="B5569" t="str">
            <v>Gear   I = 1:20</v>
          </cell>
          <cell r="C5569" t="str">
            <v>Gear unit  I = 1:20</v>
          </cell>
          <cell r="D5569">
            <v>2850</v>
          </cell>
          <cell r="E5569">
            <v>383.06451612903226</v>
          </cell>
        </row>
        <row r="5570">
          <cell r="A5570">
            <v>563810</v>
          </cell>
          <cell r="B5570" t="str">
            <v xml:space="preserve">Motor 1,5 kw </v>
          </cell>
          <cell r="C5570" t="str">
            <v>Motor 1,5 kw</v>
          </cell>
          <cell r="D5570">
            <v>3165</v>
          </cell>
          <cell r="E5570">
            <v>425.40322580645159</v>
          </cell>
        </row>
        <row r="5571">
          <cell r="A5571">
            <v>563937</v>
          </cell>
          <cell r="B5571" t="str">
            <v xml:space="preserve">Poseholder 1800 S M.STEL  Galvaniseret </v>
          </cell>
          <cell r="C5571" t="str">
            <v>Filter bag cage 1800 S  Earthed Galvanized</v>
          </cell>
          <cell r="D5571">
            <v>331</v>
          </cell>
          <cell r="E5571">
            <v>44.489247311827953</v>
          </cell>
        </row>
        <row r="5572">
          <cell r="A5572">
            <v>564030</v>
          </cell>
          <cell r="B5572" t="str">
            <v>KBS18 Rør komplet 2480  EF</v>
          </cell>
          <cell r="C5572" t="str">
            <v>KBS 18 Elevator pipe. L =2480  Stainless Steel</v>
          </cell>
          <cell r="D5572">
            <v>5260</v>
          </cell>
          <cell r="E5572">
            <v>706.98924731182797</v>
          </cell>
        </row>
        <row r="5573">
          <cell r="A5573">
            <v>564036</v>
          </cell>
          <cell r="B5573" t="str">
            <v>KBS 18 Strammelem Kompl.</v>
          </cell>
          <cell r="C5573" t="str">
            <v>KBS 18 Elevator pipe Vith inspection hatch</v>
          </cell>
          <cell r="D5573">
            <v>8600</v>
          </cell>
          <cell r="E5573">
            <v>1155.9139784946235</v>
          </cell>
        </row>
        <row r="5574">
          <cell r="A5574">
            <v>564326</v>
          </cell>
          <cell r="B5574" t="str">
            <v>Poseholder 1800 TT AS  Galvaniseret</v>
          </cell>
          <cell r="C5574" t="str">
            <v>Filter bag cage 1800 TT AS Galvanized</v>
          </cell>
          <cell r="D5574">
            <v>345</v>
          </cell>
          <cell r="E5574">
            <v>46.37096774193548</v>
          </cell>
        </row>
        <row r="5575">
          <cell r="A5575">
            <v>564336</v>
          </cell>
          <cell r="B5575" t="str">
            <v>Poseholder 2400 T   AS Galvaniseret</v>
          </cell>
          <cell r="C5575" t="str">
            <v>Filter bag cage 2400 T  AS  Galvanized</v>
          </cell>
          <cell r="D5575">
            <v>374</v>
          </cell>
          <cell r="E5575">
            <v>50.268817204301072</v>
          </cell>
        </row>
        <row r="5576">
          <cell r="A5576">
            <v>564677</v>
          </cell>
          <cell r="B5576" t="str">
            <v>E500-250 Håndhjul</v>
          </cell>
          <cell r="C5576" t="str">
            <v>E500 -250 Hand wheel</v>
          </cell>
          <cell r="D5576">
            <v>635</v>
          </cell>
          <cell r="E5576">
            <v>85.349462365591393</v>
          </cell>
        </row>
        <row r="5577">
          <cell r="A5577">
            <v>564744</v>
          </cell>
          <cell r="B5577" t="str">
            <v>2KTV Ventilatorrotor venstre</v>
          </cell>
          <cell r="C5577" t="str">
            <v>2KTV Fan rotor left</v>
          </cell>
          <cell r="D5577">
            <v>7878</v>
          </cell>
          <cell r="E5577">
            <v>1058.8709677419354</v>
          </cell>
        </row>
        <row r="5578">
          <cell r="A5578">
            <v>564755</v>
          </cell>
          <cell r="B5578" t="str">
            <v>Gear ED 2150 FS/20/S45 CR1</v>
          </cell>
          <cell r="C5578" t="str">
            <v>Gear ED 2150 FS/20/S45 CR1</v>
          </cell>
          <cell r="D5578">
            <v>33500</v>
          </cell>
          <cell r="E5578">
            <v>4502.6881720430101</v>
          </cell>
        </row>
        <row r="5579">
          <cell r="A5579">
            <v>564912</v>
          </cell>
          <cell r="B5579" t="str">
            <v>Kontraventil  NV 6- 1/4"</v>
          </cell>
          <cell r="C5579" t="str">
            <v>Non-return valve  NV &amp;-1/4 "</v>
          </cell>
          <cell r="D5579">
            <v>160</v>
          </cell>
          <cell r="E5579">
            <v>21.50537634408602</v>
          </cell>
        </row>
        <row r="5580">
          <cell r="A5580">
            <v>565038</v>
          </cell>
          <cell r="B5580" t="str">
            <v>Malebro T-model</v>
          </cell>
          <cell r="C5580" t="str">
            <v>Grinding bridge</v>
          </cell>
          <cell r="D5580">
            <v>21730</v>
          </cell>
          <cell r="E5580">
            <v>2920.6989247311826</v>
          </cell>
        </row>
        <row r="5581">
          <cell r="A5581">
            <v>565240</v>
          </cell>
          <cell r="B5581" t="str">
            <v xml:space="preserve">Slange Ø8/6 pu blå     </v>
          </cell>
          <cell r="C5581" t="str">
            <v>Hose ø8/6  pu blue</v>
          </cell>
          <cell r="D5581">
            <v>22.5</v>
          </cell>
          <cell r="E5581">
            <v>3.0241935483870965</v>
          </cell>
        </row>
        <row r="5582">
          <cell r="A5582">
            <v>565606</v>
          </cell>
          <cell r="B5582" t="str">
            <v>Gear ED 2065 FS/25/S45 CR1</v>
          </cell>
          <cell r="C5582" t="str">
            <v>Gear ED 2065 FS/25/S45 CR1</v>
          </cell>
          <cell r="D5582">
            <v>18500</v>
          </cell>
          <cell r="E5582">
            <v>2486.5591397849462</v>
          </cell>
        </row>
        <row r="5583">
          <cell r="A5583">
            <v>565745</v>
          </cell>
          <cell r="B5583" t="str">
            <v>Gaffel for luftcylinder</v>
          </cell>
          <cell r="C5583" t="str">
            <v>Fork for aircylinder</v>
          </cell>
          <cell r="D5583">
            <v>99</v>
          </cell>
          <cell r="E5583">
            <v>13.306451612903226</v>
          </cell>
        </row>
        <row r="5584">
          <cell r="A5584">
            <v>565986</v>
          </cell>
          <cell r="B5584" t="str">
            <v>Buffer</v>
          </cell>
          <cell r="C5584" t="str">
            <v>Buffer</v>
          </cell>
          <cell r="D5584">
            <v>541</v>
          </cell>
          <cell r="E5584">
            <v>72.715053763440849</v>
          </cell>
        </row>
        <row r="5585">
          <cell r="A5585">
            <v>566038</v>
          </cell>
          <cell r="B5585" t="str">
            <v>Poseholder 3600 T M.STEL  Galvaniseret</v>
          </cell>
          <cell r="C5585" t="str">
            <v>Fitler bag cage 3600 T  Earthed Galvanized</v>
          </cell>
          <cell r="D5585">
            <v>482</v>
          </cell>
          <cell r="E5585">
            <v>64.784946236559136</v>
          </cell>
        </row>
        <row r="5586">
          <cell r="A5586">
            <v>566146</v>
          </cell>
          <cell r="B5586" t="str">
            <v>Facetskive Ø12 DIN125A</v>
          </cell>
          <cell r="C5586" t="str">
            <v>Washer Ø12 DIN125A</v>
          </cell>
          <cell r="D5586">
            <v>0.6</v>
          </cell>
          <cell r="E5586">
            <v>8.0645161290322578E-2</v>
          </cell>
        </row>
        <row r="5587">
          <cell r="A5587">
            <v>566147</v>
          </cell>
          <cell r="B5587" t="str">
            <v>Facetskive Ø16 DIN125A</v>
          </cell>
          <cell r="C5587" t="str">
            <v>Washer Ø16 DIN125A</v>
          </cell>
          <cell r="D5587">
            <v>1.1000000000000001</v>
          </cell>
          <cell r="E5587">
            <v>0.14784946236559141</v>
          </cell>
        </row>
        <row r="5588">
          <cell r="A5588">
            <v>566235</v>
          </cell>
          <cell r="B5588" t="str">
            <v>6kt skrue M12x160 A 2DIN 931</v>
          </cell>
          <cell r="C5588" t="str">
            <v>Hex. Screw M12 x 160 A2 DIN931</v>
          </cell>
          <cell r="D5588">
            <v>30</v>
          </cell>
          <cell r="E5588">
            <v>4.032258064516129</v>
          </cell>
        </row>
        <row r="5589">
          <cell r="A5589">
            <v>566486</v>
          </cell>
          <cell r="B5589" t="str">
            <v>Cylinder</v>
          </cell>
          <cell r="C5589" t="str">
            <v>Cylinder</v>
          </cell>
          <cell r="D5589">
            <v>2480</v>
          </cell>
          <cell r="E5589">
            <v>333.33333333333331</v>
          </cell>
        </row>
        <row r="5590">
          <cell r="A5590">
            <v>566630</v>
          </cell>
          <cell r="B5590" t="str">
            <v>Gasdæmper</v>
          </cell>
          <cell r="C5590" t="str">
            <v xml:space="preserve">Gasdamper </v>
          </cell>
          <cell r="D5590">
            <v>191</v>
          </cell>
          <cell r="E5590">
            <v>25.672043010752688</v>
          </cell>
        </row>
        <row r="5591">
          <cell r="A5591">
            <v>566916</v>
          </cell>
          <cell r="B5591" t="str">
            <v>Poseholder 2400 T   AS AISI 304</v>
          </cell>
          <cell r="C5591" t="str">
            <v>Filter bag cage 2400 T  AS  Stainless</v>
          </cell>
          <cell r="D5591">
            <v>660</v>
          </cell>
          <cell r="E5591">
            <v>88.709677419354833</v>
          </cell>
        </row>
        <row r="5592">
          <cell r="A5592">
            <v>566929</v>
          </cell>
          <cell r="B5592" t="str">
            <v>Poseholder 1200 TT  Galvaniseret</v>
          </cell>
          <cell r="C5592" t="str">
            <v>Filter bag cage 1200 TT  Galvanized</v>
          </cell>
          <cell r="D5592">
            <v>216</v>
          </cell>
          <cell r="E5592">
            <v>29.032258064516128</v>
          </cell>
        </row>
        <row r="5593">
          <cell r="A5593">
            <v>567303</v>
          </cell>
          <cell r="B5593" t="str">
            <v>Magnetventil for væskeventil</v>
          </cell>
          <cell r="C5593" t="str">
            <v>Solenoid valve fori nlet valve</v>
          </cell>
          <cell r="D5593">
            <v>689</v>
          </cell>
          <cell r="E5593">
            <v>92.607526881720432</v>
          </cell>
        </row>
        <row r="5594">
          <cell r="A5594">
            <v>567304</v>
          </cell>
          <cell r="B5594" t="str">
            <v>Poseholder 1200 S   AS AISI 304</v>
          </cell>
          <cell r="C5594" t="str">
            <v>Filter bag cage 1200 S  AS  Stainless</v>
          </cell>
          <cell r="D5594">
            <v>374</v>
          </cell>
          <cell r="E5594">
            <v>50.268817204301072</v>
          </cell>
        </row>
        <row r="5595">
          <cell r="A5595">
            <v>567341</v>
          </cell>
          <cell r="B5595" t="str">
            <v>Poseholder 1200 S   AS Galvaniseret</v>
          </cell>
          <cell r="C5595" t="str">
            <v>Filter bag cage 1200 S  AS  Galvanized</v>
          </cell>
          <cell r="D5595">
            <v>294</v>
          </cell>
          <cell r="E5595">
            <v>39.516129032258064</v>
          </cell>
        </row>
        <row r="5596">
          <cell r="A5596">
            <v>567414</v>
          </cell>
          <cell r="B5596" t="str">
            <v>Poseholder 4200 T   Galvaniseret</v>
          </cell>
          <cell r="C5596" t="str">
            <v>Filter bag cage 4200 T    Galvanized</v>
          </cell>
          <cell r="D5596">
            <v>460</v>
          </cell>
          <cell r="E5596">
            <v>61.827956989247312</v>
          </cell>
        </row>
        <row r="5597">
          <cell r="A5597">
            <v>567457</v>
          </cell>
          <cell r="B5597" t="str">
            <v>Mikrokontakt Telemecanique ZCK-M7</v>
          </cell>
          <cell r="C5597" t="str">
            <v>Micro switch Telemecanique ZCK-M7</v>
          </cell>
          <cell r="D5597">
            <v>219</v>
          </cell>
          <cell r="E5597">
            <v>29.43548387096774</v>
          </cell>
        </row>
        <row r="5598">
          <cell r="A5598">
            <v>567458</v>
          </cell>
          <cell r="B5598" t="str">
            <v>Hoved for micro kontakt</v>
          </cell>
          <cell r="C5598" t="str">
            <v>Head for switch</v>
          </cell>
          <cell r="D5598">
            <v>85</v>
          </cell>
          <cell r="E5598">
            <v>11.424731182795698</v>
          </cell>
        </row>
        <row r="5599">
          <cell r="A5599">
            <v>567592</v>
          </cell>
          <cell r="B5599" t="str">
            <v>VB 12,5 + 16 Glideplade bund</v>
          </cell>
          <cell r="C5599" t="str">
            <v>VB 12,5-16  Glide bearing bottum</v>
          </cell>
          <cell r="D5599">
            <v>1950</v>
          </cell>
          <cell r="E5599">
            <v>262.09677419354836</v>
          </cell>
        </row>
        <row r="5600">
          <cell r="A5600">
            <v>567643</v>
          </cell>
          <cell r="B5600" t="str">
            <v>Signalomsætter</v>
          </cell>
          <cell r="C5600" t="str">
            <v>Signal converter</v>
          </cell>
          <cell r="D5600">
            <v>20246</v>
          </cell>
          <cell r="E5600">
            <v>2721.2365591397847</v>
          </cell>
        </row>
        <row r="5601">
          <cell r="A5601">
            <v>568225</v>
          </cell>
          <cell r="B5601" t="str">
            <v>Multi lågelås komplet alle str.</v>
          </cell>
          <cell r="C5601" t="str">
            <v>Door lock complete</v>
          </cell>
          <cell r="D5601">
            <v>16264</v>
          </cell>
          <cell r="E5601">
            <v>2186.0215053763441</v>
          </cell>
        </row>
        <row r="5602">
          <cell r="A5602">
            <v>568284</v>
          </cell>
          <cell r="B5602" t="str">
            <v>Flange</v>
          </cell>
          <cell r="C5602" t="str">
            <v>Flange</v>
          </cell>
          <cell r="D5602">
            <v>318</v>
          </cell>
          <cell r="E5602">
            <v>42.741935483870968</v>
          </cell>
        </row>
        <row r="5603">
          <cell r="A5603">
            <v>568296</v>
          </cell>
          <cell r="B5603" t="str">
            <v>Nippelrør 1”</v>
          </cell>
          <cell r="C5603" t="str">
            <v>Closed nipple 1”</v>
          </cell>
          <cell r="D5603">
            <v>12</v>
          </cell>
          <cell r="E5603">
            <v>1.6129032258064515</v>
          </cell>
        </row>
        <row r="5604">
          <cell r="A5604">
            <v>568486</v>
          </cell>
          <cell r="B5604" t="str">
            <v>Gearmotor SEW 1,5 Kw</v>
          </cell>
          <cell r="C5604" t="str">
            <v>Gear motor SEW 1,5 Kw</v>
          </cell>
          <cell r="D5604">
            <v>6850</v>
          </cell>
          <cell r="E5604">
            <v>920.69892473118273</v>
          </cell>
        </row>
        <row r="5605">
          <cell r="A5605">
            <v>568650</v>
          </cell>
          <cell r="B5605" t="str">
            <v>Elevator rem FR 2800 B =150</v>
          </cell>
          <cell r="C5605" t="str">
            <v>Bucket belt FR 2800 B =150</v>
          </cell>
          <cell r="D5605">
            <v>235</v>
          </cell>
          <cell r="E5605">
            <v>31.586021505376344</v>
          </cell>
        </row>
        <row r="5606">
          <cell r="A5606">
            <v>568941</v>
          </cell>
          <cell r="B5606" t="str">
            <v>Lejedæksel</v>
          </cell>
          <cell r="C5606" t="str">
            <v>Bearing cover</v>
          </cell>
          <cell r="D5606">
            <v>23</v>
          </cell>
          <cell r="E5606">
            <v>3.0913978494623655</v>
          </cell>
        </row>
        <row r="5607">
          <cell r="A5607">
            <v>568993</v>
          </cell>
          <cell r="B5607" t="str">
            <v>Gear   ED 2045 FS/25/S45 CR1</v>
          </cell>
          <cell r="C5607" t="str">
            <v>Gear   ED 2045 FS/25/S45 CR1</v>
          </cell>
          <cell r="D5607">
            <v>14200</v>
          </cell>
          <cell r="E5607">
            <v>1908.6021505376343</v>
          </cell>
        </row>
        <row r="5608">
          <cell r="A5608">
            <v>569274</v>
          </cell>
          <cell r="B5608" t="str">
            <v>Målehoved</v>
          </cell>
          <cell r="C5608" t="str">
            <v>Metering head</v>
          </cell>
          <cell r="D5608">
            <v>28832</v>
          </cell>
          <cell r="E5608">
            <v>3875.2688172043008</v>
          </cell>
        </row>
        <row r="5609">
          <cell r="A5609">
            <v>569303</v>
          </cell>
          <cell r="B5609" t="str">
            <v>Facetskive Ø20 DIN 125 A</v>
          </cell>
          <cell r="C5609" t="str">
            <v>Washer Ø20 DIN 125 A</v>
          </cell>
          <cell r="D5609">
            <v>2.2000000000000002</v>
          </cell>
          <cell r="E5609">
            <v>0.29569892473118281</v>
          </cell>
        </row>
        <row r="5610">
          <cell r="A5610">
            <v>569715</v>
          </cell>
          <cell r="B5610" t="str">
            <v>Fjeder 2 x 28 x 50</v>
          </cell>
          <cell r="C5610" t="str">
            <v>Spring 2 x 28 x 50</v>
          </cell>
          <cell r="D5610">
            <v>138</v>
          </cell>
          <cell r="E5610">
            <v>18.548387096774192</v>
          </cell>
        </row>
        <row r="5611">
          <cell r="A5611">
            <v>569851</v>
          </cell>
          <cell r="B5611" t="str">
            <v>O-ring 2,69 x 34,59</v>
          </cell>
          <cell r="C5611" t="str">
            <v>O-ring 2,69 x 34,59</v>
          </cell>
          <cell r="D5611">
            <v>0.8</v>
          </cell>
          <cell r="E5611">
            <v>0.10752688172043011</v>
          </cell>
        </row>
        <row r="5612">
          <cell r="A5612">
            <v>570038</v>
          </cell>
          <cell r="B5612" t="str">
            <v>Låsering</v>
          </cell>
          <cell r="C5612" t="str">
            <v>Lock ring</v>
          </cell>
          <cell r="D5612">
            <v>0.5</v>
          </cell>
          <cell r="E5612">
            <v>6.7204301075268813E-2</v>
          </cell>
        </row>
        <row r="5613">
          <cell r="A5613">
            <v>570280</v>
          </cell>
          <cell r="B5613" t="str">
            <v>Cirkulationspumpe, 230V-60Hz</v>
          </cell>
          <cell r="C5613" t="str">
            <v>Circulation pump 230V-60Hz</v>
          </cell>
          <cell r="D5613">
            <v>2141</v>
          </cell>
          <cell r="E5613">
            <v>287.76881720430106</v>
          </cell>
        </row>
        <row r="5614">
          <cell r="A5614">
            <v>570290</v>
          </cell>
          <cell r="B5614" t="str">
            <v>Tætningsring 070X090X10 A Viton</v>
          </cell>
          <cell r="C5614" t="str">
            <v>Sealing  ring</v>
          </cell>
          <cell r="D5614">
            <v>86</v>
          </cell>
          <cell r="E5614">
            <v>11.559139784946236</v>
          </cell>
        </row>
        <row r="5615">
          <cell r="A5615">
            <v>572026</v>
          </cell>
          <cell r="B5615" t="str">
            <v>Styrering</v>
          </cell>
          <cell r="C5615" t="str">
            <v>Guide ring</v>
          </cell>
          <cell r="D5615">
            <v>29</v>
          </cell>
          <cell r="E5615">
            <v>3.897849462365591</v>
          </cell>
        </row>
        <row r="5616">
          <cell r="A5616">
            <v>572027</v>
          </cell>
          <cell r="B5616" t="str">
            <v>Aksel – komplet - højre udf.  HPB 500</v>
          </cell>
          <cell r="C5616" t="str">
            <v>Shaft  – complete – right .</v>
          </cell>
          <cell r="D5616">
            <v>11130</v>
          </cell>
          <cell r="E5616">
            <v>1495.9677419354839</v>
          </cell>
        </row>
        <row r="5617">
          <cell r="A5617">
            <v>572380</v>
          </cell>
          <cell r="B5617" t="str">
            <v>Cylinder</v>
          </cell>
          <cell r="C5617" t="str">
            <v>Cylinder</v>
          </cell>
          <cell r="D5617">
            <v>3085</v>
          </cell>
          <cell r="E5617">
            <v>414.65053763440858</v>
          </cell>
        </row>
        <row r="5618">
          <cell r="A5618">
            <v>572421</v>
          </cell>
          <cell r="B5618" t="str">
            <v>Leje</v>
          </cell>
          <cell r="C5618" t="str">
            <v>Bearing</v>
          </cell>
          <cell r="D5618">
            <v>281</v>
          </cell>
          <cell r="E5618">
            <v>37.768817204301072</v>
          </cell>
        </row>
        <row r="5619">
          <cell r="A5619">
            <v>572503</v>
          </cell>
          <cell r="B5619" t="str">
            <v>Låg med malebro, kød/benmel 1000A</v>
          </cell>
          <cell r="C5619" t="str">
            <v>Grinding bridge, meat and bone</v>
          </cell>
          <cell r="D5619">
            <v>24487</v>
          </cell>
          <cell r="E5619">
            <v>3291.2634408602148</v>
          </cell>
        </row>
        <row r="5620">
          <cell r="A5620">
            <v>572555</v>
          </cell>
          <cell r="B5620" t="str">
            <v>Kabelhoved f.sploe (ej vist)</v>
          </cell>
          <cell r="C5620" t="str">
            <v>Cable head for spool (not shown)</v>
          </cell>
          <cell r="D5620">
            <v>28</v>
          </cell>
          <cell r="E5620">
            <v>3.7634408602150535</v>
          </cell>
        </row>
        <row r="5621">
          <cell r="A5621">
            <v>572556</v>
          </cell>
          <cell r="B5621" t="str">
            <v>Magnetventil u. spole (ej vis)t</v>
          </cell>
          <cell r="C5621" t="str">
            <v>Solenoid valve without spool (not shown)</v>
          </cell>
          <cell r="D5621">
            <v>260</v>
          </cell>
          <cell r="E5621">
            <v>34.946236559139784</v>
          </cell>
        </row>
        <row r="5622">
          <cell r="A5622">
            <v>572619</v>
          </cell>
          <cell r="B5622" t="str">
            <v>Håndhjul ø25 DIN950 M12</v>
          </cell>
          <cell r="C5622" t="str">
            <v>Hand wheel ø125 DIN950 M12</v>
          </cell>
          <cell r="D5622">
            <v>345</v>
          </cell>
          <cell r="E5622">
            <v>46.37096774193548</v>
          </cell>
        </row>
        <row r="5623">
          <cell r="A5623">
            <v>572620</v>
          </cell>
          <cell r="B5623" t="str">
            <v>Håndhjul Ø125 DIN950 GG M16</v>
          </cell>
          <cell r="C5623" t="str">
            <v>Hand wheel</v>
          </cell>
          <cell r="D5623">
            <v>371</v>
          </cell>
          <cell r="E5623">
            <v>49.865591397849457</v>
          </cell>
        </row>
        <row r="5624">
          <cell r="A5624">
            <v>572665</v>
          </cell>
          <cell r="B5624" t="str">
            <v>Cylinder</v>
          </cell>
          <cell r="C5624" t="str">
            <v>Cylinder</v>
          </cell>
          <cell r="D5624">
            <v>2942</v>
          </cell>
          <cell r="E5624">
            <v>395.43010752688173</v>
          </cell>
        </row>
        <row r="5625">
          <cell r="A5625">
            <v>573166</v>
          </cell>
          <cell r="B5625" t="str">
            <v>Oliebronzeleje</v>
          </cell>
          <cell r="C5625" t="str">
            <v>Bronze bearing</v>
          </cell>
          <cell r="D5625">
            <v>195</v>
          </cell>
          <cell r="E5625">
            <v>26.209677419354836</v>
          </cell>
        </row>
        <row r="5626">
          <cell r="A5626">
            <v>573409</v>
          </cell>
          <cell r="B5626" t="str">
            <v>Poseholder 3600 S M.STEL  Galvaniseret</v>
          </cell>
          <cell r="C5626" t="str">
            <v>Filter bag cage 3600 S  Earthed Galvanized</v>
          </cell>
          <cell r="D5626">
            <v>465</v>
          </cell>
          <cell r="E5626">
            <v>62.5</v>
          </cell>
        </row>
        <row r="5627">
          <cell r="A5627">
            <v>574417</v>
          </cell>
          <cell r="B5627" t="str">
            <v>Magnetventil</v>
          </cell>
          <cell r="C5627" t="str">
            <v>Solenoid valve</v>
          </cell>
          <cell r="D5627">
            <v>583</v>
          </cell>
          <cell r="E5627">
            <v>78.36021505376344</v>
          </cell>
        </row>
        <row r="5628">
          <cell r="A5628">
            <v>574419</v>
          </cell>
          <cell r="B5628" t="str">
            <v>Bundplade VG35</v>
          </cell>
          <cell r="C5628" t="str">
            <v>Botten plate VG35</v>
          </cell>
          <cell r="D5628">
            <v>207</v>
          </cell>
          <cell r="E5628">
            <v>27.822580645161288</v>
          </cell>
        </row>
        <row r="5629">
          <cell r="A5629">
            <v>574432</v>
          </cell>
          <cell r="B5629" t="str">
            <v>Kabelende</v>
          </cell>
          <cell r="C5629" t="str">
            <v>Cable end</v>
          </cell>
          <cell r="D5629">
            <v>28</v>
          </cell>
          <cell r="E5629">
            <v>3.7634408602150535</v>
          </cell>
        </row>
        <row r="5630">
          <cell r="A5630">
            <v>574930</v>
          </cell>
          <cell r="B5630" t="str">
            <v xml:space="preserve">Elevator rem  polisur </v>
          </cell>
          <cell r="C5630" t="str">
            <v>Bucket belt</v>
          </cell>
          <cell r="D5630">
            <v>337</v>
          </cell>
          <cell r="E5630">
            <v>45.295698924731184</v>
          </cell>
        </row>
        <row r="5631">
          <cell r="A5631">
            <v>575020</v>
          </cell>
          <cell r="B5631" t="str">
            <v>Omdrejningsvagt-komplet</v>
          </cell>
          <cell r="C5631" t="str">
            <v>Rotation guard</v>
          </cell>
          <cell r="D5631">
            <v>1250</v>
          </cell>
          <cell r="E5631">
            <v>168.01075268817203</v>
          </cell>
        </row>
        <row r="5632">
          <cell r="A5632">
            <v>575026</v>
          </cell>
          <cell r="B5632" t="str">
            <v>Lågelås komplet</v>
          </cell>
          <cell r="C5632" t="str">
            <v>Door lock complete</v>
          </cell>
          <cell r="D5632">
            <v>11130</v>
          </cell>
          <cell r="E5632">
            <v>1495.9677419354839</v>
          </cell>
        </row>
        <row r="5633">
          <cell r="A5633">
            <v>575331</v>
          </cell>
          <cell r="B5633" t="str">
            <v>Monteringssæt, 2 bolte M6x35</v>
          </cell>
          <cell r="C5633" t="str">
            <v>Assembly set, 2 bolts M6x35</v>
          </cell>
          <cell r="D5633">
            <v>1.4</v>
          </cell>
          <cell r="E5633">
            <v>0.18817204301075266</v>
          </cell>
        </row>
        <row r="5634">
          <cell r="A5634">
            <v>575390</v>
          </cell>
          <cell r="B5634" t="str">
            <v>Cyl skrue M8x60 DIN912 FZB</v>
          </cell>
          <cell r="C5634" t="str">
            <v>Round headed screw M8x60 DIN912 FZB</v>
          </cell>
          <cell r="D5634">
            <v>19.100000000000001</v>
          </cell>
          <cell r="E5634">
            <v>2.567204301075269</v>
          </cell>
        </row>
        <row r="5635">
          <cell r="A5635">
            <v>575393</v>
          </cell>
          <cell r="B5635" t="str">
            <v>Cyl. Skrue M5 x 70 8.8 DIN 912</v>
          </cell>
          <cell r="C5635" t="str">
            <v>Cyl. Screw M5 x 70 8.8 DIN 912</v>
          </cell>
          <cell r="D5635">
            <v>2.2000000000000002</v>
          </cell>
          <cell r="E5635">
            <v>0.29569892473118281</v>
          </cell>
        </row>
        <row r="5636">
          <cell r="A5636">
            <v>575599</v>
          </cell>
          <cell r="B5636" t="str">
            <v>Akselmøtrik KM25 M125 x 2</v>
          </cell>
          <cell r="C5636" t="str">
            <v>Shaft nut KM25 M125 x 2</v>
          </cell>
          <cell r="D5636">
            <v>223</v>
          </cell>
          <cell r="E5636">
            <v>29.973118279569892</v>
          </cell>
        </row>
        <row r="5637">
          <cell r="A5637">
            <v>575600</v>
          </cell>
          <cell r="B5637" t="str">
            <v>Låseblik MB25 Ø125 x 2</v>
          </cell>
          <cell r="C5637" t="str">
            <v>Locking washer MB25 Ø125 x 2</v>
          </cell>
          <cell r="D5637">
            <v>58</v>
          </cell>
          <cell r="E5637">
            <v>7.7956989247311821</v>
          </cell>
        </row>
        <row r="5638">
          <cell r="A5638">
            <v>575649</v>
          </cell>
          <cell r="B5638" t="str">
            <v>Tallerkenfjeder Ø70,0 x 35,5 x 3,0</v>
          </cell>
          <cell r="C5638" t="str">
            <v>Disc spring Ø70 – 35,5 x 3,0</v>
          </cell>
          <cell r="D5638">
            <v>24</v>
          </cell>
          <cell r="E5638">
            <v>3.225806451612903</v>
          </cell>
        </row>
        <row r="5639">
          <cell r="A5639">
            <v>576022</v>
          </cell>
          <cell r="B5639" t="str">
            <v>Målehoved</v>
          </cell>
          <cell r="C5639" t="str">
            <v>Metering head</v>
          </cell>
          <cell r="D5639">
            <v>27772</v>
          </cell>
          <cell r="E5639">
            <v>3732.7956989247309</v>
          </cell>
        </row>
        <row r="5640">
          <cell r="A5640">
            <v>576248</v>
          </cell>
          <cell r="B5640" t="str">
            <v>Prop ½”</v>
          </cell>
          <cell r="C5640" t="str">
            <v>Plug ½”</v>
          </cell>
          <cell r="D5640">
            <v>66</v>
          </cell>
          <cell r="E5640">
            <v>8.870967741935484</v>
          </cell>
        </row>
        <row r="5641">
          <cell r="A5641">
            <v>576348</v>
          </cell>
          <cell r="B5641" t="str">
            <v>Prop ½”</v>
          </cell>
          <cell r="C5641" t="str">
            <v>Plug ½”</v>
          </cell>
          <cell r="D5641">
            <v>34</v>
          </cell>
          <cell r="E5641">
            <v>4.5698924731182791</v>
          </cell>
        </row>
        <row r="5642">
          <cell r="A5642">
            <v>576413</v>
          </cell>
          <cell r="B5642" t="str">
            <v>Trykluftcylinder</v>
          </cell>
          <cell r="C5642" t="str">
            <v>Compressed air cylinder</v>
          </cell>
          <cell r="D5642">
            <v>675</v>
          </cell>
          <cell r="E5642">
            <v>90.725806451612897</v>
          </cell>
        </row>
        <row r="5643">
          <cell r="A5643">
            <v>576427</v>
          </cell>
          <cell r="B5643" t="str">
            <v xml:space="preserve">Kabelende </v>
          </cell>
          <cell r="C5643" t="str">
            <v xml:space="preserve">Cable end </v>
          </cell>
          <cell r="D5643">
            <v>27</v>
          </cell>
          <cell r="E5643">
            <v>3.629032258064516</v>
          </cell>
        </row>
        <row r="5644">
          <cell r="A5644">
            <v>576477</v>
          </cell>
          <cell r="B5644" t="str">
            <v>Cylinder C52M-50-20-150</v>
          </cell>
          <cell r="C5644" t="str">
            <v>Cylinder C52M-50-20-150</v>
          </cell>
          <cell r="D5644">
            <v>1352</v>
          </cell>
          <cell r="E5644">
            <v>181.72043010752688</v>
          </cell>
        </row>
        <row r="5645">
          <cell r="A5645">
            <v>576480</v>
          </cell>
          <cell r="B5645" t="str">
            <v>Cylinder</v>
          </cell>
          <cell r="C5645" t="str">
            <v>Cylinder</v>
          </cell>
          <cell r="D5645">
            <v>1643</v>
          </cell>
          <cell r="E5645">
            <v>220.83333333333331</v>
          </cell>
        </row>
        <row r="5646">
          <cell r="A5646">
            <v>576486</v>
          </cell>
          <cell r="B5646" t="str">
            <v>Cylinder</v>
          </cell>
          <cell r="C5646" t="str">
            <v>Cylinder</v>
          </cell>
          <cell r="D5646">
            <v>795</v>
          </cell>
          <cell r="E5646">
            <v>106.85483870967741</v>
          </cell>
        </row>
        <row r="5647">
          <cell r="A5647">
            <v>576516</v>
          </cell>
          <cell r="B5647" t="str">
            <v>Magnetventil 24VDC VGD-25-ER-ER-2CQ</v>
          </cell>
          <cell r="C5647" t="str">
            <v>Solenoid valve 24VDC VGD-25-ER-ER-2CQ</v>
          </cell>
          <cell r="D5647">
            <v>790</v>
          </cell>
          <cell r="E5647">
            <v>106.18279569892472</v>
          </cell>
        </row>
        <row r="5648">
          <cell r="A5648">
            <v>576523</v>
          </cell>
          <cell r="B5648" t="str">
            <v>Kuglegreb</v>
          </cell>
          <cell r="C5648" t="str">
            <v>Ball handel</v>
          </cell>
          <cell r="D5648">
            <v>14</v>
          </cell>
          <cell r="E5648">
            <v>1.8817204301075268</v>
          </cell>
        </row>
        <row r="5649">
          <cell r="A5649">
            <v>576588</v>
          </cell>
          <cell r="B5649" t="str">
            <v>Tætningsring A Ø060 x Ø080 x 8 Viton</v>
          </cell>
          <cell r="C5649" t="str">
            <v>Sealing ring A Ø060 x Ø080 x 8 Viton</v>
          </cell>
          <cell r="D5649">
            <v>104</v>
          </cell>
          <cell r="E5649">
            <v>13.978494623655914</v>
          </cell>
        </row>
        <row r="5650">
          <cell r="A5650">
            <v>576623</v>
          </cell>
          <cell r="B5650" t="str">
            <v>Ventil</v>
          </cell>
          <cell r="C5650" t="str">
            <v>Valve</v>
          </cell>
          <cell r="D5650">
            <v>225</v>
          </cell>
          <cell r="E5650">
            <v>30.241935483870964</v>
          </cell>
        </row>
        <row r="5651">
          <cell r="A5651">
            <v>576639</v>
          </cell>
          <cell r="B5651" t="str">
            <v>Inderring ø12Xø16x16</v>
          </cell>
          <cell r="C5651" t="str">
            <v>Inner ring ø12xø16x16</v>
          </cell>
          <cell r="D5651">
            <v>25</v>
          </cell>
          <cell r="E5651">
            <v>3.3602150537634405</v>
          </cell>
        </row>
        <row r="5652">
          <cell r="A5652">
            <v>576652</v>
          </cell>
          <cell r="B5652" t="str">
            <v>Hoved med rulle ZCK-D02</v>
          </cell>
          <cell r="C5652" t="str">
            <v>Head with roller ZCK-DO2</v>
          </cell>
          <cell r="D5652">
            <v>119</v>
          </cell>
          <cell r="E5652">
            <v>15.994623655913978</v>
          </cell>
        </row>
        <row r="5653">
          <cell r="A5653">
            <v>576813</v>
          </cell>
          <cell r="B5653" t="str">
            <v>Spole magnetventil soldspænder højre PARKER VF03-E-S-6+P00 24 V DC</v>
          </cell>
          <cell r="C5653" t="str">
            <v>Solenoid valve spool24V DC</v>
          </cell>
          <cell r="D5653">
            <v>201</v>
          </cell>
          <cell r="E5653">
            <v>27.016129032258064</v>
          </cell>
        </row>
        <row r="5654">
          <cell r="A5654">
            <v>576822</v>
          </cell>
          <cell r="B5654" t="str">
            <v>Lav vinkel 3/8”-ø8</v>
          </cell>
          <cell r="C5654" t="str">
            <v>Low elbow 3/8”-ø8</v>
          </cell>
          <cell r="D5654">
            <v>42</v>
          </cell>
          <cell r="E5654">
            <v>5.6451612903225801</v>
          </cell>
        </row>
        <row r="5655">
          <cell r="A5655">
            <v>576884</v>
          </cell>
          <cell r="B5655" t="str">
            <v>Luftcylinder</v>
          </cell>
          <cell r="C5655" t="str">
            <v>Air cylinder</v>
          </cell>
          <cell r="D5655">
            <v>2730</v>
          </cell>
          <cell r="E5655">
            <v>366.93548387096774</v>
          </cell>
        </row>
        <row r="5656">
          <cell r="A5656">
            <v>576912</v>
          </cell>
          <cell r="B5656" t="str">
            <v>Bundplade</v>
          </cell>
          <cell r="C5656" t="str">
            <v>Bracket</v>
          </cell>
          <cell r="D5656">
            <v>154</v>
          </cell>
          <cell r="E5656">
            <v>20.698924731182796</v>
          </cell>
        </row>
        <row r="5657">
          <cell r="A5657">
            <v>578659</v>
          </cell>
          <cell r="B5657" t="str">
            <v>Snegl 350/250 Højre</v>
          </cell>
          <cell r="C5657" t="str">
            <v>Screw 650/250 right</v>
          </cell>
          <cell r="D5657">
            <v>12400</v>
          </cell>
          <cell r="E5657">
            <v>1666.6666666666665</v>
          </cell>
        </row>
        <row r="5658">
          <cell r="A5658">
            <v>578660</v>
          </cell>
          <cell r="B5658" t="str">
            <v>Snegl 350/250 Venstre</v>
          </cell>
          <cell r="C5658" t="str">
            <v>Screw 315/250  left</v>
          </cell>
          <cell r="D5658">
            <v>12400</v>
          </cell>
          <cell r="E5658">
            <v>1666.6666666666665</v>
          </cell>
        </row>
        <row r="5659">
          <cell r="A5659">
            <v>578928</v>
          </cell>
          <cell r="B5659" t="str">
            <v>Bundplade</v>
          </cell>
          <cell r="C5659" t="str">
            <v>Bracket</v>
          </cell>
          <cell r="D5659">
            <v>154</v>
          </cell>
          <cell r="E5659">
            <v>20.698924731182796</v>
          </cell>
        </row>
        <row r="5660">
          <cell r="A5660">
            <v>579096</v>
          </cell>
          <cell r="B5660" t="str">
            <v>Niveaukontrol cyklonudskiller</v>
          </cell>
          <cell r="C5660" t="str">
            <v>Level control cyclone separator</v>
          </cell>
          <cell r="D5660">
            <v>2417</v>
          </cell>
          <cell r="E5660">
            <v>324.86559139784947</v>
          </cell>
        </row>
        <row r="5661">
          <cell r="A5661">
            <v>579238</v>
          </cell>
          <cell r="B5661" t="str">
            <v>Målehoved</v>
          </cell>
          <cell r="C5661" t="str">
            <v>Meter head</v>
          </cell>
          <cell r="D5661">
            <v>15370</v>
          </cell>
          <cell r="E5661">
            <v>2065.8602150537631</v>
          </cell>
        </row>
        <row r="5662">
          <cell r="A5662">
            <v>579520</v>
          </cell>
          <cell r="B5662" t="str">
            <v>Dysetip Bete  EF350</v>
          </cell>
          <cell r="C5662" t="str">
            <v>Nozzle tip  EF350</v>
          </cell>
          <cell r="D5662">
            <v>4134</v>
          </cell>
          <cell r="E5662">
            <v>555.64516129032256</v>
          </cell>
        </row>
        <row r="5663">
          <cell r="A5663">
            <v>579521</v>
          </cell>
          <cell r="B5663" t="str">
            <v>Forlænger for to-stof dyse</v>
          </cell>
          <cell r="C5663" t="str">
            <v>Extension for two-matter nozzle</v>
          </cell>
          <cell r="D5663">
            <v>2565</v>
          </cell>
          <cell r="E5663">
            <v>344.75806451612902</v>
          </cell>
        </row>
        <row r="5664">
          <cell r="A5664">
            <v>579646</v>
          </cell>
          <cell r="B5664" t="str">
            <v>Manometer</v>
          </cell>
          <cell r="C5664" t="str">
            <v>Manometer</v>
          </cell>
          <cell r="D5664">
            <v>816</v>
          </cell>
          <cell r="E5664">
            <v>109.6774193548387</v>
          </cell>
        </row>
        <row r="5665">
          <cell r="A5665">
            <v>579672</v>
          </cell>
          <cell r="B5665" t="str">
            <v>Fjedrende trykstykke</v>
          </cell>
          <cell r="C5665" t="str">
            <v>Springy pressure piece</v>
          </cell>
          <cell r="D5665">
            <v>83</v>
          </cell>
          <cell r="E5665">
            <v>11.155913978494622</v>
          </cell>
        </row>
        <row r="5666">
          <cell r="A5666">
            <v>579673</v>
          </cell>
          <cell r="B5666" t="str">
            <v>Oliebronceleje</v>
          </cell>
          <cell r="C5666" t="str">
            <v>Oil bronze bearing</v>
          </cell>
          <cell r="D5666">
            <v>111</v>
          </cell>
          <cell r="E5666">
            <v>14.919354838709676</v>
          </cell>
        </row>
        <row r="5667">
          <cell r="A5667">
            <v>579749</v>
          </cell>
          <cell r="B5667" t="str">
            <v>Vinkelfæste Parker P3AKA00MRN</v>
          </cell>
          <cell r="C5667" t="str">
            <v>Angle fastener Parker P3AKA00MRN</v>
          </cell>
          <cell r="D5667">
            <v>25</v>
          </cell>
          <cell r="E5667">
            <v>3.3602150537634405</v>
          </cell>
        </row>
        <row r="5668">
          <cell r="A5668">
            <v>579750</v>
          </cell>
          <cell r="B5668" t="str">
            <v>Manometer P3D-KAB1ALN</v>
          </cell>
          <cell r="C5668" t="str">
            <v>Gauge</v>
          </cell>
          <cell r="D5668">
            <v>25</v>
          </cell>
          <cell r="E5668">
            <v>3.3602150537634405</v>
          </cell>
        </row>
        <row r="5669">
          <cell r="A5669">
            <v>585021</v>
          </cell>
          <cell r="B5669" t="str">
            <v>Monteringssæt, 2 bolte M6x25</v>
          </cell>
          <cell r="C5669" t="str">
            <v>Assembly set, 2 bolts M6x25</v>
          </cell>
          <cell r="D5669">
            <v>1.4</v>
          </cell>
          <cell r="E5669">
            <v>0.18817204301075266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iew Sheet"/>
      <sheetName val="Quoted"/>
      <sheetName val="Quoted SP"/>
      <sheetName val="Discounts"/>
      <sheetName val="Data"/>
      <sheetName val="Sort"/>
      <sheetName val="AirLayout"/>
      <sheetName val="Edit"/>
      <sheetName val="Changes"/>
      <sheetName val="Systems"/>
      <sheetName val="Totals"/>
      <sheetName val="DChange"/>
      <sheetName val="DPort"/>
      <sheetName val="DModule"/>
      <sheetName val="DLead"/>
      <sheetName val="DAdd"/>
      <sheetName val="DAddHLP"/>
      <sheetName val="FInput"/>
      <sheetName val="DDoc"/>
      <sheetName val="DFreight"/>
      <sheetName val="Terms"/>
      <sheetName val="Module1"/>
      <sheetName val="Module3"/>
      <sheetName val="Modul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U3" t="str">
            <v>Bangkok (LCB or BMT)</v>
          </cell>
        </row>
        <row r="27">
          <cell r="U27" t="str">
            <v>CIF</v>
          </cell>
        </row>
        <row r="28">
          <cell r="U28" t="str">
            <v xml:space="preserve"> 4-8</v>
          </cell>
        </row>
      </sheetData>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T3-99"/>
      <sheetName val="T4-99"/>
      <sheetName val="T5-99"/>
      <sheetName val="T6-99"/>
      <sheetName val="T7-99"/>
      <sheetName val="T8-99"/>
      <sheetName val="T9-99"/>
      <sheetName val="T10-99"/>
      <sheetName val="T11-99"/>
      <sheetName val="T12-99"/>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00000000"/>
      <sheetName val="KHQ2"/>
      <sheetName val="KHT4,5-02"/>
      <sheetName val="KHVt "/>
      <sheetName val="KHVtt4"/>
      <sheetName val="KHVt XL"/>
      <sheetName val="KHVt XLT4"/>
      <sheetName val="TNHNoi"/>
      <sheetName val="Sheet3"/>
      <sheetName val="XL4Poppy"/>
      <sheetName val="TBA"/>
      <sheetName val="Netbook"/>
      <sheetName val="DZ"/>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4"/>
      <sheetName val="Sheet5"/>
      <sheetName val="DB"/>
      <sheetName val="XXXXXXXX"/>
      <sheetName val="Thep be"/>
      <sheetName val="Thep than"/>
      <sheetName val="Thep xa mu"/>
      <sheetName val="142201-T1-th"/>
      <sheetName val="142201-T1 "/>
      <sheetName val="142201-T2-th "/>
      <sheetName val="142201-T2"/>
      <sheetName val="142201-T3-th "/>
      <sheetName val="142201-T3"/>
      <sheetName val="142201-T4-th  "/>
      <sheetName val="142201-T4"/>
      <sheetName val="142201-T6"/>
      <sheetName val="142201-T10"/>
      <sheetName val="km248"/>
      <sheetName val="Kluong phu"/>
      <sheetName val="Lan can"/>
      <sheetName val="Ho lan"/>
      <sheetName val="Coc tieu"/>
      <sheetName val="Bien bao"/>
      <sheetName val="Ranh"/>
      <sheetName val="Tuongchan"/>
      <sheetName val="Op mai 274"/>
      <sheetName val="Op mai 275"/>
      <sheetName val="Op mai 276"/>
      <sheetName val="Op mai 277"/>
      <sheetName val="Op mai 278"/>
      <sheetName val="Op mai 279"/>
      <sheetName val="Op mai 280"/>
      <sheetName val="Op mai 281"/>
      <sheetName val="Op mai 282"/>
      <sheetName val="Op mai 283"/>
      <sheetName val="Km274-Km275"/>
      <sheetName val="Km275-Km276"/>
      <sheetName val="Km276-Km277"/>
      <sheetName val="Km277-Km278"/>
      <sheetName val="Km278-Km279"/>
      <sheetName val="Km279-Km280"/>
      <sheetName val="Km280-Km281"/>
      <sheetName val="Km281-Km282"/>
      <sheetName val="Km282-Km283"/>
      <sheetName val="Km283-Km284"/>
      <sheetName val="Km284-Km285"/>
      <sheetName val="Nenduong"/>
      <sheetName val="Op mai 284"/>
      <sheetName val="Op mai"/>
      <sheetName val="Sheet6"/>
      <sheetName val="Km274 - Km275"/>
      <sheetName val="Km275 - Km276"/>
      <sheetName val="Km276 - Km277"/>
      <sheetName val="Km277 - Km278 "/>
      <sheetName val="Km278 - Km279"/>
      <sheetName val="Km279 - Km280"/>
      <sheetName val="Km280 - Km281"/>
      <sheetName val="Km281 - Km282"/>
      <sheetName val="Km282 - Km283"/>
      <sheetName val="Km283 - Km284"/>
      <sheetName val="Km284 - Km285"/>
      <sheetName val="Tong hop Matduong"/>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Cong tron D75"/>
      <sheetName val="Cong tron D100"/>
      <sheetName val="Cong tron D150"/>
      <sheetName val="Cong tron 2D150"/>
      <sheetName val="Cong ban 1,0x1,0"/>
      <sheetName val="Cong ban 1,0x1,2"/>
      <sheetName val="Cong hop 1,5x1,5"/>
      <sheetName val="Cong hop 2,0x1,5"/>
      <sheetName val="Cong hop 2,0x2,0"/>
      <sheetName val="10000000"/>
      <sheetName val="Song trai"/>
      <sheetName val="Dinh+ha nha"/>
      <sheetName val="PTLK"/>
      <sheetName val="NG k"/>
      <sheetName val="THcong"/>
      <sheetName val="BHXH"/>
      <sheetName val="BHXH12"/>
      <sheetName val="Sheet8"/>
      <sheetName val="Sheet9"/>
      <sheetName val="Trich Ngang"/>
      <sheetName val="Danh sach Rieng"/>
      <sheetName val="Dia Diem Thuc Tap"/>
      <sheetName val="De Tai Thuc Tap"/>
      <sheetName val="thk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Congty"/>
      <sheetName val="VPPN"/>
      <sheetName val="XN74"/>
      <sheetName val="XN54"/>
      <sheetName val="XN33"/>
      <sheetName val="NK96"/>
      <sheetName val="XL4Test5"/>
      <sheetName val="Nhap lieu"/>
      <sheetName val="PGT"/>
      <sheetName val="Tien dien"/>
      <sheetName val="Thue GTGT"/>
      <sheetName val="t1"/>
      <sheetName val=" t5"/>
      <sheetName val="t.4"/>
      <sheetName val=" t3 "/>
      <sheetName val="T2"/>
      <sheetName val="t"/>
      <sheetName val=" TH331"/>
      <sheetName val=" Minh ha"/>
      <sheetName val="HTay03"/>
      <sheetName val=" Ha Tay"/>
      <sheetName val="tw2"/>
      <sheetName val=" Vinhphuc"/>
      <sheetName val=" Nbinh"/>
      <sheetName val=" QVinh"/>
      <sheetName val=" TW1"/>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tb1"/>
      <sheetName val="KM"/>
      <sheetName val="KHOANMUC"/>
      <sheetName val="QTNC"/>
      <sheetName val="CPQL"/>
      <sheetName val="SANLUONG"/>
      <sheetName val="SSCP-SL"/>
      <sheetName val="CPSX"/>
      <sheetName val="KQKD"/>
      <sheetName val="CDSL (2)"/>
      <sheetName val="T.so thay doi"/>
      <sheetName val="BTHDT_DZcaothe"/>
      <sheetName val="BTHDT_TBA"/>
      <sheetName val="THXL_DZcaothe"/>
      <sheetName val="TN_DZcaothe"/>
      <sheetName val="b.THchitietDZCT"/>
      <sheetName val="tr_tinhDZcaothe"/>
      <sheetName val="THXL_TBA"/>
      <sheetName val="TN_TBA"/>
      <sheetName val="b.THchitietTBA"/>
      <sheetName val="tr_tinhTBA"/>
      <sheetName val="Khao sat"/>
      <sheetName val="TT khao sat"/>
      <sheetName val="LuongT1"/>
      <sheetName val="LuongT2"/>
      <sheetName val="luongthang12"/>
      <sheetName val="LuongT11"/>
      <sheetName val="thang5"/>
      <sheetName val="T7"/>
      <sheetName val="T10"/>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HTSCD1"/>
      <sheetName val="KHTSCD2"/>
      <sheetName val="SoCaiTM"/>
      <sheetName val="NK"/>
      <sheetName val="PhieuKT"/>
      <sheetName val="socai2003-6tc"/>
      <sheetName val="SCT Cong trinh"/>
      <sheetName val="06-2003 (2)"/>
      <sheetName val="CDPS 6tc"/>
      <sheetName val="SCT Nha thau"/>
      <sheetName val="socai2003 (6tc)dp"/>
      <sheetName val="socai2003 (6tc)"/>
      <sheetName val="CDPS 6tc (2)"/>
      <sheetName val="20000000"/>
      <sheetName val="phan tich DG"/>
      <sheetName val="gia vat lieu"/>
      <sheetName val="gia xe may"/>
      <sheetName val="gia nhan cong"/>
      <sheetName val="Thau"/>
      <sheetName val="CT-BT"/>
      <sheetName val="Xa"/>
      <sheetName val="TH du toan "/>
      <sheetName val="Du toan "/>
      <sheetName val="C.Tinh"/>
      <sheetName val="TK_cap"/>
      <sheetName val="Don gia CPM"/>
      <sheetName val="Tong Thieu HD cac CT-2001"/>
      <sheetName val="VL thieu HD - 2001"/>
      <sheetName val="Tong thieu HD cac CT - 2002"/>
      <sheetName val="Lan trai"/>
      <sheetName val="Van chuyen"/>
      <sheetName val="Vchuyen(C)"/>
      <sheetName val="HDong VC"/>
      <sheetName val="ThieuHD nam 2001"/>
      <sheetName val="CPChung"/>
      <sheetName val="Bang TH"/>
      <sheetName val="Tong Chinh"/>
      <sheetName val="000000000000"/>
      <sheetName val="100000000000"/>
      <sheetName val="200000000000"/>
      <sheetName val="300000000000"/>
      <sheetName val="Tonghop"/>
      <sheetName val="Sheet7"/>
      <sheetName val="TH"/>
      <sheetName val="Sheet10"/>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GVL"/>
      <sheetName val="giai thich"/>
      <sheetName val="Heso"/>
      <sheetName val="CTDG"/>
      <sheetName val="DT - Ro"/>
      <sheetName val="TH - Ro "/>
      <sheetName val="GDT - Ro"/>
      <sheetName val="DT - TB"/>
      <sheetName val="TH - TB"/>
      <sheetName val="GDT - TB"/>
      <sheetName val="DT - NT"/>
      <sheetName val="TH - NT"/>
      <sheetName val="GDT - NT"/>
      <sheetName val="THGT"/>
      <sheetName val="THVDT"/>
      <sheetName val="NCLD"/>
      <sheetName val="MMTB"/>
      <sheetName val="CFSX"/>
      <sheetName val="KQ"/>
      <sheetName val="DTSL"/>
      <sheetName val="XDCBK"/>
      <sheetName val="KHTSCD"/>
      <sheetName val="XDCB"/>
      <sheetName val="T03 - 03"/>
      <sheetName val="AncaT03"/>
      <sheetName val="THL T03"/>
      <sheetName val="TTBC T03"/>
      <sheetName val="Luong noi Bo - T3"/>
      <sheetName val="Tong hop - T3"/>
      <sheetName val="Thuong Quy 3"/>
      <sheetName val="LBS"/>
      <sheetName val="Phu cap trach nhiem"/>
      <sheetName val="tmt4"/>
      <sheetName val="t3-01"/>
      <sheetName val="t4-01"/>
      <sheetName val="t5-01"/>
      <sheetName val="t6-01"/>
      <sheetName val="t7-01"/>
      <sheetName val="t8-01"/>
      <sheetName val="t9-01"/>
      <sheetName val="t10-01"/>
      <sheetName val="t11-01"/>
      <sheetName val="t12-"/>
      <sheetName val="t3"/>
      <sheetName val="t4"/>
      <sheetName val="t5"/>
      <sheetName val="t06"/>
      <sheetName val="t07"/>
      <sheetName val="t08"/>
      <sheetName val="t09"/>
      <sheetName val="t11"/>
      <sheetName val="t12"/>
      <sheetName val="0103"/>
      <sheetName val="0203"/>
      <sheetName val="th-nop"/>
      <sheetName val="D1"/>
      <sheetName val="D2"/>
      <sheetName val="D3"/>
      <sheetName val="D4"/>
      <sheetName val="D5"/>
      <sheetName val="D6"/>
      <sheetName val="Tay ninh"/>
      <sheetName val="A.Duc"/>
      <sheetName val="TH2003"/>
      <sheetName val="CamPha"/>
      <sheetName val="MongCai"/>
      <sheetName val="30000000"/>
      <sheetName val="40000000"/>
      <sheetName val="50000000"/>
      <sheetName val="60000000"/>
      <sheetName val="70000000"/>
      <sheetName val="L-THANG03"/>
      <sheetName val="L-THANG04"/>
      <sheetName val="luongthuong"/>
      <sheetName val="tkcb-cnv"/>
      <sheetName val="KETQUAHOC"/>
      <sheetName val="KHACHSAN"/>
      <sheetName val="THANHTOAN"/>
      <sheetName val="BC-BANHANG"/>
      <sheetName val="DOANH SO"/>
      <sheetName val="BD-SINH VIEN"/>
      <sheetName val="luongsanpham"/>
      <sheetName val="TUYENSINH02"/>
      <sheetName val="cuocphi"/>
      <sheetName val="banhang"/>
      <sheetName val="bh-thang4"/>
      <sheetName val="BC TH CK (2)"/>
      <sheetName val="BC TH CK"/>
      <sheetName val="BC6tT19 food"/>
      <sheetName val="BC6tT19"/>
      <sheetName val="BC6tT18"/>
      <sheetName val="BC6tT18 - Food"/>
      <sheetName val="CTTH"/>
      <sheetName val="BC6tT17"/>
      <sheetName val="BCCK 4"/>
      <sheetName val="BCFood- T16"/>
      <sheetName val="BC6tT16"/>
      <sheetName val="BCFood- T15"/>
      <sheetName val="BC6tT15"/>
      <sheetName val="BCFood- T14"/>
      <sheetName val="BC6tT14"/>
      <sheetName val="BCFood- T13"/>
      <sheetName val="BC6tT13"/>
      <sheetName val="THCK3"/>
      <sheetName val="BC6tT12"/>
      <sheetName val="BC6tT11"/>
      <sheetName val="BC6tT10"/>
      <sheetName val="BC6tT9"/>
      <sheetName val="TH CK2"/>
      <sheetName val="BC6tT8"/>
      <sheetName val="BC6tT7"/>
      <sheetName val="BC6tT5"/>
      <sheetName val="BC6tT52 (3)"/>
      <sheetName val="BCTH"/>
      <sheetName val="BC6tT4"/>
      <sheetName val="BC6tT3"/>
      <sheetName val="BC6tT2"/>
      <sheetName val="BC6tT1"/>
      <sheetName val="BC6tT52 (2)"/>
      <sheetName val="BC6tT52"/>
      <sheetName val="BC6tT51"/>
      <sheetName val="BC6tT50"/>
      <sheetName val="BC6tT49"/>
      <sheetName val="TCK 12"/>
      <sheetName val="BC6tT48"/>
      <sheetName val="BC6tT47"/>
      <sheetName val="BC6tT46"/>
      <sheetName val="BC6tT45"/>
      <sheetName val="Tong CK"/>
      <sheetName val="BC6tT44"/>
      <sheetName val="BC6tT43"/>
      <sheetName val="BC6t"/>
      <sheetName val="T42"/>
      <sheetName val="T41"/>
      <sheetName val="T40"/>
      <sheetName val="F ThanhTri"/>
      <sheetName val="F Gialam"/>
      <sheetName val="DG"/>
      <sheetName val="TH dam"/>
      <sheetName val="SX dam"/>
      <sheetName val="LD dam"/>
      <sheetName val="Bang gia VL"/>
      <sheetName val="Gia NC"/>
      <sheetName val="Gia may"/>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IBASE2.XLSѝTNHNoi"/>
      <sheetName val="Ctieucnghe(12-03"/>
      <sheetName val="DmdbTVN"/>
      <sheetName val="Hsdancach"/>
      <sheetName val="TanLap"/>
      <sheetName val="CaoThang"/>
      <sheetName val="GiapKhau"/>
      <sheetName val="917"/>
      <sheetName val="CBTT"/>
      <sheetName val="TramKCS"/>
      <sheetName val="Tohop1(LD"/>
      <sheetName val="Tohop2(QL&amp;an"/>
      <sheetName val="ThunhapBQ"/>
      <sheetName val="QDgiao1"/>
      <sheetName val="So sanh"/>
      <sheetName val="NCxdcb"/>
      <sheetName val="Thi_sinh"/>
      <sheetName val="Luong"/>
      <sheetName val="HethongDebai"/>
      <sheetName val="TH131"/>
      <sheetName val="TH155&amp;156"/>
      <sheetName val="TH152"/>
      <sheetName val="TH153"/>
      <sheetName val="TH331"/>
      <sheetName val="KhoDL"/>
      <sheetName val="THSPHH"/>
      <sheetName val="THVL"/>
      <sheetName val="Chamcong"/>
      <sheetName val="DMTK"/>
      <sheetName val="DMKH"/>
      <sheetName val="DMNB"/>
      <sheetName val="DMNV"/>
      <sheetName val=" KQTH quy hoach 135"/>
      <sheetName val="Bao cao KQTH quy hoach 135"/>
      <sheetName val="BangTH"/>
      <sheetName val="Xaylap "/>
      <sheetName val="Nhan cong"/>
      <sheetName val="Thietbi"/>
      <sheetName val="Diengiai"/>
      <sheetName val="Vanchuyen"/>
      <sheetName val="XXXXXX_xda24_X"/>
      <sheetName val="Napheo-SPP"/>
      <sheetName val="VPLaichau"/>
      <sheetName val="VPTruongson"/>
      <sheetName val="D9"/>
      <sheetName val="TLNamChim"/>
      <sheetName val="Dancau-Q.Ninh"/>
      <sheetName val="D91"/>
      <sheetName val="Kenhta-himlam"/>
      <sheetName val="TCQ5-"/>
      <sheetName val="HDkhoanduoc"/>
      <sheetName val="TCQ1-4"/>
      <sheetName val="Khac"/>
      <sheetName val="BaTrieu-L.son"/>
      <sheetName val="SBayDBien"/>
      <sheetName val="QL32YB(12)"/>
      <sheetName val="QL32AYB"/>
      <sheetName val="THSonNam"/>
      <sheetName val="Coquan"/>
      <sheetName val="Quoclo6mchau"/>
      <sheetName val="QLo4B-LS"/>
      <sheetName val="Phanthiet"/>
      <sheetName val="Muongnhe"/>
      <sheetName val="HHVt "/>
      <sheetName val="CT 03"/>
      <sheetName val="TH 03"/>
      <sheetName val="Co~g hop 1,5x1,5"/>
      <sheetName val="Bia1"/>
      <sheetName val="Bia"/>
      <sheetName val="THTBO"/>
      <sheetName val="XLAP"/>
      <sheetName val="th22"/>
      <sheetName val="CT22"/>
      <sheetName val="MuaVL_DZ"/>
      <sheetName val="LD&amp;TNTB"/>
      <sheetName val="TH_TBA"/>
      <sheetName val="MuaVL_bu"/>
      <sheetName val="MuaVL_TBA"/>
      <sheetName val="TBi"/>
      <sheetName val="XL_TN"/>
      <sheetName val="TN"/>
      <sheetName val="lietke_TBA"/>
      <sheetName val="lietke_DZ"/>
      <sheetName val="vc_Bocdo"/>
      <sheetName val="m3"/>
      <sheetName val="TK_TD"/>
      <sheetName val="Cap_dat"/>
      <sheetName val="TK _TK"/>
      <sheetName val="Cuoc89"/>
      <sheetName val="BT1"/>
      <sheetName val="BT2"/>
      <sheetName val="BT3"/>
      <sheetName val="BT4"/>
      <sheetName val="BT5"/>
      <sheetName val="BT6"/>
      <sheetName val="BT7"/>
      <sheetName val="bt08"/>
      <sheetName val="bt9"/>
      <sheetName val="BT10"/>
      <sheetName val="bt11"/>
      <sheetName val="BT12"/>
      <sheetName val="BT13"/>
      <sheetName val="BT14"/>
      <sheetName val="bt15"/>
      <sheetName val="BT16"/>
      <sheetName val="BT18"/>
      <sheetName val="Heso 3-2004 (3)"/>
      <sheetName val="Luong (2)"/>
      <sheetName val="heso T3"/>
      <sheetName val="heso T4"/>
      <sheetName val="heso T5"/>
      <sheetName val="Heso T6"/>
      <sheetName val="Heso T7"/>
      <sheetName val="Heso T8"/>
      <sheetName val="Heso T9"/>
      <sheetName val="Heso 2-2004"/>
      <sheetName val="Heso 3-2004"/>
      <sheetName val="Baocao"/>
      <sheetName val="Heso 3-2004 (2)"/>
      <sheetName val="20+590"/>
      <sheetName val="20+1218"/>
      <sheetName val="22+456"/>
      <sheetName val="23+200"/>
      <sheetName val="23+327"/>
      <sheetName val="23+468"/>
      <sheetName val="23+563"/>
      <sheetName val="24+520"/>
      <sheetName val="25"/>
      <sheetName val="Luu goc"/>
      <sheetName val="km22+93.86-km22+121.86"/>
      <sheetName val="km22+177.14-km22+205.64"/>
      <sheetName val="Bang 20-25"/>
      <sheetName val="km22+267.96-km22+283.96"/>
      <sheetName val="km22+304.31-km22+344.31"/>
      <sheetName val="km22+460.92-km22+614.57"/>
      <sheetName val="km22+671.78-km22+713.32"/>
      <sheetName val="GIA NUOC"/>
      <sheetName val="GIA DIEN THOAI"/>
      <sheetName val="GIA DIEN"/>
      <sheetName val="chiet tinh XD"/>
      <sheetName val="Triet T"/>
      <sheetName val="Phan tich gia"/>
      <sheetName val="pHAN CONG"/>
      <sheetName val="GIA XD"/>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8-9)"/>
      <sheetName val="T.K H.T.T5"/>
      <sheetName val="TH_BQ"/>
      <sheetName val="Masterpricelist"/>
    </sheetNames>
    <sheetDataSet>
      <sheetData sheetId="0" refreshError="1">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L44" t="str">
            <v>530</v>
          </cell>
          <cell r="AM44">
            <v>1</v>
          </cell>
          <cell r="AN44">
            <v>18.2</v>
          </cell>
          <cell r="AO44">
            <v>8.1999999999999993</v>
          </cell>
          <cell r="AP44">
            <v>15.5</v>
          </cell>
          <cell r="AQ44">
            <v>42.86</v>
          </cell>
          <cell r="AR44">
            <v>85.37</v>
          </cell>
          <cell r="AS44">
            <v>36.450000000000003</v>
          </cell>
          <cell r="AT44">
            <v>780</v>
          </cell>
          <cell r="AU44">
            <v>700</v>
          </cell>
          <cell r="AV44">
            <v>565</v>
          </cell>
        </row>
        <row r="45">
          <cell r="AH45" t="str">
            <v>EPC</v>
          </cell>
          <cell r="AI45" t="str">
            <v xml:space="preserve">EPOXY ENAMEL/POLYAMIDE CURED </v>
          </cell>
          <cell r="AJ45" t="str">
            <v>4415(A-515)</v>
          </cell>
          <cell r="AM45">
            <v>1</v>
          </cell>
          <cell r="AN45">
            <v>19.8</v>
          </cell>
          <cell r="AQ45">
            <v>42.93</v>
          </cell>
          <cell r="AT45">
            <v>850</v>
          </cell>
        </row>
        <row r="46">
          <cell r="AH46" t="str">
            <v>4425(A-525)</v>
          </cell>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K66">
            <v>0</v>
          </cell>
          <cell r="AL66" t="str">
            <v>500</v>
          </cell>
          <cell r="AM66">
            <v>1</v>
          </cell>
          <cell r="AN66">
            <v>17.2</v>
          </cell>
          <cell r="AO66">
            <v>0</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H68" t="str">
            <v>VZCP</v>
          </cell>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0">
          <cell r="AV70">
            <v>406</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1">
          <cell r="AI81" t="str">
            <v>RED LEAD PRIMER</v>
          </cell>
          <cell r="AJ81" t="str">
            <v>0102</v>
          </cell>
          <cell r="AK81" t="str">
            <v>906(OP-92)</v>
          </cell>
          <cell r="AL81" t="str">
            <v>220</v>
          </cell>
          <cell r="AM81">
            <v>1</v>
          </cell>
          <cell r="AN81">
            <v>8.7799999999999994</v>
          </cell>
          <cell r="AO81">
            <v>10</v>
          </cell>
          <cell r="AP81">
            <v>12.4</v>
          </cell>
          <cell r="AQ81">
            <v>47.83</v>
          </cell>
          <cell r="AR81">
            <v>42</v>
          </cell>
          <cell r="AS81">
            <v>38.71</v>
          </cell>
          <cell r="AT81">
            <v>420</v>
          </cell>
          <cell r="AU81">
            <v>420</v>
          </cell>
          <cell r="AV81">
            <v>480</v>
          </cell>
        </row>
        <row r="82">
          <cell r="AI82" t="str">
            <v xml:space="preserve">POLY-VINYL BUTYRAL RESIN (PVB) </v>
          </cell>
          <cell r="AT82">
            <v>540</v>
          </cell>
          <cell r="AU82">
            <v>570</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H104" t="str">
            <v>1656</v>
          </cell>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K110" t="str">
            <v>1018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No. 2 - Carpark"/>
      <sheetName val="ANALYSIS"/>
      <sheetName val="resource1"/>
      <sheetName val="Sheet1"/>
      <sheetName val="Bill No. 2"/>
      <sheetName val="covere"/>
      <sheetName val="Material"/>
      <sheetName val="Bill_No__2_-_Carpark"/>
      <sheetName val="Bill_No__2"/>
      <sheetName val="Bill_No__2_-_Carpark1"/>
      <sheetName val="Bill_No__21"/>
      <sheetName val="Bill_No__2_-_Carpark2"/>
      <sheetName val="Bill_No__22"/>
      <sheetName val="Purchase_Order"/>
      <sheetName val="Customize_Your_Purchase_Order"/>
      <sheetName val="Manpower"/>
      <sheetName val="SAN REDUCED 1"/>
      <sheetName val="splinkler"/>
      <sheetName val="Bill No_ 2 _ Carpark"/>
      <sheetName val="Interial"/>
      <sheetName val="SAN_REDUCED_1"/>
      <sheetName val="SAN_REDUCED_11"/>
      <sheetName val="Bill_No__2_-_Carpark3"/>
      <sheetName val="SAN_REDUCED_13"/>
      <sheetName val="SAN_REDUCED_12"/>
      <sheetName val="Bill_No__2_-_Carpark5"/>
      <sheetName val="SAN_REDUCED_15"/>
      <sheetName val="Bill_No__2_-_Carpark4"/>
      <sheetName val="SAN_REDUCED_14"/>
      <sheetName val="รวมราคาทั้งสิ้น"/>
      <sheetName val="Ratios"/>
      <sheetName val="Cavity Inputs"/>
      <sheetName val="Total Cost"/>
      <sheetName val="Meterial"/>
      <sheetName val="Cover Page"/>
      <sheetName val="Price Jetty"/>
      <sheetName val="Back Up Price Pile"/>
      <sheetName val="Back Up RC Pile"/>
      <sheetName val="Back Up RC"/>
      <sheetName val="Sheet2"/>
      <sheetName val="POWER"/>
      <sheetName val="List"/>
      <sheetName val="Bill_No__2___Carpark"/>
      <sheetName val="Cashflow"/>
      <sheetName val="Take-off stru"/>
      <sheetName val="Total"/>
      <sheetName val="BK Unit Rate"/>
      <sheetName val="SUM_EMC"/>
      <sheetName val="P7 "/>
      <sheetName val="Purchase Order"/>
      <sheetName val="Customize Your Purchase Order"/>
      <sheetName val="Equipment"/>
      <sheetName val="Bill_No__23"/>
      <sheetName val="Bill_No__24"/>
      <sheetName val="Bill_No__2___Carpark1"/>
      <sheetName val="EXF"/>
      <sheetName val="Bill_No__25"/>
      <sheetName val="Bill_No__2___Carpark2"/>
      <sheetName val="Cover Apart A"/>
      <sheetName val="Summary"/>
      <sheetName val="Piling"/>
      <sheetName val="Sub-Str."/>
      <sheetName val="Structure"/>
      <sheetName val="RF cov"/>
      <sheetName val="ExterWall"/>
      <sheetName val="InterWall "/>
      <sheetName val="D&amp;W"/>
      <sheetName val="Ext.Wall"/>
      <sheetName val="Int.Wall"/>
      <sheetName val="Ext.Floor"/>
      <sheetName val="Int. Floor"/>
      <sheetName val="Ext. Ceiling"/>
      <sheetName val="In.Ceiling"/>
      <sheetName val="Staircase"/>
      <sheetName val="Furniture &amp; Fifting"/>
      <sheetName val="Sanitary ware"/>
      <sheetName val="External"/>
      <sheetName val="ADD Built-in"/>
      <sheetName val="ADD Loouse Fur"/>
      <sheetName val="Quotation"/>
      <sheetName val="Main Sum (Hotel &amp; Residences)"/>
      <sheetName val="Bill_No__2_-_Carpark6"/>
      <sheetName val="SAN_REDUCED_16"/>
      <sheetName val="Cavity_Inputs"/>
      <sheetName val="金額"/>
      <sheetName val="Bill_No__26"/>
      <sheetName val="Bill_No__2___Carpark3"/>
      <sheetName val="Total_Cost"/>
      <sheetName val="Cover_Page"/>
      <sheetName val="Price_Jetty"/>
      <sheetName val="Back_Up_Price_Pile"/>
      <sheetName val="Back_Up_RC_Pile"/>
      <sheetName val="Back_Up_RC"/>
      <sheetName val="BK_Unit_Rate"/>
      <sheetName val="Take-off_stru"/>
      <sheetName val="P7_"/>
      <sheetName val="Purchase_Order1"/>
      <sheetName val="Customize_Your_Purchase_Order1"/>
      <sheetName val="ปก"/>
      <sheetName val="BOQ SAN"/>
      <sheetName val="BOQ FP"/>
      <sheetName val="BOQ AC"/>
      <sheetName val="BOQ EE"/>
      <sheetName val="Lighting Fixture"/>
      <sheetName val="Fire Alarm System"/>
      <sheetName val="Telephone and Data System"/>
      <sheetName val="AV System"/>
      <sheetName val="CCTV"/>
    </sheetNames>
    <sheetDataSet>
      <sheetData sheetId="0">
        <row r="4">
          <cell r="A4" t="str">
            <v>BIG  C   SUPERCENTER,  RAJDAMRI,  BANGKOK   -   MAIN  BUILDING  WORKS</v>
          </cell>
        </row>
        <row r="5">
          <cell r="A5" t="str">
            <v/>
          </cell>
        </row>
        <row r="6">
          <cell r="A6" t="str">
            <v>BILL  No.  2    :    STRUCTURE  WORKS     -    CARPARK  BLOCK</v>
          </cell>
        </row>
        <row r="9">
          <cell r="A9" t="str">
            <v>Item</v>
          </cell>
          <cell r="C9" t="str">
            <v>Description  of   Work</v>
          </cell>
        </row>
        <row r="14">
          <cell r="C14" t="str">
            <v>SUBSTRUCTURE  WORKS</v>
          </cell>
        </row>
        <row r="16">
          <cell r="A16" t="str">
            <v>1.</v>
          </cell>
          <cell r="C16" t="str">
            <v>EXCAVATION  AND  PREPARATION  WORKS</v>
          </cell>
        </row>
        <row r="18">
          <cell r="A18" t="str">
            <v>A.</v>
          </cell>
          <cell r="C18" t="str">
            <v>Excavation for basements, sumps and the like</v>
          </cell>
        </row>
        <row r="19">
          <cell r="C19" t="str">
            <v>commencing from existing ground level to</v>
          </cell>
        </row>
        <row r="20">
          <cell r="C20" t="str">
            <v>reduced level including working carefully around</v>
          </cell>
        </row>
        <row r="21">
          <cell r="C21" t="str">
            <v>and exposing precast concrete pile / bored pile.</v>
          </cell>
        </row>
        <row r="23">
          <cell r="A23" t="str">
            <v>B.</v>
          </cell>
          <cell r="C23" t="str">
            <v xml:space="preserve">Excavation for pile caps and the like commencing  </v>
          </cell>
        </row>
        <row r="24">
          <cell r="C24" t="str">
            <v xml:space="preserve">from reduced  level including working carefully  </v>
          </cell>
        </row>
        <row r="25">
          <cell r="C25" t="str">
            <v>around and exposing precast concrete piles /</v>
          </cell>
        </row>
        <row r="26">
          <cell r="C26" t="str">
            <v>bored pile.</v>
          </cell>
        </row>
        <row r="28">
          <cell r="A28" t="str">
            <v>C.</v>
          </cell>
          <cell r="C28" t="str">
            <v>Removing surplus excavated materials off site to</v>
          </cell>
        </row>
        <row r="29">
          <cell r="C29" t="str">
            <v>Contractor's own dump.</v>
          </cell>
        </row>
        <row r="31">
          <cell r="A31" t="str">
            <v>D.</v>
          </cell>
          <cell r="C31" t="str">
            <v>Allow  for  necessary  demolition  of  existing</v>
          </cell>
        </row>
        <row r="32">
          <cell r="C32" t="str">
            <v>slab  and  walls  during  excavation  works.</v>
          </cell>
        </row>
        <row r="35">
          <cell r="C35" t="str">
            <v>Water  Disposal</v>
          </cell>
        </row>
        <row r="37">
          <cell r="A37" t="str">
            <v>E.</v>
          </cell>
          <cell r="C37" t="str">
            <v>Keeping the site  and  the  whole  of  the  excavation</v>
          </cell>
        </row>
        <row r="38">
          <cell r="C38" t="str">
            <v>areas free from all surface, ground and subterranean</v>
          </cell>
        </row>
        <row r="39">
          <cell r="C39" t="str">
            <v>water including network of temporary drains,</v>
          </cell>
        </row>
        <row r="40">
          <cell r="C40" t="str">
            <v>sumps, pumps and desilting basin as required.</v>
          </cell>
        </row>
        <row r="43">
          <cell r="C43" t="str">
            <v>Surface  Treatment</v>
          </cell>
        </row>
        <row r="45">
          <cell r="A45" t="str">
            <v>F.</v>
          </cell>
          <cell r="C45" t="str">
            <v>Anti-termite treatment to all soil in contact with</v>
          </cell>
        </row>
        <row r="46">
          <cell r="C46" t="str">
            <v>building structure to be executed by an approved</v>
          </cell>
        </row>
        <row r="47">
          <cell r="C47" t="str">
            <v>firm, with and including provision of a certificate</v>
          </cell>
        </row>
        <row r="48">
          <cell r="C48" t="str">
            <v>of ten year guarantee.   (Approximately     930     m2)</v>
          </cell>
        </row>
        <row r="52">
          <cell r="C52" t="str">
            <v>Total   Carried   to   Collection</v>
          </cell>
        </row>
        <row r="55">
          <cell r="C55" t="str">
            <v>SUBSTRUCTURE  WORKS</v>
          </cell>
        </row>
        <row r="57">
          <cell r="A57" t="str">
            <v>1.</v>
          </cell>
          <cell r="C57" t="str">
            <v>EXCAVATION  AND  PREPARATION  WORKS</v>
          </cell>
        </row>
        <row r="58">
          <cell r="C58" t="str">
            <v>(Cont'd)</v>
          </cell>
        </row>
        <row r="60">
          <cell r="C60" t="str">
            <v>Cut off top of the piles to the required cut off</v>
          </cell>
        </row>
        <row r="61">
          <cell r="C61" t="str">
            <v>level including any trimming, stripping, exposing</v>
          </cell>
        </row>
        <row r="62">
          <cell r="C62" t="str">
            <v xml:space="preserve">straightening  and  bending  reinforcement  in </v>
          </cell>
        </row>
        <row r="63">
          <cell r="C63" t="str">
            <v>position for pile caps connections and remove</v>
          </cell>
        </row>
        <row r="64">
          <cell r="C64" t="str">
            <v xml:space="preserve">all debris off the Site.                                      </v>
          </cell>
        </row>
        <row r="66">
          <cell r="A66" t="str">
            <v>A.</v>
          </cell>
          <cell r="C66" t="str">
            <v>1000  mm Diameter  bored  pile</v>
          </cell>
        </row>
        <row r="68">
          <cell r="A68" t="str">
            <v>B.</v>
          </cell>
          <cell r="C68" t="str">
            <v>1200  mm Diameter  bored  pile</v>
          </cell>
        </row>
        <row r="70">
          <cell r="A70" t="str">
            <v>C.</v>
          </cell>
          <cell r="C70" t="str">
            <v>1800  mm Diameter  bored  pile</v>
          </cell>
        </row>
        <row r="72">
          <cell r="A72" t="str">
            <v>D.</v>
          </cell>
          <cell r="C72" t="str">
            <v>180 x 180 Precast  I  piles</v>
          </cell>
        </row>
        <row r="77">
          <cell r="C77" t="str">
            <v xml:space="preserve">Allow  for  any  other  items  not  described  above  but </v>
          </cell>
        </row>
        <row r="78">
          <cell r="C78" t="str">
            <v xml:space="preserve">deemed  necessary  to  complete  the  whole  works :-    </v>
          </cell>
        </row>
        <row r="92">
          <cell r="C92" t="str">
            <v>Total   Carried   to   Collection</v>
          </cell>
        </row>
        <row r="95">
          <cell r="C95" t="str">
            <v>SUBSTRUCTURE  WORKS</v>
          </cell>
        </row>
        <row r="97">
          <cell r="A97" t="str">
            <v>1.</v>
          </cell>
          <cell r="C97" t="str">
            <v>EXCAVATION  AND  PREPARATION  WORKS</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2 บ้านพรุ  (2)"/>
      <sheetName val="super PS บ้านพรุ"/>
      <sheetName val="pro-Biotic (2)"/>
      <sheetName val="งบแป้งสาลี"/>
      <sheetName val="ปรับถมดิน1"/>
      <sheetName val="ปรับถมดิน"/>
      <sheetName val="หอพัก"/>
      <sheetName val="สร้างอาคาร (2)"/>
      <sheetName val="สร้างอาคาร"/>
      <sheetName val="new ext"/>
      <sheetName val="con PL"/>
      <sheetName val="ชุดวัดลม"/>
      <sheetName val="ลูกกุ้งวัยอ่อน"/>
      <sheetName val="india"/>
      <sheetName val="pro-Biotic"/>
      <sheetName val="โรงอาหาร (2)"/>
      <sheetName val="โรงอาหาร"/>
      <sheetName val="กำจัดกลิ่น"/>
      <sheetName val="คลัง (2)"/>
      <sheetName val="คลัง"/>
      <sheetName val="ระบบฉีดของสด"/>
      <sheetName val="ลูกกุ้ง (2)"/>
      <sheetName val="ลูกกุ้ง (3)"/>
      <sheetName val="วิศวกรรม"/>
      <sheetName val="gen มหาชัย"/>
      <sheetName val="gen บ้านพรุ"/>
      <sheetName val="อาหารปลา"/>
      <sheetName val="air2"/>
      <sheetName val="air"/>
      <sheetName val="ยางกันซึม"/>
      <sheetName val="lico2"/>
      <sheetName val="lico"/>
      <sheetName val="คอมพิวเตอร์"/>
      <sheetName val="เก็บเอกสาร"/>
      <sheetName val="ลูกกุ้ง"/>
      <sheetName val="ext"/>
      <sheetName val="ป๊มเม็ด"/>
      <sheetName val="ไอน้ำ"/>
      <sheetName val="extruder 1"/>
      <sheetName val="extruder"/>
      <sheetName val="Sheet1"/>
      <sheetName val="Sheet2"/>
      <sheetName val="Sheet3"/>
      <sheetName val="BT-2 บ้านพรุ "/>
      <sheetName val="super PS มหาชัย"/>
      <sheetName val="ค่างานต้นทุ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NO"/>
      <sheetName val="Sampleใหม่"/>
    </sheetNames>
    <sheetDataSet>
      <sheetData sheetId="0">
        <row r="1">
          <cell r="A1" t="str">
            <v>W (inch)</v>
          </cell>
          <cell r="C1" t="str">
            <v>SHEET NO.</v>
          </cell>
        </row>
        <row r="2">
          <cell r="A2">
            <v>1</v>
          </cell>
          <cell r="B2">
            <v>12</v>
          </cell>
          <cell r="C2" t="str">
            <v>No.26</v>
          </cell>
        </row>
        <row r="3">
          <cell r="A3">
            <v>13</v>
          </cell>
          <cell r="B3">
            <v>30</v>
          </cell>
          <cell r="C3" t="str">
            <v>No.24</v>
          </cell>
        </row>
        <row r="4">
          <cell r="A4">
            <v>31</v>
          </cell>
          <cell r="B4">
            <v>54</v>
          </cell>
          <cell r="C4" t="str">
            <v>No.22</v>
          </cell>
        </row>
        <row r="5">
          <cell r="A5">
            <v>55</v>
          </cell>
          <cell r="B5">
            <v>84</v>
          </cell>
          <cell r="C5" t="str">
            <v>No.20</v>
          </cell>
        </row>
        <row r="6">
          <cell r="A6">
            <v>85</v>
          </cell>
          <cell r="B6">
            <v>200</v>
          </cell>
          <cell r="C6" t="str">
            <v>No.18</v>
          </cell>
        </row>
      </sheetData>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tohop"/>
      <sheetName val="Phu luc XL2"/>
      <sheetName val="NN Tang Giam"/>
      <sheetName val="Phu luc XL1"/>
      <sheetName val="XL4Poppy"/>
      <sheetName val="__ MTL"/>
      <sheetName val="__ DI"/>
      <sheetName val="CAN DOI"/>
      <sheetName val="GIA TRI"/>
      <sheetName val="NO-DIEN"/>
      <sheetName val="NO-KHUONG"/>
      <sheetName val="NO-DUNG"/>
      <sheetName val="NO-DU"/>
      <sheetName val="TC NV"/>
      <sheetName val="NHAP"/>
      <sheetName val="khuong"/>
      <sheetName val="du"/>
      <sheetName val="dien"/>
      <sheetName val="dung"/>
      <sheetName val="NO-BANG"/>
      <sheetName val="ton kho"/>
      <sheetName val="bang"/>
      <sheetName val="00000000"/>
      <sheetName val="10000000"/>
      <sheetName val="DTOAN"/>
      <sheetName val="THOP-KL"/>
      <sheetName val="CPHI KKS"/>
      <sheetName val="DG-KSAT"/>
      <sheetName val="TMDAUTU"/>
      <sheetName val="GTXLCHINH"/>
      <sheetName val="CPHI-TT"/>
      <sheetName val="CPHIBUVL"/>
      <sheetName val="CHENH VLCHINH"/>
      <sheetName val="GVLHT"/>
      <sheetName val="DGCT-QCH2"/>
      <sheetName val="Gia VL"/>
      <sheetName val="Bang gia ca may"/>
      <sheetName val="Bang luong CB"/>
      <sheetName val="Bang P.tich CT"/>
      <sheetName val="D.toan chi tiet"/>
      <sheetName val="Bang TH Dtoan"/>
      <sheetName val="XXXXXXXX"/>
      <sheetName val="THANG 09"/>
      <sheetName val="THANG 10"/>
      <sheetName val="Sheet3"/>
      <sheetName val="Congty"/>
      <sheetName val="VPPN"/>
      <sheetName val="XN74"/>
      <sheetName val="XN54"/>
      <sheetName val="XN33"/>
      <sheetName val="NK96"/>
      <sheetName val="XL4Test5"/>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Sheet1"/>
      <sheetName val="Cmay"/>
      <sheetName val="VL (2)"/>
      <sheetName val="May (2)"/>
      <sheetName val="GVLBo"/>
      <sheetName val="VL"/>
      <sheetName val="NHAN CONG"/>
      <sheetName val="MAY"/>
      <sheetName val="VUA"/>
      <sheetName val="DG CAU"/>
      <sheetName val="THOP CAU"/>
      <sheetName val="TLP CAU"/>
      <sheetName val="DAKT1"/>
      <sheetName val="XL4Poppy (2)"/>
      <sheetName val="Bthkl"/>
      <sheetName val="KM247"/>
      <sheetName val="km248"/>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KSTK"/>
      <sheetName val="A6-II"/>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heet2"/>
      <sheetName val="Chart1"/>
      <sheetName val="Du an nut So"/>
      <sheetName val="Du an nut vong"/>
      <sheetName val="Du an nut Nam cau Tlong"/>
      <sheetName val="Duong kim lien 0 cho dua"/>
      <sheetName val="Du an KTDC Nam trung yen"/>
      <sheetName val="tong hop"/>
      <sheetName val="phan tich DG"/>
      <sheetName val="gia vat lieu"/>
      <sheetName val="gia xe may"/>
      <sheetName val="gia nhan cong"/>
      <sheetName val="Quang Tri"/>
      <sheetName val="TTHue"/>
      <sheetName val="Da Nang"/>
      <sheetName val="Quang Nam"/>
      <sheetName val="Quang Ngai"/>
      <sheetName val="TH DH-QN"/>
      <sheetName val="KP HD"/>
      <sheetName val="DB HD"/>
      <sheetName val="TK331A"/>
      <sheetName val="TK131B"/>
      <sheetName val="TK131A"/>
      <sheetName val="TK 331c1"/>
      <sheetName val="TK331C"/>
      <sheetName val="CT331-2003"/>
      <sheetName val="CT 331"/>
      <sheetName val="CT131-2003"/>
      <sheetName val="CT 131"/>
      <sheetName val="TK331B"/>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20000000"/>
      <sheetName val="DI_ESTI"/>
      <sheetName val="gVL"/>
      <sheetName val="caodothietke"/>
      <sheetName val="DTCT"/>
      <sheetName val="PTVT"/>
      <sheetName val="THDT"/>
      <sheetName val="THVT"/>
      <sheetName val="THGT"/>
      <sheetName val="Daily"/>
      <sheetName val="Data-input"/>
      <sheetName val="Data"/>
      <sheetName val="TK12"/>
      <sheetName val="THKP"/>
      <sheetName val="HTchieusang"/>
      <sheetName val="HTdien"/>
      <sheetName val="CUNG CAP VAT TU"/>
      <sheetName val="TH.LIST CAP"/>
      <sheetName val="S3LIST CAP&amp;ONGDL"/>
      <sheetName val="S2LIST CAP&amp;ONGDL"/>
      <sheetName val="S1LIST CAP&amp;ONGDL"/>
      <sheetName val="NGUONGOCVATTU"/>
      <sheetName val="capdongluc"/>
      <sheetName val="KLMOI THAU"/>
      <sheetName val="30000000"/>
      <sheetName val="40000000"/>
      <sheetName val="50000000"/>
      <sheetName val="60000000"/>
      <sheetName val="XXXXXXX0"/>
      <sheetName val="MAU_A"/>
      <sheetName val="MAU_B"/>
      <sheetName val="MAU_C"/>
      <sheetName val="MAU E -XCD"/>
      <sheetName val="MAU E -TDS1"/>
      <sheetName val="MAU E- NDH"/>
      <sheetName val="Giao"/>
      <sheetName val="CHIET TINH"/>
      <sheetName val="Bang Gia VL"/>
      <sheetName val="Tong Hop KP"/>
      <sheetName val=" DON GIA"/>
      <sheetName val="CHIET TINH THEO KH.SAT"/>
      <sheetName val="cham cong XL (2)"/>
      <sheetName val="cham cong XL"/>
      <sheetName val="chamcong"/>
      <sheetName val="Luong XD"/>
      <sheetName val="L.KHOAN 2 "/>
      <sheetName val="L.KHOAN 2"/>
      <sheetName val="CONGTRINHNHD"/>
      <sheetName val="L. KHOAN"/>
      <sheetName val="Luong XL"/>
      <sheetName val="PHANBOXL"/>
      <sheetName val="PHAN BO"/>
      <sheetName val="Luong XD thang 3"/>
      <sheetName val="CONGTRINHNHD thang3"/>
      <sheetName val="luong QL"/>
      <sheetName val="CONGDOAN "/>
      <sheetName val="CTACPHI"/>
      <sheetName val="TH9"/>
      <sheetName val="TH12"/>
      <sheetName val="ESTI_"/>
      <sheetName val="Thang 8"/>
      <sheetName val="Macro1"/>
      <sheetName val="Macro2"/>
      <sheetName val="Macro3"/>
      <sheetName val="Duong con' vu hcm (8)"/>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Qheet3"/>
      <sheetName val="C47-456"/>
      <sheetName val="C46"/>
      <sheetName val="C47-PII"/>
      <sheetName val="TRUC TIEP"/>
      <sheetName val="GIAN TIEP"/>
      <sheetName val="HOP DONG"/>
      <sheetName val="CON LINH"/>
      <sheetName val="[RPT.xlsၝCmay"/>
      <sheetName val="Bang 聧ia ca may"/>
      <sheetName val="[RPT.x"/>
      <sheetName val="THChi"/>
      <sheetName val="THthu"/>
      <sheetName val="BCD"/>
      <sheetName val="111"/>
      <sheetName val="112"/>
      <sheetName val="131"/>
      <sheetName val="133"/>
      <sheetName val="138"/>
      <sheetName val="141"/>
      <sheetName val="142"/>
      <sheetName val="152"/>
      <sheetName val="153"/>
      <sheetName val="154"/>
      <sheetName val="211"/>
      <sheetName val="214"/>
      <sheetName val="331"/>
      <sheetName val="3331"/>
      <sheetName val="3334"/>
      <sheetName val="334"/>
      <sheetName val="411"/>
      <sheetName val="421"/>
      <sheetName val="511"/>
      <sheetName val="621"/>
      <sheetName val="622"/>
      <sheetName val="623"/>
      <sheetName val="627b"/>
      <sheetName val="632"/>
      <sheetName val="642"/>
      <sheetName val="711"/>
      <sheetName val="811"/>
      <sheetName val="911"/>
      <sheetName val="009"/>
      <sheetName val=" quy I-2005"/>
      <sheetName val="Quy 2- 2005 "/>
      <sheetName val="Quy III- 2005 "/>
      <sheetName val="Quy 4- 2005"/>
      <sheetName val="MTL$-INTER"/>
      <sheetName val="HDKT"/>
      <sheetName val="PIPERACK"/>
      <sheetName val="MONG T,V,E"/>
      <sheetName val="tk12A-B&amp;13A-B"/>
      <sheetName val="TAM-tk12A-B&amp;13A-B"/>
      <sheetName val="tk15&amp;11A-B"/>
      <sheetName val="TAM-tk15&amp;11A-B"/>
      <sheetName val="V31"/>
      <sheetName val="T-V31"/>
      <sheetName val="V51"/>
      <sheetName val="T-V51"/>
      <sheetName val="V11"/>
      <sheetName val="v12"/>
      <sheetName val="V13"/>
      <sheetName val="v22"/>
      <sheetName val="V23"/>
      <sheetName val="v24"/>
      <sheetName val="V25"/>
      <sheetName val="V52"/>
      <sheetName val="V61"/>
      <sheetName val="E-01"/>
      <sheetName val="E-02"/>
      <sheetName val="C-01"/>
      <sheetName val="pr-B"/>
      <sheetName val="pr-C"/>
      <sheetName val="pr-D"/>
      <sheetName val="pr-E"/>
      <sheetName val="S-SA"/>
      <sheetName val="S-SB"/>
      <sheetName val="S-SC1"/>
      <sheetName val="S-SC2"/>
      <sheetName val="S-SD1"/>
      <sheetName val="S-SD2"/>
      <sheetName val="S-SD3"/>
      <sheetName val="S-SE1"/>
      <sheetName val="S-SE2"/>
      <sheetName val="sum-sl"/>
      <sheetName val="sum-steel"/>
      <sheetName val="sum-T"/>
      <sheetName val="sum-E"/>
      <sheetName val="sum-pr"/>
      <sheetName val="REPORT"/>
      <sheetName val="Visual inspection record-07"/>
      <sheetName val="Fitup inspection record-06"/>
      <sheetName val="WELD MONITORING"/>
      <sheetName val="CHECK LIST"/>
      <sheetName val="MATERIAL B"/>
      <sheetName val="MATERIAL"/>
      <sheetName val="BENDING REPORT"/>
      <sheetName val="INPS RELEASE"/>
      <sheetName val="PAINTING REPORT"/>
      <sheetName val="hydro test"/>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MTL"/>
      <sheetName val="?? DI"/>
      <sheetName val="[RPT.xls?Cmay"/>
      <sheetName val="Bang ?ia ca may"/>
      <sheetName val="km346+00-km346_x000b_240 (2)"/>
      <sheetName val="km342+297._x0015_8-km342+376.41"/>
      <sheetName val="km341+1077 -km34_x0011_+1177.61"/>
      <sheetName val="km338+00-km33Oé100(2)"/>
      <sheetName val="IBASE"/>
      <sheetName val="예적금"/>
      <sheetName val="Piping Design Data"/>
      <sheetName val="WE'T"/>
      <sheetName val="VAE264_VALVES"/>
      <sheetName val="BT-DSPK"/>
      <sheetName val="RPT"/>
      <sheetName val="BASE"/>
      <sheetName val="Final(1)summary"/>
      <sheetName val="Contents"/>
      <sheetName val="V-VESSEL (WITH DEMISTER)"/>
      <sheetName val="steam table"/>
      <sheetName val="예산M12A"/>
      <sheetName val="BM "/>
      <sheetName val="DWG LIST"/>
      <sheetName val="Dieuchinh"/>
      <sheetName val="REDUCER"/>
      <sheetName val="D-3"/>
      <sheetName val="BATCH"/>
      <sheetName val="General Data"/>
      <sheetName val="ASME B 36.10 M"/>
      <sheetName val="Building List for reference"/>
      <sheetName val="노임단가"/>
      <sheetName val="작성방법"/>
      <sheetName val="직원동원계획"/>
      <sheetName val="98TSON4A"/>
      <sheetName val="LKVL-CK-HT-GD1"/>
      <sheetName val="MOB-MAN1"/>
      <sheetName val="현장관리비"/>
      <sheetName val="Pop-up Tables"/>
      <sheetName val=""/>
      <sheetName val="m361 Base"/>
      <sheetName val="11"/>
      <sheetName val="10"/>
      <sheetName val="9"/>
      <sheetName val="8"/>
      <sheetName val="7"/>
      <sheetName val="6"/>
      <sheetName val="5"/>
      <sheetName val="4"/>
      <sheetName val="3"/>
      <sheetName val="2"/>
      <sheetName val="1"/>
      <sheetName val="1N"/>
      <sheetName val="XD"/>
      <sheetName val="GTGT1"/>
      <sheetName val="NHAHAT"/>
      <sheetName val="TGTGT2"/>
      <sheetName val="CAU"/>
      <sheetName val="KL"/>
      <sheetName val="MD1"/>
      <sheetName val="tienluong"/>
      <sheetName val="giamay"/>
      <sheetName val="km337+533î60-km3ó4 (2)"/>
      <sheetName val="pt0-1"/>
      <sheetName val="kp0-1"/>
      <sheetName val="0-1"/>
      <sheetName val="pt2-3"/>
      <sheetName val="thkp2-3"/>
      <sheetName val="clvl"/>
      <sheetName val="2-3"/>
      <sheetName val="cl1-2"/>
      <sheetName val="thkp1-2"/>
      <sheetName val="clvl1-2"/>
      <sheetName val="1-2"/>
      <sheetName val="cot_xa"/>
      <sheetName val="Quet rac"/>
      <sheetName val="Duïng cong vu hcm (13;) (2)"/>
      <sheetName val="Duong cong vu hcm (8;) (:)"/>
      <sheetName val="Duofg cong vu hcm (7;) (2)"/>
      <sheetName val="GTXLC@INH"/>
      <sheetName val="切割 II"/>
      <sheetName val="Mau so 04 TFDN"/>
      <sheetName val="N_x0008_AN CONG"/>
      <sheetName val="K251 _x0001_C"/>
      <sheetName val="km345+400-km345ÿÿ00 (6)"/>
      <sheetName val="XL²_x0000__x0000_t5"/>
      <sheetName val="Duong cong vu hcm (¶)"/>
      <sheetName val="刃割 MTL"/>
      <sheetName val="Ho=Ðdong giao khoan"/>
      <sheetName val="Km346+60_x0010_-km346+820 (2)"/>
      <sheetName val="km346+00-km3_x0014_6+240 (_x0012_)"/>
      <sheetName val="km345+6_x0016_1-km345+000"/>
      <sheetName val="km342+_x0013_76.41- km342+520.29"/>
      <sheetName val="km342+29_x0017_.58-km3_x0014_2+376.41"/>
      <sheetName val="Ë261"/>
      <sheetName val="K261_x0000_Base"/>
      <sheetName val="K2_x0016_1 AC"/>
      <sheetName val="CON(LINH"/>
      <sheetName val="K_x0000_5_x0001_ @9_x0008_"/>
      <sheetName val="CHEKe VLCHINH"/>
      <sheetName val="Con'ty"/>
      <sheetName val="DG1kSAT"/>
      <sheetName val="_x0010_p_x0000_Ё"/>
      <sheetName val="K259†Base "/>
      <sheetName val="thang 1"/>
      <sheetName val="thang2"/>
      <sheetName val="Thang 3"/>
      <sheetName val="thang5"/>
      <sheetName val="thang4"/>
      <sheetName val="00000001"/>
      <sheetName val="CTP"/>
      <sheetName val="LUONG"/>
      <sheetName val="lphi"/>
      <sheetName val="PLTT"/>
      <sheetName val="KTPLVP"/>
      <sheetName val="KTPL2"/>
      <sheetName val="KHKPHT7-02"/>
      <sheetName val="KHKPHT9-02"/>
      <sheetName val="KHKPHT8-02"/>
      <sheetName val="KHKPHT10-02 "/>
      <sheetName val="lptinh"/>
      <sheetName val="UHNN"/>
      <sheetName val="BHYT02"/>
      <sheetName val="TLL"/>
      <sheetName val="TLL (2)"/>
      <sheetName val="TLLhuyen"/>
      <sheetName val="XL²"/>
      <sheetName val="K"/>
      <sheetName val="_x0010_p"/>
      <sheetName val="Dsach"/>
      <sheetName val="현장지지물물량"/>
      <sheetName val="INDEX"/>
      <sheetName val="SEPARATOR"/>
      <sheetName val="전열면적"/>
      <sheetName val="견적 집계"/>
      <sheetName val="SMART BOART"/>
      <sheetName val="Bill No. 2 - Carpark"/>
      <sheetName val="LIST OF MATERIAL"/>
      <sheetName val="Quotation for Total"/>
      <sheetName val="SUM ALL"/>
      <sheetName val="Quotation Bill 1&amp;2"/>
      <sheetName val="BOQ Bill 1&amp;2"/>
      <sheetName val="Quotation Bill 3"/>
      <sheetName val="BOQ Bill 3"/>
      <sheetName val="Quotation Bill 4"/>
      <sheetName val="BOQ Bill 4"/>
      <sheetName val="Quotation PCCC."/>
      <sheetName val="BOQ PCCC"/>
      <sheetName val="切割_MTL"/>
      <sheetName val="切割_DI"/>
      <sheetName val="Totals"/>
      <sheetName val="extruder"/>
    </sheetNames>
    <sheetDataSet>
      <sheetData sheetId="0" refreshError="1"/>
      <sheetData sheetId="1" refreshError="1"/>
      <sheetData sheetId="2" refreshError="1"/>
      <sheetData sheetId="3" refreshError="1">
        <row r="8">
          <cell r="A8">
            <v>3</v>
          </cell>
          <cell r="B8" t="str">
            <v>5S</v>
          </cell>
          <cell r="C8">
            <v>0.5</v>
          </cell>
          <cell r="D8">
            <v>1.65</v>
          </cell>
          <cell r="E8">
            <v>1</v>
          </cell>
          <cell r="F8">
            <v>0</v>
          </cell>
          <cell r="G8">
            <v>0</v>
          </cell>
          <cell r="H8">
            <v>0</v>
          </cell>
          <cell r="I8">
            <v>7.0000000000000007E-2</v>
          </cell>
          <cell r="J8">
            <v>0</v>
          </cell>
          <cell r="K8">
            <v>7.0000000000000007E-2</v>
          </cell>
          <cell r="L8">
            <v>0</v>
          </cell>
          <cell r="M8">
            <v>0</v>
          </cell>
          <cell r="N8">
            <v>0</v>
          </cell>
          <cell r="O8">
            <v>0</v>
          </cell>
          <cell r="P8">
            <v>2</v>
          </cell>
          <cell r="Q8">
            <v>0</v>
          </cell>
          <cell r="R8">
            <v>0</v>
          </cell>
        </row>
        <row r="9">
          <cell r="A9">
            <v>4</v>
          </cell>
          <cell r="B9" t="str">
            <v>5S</v>
          </cell>
          <cell r="C9">
            <v>0.5</v>
          </cell>
          <cell r="D9">
            <v>1.65</v>
          </cell>
          <cell r="E9">
            <v>1</v>
          </cell>
          <cell r="F9">
            <v>0</v>
          </cell>
          <cell r="G9">
            <v>0</v>
          </cell>
          <cell r="H9">
            <v>0</v>
          </cell>
          <cell r="I9">
            <v>7.0000000000000007E-2</v>
          </cell>
          <cell r="J9">
            <v>0</v>
          </cell>
          <cell r="K9">
            <v>7.0000000000000007E-2</v>
          </cell>
          <cell r="L9">
            <v>0</v>
          </cell>
          <cell r="M9">
            <v>0</v>
          </cell>
          <cell r="N9">
            <v>0</v>
          </cell>
          <cell r="O9">
            <v>0</v>
          </cell>
          <cell r="P9">
            <v>2</v>
          </cell>
          <cell r="Q9">
            <v>0</v>
          </cell>
          <cell r="R9">
            <v>0</v>
          </cell>
        </row>
        <row r="10">
          <cell r="A10" t="str">
            <v>5S</v>
          </cell>
          <cell r="B10" t="str">
            <v>5S</v>
          </cell>
          <cell r="C10">
            <v>0.5</v>
          </cell>
          <cell r="D10">
            <v>1.65</v>
          </cell>
          <cell r="E10">
            <v>1</v>
          </cell>
          <cell r="F10">
            <v>0</v>
          </cell>
          <cell r="G10">
            <v>0</v>
          </cell>
          <cell r="H10">
            <v>0</v>
          </cell>
          <cell r="I10">
            <v>7.0000000000000007E-2</v>
          </cell>
          <cell r="J10">
            <v>0</v>
          </cell>
          <cell r="K10">
            <v>7.0000000000000007E-2</v>
          </cell>
          <cell r="L10">
            <v>0</v>
          </cell>
          <cell r="M10">
            <v>0</v>
          </cell>
          <cell r="N10">
            <v>0</v>
          </cell>
          <cell r="O10">
            <v>0</v>
          </cell>
          <cell r="P10">
            <v>2</v>
          </cell>
          <cell r="Q10">
            <v>0</v>
          </cell>
          <cell r="R10">
            <v>0</v>
          </cell>
        </row>
        <row r="11">
          <cell r="A11">
            <v>6</v>
          </cell>
          <cell r="B11" t="str">
            <v>5S</v>
          </cell>
          <cell r="C11">
            <v>0.75</v>
          </cell>
          <cell r="D11">
            <v>1.65</v>
          </cell>
          <cell r="E11">
            <v>1</v>
          </cell>
          <cell r="F11">
            <v>0</v>
          </cell>
          <cell r="G11">
            <v>0</v>
          </cell>
          <cell r="H11">
            <v>0</v>
          </cell>
          <cell r="I11">
            <v>7.0000000000000007E-2</v>
          </cell>
          <cell r="J11">
            <v>0</v>
          </cell>
          <cell r="K11">
            <v>7.0000000000000007E-2</v>
          </cell>
          <cell r="L11">
            <v>0</v>
          </cell>
          <cell r="M11">
            <v>0</v>
          </cell>
          <cell r="N11">
            <v>0</v>
          </cell>
          <cell r="O11">
            <v>0</v>
          </cell>
          <cell r="P11">
            <v>2</v>
          </cell>
          <cell r="Q11">
            <v>0</v>
          </cell>
          <cell r="R11">
            <v>0</v>
          </cell>
        </row>
        <row r="12">
          <cell r="A12">
            <v>7</v>
          </cell>
          <cell r="B12" t="str">
            <v>5S</v>
          </cell>
          <cell r="C12">
            <v>0.75</v>
          </cell>
          <cell r="D12">
            <v>1.65</v>
          </cell>
          <cell r="E12">
            <v>1</v>
          </cell>
          <cell r="F12">
            <v>0</v>
          </cell>
          <cell r="G12">
            <v>0</v>
          </cell>
          <cell r="H12">
            <v>0</v>
          </cell>
          <cell r="I12">
            <v>7.0000000000000007E-2</v>
          </cell>
          <cell r="J12">
            <v>0</v>
          </cell>
          <cell r="K12">
            <v>7.0000000000000007E-2</v>
          </cell>
          <cell r="L12">
            <v>0</v>
          </cell>
          <cell r="M12">
            <v>0</v>
          </cell>
          <cell r="N12">
            <v>0</v>
          </cell>
          <cell r="O12">
            <v>0</v>
          </cell>
          <cell r="P12">
            <v>2</v>
          </cell>
          <cell r="Q12">
            <v>0</v>
          </cell>
          <cell r="R12">
            <v>0</v>
          </cell>
        </row>
        <row r="13">
          <cell r="A13">
            <v>8</v>
          </cell>
          <cell r="B13" t="str">
            <v>5S</v>
          </cell>
          <cell r="C13">
            <v>0.75</v>
          </cell>
          <cell r="D13">
            <v>1.65</v>
          </cell>
          <cell r="E13">
            <v>1</v>
          </cell>
          <cell r="F13">
            <v>0</v>
          </cell>
          <cell r="G13">
            <v>0</v>
          </cell>
          <cell r="H13">
            <v>0</v>
          </cell>
          <cell r="I13">
            <v>7.0000000000000007E-2</v>
          </cell>
          <cell r="J13">
            <v>0</v>
          </cell>
          <cell r="K13">
            <v>7.0000000000000007E-2</v>
          </cell>
          <cell r="L13">
            <v>0</v>
          </cell>
          <cell r="M13">
            <v>0</v>
          </cell>
          <cell r="N13">
            <v>0</v>
          </cell>
          <cell r="O13">
            <v>0</v>
          </cell>
          <cell r="P13">
            <v>2</v>
          </cell>
          <cell r="Q13">
            <v>0</v>
          </cell>
          <cell r="R13">
            <v>0</v>
          </cell>
        </row>
        <row r="14">
          <cell r="A14">
            <v>9</v>
          </cell>
          <cell r="B14" t="str">
            <v>5S</v>
          </cell>
          <cell r="C14">
            <v>1</v>
          </cell>
          <cell r="D14">
            <v>1.65</v>
          </cell>
          <cell r="E14">
            <v>1</v>
          </cell>
          <cell r="F14">
            <v>0</v>
          </cell>
          <cell r="G14">
            <v>0</v>
          </cell>
          <cell r="H14">
            <v>0</v>
          </cell>
          <cell r="I14">
            <v>0.12</v>
          </cell>
          <cell r="J14">
            <v>0</v>
          </cell>
          <cell r="K14">
            <v>0.12</v>
          </cell>
          <cell r="L14">
            <v>0</v>
          </cell>
          <cell r="M14">
            <v>0</v>
          </cell>
          <cell r="N14">
            <v>0</v>
          </cell>
          <cell r="O14">
            <v>0</v>
          </cell>
          <cell r="P14">
            <v>2</v>
          </cell>
          <cell r="Q14">
            <v>0</v>
          </cell>
          <cell r="R14">
            <v>0</v>
          </cell>
        </row>
        <row r="15">
          <cell r="A15">
            <v>10</v>
          </cell>
          <cell r="B15" t="str">
            <v>5S</v>
          </cell>
          <cell r="C15">
            <v>1</v>
          </cell>
          <cell r="D15">
            <v>1.65</v>
          </cell>
          <cell r="E15">
            <v>1</v>
          </cell>
          <cell r="F15">
            <v>0</v>
          </cell>
          <cell r="G15">
            <v>0</v>
          </cell>
          <cell r="H15">
            <v>0</v>
          </cell>
          <cell r="I15">
            <v>0.12</v>
          </cell>
          <cell r="J15">
            <v>0</v>
          </cell>
          <cell r="K15">
            <v>0.12</v>
          </cell>
          <cell r="L15">
            <v>0</v>
          </cell>
          <cell r="M15">
            <v>0</v>
          </cell>
          <cell r="N15">
            <v>0</v>
          </cell>
          <cell r="O15">
            <v>0</v>
          </cell>
          <cell r="P15">
            <v>2</v>
          </cell>
          <cell r="Q15">
            <v>0</v>
          </cell>
          <cell r="R15">
            <v>0</v>
          </cell>
        </row>
        <row r="16">
          <cell r="A16">
            <v>11</v>
          </cell>
          <cell r="B16" t="str">
            <v>5S</v>
          </cell>
          <cell r="C16">
            <v>1</v>
          </cell>
          <cell r="D16">
            <v>1.65</v>
          </cell>
          <cell r="E16">
            <v>1</v>
          </cell>
          <cell r="F16">
            <v>0</v>
          </cell>
          <cell r="G16">
            <v>0</v>
          </cell>
          <cell r="H16">
            <v>0</v>
          </cell>
          <cell r="I16">
            <v>0.12</v>
          </cell>
          <cell r="J16">
            <v>0</v>
          </cell>
          <cell r="K16">
            <v>0.12</v>
          </cell>
          <cell r="L16">
            <v>0</v>
          </cell>
          <cell r="M16">
            <v>0</v>
          </cell>
          <cell r="N16">
            <v>0</v>
          </cell>
          <cell r="O16">
            <v>0</v>
          </cell>
          <cell r="P16">
            <v>2</v>
          </cell>
          <cell r="Q16">
            <v>0</v>
          </cell>
          <cell r="R16">
            <v>0</v>
          </cell>
        </row>
        <row r="17">
          <cell r="A17">
            <v>12</v>
          </cell>
          <cell r="B17" t="str">
            <v>5S</v>
          </cell>
          <cell r="C17">
            <v>1.25</v>
          </cell>
          <cell r="D17">
            <v>1.65</v>
          </cell>
          <cell r="E17">
            <v>1</v>
          </cell>
          <cell r="F17">
            <v>0</v>
          </cell>
          <cell r="G17">
            <v>0</v>
          </cell>
          <cell r="H17">
            <v>0</v>
          </cell>
          <cell r="I17">
            <v>0.15</v>
          </cell>
          <cell r="J17">
            <v>0</v>
          </cell>
          <cell r="K17">
            <v>0.15</v>
          </cell>
          <cell r="L17">
            <v>0</v>
          </cell>
          <cell r="M17">
            <v>0</v>
          </cell>
          <cell r="N17">
            <v>0</v>
          </cell>
          <cell r="O17">
            <v>0</v>
          </cell>
          <cell r="P17">
            <v>2</v>
          </cell>
          <cell r="Q17">
            <v>0</v>
          </cell>
          <cell r="R17">
            <v>0</v>
          </cell>
        </row>
        <row r="18">
          <cell r="A18">
            <v>13</v>
          </cell>
          <cell r="B18" t="str">
            <v>5S</v>
          </cell>
          <cell r="C18">
            <v>1.25</v>
          </cell>
          <cell r="D18">
            <v>1.65</v>
          </cell>
          <cell r="E18">
            <v>1</v>
          </cell>
          <cell r="F18">
            <v>0</v>
          </cell>
          <cell r="G18">
            <v>0</v>
          </cell>
          <cell r="H18">
            <v>0</v>
          </cell>
          <cell r="I18">
            <v>0.15</v>
          </cell>
          <cell r="J18">
            <v>0</v>
          </cell>
          <cell r="K18">
            <v>0.15</v>
          </cell>
          <cell r="L18">
            <v>0</v>
          </cell>
          <cell r="M18">
            <v>0</v>
          </cell>
          <cell r="N18">
            <v>0</v>
          </cell>
          <cell r="O18">
            <v>0</v>
          </cell>
          <cell r="P18">
            <v>2</v>
          </cell>
          <cell r="Q18">
            <v>0</v>
          </cell>
          <cell r="R18">
            <v>0</v>
          </cell>
        </row>
        <row r="19">
          <cell r="A19">
            <v>14</v>
          </cell>
          <cell r="B19" t="str">
            <v>5S</v>
          </cell>
          <cell r="C19">
            <v>1.25</v>
          </cell>
          <cell r="D19">
            <v>1.65</v>
          </cell>
          <cell r="E19">
            <v>1</v>
          </cell>
          <cell r="F19">
            <v>0</v>
          </cell>
          <cell r="G19">
            <v>0</v>
          </cell>
          <cell r="H19">
            <v>0</v>
          </cell>
          <cell r="I19">
            <v>0.15</v>
          </cell>
          <cell r="J19">
            <v>0</v>
          </cell>
          <cell r="K19">
            <v>0.15</v>
          </cell>
          <cell r="L19">
            <v>0</v>
          </cell>
          <cell r="M19">
            <v>0</v>
          </cell>
          <cell r="N19">
            <v>0</v>
          </cell>
          <cell r="O19">
            <v>0</v>
          </cell>
          <cell r="P19">
            <v>2</v>
          </cell>
          <cell r="Q19">
            <v>0</v>
          </cell>
          <cell r="R19">
            <v>0</v>
          </cell>
        </row>
        <row r="20">
          <cell r="A20">
            <v>15</v>
          </cell>
          <cell r="B20" t="str">
            <v>5S</v>
          </cell>
          <cell r="C20">
            <v>1.5</v>
          </cell>
          <cell r="D20">
            <v>1.65</v>
          </cell>
          <cell r="E20">
            <v>1</v>
          </cell>
          <cell r="F20">
            <v>0</v>
          </cell>
          <cell r="G20">
            <v>0</v>
          </cell>
          <cell r="H20">
            <v>0</v>
          </cell>
          <cell r="I20">
            <v>0.15</v>
          </cell>
          <cell r="J20">
            <v>0</v>
          </cell>
          <cell r="K20">
            <v>0.15</v>
          </cell>
          <cell r="L20">
            <v>0</v>
          </cell>
          <cell r="M20">
            <v>0</v>
          </cell>
          <cell r="N20">
            <v>0</v>
          </cell>
          <cell r="O20">
            <v>0</v>
          </cell>
          <cell r="P20">
            <v>2</v>
          </cell>
          <cell r="Q20">
            <v>0</v>
          </cell>
          <cell r="R20">
            <v>0</v>
          </cell>
        </row>
        <row r="21">
          <cell r="A21">
            <v>16</v>
          </cell>
          <cell r="B21" t="str">
            <v>5S</v>
          </cell>
          <cell r="C21">
            <v>1.5</v>
          </cell>
          <cell r="D21">
            <v>1.65</v>
          </cell>
          <cell r="E21">
            <v>1</v>
          </cell>
          <cell r="F21">
            <v>0</v>
          </cell>
          <cell r="G21">
            <v>0</v>
          </cell>
          <cell r="H21">
            <v>0</v>
          </cell>
          <cell r="I21">
            <v>0.15</v>
          </cell>
          <cell r="J21">
            <v>0</v>
          </cell>
          <cell r="K21">
            <v>0.15</v>
          </cell>
          <cell r="L21">
            <v>0</v>
          </cell>
          <cell r="M21">
            <v>0</v>
          </cell>
          <cell r="N21">
            <v>0</v>
          </cell>
          <cell r="O21">
            <v>0</v>
          </cell>
          <cell r="P21">
            <v>2</v>
          </cell>
          <cell r="Q21">
            <v>0</v>
          </cell>
          <cell r="R21">
            <v>0</v>
          </cell>
        </row>
        <row r="22">
          <cell r="A22">
            <v>17</v>
          </cell>
          <cell r="B22" t="str">
            <v>5S</v>
          </cell>
          <cell r="C22">
            <v>1.5</v>
          </cell>
          <cell r="D22">
            <v>1.65</v>
          </cell>
          <cell r="E22">
            <v>1</v>
          </cell>
          <cell r="F22">
            <v>0</v>
          </cell>
          <cell r="G22">
            <v>0</v>
          </cell>
          <cell r="H22">
            <v>0</v>
          </cell>
          <cell r="I22">
            <v>0.15</v>
          </cell>
          <cell r="J22">
            <v>0</v>
          </cell>
          <cell r="K22">
            <v>0.15</v>
          </cell>
          <cell r="L22">
            <v>0</v>
          </cell>
          <cell r="M22">
            <v>0</v>
          </cell>
          <cell r="N22">
            <v>0</v>
          </cell>
          <cell r="O22">
            <v>0</v>
          </cell>
          <cell r="P22">
            <v>2</v>
          </cell>
          <cell r="Q22">
            <v>0</v>
          </cell>
          <cell r="R22">
            <v>0</v>
          </cell>
        </row>
        <row r="23">
          <cell r="A23">
            <v>18</v>
          </cell>
          <cell r="B23" t="str">
            <v>5S</v>
          </cell>
          <cell r="C23">
            <v>2</v>
          </cell>
          <cell r="D23">
            <v>1.65</v>
          </cell>
          <cell r="E23">
            <v>1</v>
          </cell>
          <cell r="F23">
            <v>0</v>
          </cell>
          <cell r="G23">
            <v>0</v>
          </cell>
          <cell r="H23">
            <v>0</v>
          </cell>
          <cell r="I23">
            <v>0.15</v>
          </cell>
          <cell r="J23">
            <v>0</v>
          </cell>
          <cell r="K23">
            <v>0.15</v>
          </cell>
          <cell r="L23">
            <v>0</v>
          </cell>
          <cell r="M23">
            <v>0</v>
          </cell>
          <cell r="N23">
            <v>0</v>
          </cell>
          <cell r="O23">
            <v>0</v>
          </cell>
          <cell r="P23">
            <v>2</v>
          </cell>
          <cell r="Q23">
            <v>0</v>
          </cell>
          <cell r="R23">
            <v>0</v>
          </cell>
        </row>
        <row r="24">
          <cell r="A24">
            <v>19</v>
          </cell>
          <cell r="B24" t="str">
            <v>5S</v>
          </cell>
          <cell r="C24">
            <v>2</v>
          </cell>
          <cell r="D24">
            <v>1.65</v>
          </cell>
          <cell r="E24">
            <v>1</v>
          </cell>
          <cell r="F24">
            <v>0</v>
          </cell>
          <cell r="G24">
            <v>0</v>
          </cell>
          <cell r="H24">
            <v>0</v>
          </cell>
          <cell r="I24">
            <v>0.15</v>
          </cell>
          <cell r="J24">
            <v>0</v>
          </cell>
          <cell r="K24">
            <v>0.15</v>
          </cell>
          <cell r="L24">
            <v>0</v>
          </cell>
          <cell r="M24">
            <v>0</v>
          </cell>
          <cell r="N24">
            <v>0</v>
          </cell>
          <cell r="O24">
            <v>0</v>
          </cell>
          <cell r="P24">
            <v>2</v>
          </cell>
          <cell r="Q24">
            <v>0</v>
          </cell>
          <cell r="R24">
            <v>0</v>
          </cell>
        </row>
        <row r="25">
          <cell r="A25">
            <v>20</v>
          </cell>
          <cell r="B25" t="str">
            <v>5S</v>
          </cell>
          <cell r="C25">
            <v>2</v>
          </cell>
          <cell r="D25">
            <v>1.65</v>
          </cell>
          <cell r="E25">
            <v>1</v>
          </cell>
          <cell r="F25">
            <v>0</v>
          </cell>
          <cell r="G25">
            <v>0</v>
          </cell>
          <cell r="H25">
            <v>0</v>
          </cell>
          <cell r="I25">
            <v>0.15</v>
          </cell>
          <cell r="J25">
            <v>0</v>
          </cell>
          <cell r="K25">
            <v>0.15</v>
          </cell>
          <cell r="L25">
            <v>0</v>
          </cell>
          <cell r="M25">
            <v>0</v>
          </cell>
          <cell r="N25">
            <v>0</v>
          </cell>
          <cell r="O25">
            <v>0</v>
          </cell>
          <cell r="P25">
            <v>2</v>
          </cell>
          <cell r="Q25">
            <v>0</v>
          </cell>
          <cell r="R25">
            <v>0</v>
          </cell>
        </row>
        <row r="26">
          <cell r="A26">
            <v>21</v>
          </cell>
          <cell r="B26" t="str">
            <v>5S</v>
          </cell>
          <cell r="C26">
            <v>2.5</v>
          </cell>
          <cell r="D26">
            <v>2.11</v>
          </cell>
          <cell r="E26">
            <v>1</v>
          </cell>
          <cell r="F26">
            <v>0</v>
          </cell>
          <cell r="G26">
            <v>0</v>
          </cell>
          <cell r="H26">
            <v>0</v>
          </cell>
          <cell r="I26">
            <v>0.15</v>
          </cell>
          <cell r="J26">
            <v>0</v>
          </cell>
          <cell r="K26">
            <v>0.15</v>
          </cell>
          <cell r="L26">
            <v>0</v>
          </cell>
          <cell r="M26">
            <v>0</v>
          </cell>
          <cell r="N26">
            <v>0</v>
          </cell>
          <cell r="O26">
            <v>0</v>
          </cell>
          <cell r="P26">
            <v>2</v>
          </cell>
          <cell r="Q26">
            <v>0</v>
          </cell>
          <cell r="R26">
            <v>0</v>
          </cell>
        </row>
        <row r="27">
          <cell r="A27">
            <v>22</v>
          </cell>
          <cell r="B27" t="str">
            <v>5S</v>
          </cell>
          <cell r="C27">
            <v>3</v>
          </cell>
          <cell r="D27">
            <v>2.11</v>
          </cell>
          <cell r="E27">
            <v>1</v>
          </cell>
          <cell r="F27">
            <v>0</v>
          </cell>
          <cell r="G27">
            <v>0</v>
          </cell>
          <cell r="H27">
            <v>0</v>
          </cell>
          <cell r="I27">
            <v>0.3</v>
          </cell>
          <cell r="J27">
            <v>0</v>
          </cell>
          <cell r="K27">
            <v>0.3</v>
          </cell>
          <cell r="L27">
            <v>0</v>
          </cell>
          <cell r="M27">
            <v>0</v>
          </cell>
          <cell r="N27">
            <v>0</v>
          </cell>
          <cell r="O27">
            <v>0</v>
          </cell>
          <cell r="P27">
            <v>2</v>
          </cell>
          <cell r="Q27">
            <v>0</v>
          </cell>
          <cell r="R27">
            <v>0</v>
          </cell>
        </row>
        <row r="28">
          <cell r="A28">
            <v>23</v>
          </cell>
          <cell r="B28" t="str">
            <v>5S</v>
          </cell>
          <cell r="C28">
            <v>3.5</v>
          </cell>
          <cell r="D28">
            <v>2.11</v>
          </cell>
          <cell r="E28">
            <v>1</v>
          </cell>
          <cell r="F28">
            <v>0</v>
          </cell>
          <cell r="G28">
            <v>0</v>
          </cell>
          <cell r="H28">
            <v>0</v>
          </cell>
          <cell r="I28">
            <v>0.3</v>
          </cell>
          <cell r="J28">
            <v>0</v>
          </cell>
          <cell r="K28">
            <v>0.3</v>
          </cell>
          <cell r="L28">
            <v>0</v>
          </cell>
          <cell r="M28">
            <v>0</v>
          </cell>
          <cell r="N28">
            <v>0</v>
          </cell>
          <cell r="O28">
            <v>0</v>
          </cell>
          <cell r="P28">
            <v>3</v>
          </cell>
          <cell r="Q28">
            <v>0</v>
          </cell>
          <cell r="R28">
            <v>0</v>
          </cell>
        </row>
        <row r="29">
          <cell r="A29">
            <v>24</v>
          </cell>
          <cell r="B29" t="str">
            <v>5S</v>
          </cell>
          <cell r="C29">
            <v>4</v>
          </cell>
          <cell r="D29">
            <v>2.11</v>
          </cell>
          <cell r="E29">
            <v>1</v>
          </cell>
          <cell r="F29">
            <v>0</v>
          </cell>
          <cell r="G29">
            <v>0</v>
          </cell>
          <cell r="H29">
            <v>0</v>
          </cell>
          <cell r="I29">
            <v>0.3</v>
          </cell>
          <cell r="J29">
            <v>0</v>
          </cell>
          <cell r="K29">
            <v>0.3</v>
          </cell>
          <cell r="L29">
            <v>0</v>
          </cell>
          <cell r="M29">
            <v>0</v>
          </cell>
          <cell r="N29">
            <v>0</v>
          </cell>
          <cell r="O29">
            <v>0</v>
          </cell>
          <cell r="P29">
            <v>3</v>
          </cell>
          <cell r="Q29">
            <v>0</v>
          </cell>
          <cell r="R29">
            <v>0</v>
          </cell>
        </row>
        <row r="30">
          <cell r="A30">
            <v>25</v>
          </cell>
          <cell r="B30" t="str">
            <v>5S</v>
          </cell>
          <cell r="C30">
            <v>5</v>
          </cell>
          <cell r="D30">
            <v>2.77</v>
          </cell>
          <cell r="E30">
            <v>1</v>
          </cell>
          <cell r="F30">
            <v>0</v>
          </cell>
          <cell r="G30">
            <v>0</v>
          </cell>
          <cell r="H30">
            <v>0</v>
          </cell>
          <cell r="I30">
            <v>0.3</v>
          </cell>
          <cell r="J30">
            <v>0</v>
          </cell>
          <cell r="K30">
            <v>0.3</v>
          </cell>
          <cell r="L30">
            <v>0</v>
          </cell>
          <cell r="M30">
            <v>0</v>
          </cell>
          <cell r="N30">
            <v>0</v>
          </cell>
          <cell r="O30">
            <v>0</v>
          </cell>
          <cell r="P30">
            <v>4</v>
          </cell>
          <cell r="Q30">
            <v>0</v>
          </cell>
          <cell r="R30">
            <v>0</v>
          </cell>
        </row>
        <row r="31">
          <cell r="A31" t="str">
            <v>5S</v>
          </cell>
          <cell r="B31" t="str">
            <v>5S</v>
          </cell>
          <cell r="C31">
            <v>6</v>
          </cell>
          <cell r="D31">
            <v>2.77</v>
          </cell>
          <cell r="E31">
            <v>1</v>
          </cell>
          <cell r="F31">
            <v>0</v>
          </cell>
          <cell r="G31">
            <v>0</v>
          </cell>
          <cell r="H31">
            <v>0</v>
          </cell>
          <cell r="I31">
            <v>0.45</v>
          </cell>
          <cell r="J31">
            <v>0</v>
          </cell>
          <cell r="K31">
            <v>0.45</v>
          </cell>
          <cell r="L31">
            <v>0</v>
          </cell>
          <cell r="M31">
            <v>0</v>
          </cell>
          <cell r="N31">
            <v>0</v>
          </cell>
          <cell r="O31">
            <v>0</v>
          </cell>
          <cell r="P31">
            <v>4</v>
          </cell>
          <cell r="Q31">
            <v>0</v>
          </cell>
          <cell r="R31">
            <v>0</v>
          </cell>
        </row>
        <row r="32">
          <cell r="A32">
            <v>27</v>
          </cell>
          <cell r="B32" t="str">
            <v>5S</v>
          </cell>
          <cell r="C32">
            <v>8</v>
          </cell>
          <cell r="D32">
            <v>2.77</v>
          </cell>
          <cell r="E32">
            <v>1</v>
          </cell>
          <cell r="F32">
            <v>0</v>
          </cell>
          <cell r="G32">
            <v>0</v>
          </cell>
          <cell r="H32">
            <v>0</v>
          </cell>
          <cell r="I32">
            <v>0.45</v>
          </cell>
          <cell r="J32">
            <v>0</v>
          </cell>
          <cell r="K32">
            <v>0.45</v>
          </cell>
          <cell r="L32">
            <v>0</v>
          </cell>
          <cell r="M32">
            <v>0</v>
          </cell>
          <cell r="N32">
            <v>0</v>
          </cell>
          <cell r="O32">
            <v>0</v>
          </cell>
          <cell r="P32">
            <v>4</v>
          </cell>
          <cell r="Q32">
            <v>0</v>
          </cell>
          <cell r="R32">
            <v>0</v>
          </cell>
        </row>
        <row r="33">
          <cell r="A33">
            <v>28</v>
          </cell>
          <cell r="B33" t="str">
            <v>5S</v>
          </cell>
          <cell r="C33">
            <v>10</v>
          </cell>
          <cell r="D33">
            <v>3.4</v>
          </cell>
          <cell r="E33">
            <v>1</v>
          </cell>
          <cell r="F33">
            <v>0</v>
          </cell>
          <cell r="G33">
            <v>0</v>
          </cell>
          <cell r="H33">
            <v>0</v>
          </cell>
          <cell r="I33">
            <v>0.9</v>
          </cell>
          <cell r="J33">
            <v>0</v>
          </cell>
          <cell r="K33">
            <v>0.9</v>
          </cell>
          <cell r="L33">
            <v>0</v>
          </cell>
          <cell r="M33">
            <v>0</v>
          </cell>
          <cell r="N33">
            <v>0</v>
          </cell>
          <cell r="O33">
            <v>0</v>
          </cell>
          <cell r="P33">
            <v>4</v>
          </cell>
          <cell r="Q33">
            <v>0</v>
          </cell>
          <cell r="R33">
            <v>0</v>
          </cell>
        </row>
        <row r="34">
          <cell r="A34">
            <v>29</v>
          </cell>
          <cell r="B34" t="str">
            <v>5S</v>
          </cell>
          <cell r="C34">
            <v>12</v>
          </cell>
          <cell r="D34">
            <v>3.96</v>
          </cell>
          <cell r="E34">
            <v>1</v>
          </cell>
          <cell r="F34">
            <v>0</v>
          </cell>
          <cell r="G34">
            <v>0</v>
          </cell>
          <cell r="H34">
            <v>0</v>
          </cell>
          <cell r="I34">
            <v>1.2</v>
          </cell>
          <cell r="J34">
            <v>0</v>
          </cell>
          <cell r="K34">
            <v>1.2</v>
          </cell>
          <cell r="L34">
            <v>0</v>
          </cell>
          <cell r="M34">
            <v>0</v>
          </cell>
          <cell r="N34">
            <v>0</v>
          </cell>
          <cell r="O34">
            <v>0</v>
          </cell>
          <cell r="P34">
            <v>6</v>
          </cell>
          <cell r="Q34">
            <v>0</v>
          </cell>
          <cell r="R34">
            <v>0</v>
          </cell>
        </row>
        <row r="35">
          <cell r="A35">
            <v>30</v>
          </cell>
          <cell r="B35" t="str">
            <v>5S</v>
          </cell>
          <cell r="C35">
            <v>14</v>
          </cell>
          <cell r="D35">
            <v>3.96</v>
          </cell>
          <cell r="E35">
            <v>1</v>
          </cell>
          <cell r="F35">
            <v>0</v>
          </cell>
          <cell r="G35">
            <v>0</v>
          </cell>
          <cell r="H35">
            <v>0</v>
          </cell>
          <cell r="I35">
            <v>1.34</v>
          </cell>
          <cell r="J35">
            <v>0</v>
          </cell>
          <cell r="K35">
            <v>1.34</v>
          </cell>
          <cell r="L35">
            <v>0</v>
          </cell>
          <cell r="M35">
            <v>0</v>
          </cell>
          <cell r="N35">
            <v>0</v>
          </cell>
          <cell r="O35">
            <v>0</v>
          </cell>
          <cell r="P35">
            <v>6</v>
          </cell>
          <cell r="Q35">
            <v>0</v>
          </cell>
          <cell r="R35">
            <v>0</v>
          </cell>
        </row>
        <row r="36">
          <cell r="A36">
            <v>31</v>
          </cell>
          <cell r="B36" t="str">
            <v>5S</v>
          </cell>
          <cell r="C36">
            <v>16</v>
          </cell>
          <cell r="D36">
            <v>4.1900000000000004</v>
          </cell>
          <cell r="E36">
            <v>1</v>
          </cell>
          <cell r="F36">
            <v>0</v>
          </cell>
          <cell r="G36">
            <v>0</v>
          </cell>
          <cell r="H36">
            <v>0</v>
          </cell>
          <cell r="I36">
            <v>1.65</v>
          </cell>
          <cell r="J36">
            <v>0</v>
          </cell>
          <cell r="K36">
            <v>1.65</v>
          </cell>
          <cell r="L36">
            <v>0</v>
          </cell>
          <cell r="M36">
            <v>0</v>
          </cell>
          <cell r="N36">
            <v>0</v>
          </cell>
          <cell r="O36">
            <v>0</v>
          </cell>
          <cell r="P36">
            <v>6</v>
          </cell>
          <cell r="Q36">
            <v>0</v>
          </cell>
          <cell r="R36">
            <v>0</v>
          </cell>
        </row>
        <row r="37">
          <cell r="A37">
            <v>32</v>
          </cell>
          <cell r="B37" t="str">
            <v>5S</v>
          </cell>
          <cell r="C37">
            <v>18</v>
          </cell>
          <cell r="D37">
            <v>4.1900000000000004</v>
          </cell>
          <cell r="E37">
            <v>1</v>
          </cell>
          <cell r="F37">
            <v>0</v>
          </cell>
          <cell r="G37">
            <v>0</v>
          </cell>
          <cell r="H37">
            <v>0</v>
          </cell>
          <cell r="I37">
            <v>1.8</v>
          </cell>
          <cell r="J37">
            <v>0</v>
          </cell>
          <cell r="K37">
            <v>1.8</v>
          </cell>
          <cell r="L37">
            <v>0</v>
          </cell>
          <cell r="M37">
            <v>0</v>
          </cell>
          <cell r="N37">
            <v>0</v>
          </cell>
          <cell r="O37">
            <v>0</v>
          </cell>
          <cell r="P37">
            <v>6</v>
          </cell>
          <cell r="Q37">
            <v>0</v>
          </cell>
          <cell r="R37">
            <v>0</v>
          </cell>
        </row>
        <row r="38">
          <cell r="A38">
            <v>33</v>
          </cell>
          <cell r="B38" t="str">
            <v>5S</v>
          </cell>
          <cell r="C38">
            <v>20</v>
          </cell>
          <cell r="D38">
            <v>4.78</v>
          </cell>
          <cell r="E38">
            <v>1</v>
          </cell>
          <cell r="F38">
            <v>0</v>
          </cell>
          <cell r="G38">
            <v>0</v>
          </cell>
          <cell r="H38">
            <v>0</v>
          </cell>
          <cell r="I38">
            <v>2.54</v>
          </cell>
          <cell r="J38">
            <v>0</v>
          </cell>
          <cell r="K38">
            <v>2.54</v>
          </cell>
          <cell r="L38">
            <v>0</v>
          </cell>
          <cell r="M38">
            <v>0</v>
          </cell>
          <cell r="N38">
            <v>0</v>
          </cell>
          <cell r="O38">
            <v>0</v>
          </cell>
          <cell r="P38">
            <v>7</v>
          </cell>
          <cell r="Q38">
            <v>0</v>
          </cell>
          <cell r="R38">
            <v>0</v>
          </cell>
        </row>
        <row r="39">
          <cell r="A39">
            <v>34</v>
          </cell>
          <cell r="B39" t="str">
            <v>5S</v>
          </cell>
          <cell r="C39">
            <v>22</v>
          </cell>
          <cell r="D39">
            <v>4.78</v>
          </cell>
          <cell r="E39">
            <v>1</v>
          </cell>
          <cell r="F39">
            <v>0</v>
          </cell>
          <cell r="G39">
            <v>0</v>
          </cell>
          <cell r="H39">
            <v>0</v>
          </cell>
          <cell r="I39">
            <v>2.69</v>
          </cell>
          <cell r="J39">
            <v>0</v>
          </cell>
          <cell r="K39">
            <v>2.69</v>
          </cell>
          <cell r="L39">
            <v>0</v>
          </cell>
          <cell r="M39">
            <v>0</v>
          </cell>
          <cell r="N39">
            <v>0</v>
          </cell>
          <cell r="O39">
            <v>0</v>
          </cell>
          <cell r="P39">
            <v>8</v>
          </cell>
          <cell r="Q39">
            <v>0</v>
          </cell>
          <cell r="R39">
            <v>0</v>
          </cell>
        </row>
        <row r="40">
          <cell r="A40">
            <v>35</v>
          </cell>
          <cell r="B40" t="str">
            <v>5S</v>
          </cell>
          <cell r="C40">
            <v>24</v>
          </cell>
          <cell r="D40">
            <v>5.54</v>
          </cell>
          <cell r="E40">
            <v>1</v>
          </cell>
          <cell r="F40">
            <v>0</v>
          </cell>
          <cell r="G40">
            <v>0</v>
          </cell>
          <cell r="H40">
            <v>0</v>
          </cell>
          <cell r="I40">
            <v>2.4300000000000002</v>
          </cell>
          <cell r="J40">
            <v>1.47</v>
          </cell>
          <cell r="K40">
            <v>3.9000000000000004</v>
          </cell>
          <cell r="L40">
            <v>0</v>
          </cell>
          <cell r="M40">
            <v>0</v>
          </cell>
          <cell r="N40">
            <v>0</v>
          </cell>
          <cell r="O40">
            <v>0</v>
          </cell>
          <cell r="P40">
            <v>8</v>
          </cell>
          <cell r="Q40">
            <v>0</v>
          </cell>
          <cell r="R40">
            <v>0</v>
          </cell>
        </row>
        <row r="41">
          <cell r="A41">
            <v>36</v>
          </cell>
          <cell r="B41" t="str">
            <v>5S</v>
          </cell>
          <cell r="C41">
            <v>30</v>
          </cell>
          <cell r="D41">
            <v>6.35</v>
          </cell>
          <cell r="E41">
            <v>1</v>
          </cell>
          <cell r="F41">
            <v>0</v>
          </cell>
          <cell r="G41">
            <v>0</v>
          </cell>
          <cell r="H41">
            <v>0</v>
          </cell>
          <cell r="I41">
            <v>3.04</v>
          </cell>
          <cell r="J41">
            <v>3.11</v>
          </cell>
          <cell r="K41">
            <v>6.15</v>
          </cell>
          <cell r="L41">
            <v>0</v>
          </cell>
          <cell r="M41">
            <v>0</v>
          </cell>
          <cell r="N41">
            <v>0</v>
          </cell>
          <cell r="O41">
            <v>0</v>
          </cell>
          <cell r="P41">
            <v>10</v>
          </cell>
          <cell r="Q41">
            <v>0</v>
          </cell>
          <cell r="R41">
            <v>0</v>
          </cell>
        </row>
        <row r="42">
          <cell r="A42">
            <v>37</v>
          </cell>
          <cell r="B42">
            <v>10</v>
          </cell>
          <cell r="C42">
            <v>14</v>
          </cell>
          <cell r="D42">
            <v>6.35</v>
          </cell>
          <cell r="E42">
            <v>1</v>
          </cell>
          <cell r="F42">
            <v>0</v>
          </cell>
          <cell r="G42">
            <v>0</v>
          </cell>
          <cell r="H42">
            <v>0</v>
          </cell>
          <cell r="I42">
            <v>1.42</v>
          </cell>
          <cell r="J42">
            <v>1.27</v>
          </cell>
          <cell r="K42">
            <v>2.69</v>
          </cell>
          <cell r="L42">
            <v>0</v>
          </cell>
          <cell r="M42">
            <v>0</v>
          </cell>
          <cell r="N42">
            <v>0</v>
          </cell>
          <cell r="O42">
            <v>0</v>
          </cell>
          <cell r="P42">
            <v>6</v>
          </cell>
          <cell r="Q42">
            <v>0</v>
          </cell>
          <cell r="R42">
            <v>0</v>
          </cell>
        </row>
        <row r="43">
          <cell r="A43">
            <v>38</v>
          </cell>
          <cell r="B43">
            <v>10</v>
          </cell>
          <cell r="C43">
            <v>16</v>
          </cell>
          <cell r="D43">
            <v>6.35</v>
          </cell>
          <cell r="E43">
            <v>1</v>
          </cell>
          <cell r="F43">
            <v>0</v>
          </cell>
          <cell r="G43">
            <v>0</v>
          </cell>
          <cell r="H43">
            <v>0</v>
          </cell>
          <cell r="I43">
            <v>1.62</v>
          </cell>
          <cell r="J43">
            <v>1.38</v>
          </cell>
          <cell r="K43">
            <v>3</v>
          </cell>
          <cell r="L43">
            <v>0</v>
          </cell>
          <cell r="M43">
            <v>0</v>
          </cell>
          <cell r="N43">
            <v>0</v>
          </cell>
          <cell r="O43">
            <v>0</v>
          </cell>
          <cell r="P43">
            <v>6</v>
          </cell>
          <cell r="Q43">
            <v>0</v>
          </cell>
          <cell r="R43">
            <v>0</v>
          </cell>
        </row>
        <row r="44">
          <cell r="A44">
            <v>39</v>
          </cell>
          <cell r="B44">
            <v>10</v>
          </cell>
          <cell r="C44">
            <v>18</v>
          </cell>
          <cell r="D44">
            <v>6.35</v>
          </cell>
          <cell r="E44">
            <v>1</v>
          </cell>
          <cell r="F44">
            <v>0</v>
          </cell>
          <cell r="G44">
            <v>0</v>
          </cell>
          <cell r="H44">
            <v>0</v>
          </cell>
          <cell r="I44">
            <v>1.82</v>
          </cell>
          <cell r="J44">
            <v>1.48</v>
          </cell>
          <cell r="K44">
            <v>3.3</v>
          </cell>
          <cell r="L44">
            <v>0</v>
          </cell>
          <cell r="M44">
            <v>0</v>
          </cell>
          <cell r="N44">
            <v>0</v>
          </cell>
          <cell r="O44">
            <v>0</v>
          </cell>
          <cell r="P44">
            <v>6</v>
          </cell>
          <cell r="Q44">
            <v>0</v>
          </cell>
          <cell r="R44">
            <v>0</v>
          </cell>
        </row>
        <row r="45">
          <cell r="A45" t="str">
            <v>AVE.</v>
          </cell>
          <cell r="B45">
            <v>10</v>
          </cell>
          <cell r="C45">
            <v>20</v>
          </cell>
          <cell r="D45">
            <v>6.35</v>
          </cell>
          <cell r="E45">
            <v>1</v>
          </cell>
          <cell r="F45">
            <v>0</v>
          </cell>
          <cell r="G45">
            <v>0</v>
          </cell>
          <cell r="H45">
            <v>0</v>
          </cell>
          <cell r="I45">
            <v>2.0299999999999998</v>
          </cell>
          <cell r="J45">
            <v>1.72</v>
          </cell>
          <cell r="K45">
            <v>3.75</v>
          </cell>
          <cell r="L45">
            <v>0</v>
          </cell>
          <cell r="M45">
            <v>0</v>
          </cell>
          <cell r="N45">
            <v>0</v>
          </cell>
          <cell r="O45">
            <v>0</v>
          </cell>
          <cell r="P45">
            <v>7</v>
          </cell>
          <cell r="Q45">
            <v>0</v>
          </cell>
          <cell r="R45">
            <v>0</v>
          </cell>
        </row>
        <row r="46">
          <cell r="B46">
            <v>10</v>
          </cell>
          <cell r="C46">
            <v>22</v>
          </cell>
          <cell r="D46">
            <v>6.35</v>
          </cell>
          <cell r="E46">
            <v>1</v>
          </cell>
          <cell r="I46">
            <v>2.23</v>
          </cell>
          <cell r="J46">
            <v>2.27</v>
          </cell>
          <cell r="K46">
            <v>4.5</v>
          </cell>
          <cell r="P46">
            <v>8</v>
          </cell>
        </row>
        <row r="47">
          <cell r="A47" t="str">
            <v>*** Reference Paper : Predict Fittings For Piping Systems ***</v>
          </cell>
          <cell r="B47">
            <v>10</v>
          </cell>
          <cell r="C47">
            <v>24</v>
          </cell>
          <cell r="D47">
            <v>6.35</v>
          </cell>
          <cell r="E47">
            <v>1</v>
          </cell>
          <cell r="I47">
            <v>2.4300000000000002</v>
          </cell>
          <cell r="J47">
            <v>2.0699999999999998</v>
          </cell>
          <cell r="K47">
            <v>4.5</v>
          </cell>
          <cell r="P47">
            <v>8</v>
          </cell>
          <cell r="R47" t="str">
            <v>Fc = 2.00  Manifold Type Piping</v>
          </cell>
        </row>
        <row r="48">
          <cell r="B48">
            <v>10</v>
          </cell>
          <cell r="C48">
            <v>26</v>
          </cell>
          <cell r="D48">
            <v>7.92</v>
          </cell>
          <cell r="E48">
            <v>1</v>
          </cell>
          <cell r="I48">
            <v>2.64</v>
          </cell>
          <cell r="J48">
            <v>4.8600000000000003</v>
          </cell>
          <cell r="K48">
            <v>7.5</v>
          </cell>
          <cell r="P48">
            <v>9</v>
          </cell>
          <cell r="R48" t="str">
            <v xml:space="preserve">        (PIPE JOINT FACTOR Fp = 0%)</v>
          </cell>
        </row>
        <row r="49">
          <cell r="B49">
            <v>10</v>
          </cell>
          <cell r="C49">
            <v>28</v>
          </cell>
          <cell r="D49">
            <v>7.92</v>
          </cell>
          <cell r="E49">
            <v>1</v>
          </cell>
          <cell r="I49">
            <v>2.84</v>
          </cell>
          <cell r="J49">
            <v>5.26</v>
          </cell>
          <cell r="K49">
            <v>8.1</v>
          </cell>
          <cell r="P49">
            <v>9</v>
          </cell>
          <cell r="R49" t="str">
            <v>Fc = 4.00  Very Complex Manifolds</v>
          </cell>
        </row>
        <row r="50">
          <cell r="A50" t="str">
            <v>The number and types of pipe fittings can be estimated by this method</v>
          </cell>
          <cell r="B50">
            <v>10</v>
          </cell>
          <cell r="C50">
            <v>30</v>
          </cell>
          <cell r="D50">
            <v>7.92</v>
          </cell>
          <cell r="E50">
            <v>1</v>
          </cell>
          <cell r="I50">
            <v>3.04</v>
          </cell>
          <cell r="J50">
            <v>5.66</v>
          </cell>
          <cell r="K50">
            <v>8.6999999999999993</v>
          </cell>
          <cell r="P50">
            <v>10</v>
          </cell>
          <cell r="R50" t="str">
            <v xml:space="preserve">        (PIPE JOINT FACTOR Fp = 0%)</v>
          </cell>
        </row>
        <row r="51">
          <cell r="A51" t="str">
            <v>long before the piping isometrics are done. Pipe size and a general idea</v>
          </cell>
          <cell r="B51">
            <v>10</v>
          </cell>
          <cell r="C51">
            <v>32</v>
          </cell>
          <cell r="D51">
            <v>7.92</v>
          </cell>
          <cell r="E51">
            <v>1</v>
          </cell>
          <cell r="I51">
            <v>3.24</v>
          </cell>
          <cell r="J51">
            <v>6.06</v>
          </cell>
          <cell r="K51">
            <v>9.3000000000000007</v>
          </cell>
          <cell r="P51">
            <v>11</v>
          </cell>
        </row>
        <row r="52">
          <cell r="A52" t="str">
            <v>of the system's complexity are all that is needed.</v>
          </cell>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cell r="Q55" t="str">
            <v xml:space="preserve">S_x0001_N_x0002_1a_x0000__x0017_T«n nÒn b»ng c¸t ®Çm kü_x0002_m3_x0000_%X©y mãng ®¸ </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O81">
            <v>2</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F90">
            <v>0</v>
          </cell>
          <cell r="G90">
            <v>0</v>
          </cell>
          <cell r="H90">
            <v>2.2251287283221441E-307</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F130">
            <v>0</v>
          </cell>
          <cell r="G130">
            <v>0</v>
          </cell>
          <cell r="H130">
            <v>0</v>
          </cell>
          <cell r="I130">
            <v>7.0000000000000007E-2</v>
          </cell>
          <cell r="J130">
            <v>0</v>
          </cell>
          <cell r="K130">
            <v>7.0000000000000007E-2</v>
          </cell>
          <cell r="L130">
            <v>0</v>
          </cell>
          <cell r="M130">
            <v>0</v>
          </cell>
          <cell r="N130">
            <v>0</v>
          </cell>
          <cell r="O130">
            <v>0</v>
          </cell>
          <cell r="P130">
            <v>2</v>
          </cell>
          <cell r="Q130">
            <v>0</v>
          </cell>
          <cell r="R130">
            <v>0</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J146">
            <v>0</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O172">
            <v>1.2583851944036213E+307</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F175">
            <v>0</v>
          </cell>
          <cell r="G175">
            <v>0</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J190">
            <v>8.42</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L195">
            <v>2</v>
          </cell>
          <cell r="M195">
            <v>0</v>
          </cell>
          <cell r="N195">
            <v>4.1166770151461775E-312</v>
          </cell>
          <cell r="O195" t="str">
            <v>40S</v>
          </cell>
          <cell r="P195">
            <v>2</v>
          </cell>
          <cell r="Q195">
            <v>3.9099923706054689</v>
          </cell>
          <cell r="R195">
            <v>1</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J220">
            <v>0</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F223">
            <v>0</v>
          </cell>
          <cell r="G223">
            <v>0</v>
          </cell>
          <cell r="H223">
            <v>0</v>
          </cell>
          <cell r="I223">
            <v>7.0000000000000007E-2</v>
          </cell>
          <cell r="J223">
            <v>0</v>
          </cell>
          <cell r="K223">
            <v>7.0000000000000007E-2</v>
          </cell>
          <cell r="L223">
            <v>2.12451171875</v>
          </cell>
          <cell r="M223">
            <v>0</v>
          </cell>
          <cell r="N223">
            <v>4.7320557945261064E-312</v>
          </cell>
          <cell r="O223">
            <v>80</v>
          </cell>
          <cell r="P223">
            <v>2</v>
          </cell>
          <cell r="Q223">
            <v>3.73</v>
          </cell>
          <cell r="R223">
            <v>1</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L236">
            <v>0</v>
          </cell>
          <cell r="M236">
            <v>0</v>
          </cell>
          <cell r="N236">
            <v>0</v>
          </cell>
          <cell r="O236">
            <v>0</v>
          </cell>
          <cell r="P236">
            <v>2</v>
          </cell>
        </row>
        <row r="237">
          <cell r="B237">
            <v>80</v>
          </cell>
          <cell r="C237">
            <v>1.5</v>
          </cell>
          <cell r="D237">
            <v>5.08</v>
          </cell>
          <cell r="E237">
            <v>1</v>
          </cell>
          <cell r="I237">
            <v>0.15</v>
          </cell>
          <cell r="J237">
            <v>0.15</v>
          </cell>
          <cell r="K237">
            <v>0.3</v>
          </cell>
          <cell r="P237">
            <v>2</v>
          </cell>
          <cell r="R237">
            <v>0</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A245">
            <v>0</v>
          </cell>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A257">
            <v>0</v>
          </cell>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cell r="Q261">
            <v>0</v>
          </cell>
          <cell r="R261">
            <v>0</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H269">
            <v>0</v>
          </cell>
          <cell r="I269">
            <v>7.0000000000000007E-2</v>
          </cell>
          <cell r="J269">
            <v>0</v>
          </cell>
          <cell r="K269">
            <v>7.0000000000000007E-2</v>
          </cell>
          <cell r="M269">
            <v>0</v>
          </cell>
          <cell r="P269">
            <v>2</v>
          </cell>
          <cell r="R269">
            <v>0</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F344">
            <v>0</v>
          </cell>
          <cell r="I344">
            <v>0.51</v>
          </cell>
          <cell r="J344">
            <v>4.29</v>
          </cell>
          <cell r="K344">
            <v>4.8</v>
          </cell>
          <cell r="L344">
            <v>4</v>
          </cell>
          <cell r="O344">
            <v>160</v>
          </cell>
          <cell r="P344">
            <v>4</v>
          </cell>
          <cell r="Q344">
            <v>0</v>
          </cell>
          <cell r="R344">
            <v>7.2784507436844332E-312</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J375">
            <v>0</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F412">
            <v>0</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F415">
            <v>0</v>
          </cell>
          <cell r="G415">
            <v>0</v>
          </cell>
          <cell r="H415">
            <v>0</v>
          </cell>
          <cell r="I415">
            <v>7.0000000000000007E-2</v>
          </cell>
          <cell r="J415">
            <v>0</v>
          </cell>
          <cell r="K415">
            <v>7.0000000000000007E-2</v>
          </cell>
          <cell r="L415">
            <v>2</v>
          </cell>
          <cell r="M415">
            <v>0</v>
          </cell>
          <cell r="N415">
            <v>8.8062877131794293E-312</v>
          </cell>
          <cell r="O415" t="str">
            <v xml:space="preserve">XS </v>
          </cell>
          <cell r="P415">
            <v>2</v>
          </cell>
          <cell r="Q415">
            <v>3.2</v>
          </cell>
          <cell r="R415">
            <v>1</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A418">
            <v>2</v>
          </cell>
          <cell r="B418" t="str">
            <v xml:space="preserve">XS </v>
          </cell>
          <cell r="C418">
            <v>0.5</v>
          </cell>
          <cell r="D418">
            <v>3.73</v>
          </cell>
          <cell r="E418">
            <v>1</v>
          </cell>
          <cell r="F418">
            <v>0</v>
          </cell>
          <cell r="G418">
            <v>0</v>
          </cell>
          <cell r="H418">
            <v>0</v>
          </cell>
          <cell r="I418">
            <v>7.0000000000000007E-2</v>
          </cell>
          <cell r="J418">
            <v>0</v>
          </cell>
          <cell r="K418">
            <v>7.0000000000000007E-2</v>
          </cell>
          <cell r="L418">
            <v>2</v>
          </cell>
          <cell r="M418">
            <v>0</v>
          </cell>
          <cell r="N418">
            <v>8.8699475869083874E-312</v>
          </cell>
          <cell r="O418" t="str">
            <v xml:space="preserve">XS </v>
          </cell>
          <cell r="P418">
            <v>2</v>
          </cell>
          <cell r="Q418">
            <v>3.73</v>
          </cell>
          <cell r="R418">
            <v>1</v>
          </cell>
        </row>
        <row r="419">
          <cell r="B419" t="str">
            <v xml:space="preserve">XS </v>
          </cell>
          <cell r="C419">
            <v>0.5</v>
          </cell>
          <cell r="D419">
            <v>3.73</v>
          </cell>
          <cell r="E419">
            <v>1</v>
          </cell>
          <cell r="F419">
            <v>0</v>
          </cell>
          <cell r="I419">
            <v>7.0000000000000007E-2</v>
          </cell>
          <cell r="J419">
            <v>0</v>
          </cell>
          <cell r="K419">
            <v>7.0000000000000007E-2</v>
          </cell>
          <cell r="P419">
            <v>2</v>
          </cell>
          <cell r="Q419">
            <v>0</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F429">
            <v>0</v>
          </cell>
          <cell r="G429">
            <v>0</v>
          </cell>
          <cell r="H429">
            <v>0</v>
          </cell>
          <cell r="I429">
            <v>0.13</v>
          </cell>
          <cell r="J429">
            <v>0.17</v>
          </cell>
          <cell r="K429">
            <v>0.30000000000000004</v>
          </cell>
          <cell r="L429">
            <v>2</v>
          </cell>
          <cell r="M429">
            <v>0</v>
          </cell>
          <cell r="N429">
            <v>9.1033671239145674E-312</v>
          </cell>
          <cell r="O429" t="str">
            <v xml:space="preserve">XS </v>
          </cell>
          <cell r="P429">
            <v>2</v>
          </cell>
          <cell r="Q429">
            <v>0</v>
          </cell>
          <cell r="R429">
            <v>9.0821471660049147E-312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F440">
            <v>0</v>
          </cell>
          <cell r="G440">
            <v>0</v>
          </cell>
          <cell r="H440">
            <v>0</v>
          </cell>
          <cell r="I440">
            <v>0.51</v>
          </cell>
          <cell r="J440">
            <v>1.59</v>
          </cell>
          <cell r="K440">
            <v>2.1</v>
          </cell>
          <cell r="L440">
            <v>4</v>
          </cell>
          <cell r="M440">
            <v>0</v>
          </cell>
          <cell r="N440">
            <v>9.3367866609207473E-312</v>
          </cell>
          <cell r="O440" t="str">
            <v xml:space="preserve">XS </v>
          </cell>
          <cell r="P440">
            <v>4</v>
          </cell>
          <cell r="Q440">
            <v>0</v>
          </cell>
          <cell r="R440">
            <v>9.3155667030110946E-312</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F451">
            <v>0</v>
          </cell>
          <cell r="G451">
            <v>0</v>
          </cell>
          <cell r="H451">
            <v>0</v>
          </cell>
          <cell r="I451">
            <v>2.64</v>
          </cell>
          <cell r="J451">
            <v>13.86</v>
          </cell>
          <cell r="K451">
            <v>16.5</v>
          </cell>
          <cell r="L451">
            <v>9</v>
          </cell>
          <cell r="M451">
            <v>0</v>
          </cell>
          <cell r="N451">
            <v>9.5702061979269273E-312</v>
          </cell>
          <cell r="O451" t="str">
            <v xml:space="preserve">XS </v>
          </cell>
          <cell r="P451">
            <v>9</v>
          </cell>
          <cell r="Q451">
            <v>0</v>
          </cell>
          <cell r="R451">
            <v>9.5489862400172746E-312</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L465">
            <v>0</v>
          </cell>
          <cell r="M465">
            <v>0</v>
          </cell>
          <cell r="N465">
            <v>0</v>
          </cell>
          <cell r="O465">
            <v>0</v>
          </cell>
          <cell r="P465">
            <v>2</v>
          </cell>
          <cell r="Q465">
            <v>0</v>
          </cell>
          <cell r="R465">
            <v>0</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F478">
            <v>0</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sheetData sheetId="5"/>
      <sheetData sheetId="6"/>
      <sheetData sheetId="7"/>
      <sheetData sheetId="8"/>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STATISTICAL ESTIMATION OF FITTINGS AND VALVES FOR PIPING WORK</v>
          </cell>
        </row>
      </sheetData>
      <sheetData sheetId="300">
        <row r="1">
          <cell r="A1" t="str">
            <v>STATISTICAL ESTIMATION OF FITTINGS AND VALVES FOR PIPING WORK</v>
          </cell>
        </row>
      </sheetData>
      <sheetData sheetId="301">
        <row r="1">
          <cell r="A1" t="str">
            <v>STATISTICAL ESTIMATION OF FITTINGS AND VALVES FOR PIPING WORK</v>
          </cell>
        </row>
      </sheetData>
      <sheetData sheetId="302">
        <row r="1">
          <cell r="A1" t="str">
            <v>STATISTICAL ESTIMATION OF FITTINGS AND VALVES FOR PIPING WORK</v>
          </cell>
        </row>
      </sheetData>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sheetData sheetId="585"/>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efreshError="1"/>
      <sheetData sheetId="602" refreshError="1"/>
      <sheetData sheetId="603"/>
      <sheetData sheetId="604"/>
      <sheetData sheetId="605"/>
      <sheetData sheetId="606"/>
      <sheetData sheetId="607"/>
      <sheetData sheetId="608" refreshError="1"/>
      <sheetData sheetId="609" refreshError="1"/>
      <sheetData sheetId="610" refreshError="1"/>
      <sheetData sheetId="611"/>
      <sheetData sheetId="612"/>
      <sheetData sheetId="613"/>
      <sheetData sheetId="614" refreshError="1"/>
      <sheetData sheetId="615"/>
      <sheetData sheetId="616"/>
      <sheetData sheetId="617"/>
      <sheetData sheetId="618"/>
      <sheetData sheetId="619"/>
      <sheetData sheetId="620"/>
      <sheetData sheetId="621"/>
      <sheetData sheetId="622"/>
      <sheetData sheetId="623"/>
      <sheetData sheetId="624" refreshError="1"/>
      <sheetData sheetId="625"/>
      <sheetData sheetId="626" refreshError="1"/>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sheetData sheetId="669" refreshError="1"/>
      <sheetData sheetId="67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附件 I"/>
      <sheetName val="附件 II"/>
      <sheetName val="附件 III -目录"/>
      <sheetName val="资产负债表"/>
      <sheetName val="损益表"/>
      <sheetName val="现金流量表"/>
      <sheetName val="货币资金1"/>
      <sheetName val="现金确认书1-A"/>
      <sheetName val="短期投资2"/>
      <sheetName val="应收票据3"/>
      <sheetName val="应收股利4"/>
      <sheetName val="应收利息5"/>
      <sheetName val="应收帐款6"/>
      <sheetName val="主要应收帐户往来分析表6-A"/>
      <sheetName val="其他應收款7"/>
      <sheetName val="主要其他应收帐户往来分析表7-A"/>
      <sheetName val="預付款项8"/>
      <sheetName val="应收补贴款9"/>
      <sheetName val="存货汇总表10"/>
      <sheetName val="原材料10-1"/>
      <sheetName val="包装物10-2"/>
      <sheetName val="在制品10-3"/>
      <sheetName val="产成品10-4"/>
      <sheetName val="外购商品10-5"/>
      <sheetName val="库存商品10-6"/>
      <sheetName val="委托加工10-7"/>
      <sheetName val="低值易耗品10-8"/>
      <sheetName val="发出商品10-9"/>
      <sheetName val="其他 (1)10-10"/>
      <sheetName val="其他 (2)10-11"/>
      <sheetName val="原材料变动状况10-1A"/>
      <sheetName val="包装物变动状况10-2A"/>
      <sheetName val="主要在产品分析10-3A"/>
      <sheetName val="产成品变动状况10-4A"/>
      <sheetName val="外购商品变动状况10-5A "/>
      <sheetName val="库存商品变动状况10-6A"/>
      <sheetName val="委托加工变动状况10-7A"/>
      <sheetName val="低值易耗品变动状况10-8A"/>
      <sheetName val="发出商品变动状况10-9A"/>
      <sheetName val=" 其他 (1)变动状况10-10A"/>
      <sheetName val=" 其他 (2)变动状况10-11A "/>
      <sheetName val="待摊费用11"/>
      <sheetName val="长期债权投资12"/>
      <sheetName val="长期股权投资13"/>
      <sheetName val="固定资产14"/>
      <sheetName val="在建工程15"/>
      <sheetName val="无形资产16"/>
      <sheetName val="开办费17"/>
      <sheetName val="长期待摊费用18"/>
      <sheetName val="递延税款19"/>
      <sheetName val="短期借款20"/>
      <sheetName val="应付票据21"/>
      <sheetName val="应付款项22"/>
      <sheetName val="預收帐款23"/>
      <sheetName val="应付工资24"/>
      <sheetName val=" 应付福利费25"/>
      <sheetName val="应付股利26"/>
      <sheetName val="应交税金27"/>
      <sheetName val="其他应付款28"/>
      <sheetName val="预提费用29"/>
      <sheetName val="长期借款30"/>
      <sheetName val="少数股东权益31"/>
      <sheetName val="股本32"/>
      <sheetName val="资本公积33"/>
      <sheetName val="盈余公积34"/>
      <sheetName val="未分配利润35"/>
      <sheetName val="銷售收入、成本36"/>
      <sheetName val="销售成本37"/>
      <sheetName val="其他业务利润38"/>
      <sheetName val="销售费用39"/>
      <sheetName val="管理费用40"/>
      <sheetName val="财务费用41"/>
      <sheetName val="投资收益42"/>
      <sheetName val="营业外收支43"/>
      <sheetName val="租赁44"/>
      <sheetName val="关联交易45"/>
      <sheetName val="或有事项46"/>
      <sheetName val="资本项目投资47"/>
      <sheetName val="期後事项48"/>
      <sheetName val="补充资料49"/>
      <sheetName val="Appendix C"/>
      <sheetName val="?????10"/>
      <sheetName val="_____10"/>
      <sheetName val="extruder"/>
      <sheetName val="ESTI."/>
      <sheetName val="DI-EST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附件 I"/>
      <sheetName val="附件 II"/>
      <sheetName val="附件 III -目录"/>
      <sheetName val="资产负债表"/>
      <sheetName val="损益表"/>
      <sheetName val="现金流量表"/>
      <sheetName val="货币资金1"/>
      <sheetName val="现金确认书1-A"/>
      <sheetName val="短期投资2"/>
      <sheetName val="应收票据3"/>
      <sheetName val="应收股利4"/>
      <sheetName val="应收利息5"/>
      <sheetName val="应收帐款6"/>
      <sheetName val="主要应收帐户往来分析表6-A"/>
      <sheetName val="其他應收款7"/>
      <sheetName val="主要其他应收帐户往来分析表7-A"/>
      <sheetName val="預付款项8"/>
      <sheetName val="应收补贴款9"/>
      <sheetName val="存货汇总表10"/>
      <sheetName val="原材料10-1"/>
      <sheetName val="包装物10-2"/>
      <sheetName val="在制品10-3"/>
      <sheetName val="产成品10-4"/>
      <sheetName val="外购商品10-5"/>
      <sheetName val="库存商品10-6"/>
      <sheetName val="委托加工10-7"/>
      <sheetName val="低值易耗品10-8"/>
      <sheetName val="发出商品10-9"/>
      <sheetName val="其他 (1)10-10"/>
      <sheetName val="其他 (2)10-11"/>
      <sheetName val="原材料变动状况10-1A"/>
      <sheetName val="包装物变动状况10-2A"/>
      <sheetName val="主要在产品分析10-3A"/>
      <sheetName val="产成品变动状况10-4A"/>
      <sheetName val="外购商品变动状况10-5A "/>
      <sheetName val="库存商品变动状况10-6A"/>
      <sheetName val="委托加工变动状况10-7A"/>
      <sheetName val="低值易耗品变动状况10-8A"/>
      <sheetName val="发出商品变动状况10-9A"/>
      <sheetName val=" 其他 (1)变动状况10-10A"/>
      <sheetName val=" 其他 (2)变动状况10-11A "/>
      <sheetName val="待摊费用11"/>
      <sheetName val="长期债权投资12"/>
      <sheetName val="长期股权投资13"/>
      <sheetName val="固定资产14"/>
      <sheetName val="在建工程15"/>
      <sheetName val="无形资产16"/>
      <sheetName val="开办费17"/>
      <sheetName val="长期待摊费用18"/>
      <sheetName val="递延税款19"/>
      <sheetName val="短期借款20"/>
      <sheetName val="应付票据21"/>
      <sheetName val="应付款项22"/>
      <sheetName val="預收帐款23"/>
      <sheetName val="应付工资24"/>
      <sheetName val=" 应付福利费25"/>
      <sheetName val="应付股利26"/>
      <sheetName val="应交税金27"/>
      <sheetName val="其他应付款28"/>
      <sheetName val="预提费用29"/>
      <sheetName val="长期借款30"/>
      <sheetName val="少数股东权益31"/>
      <sheetName val="股本32"/>
      <sheetName val="资本公积33"/>
      <sheetName val="盈余公积34"/>
      <sheetName val="未分配利润35"/>
      <sheetName val="銷售收入、成本36"/>
      <sheetName val="销售成本37"/>
      <sheetName val="其他业务利润38"/>
      <sheetName val="销售费用39"/>
      <sheetName val="管理费用40"/>
      <sheetName val="财务费用41"/>
      <sheetName val="投资收益42"/>
      <sheetName val="营业外收支43"/>
      <sheetName val="租赁44"/>
      <sheetName val="关联交易45"/>
      <sheetName val="或有事项46"/>
      <sheetName val="资本项目投资47"/>
      <sheetName val="期後事项48"/>
      <sheetName val="补充资料49"/>
      <sheetName val="Appendix C"/>
      <sheetName val="?????10"/>
      <sheetName val="_____10"/>
      <sheetName val="DI-ESTI"/>
      <sheetName val="Bill No. 2 - Carpark"/>
      <sheetName val="EST-FOOTING (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
      <sheetName val="SH-B"/>
      <sheetName val="SH-C"/>
      <sheetName val="SH-D"/>
      <sheetName val="SH-E"/>
      <sheetName val="SH-F"/>
      <sheetName val="SH-G"/>
      <sheetName val="SH_A"/>
      <sheetName val="SH_B"/>
      <sheetName val="SH_C"/>
      <sheetName val="SH_D"/>
      <sheetName val="SH_E"/>
      <sheetName val="SH_F"/>
      <sheetName val="SH_G"/>
      <sheetName val="MAIN"/>
      <sheetName val="SG"/>
      <sheetName val="J100"/>
      <sheetName val="실행철강하도"/>
      <sheetName val="sheetNO"/>
      <sheetName val="ELE"/>
      <sheetName val="รวมราคาทั้งสิ้น"/>
      <sheetName val="SOURCE"/>
      <sheetName val="DETAIL "/>
      <sheetName val="Bill No. 2 - Carpark"/>
      <sheetName val="EST-FOOTING (G)"/>
      <sheetName val="rate"/>
      <sheetName val="Sheet1"/>
      <sheetName val="สรุปราคา"/>
      <sheetName val="A-หมวดค่าใช้จ่ายฯ"/>
      <sheetName val="B-หมวดงานรื้อถอน"/>
      <sheetName val="C-หมวดงานตกแต่งภายใน"/>
      <sheetName val="FR"/>
      <sheetName val="Ratio"/>
      <sheetName val="Ratio Qty"/>
      <sheetName val="Foundation "/>
      <sheetName val="Column "/>
      <sheetName val="Beam  "/>
      <sheetName val="RC Slab "/>
      <sheetName val="Lift Core  "/>
      <sheetName val="Post-Tens. Slab  "/>
      <sheetName val="RC.Stair  "/>
      <sheetName val="RC wall "/>
      <sheetName val="Typ.F"/>
      <sheetName val="โครงสร้าง"/>
      <sheetName val="Grand sum"/>
      <sheetName val="Sum Floor"/>
      <sheetName val="Sum Fl."/>
      <sheetName val="Footing"/>
      <sheetName val="Code Footing"/>
      <sheetName val="Code Column"/>
      <sheetName val="Column"/>
      <sheetName val="G BEAM"/>
      <sheetName val="BEAM"/>
      <sheetName val="WALL"/>
      <sheetName val="C_Beam"/>
      <sheetName val="C_Wall"/>
      <sheetName val="Code Beam"/>
      <sheetName val="G Slab"/>
      <sheetName val="Slab"/>
      <sheetName val="Road"/>
      <sheetName val="Code Slab"/>
      <sheetName val="Post-Tenion"/>
      <sheetName val="Code Post"/>
      <sheetName val="Lift"/>
      <sheetName val="Stair"/>
      <sheetName val="Code Stair"/>
      <sheetName val="STEEL Roof"/>
      <sheetName val="โครงหลังคา"/>
      <sheetName val="Steel"/>
      <sheetName val="สรุปงานโครงสร้าง"/>
      <sheetName val="บทสรุปผู้บริหาร"/>
      <sheetName val=" "/>
      <sheetName val="Store"/>
      <sheetName val="토공집계표"/>
      <sheetName val="Worksheet"/>
      <sheetName val="ประมาณการประตูหน้าต่าง "/>
      <sheetName val="cov-estimate"/>
      <sheetName val="I-slab"/>
      <sheetName val="DETAIL_"/>
      <sheetName val="EST-FOOTING_(G)"/>
      <sheetName val="DETAIL_1"/>
      <sheetName val="EST-FOOTING_(G)1"/>
      <sheetName val="BAL"/>
      <sheetName val="Construction cost assumption"/>
      <sheetName val="JLL Assumption"/>
      <sheetName val="Retail Program&amp;Rev Assumption"/>
      <sheetName val="HVAC"/>
      <sheetName val="(R05)-PLE-602"/>
      <sheetName val="Mat"/>
      <sheetName val="สรุปราคา (L)"/>
      <sheetName val="AC"/>
      <sheetName val="Ratio_Qty"/>
      <sheetName val="Foundation_"/>
      <sheetName val="Column_"/>
      <sheetName val="Beam__"/>
      <sheetName val="RC_Slab_"/>
      <sheetName val="Lift_Core__"/>
      <sheetName val="Post-Tens__Slab__"/>
      <sheetName val="RC_Stair__"/>
      <sheetName val="RC_wall_"/>
      <sheetName val="Typ_F"/>
      <sheetName val="Grand_sum"/>
      <sheetName val="Sum_Floor"/>
      <sheetName val="Sum_Fl_"/>
      <sheetName val="Code_Footing"/>
      <sheetName val="Code_Column"/>
      <sheetName val="G_BEAM"/>
      <sheetName val="Code_Beam"/>
      <sheetName val="G_Slab"/>
      <sheetName val="Code_Slab"/>
      <sheetName val="Code_Post"/>
      <sheetName val="Code_Stair"/>
      <sheetName val="STEEL_Roof"/>
      <sheetName val="ADO_2552"/>
      <sheetName val="STD"/>
      <sheetName val="bq"/>
      <sheetName val="ZPS02"/>
      <sheetName val="_"/>
      <sheetName val="ประมาณการประตูหน้าต่าง_"/>
      <sheetName val="Unit rate Architecture"/>
      <sheetName val="Cavity Inputs"/>
      <sheetName val="สรุป_EMC"/>
      <sheetName val="data3"/>
      <sheetName val="Sum(Civil Work)"/>
      <sheetName val="DETAIL_2"/>
      <sheetName val="EST-FOOTING_(G)2"/>
      <sheetName val="Ratio_Qty1"/>
      <sheetName val="Foundation_1"/>
      <sheetName val="Column_1"/>
      <sheetName val="Beam__1"/>
      <sheetName val="RC_Slab_1"/>
      <sheetName val="Lift_Core__1"/>
      <sheetName val="Post-Tens__Slab__1"/>
      <sheetName val="RC_Stair__1"/>
      <sheetName val="RC_wall_1"/>
      <sheetName val="Typ_F1"/>
      <sheetName val="Grand_sum1"/>
      <sheetName val="Sum_Floor1"/>
      <sheetName val="Sum_Fl_1"/>
      <sheetName val="Code_Footing1"/>
      <sheetName val="Code_Column1"/>
      <sheetName val="G_BEAM1"/>
      <sheetName val="Code_Beam1"/>
      <sheetName val="G_Slab1"/>
      <sheetName val="Code_Slab1"/>
      <sheetName val="Code_Post1"/>
      <sheetName val="Code_Stair1"/>
      <sheetName val="STEEL_Roof1"/>
      <sheetName val="_1"/>
      <sheetName val="ประมาณการประตูหน้าต่าง_1"/>
      <sheetName val="Construction_cost_assumption"/>
      <sheetName val="JLL_Assumption"/>
      <sheetName val="Retail_Program&amp;Rev_Assumption"/>
      <sheetName val="สรุปราคา_(L)"/>
      <sheetName val="Unit_rate_Architecture"/>
      <sheetName val="Cavity_Inputs"/>
      <sheetName val="Sum(Civil_Work)"/>
      <sheetName val="Main Sum (Hotel &amp; Residences)"/>
      <sheetName val="Total BOQ"/>
      <sheetName val="4G SUM-SK (Lift&amp;Interior)"/>
      <sheetName val="S-Curve (Lift&amp;Interior)"/>
      <sheetName val="6L4 DETAIL SK"/>
      <sheetName val="S-Curve (R2)"/>
      <sheetName val="CUSTOMER"/>
      <sheetName val="7-consume"/>
      <sheetName val="6-Equipment"/>
      <sheetName val="4-Local transport"/>
      <sheetName val="Backup"/>
      <sheetName val="Sum"/>
      <sheetName val="03100(SS)"/>
      <sheetName val="SAN REDUCED 1"/>
      <sheetName val="SUM."/>
      <sheetName val="(1)Contract"/>
      <sheetName val="(2)PMI 012"/>
      <sheetName val="(3)PMI 014"/>
      <sheetName val="(4)PMI 015"/>
      <sheetName val="(5)PMI 021"/>
      <sheetName val="(6)PMI 022"/>
      <sheetName val="(7)PMI 024"/>
      <sheetName val="(8)PMI 028"/>
      <sheetName val="(9)PMI.."/>
      <sheetName val="(10)PMI."/>
      <sheetName val="( 11)TV"/>
      <sheetName val="ELEC"/>
      <sheetName val="SUM-AIR-Submit"/>
      <sheetName val="STRUCTURE"/>
      <sheetName val="BOX Cryostat Details"/>
      <sheetName val="Driver Linac Layout"/>
      <sheetName val="Inputs"/>
      <sheetName val="Magnet Details"/>
      <sheetName val="Replacement Cost "/>
      <sheetName val="อาคารหลัก A"/>
      <sheetName val="PL"/>
      <sheetName val="ELE.xls"/>
      <sheetName val="Factor F Data"/>
      <sheetName val="เงินกู้ MGC"/>
      <sheetName val="เงินกู้ธนชาติ"/>
      <sheetName val="detail"/>
      <sheetName val="Code"/>
      <sheetName val="วัดใต้"/>
      <sheetName val="B-หมวดงานรื้-ถอน"/>
      <sheetName val=" HW บานเลื่อน"/>
      <sheetName val="S4.1_MEP Guestroom"/>
      <sheetName val="AC.C"/>
      <sheetName val="file"/>
      <sheetName val="概総括1"/>
      <sheetName val="S_x0000_&quot;ì_x0005_Ù_x0000__x0000__x0000_"/>
      <sheetName val="Ratchada"/>
      <sheetName val="inWords"/>
      <sheetName val="Civil Boq"/>
      <sheetName val="splinkler"/>
      <sheetName val="Main_Sum_(Hotel_&amp;_Residences)"/>
      <sheetName val="Total_BOQ"/>
      <sheetName val="4G_SUM-SK_(Lift&amp;Interior)"/>
      <sheetName val="S-Curve_(Lift&amp;Interior)"/>
      <sheetName val="6L4_DETAIL_SK"/>
      <sheetName val="S-Curve_(R2)"/>
      <sheetName val="4-Local_transport"/>
      <sheetName val="SAN_REDUCED_1"/>
      <sheetName val="Bill_No__2_-_Carpark"/>
      <sheetName val="SUM_"/>
      <sheetName val="(2)PMI_012"/>
      <sheetName val="(3)PMI_014"/>
      <sheetName val="(4)PMI_015"/>
      <sheetName val="(5)PMI_021"/>
      <sheetName val="(6)PMI_022"/>
      <sheetName val="(7)PMI_024"/>
      <sheetName val="(8)PMI_028"/>
      <sheetName val="(9)PMI__"/>
      <sheetName val="(10)PMI_"/>
      <sheetName val="(_11)TV"/>
      <sheetName val="BOX_Cryostat_Details"/>
      <sheetName val="Driver_Linac_Layout"/>
      <sheetName val="Magnet_Details"/>
      <sheetName val="Sum SN"/>
      <sheetName val="Main Riser"/>
      <sheetName val="Replacement_Cost_"/>
      <sheetName val="อาคารหลัก_A"/>
      <sheetName val="AC_C"/>
      <sheetName val="H1.0"/>
      <sheetName val="aman seri"/>
      <sheetName val="S?&quot;ì_x0005_Ù???"/>
      <sheetName val="S"/>
      <sheetName val="S_&quot;ì_x0005_Ù___"/>
      <sheetName val="Cash Flow-1"/>
      <sheetName val="Database"/>
      <sheetName val="Output"/>
      <sheetName val="RC.footing"/>
      <sheetName val="Factor_F_Data"/>
      <sheetName val="ELE_xls"/>
      <sheetName val="เงินกู้_MGC"/>
      <sheetName val="_HW_บานเลื่อน"/>
      <sheetName val="Cost Data"/>
      <sheetName val="Material"/>
      <sheetName val="properties"/>
      <sheetName val="ฐานข้อมูลป้าย"/>
      <sheetName val="Syntec Summary_B_C_F"/>
      <sheetName val="LITF"/>
      <sheetName val="Purchase Order"/>
      <sheetName val="Customize Your Purchase Order"/>
      <sheetName val="List"/>
      <sheetName val="A1.2"/>
      <sheetName val="Cost Break"/>
      <sheetName val="Cost_Categories"/>
      <sheetName val="Summary cal"/>
      <sheetName val="BM"/>
      <sheetName val="งานโครงสร้าง"/>
      <sheetName val="QUANTITY COMPARISON"/>
      <sheetName val="JM50-99"/>
      <sheetName val="Cost"/>
      <sheetName val="boq"/>
      <sheetName val="Hauling"/>
      <sheetName val="EXT-01"/>
      <sheetName val="FD"/>
      <sheetName val="GI"/>
      <sheetName val="EE (3)"/>
      <sheetName val="PAVEMENT"/>
      <sheetName val="TRAFFIC"/>
      <sheetName val="040"/>
      <sheetName val="060"/>
      <sheetName val="Selection"/>
      <sheetName val="สรุป"/>
      <sheetName val="Summary"/>
      <sheetName val="Menu"/>
      <sheetName val="วัฒนพัฒน์"/>
      <sheetName val="MET19"/>
      <sheetName val="Operating"/>
      <sheetName val="BK Unit Rate"/>
      <sheetName val="SITE OFFICE"/>
      <sheetName val="Prod-1"/>
      <sheetName val="S_x005f_x0000_&quot;ì_x005f_x0005_Ù_x005f_x0000__x0000"/>
      <sheetName val="S?&quot;ì_x005f_x0005_Ù???"/>
      <sheetName val="ตารางวันหยุด"/>
      <sheetName val="S_&quot;ì_x005f_x0005_Ù___"/>
      <sheetName val="S_x0000_&quot;ì_x0005_Ù_x0000__x0000"/>
      <sheetName val="ภูมิทัศน์"/>
      <sheetName val="Formula"/>
      <sheetName val="A.O.R."/>
      <sheetName val="calc_menu_déroulant"/>
      <sheetName val="Ratio_Qty2"/>
      <sheetName val="Foundation_2"/>
      <sheetName val="Column_2"/>
      <sheetName val="Beam__2"/>
      <sheetName val="RC_Slab_2"/>
      <sheetName val="Lift_Core__2"/>
      <sheetName val="Post-Tens__Slab__2"/>
      <sheetName val="RC_Stair__2"/>
      <sheetName val="RC_wall_2"/>
      <sheetName val="Typ_F2"/>
      <sheetName val="Grand_sum2"/>
      <sheetName val="Sum_Floor2"/>
      <sheetName val="Sum_Fl_2"/>
      <sheetName val="Code_Footing2"/>
      <sheetName val="Code_Column2"/>
      <sheetName val="G_BEAM2"/>
      <sheetName val="Code_Beam2"/>
      <sheetName val="G_Slab2"/>
      <sheetName val="Code_Slab2"/>
      <sheetName val="Code_Post2"/>
      <sheetName val="Code_Stair2"/>
      <sheetName val="STEEL_Roof2"/>
      <sheetName val="_2"/>
      <sheetName val="ประมาณการประตูหน้าต่าง_2"/>
      <sheetName val="สรุปราคา_(L)1"/>
      <sheetName val="Total_BOQ1"/>
      <sheetName val="4G_SUM-SK_(Lift&amp;Interior)1"/>
      <sheetName val="S-Curve_(Lift&amp;Interior)1"/>
      <sheetName val="6L4_DETAIL_SK1"/>
      <sheetName val="S-Curve_(R2)1"/>
      <sheetName val="4-Local_transport1"/>
      <sheetName val="SAN_REDUCED_11"/>
      <sheetName val="Bill_No__2_-_Carpark1"/>
      <sheetName val="Main_Sum_(Hotel_&amp;_Residences)1"/>
      <sheetName val="SUM_1"/>
      <sheetName val="(2)PMI_0121"/>
      <sheetName val="(3)PMI_0141"/>
      <sheetName val="(4)PMI_0151"/>
      <sheetName val="(5)PMI_0211"/>
      <sheetName val="(6)PMI_0221"/>
      <sheetName val="(7)PMI_0241"/>
      <sheetName val="(8)PMI_0281"/>
      <sheetName val="(9)PMI__1"/>
      <sheetName val="(10)PMI_1"/>
      <sheetName val="(_11)TV1"/>
      <sheetName val="ELE_xls1"/>
      <sheetName val="BOX_Cryostat_Details1"/>
      <sheetName val="Driver_Linac_Layout1"/>
      <sheetName val="Magnet_Details1"/>
      <sheetName val="Factor_F_Data1"/>
      <sheetName val="อาคารหลัก_A1"/>
      <sheetName val="S4_1_MEP_Guestroom"/>
      <sheetName val="เงินกู้_MGC1"/>
      <sheetName val="_HW_บานเลื่อน1"/>
      <sheetName val="Construction_cost_assumption1"/>
      <sheetName val="JLL_Assumption1"/>
      <sheetName val="Retail_Program&amp;Rev_Assumption1"/>
      <sheetName val="Unit_rate_Architecture1"/>
      <sheetName val="Cavity_Inputs1"/>
      <sheetName val="Sum(Civil_Work)1"/>
      <sheetName val="Replacement_Cost_1"/>
      <sheetName val="Cost_Data"/>
      <sheetName val="งานสถาปัตยกรรม A"/>
      <sheetName val="AC_C1"/>
      <sheetName val="RC_footing"/>
      <sheetName val="S&quot;ìÙ"/>
      <sheetName val="Sum_SN"/>
      <sheetName val="Main_Riser"/>
      <sheetName val="H1_0"/>
      <sheetName val="aman_seri"/>
      <sheetName val="S?&quot;ìÙ???"/>
      <sheetName val="S3 Architectural"/>
      <sheetName val="ST-อาคาร C"/>
      <sheetName val="BQ-E20-02(Rp)"/>
      <sheetName val="แบบ A"/>
      <sheetName val="แบบ B"/>
      <sheetName val="แบบ C"/>
      <sheetName val="แบบ D"/>
      <sheetName val="แบบ E"/>
      <sheetName val="แบบ G"/>
      <sheetName val="แบบ H"/>
      <sheetName val="แบบ L"/>
      <sheetName val="แบบ M"/>
      <sheetName val="แบบ N"/>
      <sheetName val="แบบ P"/>
      <sheetName val="แบบ S"/>
      <sheetName val="แบบ T"/>
      <sheetName val="แบบ TP"/>
      <sheetName val="แบบ V"/>
      <sheetName val="แบบ Y"/>
      <sheetName val="1_Interior L1_L3"/>
      <sheetName val="ME_DB"/>
      <sheetName val="Income Statement"/>
      <sheetName val="area converter"/>
      <sheetName val="DB_A"/>
      <sheetName val="DB_Q"/>
      <sheetName val="data"/>
      <sheetName val="Memo"/>
      <sheetName val="Adj. AR oversea"/>
      <sheetName val="Total Revenue"/>
      <sheetName val="PRICE LIST"/>
      <sheetName val="Ratio_Qty3"/>
      <sheetName val="Foundation_3"/>
      <sheetName val="Column_3"/>
      <sheetName val="Beam__3"/>
      <sheetName val="RC_Slab_3"/>
      <sheetName val="Lift_Core__3"/>
      <sheetName val="Post-Tens__Slab__3"/>
      <sheetName val="RC_Stair__3"/>
      <sheetName val="RC_wall_3"/>
      <sheetName val="Typ_F3"/>
      <sheetName val="Grand_sum3"/>
      <sheetName val="Sum_Floor3"/>
      <sheetName val="Sum_Fl_3"/>
      <sheetName val="Code_Footing3"/>
      <sheetName val="Code_Column3"/>
      <sheetName val="G_BEAM3"/>
      <sheetName val="Code_Beam3"/>
      <sheetName val="G_Slab3"/>
      <sheetName val="Code_Slab3"/>
      <sheetName val="Code_Post3"/>
      <sheetName val="Code_Stair3"/>
      <sheetName val="STEEL_Roof3"/>
      <sheetName val="_3"/>
      <sheetName val="DETAIL_3"/>
      <sheetName val="EST-FOOTING_(G)3"/>
      <sheetName val="ประมาณการประตูหน้าต่าง_3"/>
      <sheetName val="สรุปราคา_(L)2"/>
      <sheetName val="Total_BOQ2"/>
      <sheetName val="4G_SUM-SK_(Lift&amp;Interior)2"/>
      <sheetName val="S-Curve_(Lift&amp;Interior)2"/>
      <sheetName val="6L4_DETAIL_SK2"/>
      <sheetName val="S-Curve_(R2)2"/>
      <sheetName val="4-Local_transport2"/>
      <sheetName val="SAN_REDUCED_12"/>
      <sheetName val="Bill_No__2_-_Carpark2"/>
      <sheetName val="Main_Sum_(Hotel_&amp;_Residences)2"/>
      <sheetName val="SUM_2"/>
      <sheetName val="(2)PMI_0122"/>
      <sheetName val="(3)PMI_0142"/>
      <sheetName val="(4)PMI_0152"/>
      <sheetName val="(5)PMI_0212"/>
      <sheetName val="(6)PMI_0222"/>
      <sheetName val="(7)PMI_0242"/>
      <sheetName val="(8)PMI_0282"/>
      <sheetName val="(9)PMI__2"/>
      <sheetName val="(10)PMI_2"/>
      <sheetName val="(_11)TV2"/>
      <sheetName val="ELE_xls2"/>
      <sheetName val="BOX_Cryostat_Details2"/>
      <sheetName val="Driver_Linac_Layout2"/>
      <sheetName val="Magnet_Details2"/>
      <sheetName val="Factor_F_Data2"/>
      <sheetName val="อาคารหลัก_A2"/>
      <sheetName val="S4_1_MEP_Guestroom1"/>
      <sheetName val="เงินกู้_MGC2"/>
      <sheetName val="_HW_บานเลื่อน2"/>
      <sheetName val="Construction_cost_assumption2"/>
      <sheetName val="JLL_Assumption2"/>
      <sheetName val="Retail_Program&amp;Rev_Assumption2"/>
      <sheetName val="Unit_rate_Architecture2"/>
      <sheetName val="Cavity_Inputs2"/>
      <sheetName val="Sum(Civil_Work)2"/>
      <sheetName val="Replacement_Cost_2"/>
      <sheetName val="Cost_Data1"/>
      <sheetName val="Ratio_Qty4"/>
      <sheetName val="Foundation_4"/>
      <sheetName val="Column_4"/>
      <sheetName val="Beam__4"/>
      <sheetName val="RC_Slab_4"/>
      <sheetName val="Lift_Core__4"/>
      <sheetName val="Post-Tens__Slab__4"/>
      <sheetName val="RC_Stair__4"/>
      <sheetName val="RC_wall_4"/>
      <sheetName val="Typ_F4"/>
      <sheetName val="Grand_sum4"/>
      <sheetName val="Sum_Floor4"/>
      <sheetName val="Sum_Fl_4"/>
      <sheetName val="Code_Footing4"/>
      <sheetName val="Code_Column4"/>
      <sheetName val="G_BEAM4"/>
      <sheetName val="Code_Beam4"/>
      <sheetName val="G_Slab4"/>
      <sheetName val="Code_Slab4"/>
      <sheetName val="Code_Post4"/>
      <sheetName val="Code_Stair4"/>
      <sheetName val="STEEL_Roof4"/>
      <sheetName val="_4"/>
      <sheetName val="DETAIL_4"/>
      <sheetName val="EST-FOOTING_(G)4"/>
      <sheetName val="ประมาณการประตูหน้าต่าง_4"/>
      <sheetName val="สรุปราคา_(L)3"/>
      <sheetName val="Total_BOQ3"/>
      <sheetName val="4G_SUM-SK_(Lift&amp;Interior)3"/>
      <sheetName val="S-Curve_(Lift&amp;Interior)3"/>
      <sheetName val="6L4_DETAIL_SK3"/>
      <sheetName val="S-Curve_(R2)3"/>
      <sheetName val="4-Local_transport3"/>
      <sheetName val="SAN_REDUCED_13"/>
      <sheetName val="Bill_No__2_-_Carpark3"/>
      <sheetName val="Main_Sum_(Hotel_&amp;_Residences)3"/>
      <sheetName val="SUM_3"/>
      <sheetName val="(2)PMI_0123"/>
      <sheetName val="(3)PMI_0143"/>
      <sheetName val="(4)PMI_0153"/>
      <sheetName val="(5)PMI_0213"/>
      <sheetName val="(6)PMI_0223"/>
      <sheetName val="(7)PMI_0243"/>
      <sheetName val="(8)PMI_0283"/>
      <sheetName val="(9)PMI__3"/>
      <sheetName val="(10)PMI_3"/>
      <sheetName val="(_11)TV3"/>
      <sheetName val="ELE_xls3"/>
      <sheetName val="BOX_Cryostat_Details3"/>
      <sheetName val="Driver_Linac_Layout3"/>
      <sheetName val="Magnet_Details3"/>
      <sheetName val="Factor_F_Data3"/>
      <sheetName val="อาคารหลัก_A3"/>
      <sheetName val="S4_1_MEP_Guestroom2"/>
      <sheetName val="เงินกู้_MGC3"/>
      <sheetName val="_HW_บานเลื่อน3"/>
      <sheetName val="Construction_cost_assumption3"/>
      <sheetName val="JLL_Assumption3"/>
      <sheetName val="Retail_Program&amp;Rev_Assumption3"/>
      <sheetName val="Unit_rate_Architecture3"/>
      <sheetName val="Cavity_Inputs3"/>
      <sheetName val="Sum(Civil_Work)3"/>
      <sheetName val="Replacement_Cost_3"/>
      <sheetName val="Cost_Data2"/>
      <sheetName val="AC_C2"/>
      <sheetName val="RefSheet"/>
      <sheetName val=" FS"/>
      <sheetName val="Sch_1_EE"/>
      <sheetName val="Sch.2 SN"/>
      <sheetName val="Sch.3 FP"/>
      <sheetName val="Sch.4 AC"/>
      <sheetName val="Sch.6 Prelim"/>
      <sheetName val="XL4Poppy"/>
      <sheetName val="Mat_Source"/>
      <sheetName val="Unit_Div6"/>
      <sheetName val="Ragama"/>
      <sheetName val="Total"/>
      <sheetName val="C_footing"/>
      <sheetName val="Unit Price"/>
      <sheetName val="schedule "/>
      <sheetName val="11 ข้อมูลงานCon"/>
      <sheetName val="10 ข้อมูลวัสดุ-ค่าดำเนิน"/>
      <sheetName val="ปร.4 งานผังบริเวณ"/>
      <sheetName val="material_cost"/>
      <sheetName val="MEP Works"/>
      <sheetName val="11 ข้อมูลงานCo"/>
      <sheetName val="10 ข้อมูลวัสดุ"/>
      <sheetName val="ทำนบดิน 4"/>
      <sheetName val="ปร4"/>
      <sheetName val="ราคาวัสดุ"/>
      <sheetName val="sum 1-4"/>
      <sheetName val="Assump - Operational"/>
      <sheetName val="สรุปรวม"/>
      <sheetName val="S0"/>
      <sheetName val="General"/>
      <sheetName val="LINK ราคาต่อหน่วย"/>
    </sheetNames>
    <sheetDataSet>
      <sheetData sheetId="0" refreshError="1"/>
      <sheetData sheetId="1" refreshError="1"/>
      <sheetData sheetId="2" refreshError="1"/>
      <sheetData sheetId="3" refreshError="1"/>
      <sheetData sheetId="4" refreshError="1">
        <row r="3">
          <cell r="C3" t="str">
            <v>N0.</v>
          </cell>
          <cell r="D3" t="str">
            <v>DESCRIPTION</v>
          </cell>
          <cell r="E3" t="str">
            <v xml:space="preserve">UNIT  </v>
          </cell>
          <cell r="F3" t="str">
            <v xml:space="preserve">LABOUR </v>
          </cell>
          <cell r="G3" t="str">
            <v>UNIT</v>
          </cell>
        </row>
        <row r="4">
          <cell r="E4" t="str">
            <v>COST</v>
          </cell>
          <cell r="F4" t="str">
            <v>COST</v>
          </cell>
        </row>
        <row r="5">
          <cell r="C5" t="str">
            <v/>
          </cell>
          <cell r="D5" t="str">
            <v>CABLE &amp; CABLE RACEWAY</v>
          </cell>
        </row>
        <row r="6">
          <cell r="C6">
            <v>1</v>
          </cell>
          <cell r="D6" t="str">
            <v xml:space="preserve">CABLE </v>
          </cell>
        </row>
        <row r="7">
          <cell r="C7">
            <v>101</v>
          </cell>
          <cell r="D7" t="str">
            <v>-  0.5 SQ.MM. THW.</v>
          </cell>
          <cell r="E7">
            <v>2</v>
          </cell>
          <cell r="F7">
            <v>0.5</v>
          </cell>
          <cell r="G7" t="str">
            <v>M.</v>
          </cell>
        </row>
        <row r="8">
          <cell r="C8">
            <v>102</v>
          </cell>
          <cell r="D8" t="str">
            <v>-  1 SQ.MM. THW.</v>
          </cell>
          <cell r="E8">
            <v>3</v>
          </cell>
          <cell r="F8">
            <v>0.5</v>
          </cell>
          <cell r="G8" t="str">
            <v>M.</v>
          </cell>
        </row>
        <row r="9">
          <cell r="C9">
            <v>103</v>
          </cell>
          <cell r="D9" t="str">
            <v>-  1.5 SQ.MM. THW.</v>
          </cell>
          <cell r="E9">
            <v>4</v>
          </cell>
          <cell r="F9">
            <v>2</v>
          </cell>
          <cell r="G9" t="str">
            <v>M.</v>
          </cell>
        </row>
        <row r="10">
          <cell r="C10">
            <v>104</v>
          </cell>
          <cell r="D10" t="str">
            <v>-  2.5 SQ.MM. THW.</v>
          </cell>
          <cell r="E10">
            <v>6</v>
          </cell>
          <cell r="F10">
            <v>2</v>
          </cell>
          <cell r="G10" t="str">
            <v>M.</v>
          </cell>
        </row>
        <row r="11">
          <cell r="C11">
            <v>105</v>
          </cell>
          <cell r="D11" t="str">
            <v>-  4 SQ.MM. THW.</v>
          </cell>
          <cell r="E11">
            <v>9</v>
          </cell>
          <cell r="F11">
            <v>3</v>
          </cell>
          <cell r="G11" t="str">
            <v>M.</v>
          </cell>
        </row>
        <row r="12">
          <cell r="C12">
            <v>106</v>
          </cell>
          <cell r="D12" t="str">
            <v>-  6 SQ.MM. THW.</v>
          </cell>
          <cell r="E12">
            <v>15</v>
          </cell>
          <cell r="F12">
            <v>3</v>
          </cell>
          <cell r="G12" t="str">
            <v>M.</v>
          </cell>
        </row>
        <row r="13">
          <cell r="C13">
            <v>107</v>
          </cell>
          <cell r="D13" t="str">
            <v>-  10 SQ.MM. THW.</v>
          </cell>
          <cell r="E13">
            <v>23</v>
          </cell>
          <cell r="F13">
            <v>4</v>
          </cell>
          <cell r="G13" t="str">
            <v>M.</v>
          </cell>
        </row>
        <row r="14">
          <cell r="C14">
            <v>108</v>
          </cell>
          <cell r="D14" t="str">
            <v>-  16 SQ.MM. THW.</v>
          </cell>
          <cell r="E14">
            <v>36</v>
          </cell>
          <cell r="F14">
            <v>6</v>
          </cell>
          <cell r="G14" t="str">
            <v>M.</v>
          </cell>
        </row>
        <row r="15">
          <cell r="C15">
            <v>109</v>
          </cell>
          <cell r="D15" t="str">
            <v>-  25 SQ.MM. THW.</v>
          </cell>
          <cell r="E15">
            <v>55</v>
          </cell>
          <cell r="F15">
            <v>7</v>
          </cell>
          <cell r="G15" t="str">
            <v>M.</v>
          </cell>
        </row>
        <row r="16">
          <cell r="C16">
            <v>110</v>
          </cell>
          <cell r="D16" t="str">
            <v>-  35 SQ.MM. THW.</v>
          </cell>
          <cell r="E16">
            <v>78</v>
          </cell>
          <cell r="F16">
            <v>9</v>
          </cell>
          <cell r="G16" t="str">
            <v>M.</v>
          </cell>
        </row>
        <row r="17">
          <cell r="C17">
            <v>111</v>
          </cell>
          <cell r="D17" t="str">
            <v>-  50 SQ.MM. THW.</v>
          </cell>
          <cell r="E17">
            <v>112</v>
          </cell>
          <cell r="F17">
            <v>13</v>
          </cell>
          <cell r="G17" t="str">
            <v>M.</v>
          </cell>
        </row>
        <row r="18">
          <cell r="C18">
            <v>112</v>
          </cell>
          <cell r="D18" t="str">
            <v>-  70 SQ.MM. THW.</v>
          </cell>
          <cell r="E18">
            <v>149</v>
          </cell>
          <cell r="F18">
            <v>17</v>
          </cell>
          <cell r="G18" t="str">
            <v>M.</v>
          </cell>
        </row>
        <row r="19">
          <cell r="C19">
            <v>113</v>
          </cell>
          <cell r="D19" t="str">
            <v>-  95 SQ.MM. THW.</v>
          </cell>
          <cell r="E19">
            <v>202</v>
          </cell>
          <cell r="F19">
            <v>24</v>
          </cell>
          <cell r="G19" t="str">
            <v>M.</v>
          </cell>
        </row>
        <row r="20">
          <cell r="C20">
            <v>114</v>
          </cell>
          <cell r="D20" t="str">
            <v>-  120 SQ.MM. THW.</v>
          </cell>
          <cell r="E20">
            <v>242</v>
          </cell>
          <cell r="F20">
            <v>28</v>
          </cell>
          <cell r="G20" t="str">
            <v>M.</v>
          </cell>
        </row>
        <row r="21">
          <cell r="C21">
            <v>115</v>
          </cell>
          <cell r="D21" t="str">
            <v>-  150 SQ.MM. THW.</v>
          </cell>
          <cell r="E21">
            <v>314</v>
          </cell>
          <cell r="F21">
            <v>33</v>
          </cell>
          <cell r="G21" t="str">
            <v>M.</v>
          </cell>
        </row>
        <row r="22">
          <cell r="C22">
            <v>116</v>
          </cell>
          <cell r="D22" t="str">
            <v>-  185 SQ.MM. THW.</v>
          </cell>
          <cell r="E22">
            <v>387</v>
          </cell>
          <cell r="F22">
            <v>38</v>
          </cell>
          <cell r="G22" t="str">
            <v>M.</v>
          </cell>
        </row>
        <row r="23">
          <cell r="C23">
            <v>117</v>
          </cell>
          <cell r="D23" t="str">
            <v>-  240 SQ.MM. THW.</v>
          </cell>
          <cell r="E23">
            <v>536</v>
          </cell>
          <cell r="F23">
            <v>42</v>
          </cell>
          <cell r="G23" t="str">
            <v>M.</v>
          </cell>
        </row>
        <row r="24">
          <cell r="C24">
            <v>118</v>
          </cell>
          <cell r="D24" t="str">
            <v>-  300 SQ.MM. THW.</v>
          </cell>
          <cell r="E24">
            <v>661</v>
          </cell>
          <cell r="F24">
            <v>54</v>
          </cell>
          <cell r="G24" t="str">
            <v>M.</v>
          </cell>
        </row>
        <row r="25">
          <cell r="C25">
            <v>119</v>
          </cell>
          <cell r="D25" t="str">
            <v>-  400 SQ.MM. THW.</v>
          </cell>
          <cell r="E25">
            <v>835</v>
          </cell>
          <cell r="F25">
            <v>60</v>
          </cell>
          <cell r="G25" t="str">
            <v>M.</v>
          </cell>
        </row>
        <row r="26">
          <cell r="C26">
            <v>120</v>
          </cell>
          <cell r="D26" t="str">
            <v>-  500 SQ.MM. THW.</v>
          </cell>
          <cell r="E26">
            <v>1081</v>
          </cell>
          <cell r="F26">
            <v>70</v>
          </cell>
          <cell r="G26" t="str">
            <v>M.</v>
          </cell>
        </row>
        <row r="27">
          <cell r="C27">
            <v>121</v>
          </cell>
          <cell r="D27" t="str">
            <v>-  2/C - 1 SQ.MM. VAF</v>
          </cell>
          <cell r="E27">
            <v>4</v>
          </cell>
          <cell r="F27">
            <v>5</v>
          </cell>
          <cell r="G27" t="str">
            <v>M.</v>
          </cell>
        </row>
        <row r="28">
          <cell r="C28">
            <v>122</v>
          </cell>
          <cell r="D28" t="str">
            <v>-  2/C - 1.5 SQ.MM. VAF</v>
          </cell>
          <cell r="E28">
            <v>6</v>
          </cell>
          <cell r="F28">
            <v>10</v>
          </cell>
          <cell r="G28" t="str">
            <v>M.</v>
          </cell>
        </row>
        <row r="29">
          <cell r="C29">
            <v>123</v>
          </cell>
          <cell r="D29" t="str">
            <v>-  2/C - 2.5 SQ.MM. VAF</v>
          </cell>
          <cell r="E29">
            <v>9.5</v>
          </cell>
          <cell r="F29">
            <v>10</v>
          </cell>
          <cell r="G29" t="str">
            <v>M.</v>
          </cell>
        </row>
        <row r="30">
          <cell r="C30">
            <v>124</v>
          </cell>
          <cell r="D30" t="str">
            <v>-  2/C - 4 SQ.MM. VAF</v>
          </cell>
          <cell r="E30">
            <v>15.5</v>
          </cell>
          <cell r="F30">
            <v>12</v>
          </cell>
          <cell r="G30" t="str">
            <v>M.</v>
          </cell>
        </row>
        <row r="31">
          <cell r="C31">
            <v>125</v>
          </cell>
          <cell r="D31" t="str">
            <v>-  2/C - 6 SQ.MM. VAF</v>
          </cell>
          <cell r="E31">
            <v>22.5</v>
          </cell>
          <cell r="F31">
            <v>18</v>
          </cell>
          <cell r="G31" t="str">
            <v>M.</v>
          </cell>
        </row>
        <row r="32">
          <cell r="C32">
            <v>126</v>
          </cell>
          <cell r="D32" t="str">
            <v>-  2/C - 10 SQ.MM. VAF</v>
          </cell>
          <cell r="E32">
            <v>35</v>
          </cell>
          <cell r="F32">
            <v>24</v>
          </cell>
          <cell r="G32" t="str">
            <v>M.</v>
          </cell>
        </row>
        <row r="33">
          <cell r="C33">
            <v>127</v>
          </cell>
          <cell r="D33" t="str">
            <v>-  2/C - 16 SQ.MM. VAF</v>
          </cell>
          <cell r="E33">
            <v>52</v>
          </cell>
          <cell r="F33">
            <v>26</v>
          </cell>
          <cell r="G33" t="str">
            <v>M.</v>
          </cell>
        </row>
        <row r="34">
          <cell r="C34">
            <v>128</v>
          </cell>
          <cell r="D34" t="str">
            <v>-  2/C - 1 SQ.MM. VAF-GRD</v>
          </cell>
          <cell r="E34">
            <v>0</v>
          </cell>
          <cell r="F34">
            <v>5</v>
          </cell>
          <cell r="G34" t="str">
            <v>M.</v>
          </cell>
        </row>
        <row r="35">
          <cell r="C35">
            <v>129</v>
          </cell>
          <cell r="D35" t="str">
            <v>-  2/C - 1.5 SQ.MM. VAF-GRD</v>
          </cell>
          <cell r="E35">
            <v>0</v>
          </cell>
          <cell r="F35">
            <v>7</v>
          </cell>
          <cell r="G35" t="str">
            <v>M.</v>
          </cell>
        </row>
        <row r="36">
          <cell r="C36">
            <v>130</v>
          </cell>
          <cell r="D36" t="str">
            <v>-  2/C - 2.5 SQ.MM. VAF-GRD</v>
          </cell>
          <cell r="E36">
            <v>0</v>
          </cell>
          <cell r="F36">
            <v>10</v>
          </cell>
          <cell r="G36" t="str">
            <v>M.</v>
          </cell>
        </row>
        <row r="37">
          <cell r="C37">
            <v>131</v>
          </cell>
          <cell r="D37" t="str">
            <v>-  2/C - 4 SQ.MM. VAF-GRD</v>
          </cell>
          <cell r="E37">
            <v>0</v>
          </cell>
          <cell r="F37">
            <v>12</v>
          </cell>
          <cell r="G37" t="str">
            <v>M.</v>
          </cell>
        </row>
        <row r="38">
          <cell r="C38">
            <v>132</v>
          </cell>
          <cell r="D38" t="str">
            <v>-  2/C - 6 SQ.MM. VAF-GRD</v>
          </cell>
          <cell r="E38">
            <v>0</v>
          </cell>
          <cell r="F38">
            <v>18</v>
          </cell>
          <cell r="G38" t="str">
            <v>M.</v>
          </cell>
        </row>
        <row r="39">
          <cell r="C39">
            <v>133</v>
          </cell>
          <cell r="D39" t="str">
            <v>-  2/C - 10 SQ.MM. VAF-GRD</v>
          </cell>
          <cell r="E39">
            <v>0</v>
          </cell>
          <cell r="F39">
            <v>24</v>
          </cell>
          <cell r="G39" t="str">
            <v>M.</v>
          </cell>
        </row>
        <row r="40">
          <cell r="C40">
            <v>134</v>
          </cell>
          <cell r="D40" t="str">
            <v>-  2/C - 16 SQ.MM. VAF-GRD</v>
          </cell>
          <cell r="E40">
            <v>0</v>
          </cell>
          <cell r="F40">
            <v>26</v>
          </cell>
          <cell r="G40" t="str">
            <v>M.</v>
          </cell>
        </row>
        <row r="41">
          <cell r="C41">
            <v>134</v>
          </cell>
          <cell r="D41" t="str">
            <v>SPACE</v>
          </cell>
          <cell r="E41">
            <v>2500</v>
          </cell>
          <cell r="F41">
            <v>90</v>
          </cell>
          <cell r="G41" t="str">
            <v>SET</v>
          </cell>
        </row>
        <row r="42">
          <cell r="C42">
            <v>136</v>
          </cell>
          <cell r="D42" t="str">
            <v>-  1/C - 1 SQ.MM. NYY</v>
          </cell>
          <cell r="E42">
            <v>12</v>
          </cell>
          <cell r="F42">
            <v>4</v>
          </cell>
          <cell r="G42" t="str">
            <v>M.</v>
          </cell>
        </row>
        <row r="43">
          <cell r="C43">
            <v>137</v>
          </cell>
          <cell r="D43" t="str">
            <v>-  1/C - 1.5 SQ.MM. NYY</v>
          </cell>
          <cell r="E43">
            <v>14</v>
          </cell>
          <cell r="F43">
            <v>4</v>
          </cell>
          <cell r="G43" t="str">
            <v>M.</v>
          </cell>
        </row>
        <row r="44">
          <cell r="C44">
            <v>138</v>
          </cell>
          <cell r="D44" t="str">
            <v>-  1/C - 2.5 SQ.MM. NYY</v>
          </cell>
          <cell r="E44">
            <v>16</v>
          </cell>
          <cell r="F44">
            <v>5</v>
          </cell>
          <cell r="G44" t="str">
            <v>M.</v>
          </cell>
        </row>
        <row r="45">
          <cell r="C45">
            <v>139</v>
          </cell>
          <cell r="D45" t="str">
            <v>-  1/C - 4 SQ.MM. NYY</v>
          </cell>
          <cell r="E45">
            <v>22</v>
          </cell>
          <cell r="F45">
            <v>5</v>
          </cell>
          <cell r="G45" t="str">
            <v>M.</v>
          </cell>
        </row>
        <row r="46">
          <cell r="C46">
            <v>140</v>
          </cell>
          <cell r="D46" t="str">
            <v>-  1/C - 6 SQ.MM. NYY</v>
          </cell>
          <cell r="E46">
            <v>32</v>
          </cell>
          <cell r="F46">
            <v>6</v>
          </cell>
          <cell r="G46" t="str">
            <v>M.</v>
          </cell>
        </row>
        <row r="47">
          <cell r="C47">
            <v>141</v>
          </cell>
          <cell r="D47" t="str">
            <v>-  1/C - 10 SQ.MM. NYY</v>
          </cell>
          <cell r="E47">
            <v>39</v>
          </cell>
          <cell r="F47">
            <v>7</v>
          </cell>
          <cell r="G47" t="str">
            <v>M.</v>
          </cell>
        </row>
        <row r="48">
          <cell r="C48">
            <v>142</v>
          </cell>
          <cell r="D48" t="str">
            <v>-  1/C - 16 SQ.MM. NYY</v>
          </cell>
          <cell r="E48">
            <v>53</v>
          </cell>
          <cell r="F48">
            <v>8</v>
          </cell>
          <cell r="G48" t="str">
            <v>M.</v>
          </cell>
        </row>
        <row r="49">
          <cell r="C49">
            <v>143</v>
          </cell>
          <cell r="D49" t="str">
            <v>-  1/C - 25 SQ.MM. NYY</v>
          </cell>
          <cell r="E49">
            <v>73</v>
          </cell>
          <cell r="F49">
            <v>10</v>
          </cell>
          <cell r="G49" t="str">
            <v>M.</v>
          </cell>
        </row>
        <row r="50">
          <cell r="C50">
            <v>144</v>
          </cell>
          <cell r="D50" t="str">
            <v>-  1/C - 35 SQ.MM. NYY</v>
          </cell>
          <cell r="E50">
            <v>99</v>
          </cell>
          <cell r="F50">
            <v>14</v>
          </cell>
          <cell r="G50" t="str">
            <v>M.</v>
          </cell>
        </row>
        <row r="51">
          <cell r="C51">
            <v>145</v>
          </cell>
          <cell r="D51" t="str">
            <v>-  1/C - 50 SQ.MM. NYY</v>
          </cell>
          <cell r="E51">
            <v>133</v>
          </cell>
          <cell r="F51">
            <v>16</v>
          </cell>
          <cell r="G51" t="str">
            <v>M.</v>
          </cell>
        </row>
        <row r="52">
          <cell r="C52">
            <v>146</v>
          </cell>
          <cell r="D52" t="str">
            <v>-  1/C - 70 SQ.MM. NYY</v>
          </cell>
          <cell r="E52">
            <v>175</v>
          </cell>
          <cell r="F52">
            <v>20</v>
          </cell>
          <cell r="G52" t="str">
            <v>M.</v>
          </cell>
        </row>
        <row r="53">
          <cell r="C53">
            <v>147</v>
          </cell>
          <cell r="D53" t="str">
            <v>-  1/C - 95 SQ.MM. NYY</v>
          </cell>
          <cell r="E53">
            <v>233</v>
          </cell>
          <cell r="F53">
            <v>25</v>
          </cell>
          <cell r="G53" t="str">
            <v>M.</v>
          </cell>
        </row>
        <row r="54">
          <cell r="C54">
            <v>148</v>
          </cell>
          <cell r="D54" t="str">
            <v>-  1/C - 120 SQ.MM. NYY</v>
          </cell>
          <cell r="E54">
            <v>290</v>
          </cell>
          <cell r="F54">
            <v>30</v>
          </cell>
          <cell r="G54" t="str">
            <v>M.</v>
          </cell>
        </row>
        <row r="55">
          <cell r="C55">
            <v>149</v>
          </cell>
          <cell r="D55" t="str">
            <v>-  1/C - 150 SQ.MM. NYY</v>
          </cell>
          <cell r="E55">
            <v>357</v>
          </cell>
          <cell r="F55">
            <v>35</v>
          </cell>
          <cell r="G55" t="str">
            <v>M.</v>
          </cell>
        </row>
        <row r="56">
          <cell r="C56">
            <v>150</v>
          </cell>
          <cell r="D56" t="str">
            <v>-  1/C - 185 SQ.MM. NYY</v>
          </cell>
          <cell r="E56">
            <v>437</v>
          </cell>
          <cell r="F56">
            <v>40</v>
          </cell>
          <cell r="G56" t="str">
            <v>M.</v>
          </cell>
        </row>
        <row r="57">
          <cell r="C57">
            <v>151</v>
          </cell>
          <cell r="D57" t="str">
            <v>-  1/C - 240 SQ.MM. NYY</v>
          </cell>
          <cell r="E57">
            <v>603</v>
          </cell>
          <cell r="F57">
            <v>50</v>
          </cell>
          <cell r="G57" t="str">
            <v>M.</v>
          </cell>
        </row>
        <row r="58">
          <cell r="C58">
            <v>152</v>
          </cell>
          <cell r="D58" t="str">
            <v>-  1/C - 300 SQ.MM. NYY</v>
          </cell>
          <cell r="E58">
            <v>738</v>
          </cell>
          <cell r="F58">
            <v>60</v>
          </cell>
          <cell r="G58" t="str">
            <v>M.</v>
          </cell>
        </row>
        <row r="59">
          <cell r="C59">
            <v>153</v>
          </cell>
          <cell r="D59" t="str">
            <v>-  1/C - 400 SQ.MM. NYY</v>
          </cell>
          <cell r="E59">
            <v>926</v>
          </cell>
          <cell r="F59">
            <v>70</v>
          </cell>
          <cell r="G59" t="str">
            <v>M.</v>
          </cell>
        </row>
        <row r="60">
          <cell r="C60">
            <v>154</v>
          </cell>
          <cell r="D60" t="str">
            <v>-  1/C - 500 SQ.MM. NYY</v>
          </cell>
          <cell r="E60">
            <v>1200</v>
          </cell>
          <cell r="F60">
            <v>80</v>
          </cell>
          <cell r="G60" t="str">
            <v>M.</v>
          </cell>
        </row>
        <row r="61">
          <cell r="C61">
            <v>155</v>
          </cell>
          <cell r="D61" t="str">
            <v>-  2/C - 1 SQ.MM. NYY</v>
          </cell>
          <cell r="E61">
            <v>24</v>
          </cell>
          <cell r="F61">
            <v>7</v>
          </cell>
          <cell r="G61" t="str">
            <v>M.</v>
          </cell>
        </row>
        <row r="62">
          <cell r="C62">
            <v>156</v>
          </cell>
          <cell r="D62" t="str">
            <v>-  2/C - 1.5 SQ.MM. NYY</v>
          </cell>
          <cell r="E62">
            <v>27</v>
          </cell>
          <cell r="F62">
            <v>8</v>
          </cell>
          <cell r="G62" t="str">
            <v>M.</v>
          </cell>
        </row>
        <row r="63">
          <cell r="C63">
            <v>157</v>
          </cell>
          <cell r="D63" t="str">
            <v>-  2/C - 2.5 SQ.MM. NYY</v>
          </cell>
          <cell r="E63">
            <v>32</v>
          </cell>
          <cell r="F63">
            <v>10</v>
          </cell>
          <cell r="G63" t="str">
            <v>M.</v>
          </cell>
        </row>
        <row r="64">
          <cell r="C64">
            <v>158</v>
          </cell>
          <cell r="D64" t="str">
            <v>-  2/C - 4 SQ.MM. NYY</v>
          </cell>
          <cell r="E64">
            <v>45</v>
          </cell>
          <cell r="F64">
            <v>14</v>
          </cell>
          <cell r="G64" t="str">
            <v>M.</v>
          </cell>
        </row>
        <row r="65">
          <cell r="C65">
            <v>159</v>
          </cell>
          <cell r="D65" t="str">
            <v>-  2/C - 6 SQ.MM. NYY</v>
          </cell>
          <cell r="E65">
            <v>62</v>
          </cell>
          <cell r="F65">
            <v>18</v>
          </cell>
          <cell r="G65" t="str">
            <v>M.</v>
          </cell>
        </row>
        <row r="66">
          <cell r="C66">
            <v>160</v>
          </cell>
          <cell r="D66" t="str">
            <v>-  2/C - 10 SQ.MM. NYY</v>
          </cell>
          <cell r="E66">
            <v>88</v>
          </cell>
          <cell r="F66">
            <v>20</v>
          </cell>
          <cell r="G66" t="str">
            <v>M.</v>
          </cell>
        </row>
        <row r="67">
          <cell r="C67">
            <v>161</v>
          </cell>
          <cell r="D67" t="str">
            <v>-  2/C - 16 SQ.MM. NYY</v>
          </cell>
          <cell r="E67">
            <v>125</v>
          </cell>
          <cell r="F67">
            <v>25</v>
          </cell>
          <cell r="G67" t="str">
            <v>M.</v>
          </cell>
        </row>
        <row r="68">
          <cell r="C68">
            <v>162</v>
          </cell>
          <cell r="D68" t="str">
            <v>-  2/C - 25 SQ.MM. NYY</v>
          </cell>
          <cell r="E68">
            <v>183</v>
          </cell>
          <cell r="F68">
            <v>30</v>
          </cell>
          <cell r="G68" t="str">
            <v>M.</v>
          </cell>
        </row>
        <row r="69">
          <cell r="C69">
            <v>163</v>
          </cell>
          <cell r="D69" t="str">
            <v>-  2/C - 35 SQ.MM. NYY</v>
          </cell>
          <cell r="E69">
            <v>243</v>
          </cell>
          <cell r="F69">
            <v>35</v>
          </cell>
          <cell r="G69" t="str">
            <v>M.</v>
          </cell>
        </row>
        <row r="70">
          <cell r="C70">
            <v>164</v>
          </cell>
          <cell r="D70" t="str">
            <v>-  2/C - 50 SQ.MM. NYY</v>
          </cell>
          <cell r="E70">
            <v>347</v>
          </cell>
          <cell r="F70">
            <v>40</v>
          </cell>
          <cell r="G70" t="str">
            <v>M.</v>
          </cell>
        </row>
        <row r="71">
          <cell r="C71">
            <v>165</v>
          </cell>
          <cell r="D71" t="str">
            <v>-  2/C - 70 SQ.MM. NYY</v>
          </cell>
          <cell r="E71">
            <v>451</v>
          </cell>
          <cell r="F71">
            <v>60</v>
          </cell>
          <cell r="G71" t="str">
            <v>M.</v>
          </cell>
        </row>
        <row r="72">
          <cell r="C72">
            <v>166</v>
          </cell>
          <cell r="D72" t="str">
            <v>-  2/C - 95 SQ.MM. NYY</v>
          </cell>
          <cell r="E72">
            <v>592</v>
          </cell>
          <cell r="F72">
            <v>70</v>
          </cell>
          <cell r="G72" t="str">
            <v>M.</v>
          </cell>
        </row>
        <row r="73">
          <cell r="C73">
            <v>167</v>
          </cell>
          <cell r="D73" t="str">
            <v>-  2/C - 120 SQ.MM. NYY</v>
          </cell>
          <cell r="E73">
            <v>736</v>
          </cell>
          <cell r="F73">
            <v>75</v>
          </cell>
          <cell r="G73" t="str">
            <v>M.</v>
          </cell>
        </row>
        <row r="74">
          <cell r="C74">
            <v>168</v>
          </cell>
          <cell r="D74" t="str">
            <v>-  2/C - 150 SQ.MM. NYY</v>
          </cell>
          <cell r="E74">
            <v>902</v>
          </cell>
          <cell r="F74">
            <v>80</v>
          </cell>
          <cell r="G74" t="str">
            <v>M.</v>
          </cell>
        </row>
        <row r="75">
          <cell r="C75">
            <v>169</v>
          </cell>
          <cell r="D75" t="str">
            <v>-  2/C - 185 SQ.MM. NYY</v>
          </cell>
          <cell r="E75">
            <v>1107</v>
          </cell>
          <cell r="F75">
            <v>85</v>
          </cell>
          <cell r="G75" t="str">
            <v>M.</v>
          </cell>
        </row>
        <row r="76">
          <cell r="C76">
            <v>170</v>
          </cell>
          <cell r="D76" t="str">
            <v>-  2/C - 240 SQ.MM. NYY</v>
          </cell>
          <cell r="E76">
            <v>1512</v>
          </cell>
          <cell r="F76">
            <v>90</v>
          </cell>
          <cell r="G76" t="str">
            <v>M.</v>
          </cell>
        </row>
        <row r="77">
          <cell r="C77">
            <v>171</v>
          </cell>
          <cell r="D77" t="str">
            <v>-  2/C - 300 SQ.MM. NYY</v>
          </cell>
          <cell r="E77">
            <v>1861</v>
          </cell>
          <cell r="F77">
            <v>100</v>
          </cell>
          <cell r="G77" t="str">
            <v>M.</v>
          </cell>
        </row>
        <row r="78">
          <cell r="C78">
            <v>172</v>
          </cell>
          <cell r="D78" t="str">
            <v>-  3/C - 1 SQ.MM. NYY</v>
          </cell>
          <cell r="E78">
            <v>26</v>
          </cell>
          <cell r="F78">
            <v>10</v>
          </cell>
          <cell r="G78" t="str">
            <v>M.</v>
          </cell>
        </row>
        <row r="79">
          <cell r="C79">
            <v>173</v>
          </cell>
          <cell r="D79" t="str">
            <v>-  3/C - 1.5 SQ.MM. NYY</v>
          </cell>
          <cell r="E79">
            <v>30</v>
          </cell>
          <cell r="F79">
            <v>14</v>
          </cell>
          <cell r="G79" t="str">
            <v>M.</v>
          </cell>
        </row>
        <row r="80">
          <cell r="C80">
            <v>174</v>
          </cell>
          <cell r="D80" t="str">
            <v>-  3/C - 2.5 SQ.MM. NYY</v>
          </cell>
          <cell r="E80">
            <v>37</v>
          </cell>
          <cell r="F80">
            <v>18</v>
          </cell>
          <cell r="G80" t="str">
            <v>M.</v>
          </cell>
        </row>
        <row r="81">
          <cell r="C81">
            <v>175</v>
          </cell>
          <cell r="D81" t="str">
            <v>-  3/C - 4 SQ.MM. NYY</v>
          </cell>
          <cell r="E81">
            <v>53</v>
          </cell>
          <cell r="F81">
            <v>20</v>
          </cell>
          <cell r="G81" t="str">
            <v>M.</v>
          </cell>
        </row>
        <row r="82">
          <cell r="C82">
            <v>176</v>
          </cell>
          <cell r="D82" t="str">
            <v>-  3/C - 6 SQ.MM. NYY</v>
          </cell>
          <cell r="E82">
            <v>77</v>
          </cell>
          <cell r="F82">
            <v>25</v>
          </cell>
          <cell r="G82" t="str">
            <v>M.</v>
          </cell>
        </row>
        <row r="83">
          <cell r="C83">
            <v>177</v>
          </cell>
          <cell r="D83" t="str">
            <v>-  3/C - 10 SQ.MM. NYY</v>
          </cell>
          <cell r="E83">
            <v>113</v>
          </cell>
          <cell r="F83">
            <v>30</v>
          </cell>
          <cell r="G83" t="str">
            <v>M.</v>
          </cell>
        </row>
        <row r="84">
          <cell r="C84">
            <v>178</v>
          </cell>
          <cell r="D84" t="str">
            <v>-  3/C - 16 SQ.MM. NYY</v>
          </cell>
          <cell r="E84">
            <v>166</v>
          </cell>
          <cell r="F84">
            <v>35</v>
          </cell>
          <cell r="G84" t="str">
            <v>M.</v>
          </cell>
        </row>
        <row r="85">
          <cell r="C85">
            <v>179</v>
          </cell>
          <cell r="D85" t="str">
            <v>-  3/C - 25 SQ.MM. NYY</v>
          </cell>
          <cell r="E85">
            <v>240</v>
          </cell>
          <cell r="F85">
            <v>40</v>
          </cell>
          <cell r="G85" t="str">
            <v>M.</v>
          </cell>
        </row>
        <row r="86">
          <cell r="C86">
            <v>180</v>
          </cell>
          <cell r="D86" t="str">
            <v>-  3/C - 35 SQ.MM. NYY</v>
          </cell>
          <cell r="E86">
            <v>323</v>
          </cell>
          <cell r="F86">
            <v>65</v>
          </cell>
          <cell r="G86" t="str">
            <v>M.</v>
          </cell>
        </row>
        <row r="87">
          <cell r="C87">
            <v>181</v>
          </cell>
          <cell r="D87" t="str">
            <v>-  3/C - 50 SQ.MM. NYY</v>
          </cell>
          <cell r="E87">
            <v>468</v>
          </cell>
          <cell r="F87">
            <v>70</v>
          </cell>
          <cell r="G87" t="str">
            <v>M.</v>
          </cell>
        </row>
        <row r="88">
          <cell r="C88">
            <v>182</v>
          </cell>
          <cell r="D88" t="str">
            <v>-  3/C - 70 SQ.MM. NYY</v>
          </cell>
          <cell r="E88">
            <v>605</v>
          </cell>
          <cell r="F88">
            <v>75</v>
          </cell>
          <cell r="G88" t="str">
            <v>M.</v>
          </cell>
        </row>
        <row r="89">
          <cell r="C89">
            <v>183</v>
          </cell>
          <cell r="D89" t="str">
            <v>-  3/C - 95 SQ.MM. NYY</v>
          </cell>
          <cell r="E89">
            <v>806</v>
          </cell>
          <cell r="F89">
            <v>80</v>
          </cell>
          <cell r="G89" t="str">
            <v>M.</v>
          </cell>
        </row>
        <row r="90">
          <cell r="C90">
            <v>184</v>
          </cell>
          <cell r="D90" t="str">
            <v>-  3/C - 120 SQ.MM. NYY</v>
          </cell>
          <cell r="E90">
            <v>1012</v>
          </cell>
          <cell r="F90">
            <v>85</v>
          </cell>
          <cell r="G90" t="str">
            <v>M.</v>
          </cell>
        </row>
        <row r="91">
          <cell r="C91">
            <v>185</v>
          </cell>
          <cell r="D91" t="str">
            <v>-  3/C - 150 SQ.MM. NYY</v>
          </cell>
          <cell r="E91">
            <v>1233</v>
          </cell>
          <cell r="F91">
            <v>90</v>
          </cell>
          <cell r="G91" t="str">
            <v>M.</v>
          </cell>
        </row>
        <row r="92">
          <cell r="C92">
            <v>186</v>
          </cell>
          <cell r="D92" t="str">
            <v>-  3/C - 185 SQ.MM. NYY</v>
          </cell>
          <cell r="E92">
            <v>1524</v>
          </cell>
          <cell r="F92">
            <v>110</v>
          </cell>
          <cell r="G92" t="str">
            <v>M.</v>
          </cell>
        </row>
        <row r="93">
          <cell r="C93">
            <v>187</v>
          </cell>
          <cell r="D93" t="str">
            <v>-  3/C - 240 SQ.MM. NYY</v>
          </cell>
          <cell r="E93">
            <v>2076</v>
          </cell>
          <cell r="F93">
            <v>120</v>
          </cell>
          <cell r="G93" t="str">
            <v>M.</v>
          </cell>
        </row>
        <row r="94">
          <cell r="C94">
            <v>188</v>
          </cell>
          <cell r="D94" t="str">
            <v>-  3/C - 300 SQ.MM. NYY</v>
          </cell>
          <cell r="E94">
            <v>2553</v>
          </cell>
          <cell r="F94">
            <v>130</v>
          </cell>
          <cell r="G94" t="str">
            <v>M.</v>
          </cell>
        </row>
        <row r="95">
          <cell r="C95">
            <v>189</v>
          </cell>
          <cell r="D95" t="str">
            <v>-  4/C - 1 SQ.MM. NYY</v>
          </cell>
          <cell r="E95">
            <v>31</v>
          </cell>
          <cell r="F95">
            <v>14</v>
          </cell>
          <cell r="G95" t="str">
            <v>M.</v>
          </cell>
        </row>
        <row r="96">
          <cell r="C96">
            <v>190</v>
          </cell>
          <cell r="D96" t="str">
            <v>-  4/C - 1.5 SQ.MM. NYY</v>
          </cell>
          <cell r="E96">
            <v>35</v>
          </cell>
          <cell r="F96">
            <v>18</v>
          </cell>
          <cell r="G96" t="str">
            <v>M.</v>
          </cell>
        </row>
        <row r="97">
          <cell r="C97">
            <v>191</v>
          </cell>
          <cell r="D97" t="str">
            <v>-  4/C - 2.5 SQ.MM. NYY</v>
          </cell>
          <cell r="E97">
            <v>43</v>
          </cell>
          <cell r="F97">
            <v>20</v>
          </cell>
          <cell r="G97" t="str">
            <v>M.</v>
          </cell>
        </row>
        <row r="98">
          <cell r="C98">
            <v>192</v>
          </cell>
          <cell r="D98" t="str">
            <v>-  4/C - 4 SQ.MM. NYY</v>
          </cell>
          <cell r="E98">
            <v>64</v>
          </cell>
          <cell r="F98">
            <v>25</v>
          </cell>
          <cell r="G98" t="str">
            <v>M.</v>
          </cell>
        </row>
        <row r="99">
          <cell r="C99">
            <v>193</v>
          </cell>
          <cell r="D99" t="str">
            <v>-  4/C - 6 SQ.MM. NYY</v>
          </cell>
          <cell r="E99">
            <v>93</v>
          </cell>
          <cell r="F99">
            <v>30</v>
          </cell>
          <cell r="G99" t="str">
            <v>M.</v>
          </cell>
        </row>
        <row r="100">
          <cell r="C100">
            <v>194</v>
          </cell>
          <cell r="D100" t="str">
            <v>-  4/C - 10 SQ.MM. NYY</v>
          </cell>
          <cell r="E100">
            <v>143</v>
          </cell>
          <cell r="F100">
            <v>40</v>
          </cell>
          <cell r="G100" t="str">
            <v>M.</v>
          </cell>
        </row>
        <row r="101">
          <cell r="C101">
            <v>195</v>
          </cell>
          <cell r="D101" t="str">
            <v>-  4/C - 16 SQ.MM. NYY</v>
          </cell>
          <cell r="E101">
            <v>210</v>
          </cell>
          <cell r="F101">
            <v>45</v>
          </cell>
          <cell r="G101" t="str">
            <v>M.</v>
          </cell>
        </row>
        <row r="102">
          <cell r="C102">
            <v>196</v>
          </cell>
          <cell r="D102" t="str">
            <v>-  4/C - 25 SQ.MM. NYY</v>
          </cell>
          <cell r="E102">
            <v>308</v>
          </cell>
          <cell r="F102">
            <v>65</v>
          </cell>
          <cell r="G102" t="str">
            <v>M.</v>
          </cell>
        </row>
        <row r="103">
          <cell r="C103">
            <v>197</v>
          </cell>
          <cell r="D103" t="str">
            <v>-  4/C - 35 SQ.MM. NYY</v>
          </cell>
          <cell r="E103">
            <v>425</v>
          </cell>
          <cell r="F103">
            <v>70</v>
          </cell>
          <cell r="G103" t="str">
            <v>M.</v>
          </cell>
        </row>
        <row r="104">
          <cell r="C104">
            <v>198</v>
          </cell>
          <cell r="D104" t="str">
            <v>-  4/C - 50 SQ.MM. NYY</v>
          </cell>
          <cell r="E104">
            <v>596</v>
          </cell>
          <cell r="F104">
            <v>75</v>
          </cell>
          <cell r="G104" t="str">
            <v>M.</v>
          </cell>
        </row>
        <row r="105">
          <cell r="C105">
            <v>199</v>
          </cell>
          <cell r="D105" t="str">
            <v>-  4/C - 70 SQ.MM. NYY</v>
          </cell>
          <cell r="E105">
            <v>782</v>
          </cell>
          <cell r="F105">
            <v>80</v>
          </cell>
          <cell r="G105" t="str">
            <v>M.</v>
          </cell>
        </row>
        <row r="106">
          <cell r="C106">
            <v>200</v>
          </cell>
          <cell r="D106" t="str">
            <v>-  4/C - 95 SQ.MM. NYY</v>
          </cell>
          <cell r="E106">
            <v>1051</v>
          </cell>
          <cell r="F106">
            <v>85</v>
          </cell>
          <cell r="G106" t="str">
            <v>M.</v>
          </cell>
        </row>
        <row r="107">
          <cell r="C107">
            <v>201</v>
          </cell>
          <cell r="D107" t="str">
            <v>-  4/C - 120 SQ.MM. NYY</v>
          </cell>
          <cell r="E107">
            <v>1307</v>
          </cell>
          <cell r="F107">
            <v>90</v>
          </cell>
          <cell r="G107" t="str">
            <v>M.</v>
          </cell>
        </row>
        <row r="108">
          <cell r="C108">
            <v>202</v>
          </cell>
          <cell r="D108" t="str">
            <v>-  4/C - 150 SQ.MM. NYY</v>
          </cell>
          <cell r="E108">
            <v>1607</v>
          </cell>
          <cell r="F108">
            <v>110</v>
          </cell>
          <cell r="G108" t="str">
            <v>M.</v>
          </cell>
        </row>
        <row r="109">
          <cell r="C109">
            <v>203</v>
          </cell>
          <cell r="D109" t="str">
            <v>-  4/C - 185 SQ.MM. NYY</v>
          </cell>
          <cell r="E109">
            <v>1969</v>
          </cell>
          <cell r="F109">
            <v>120</v>
          </cell>
          <cell r="G109" t="str">
            <v>M.</v>
          </cell>
        </row>
        <row r="110">
          <cell r="C110">
            <v>204</v>
          </cell>
          <cell r="D110" t="str">
            <v>-  4/C - 240 SQ.MM. NYY</v>
          </cell>
          <cell r="E110">
            <v>2705</v>
          </cell>
          <cell r="F110">
            <v>130</v>
          </cell>
          <cell r="G110" t="str">
            <v>M.</v>
          </cell>
        </row>
        <row r="111">
          <cell r="C111">
            <v>205</v>
          </cell>
          <cell r="D111" t="str">
            <v>-  4/C - 300 SQ.MM. NYY</v>
          </cell>
          <cell r="E111">
            <v>3325</v>
          </cell>
          <cell r="F111">
            <v>140</v>
          </cell>
          <cell r="G111" t="str">
            <v>M.</v>
          </cell>
        </row>
        <row r="112">
          <cell r="C112">
            <v>206</v>
          </cell>
          <cell r="D112" t="str">
            <v>-  3/C - 6 SQ.MM. NYY-N</v>
          </cell>
          <cell r="E112">
            <v>0</v>
          </cell>
          <cell r="F112">
            <v>35</v>
          </cell>
          <cell r="G112" t="str">
            <v>M.</v>
          </cell>
        </row>
        <row r="113">
          <cell r="C113">
            <v>207</v>
          </cell>
          <cell r="D113" t="str">
            <v>-  3/C - 10 SQ.MM. NYY-N</v>
          </cell>
          <cell r="E113">
            <v>0</v>
          </cell>
          <cell r="F113">
            <v>40</v>
          </cell>
          <cell r="G113" t="str">
            <v>M.</v>
          </cell>
        </row>
        <row r="114">
          <cell r="C114">
            <v>208</v>
          </cell>
          <cell r="D114" t="str">
            <v>-  3/C - 16 SQ.MM. NYY-N</v>
          </cell>
          <cell r="E114">
            <v>0</v>
          </cell>
          <cell r="F114">
            <v>60</v>
          </cell>
          <cell r="G114" t="str">
            <v>M.</v>
          </cell>
        </row>
        <row r="115">
          <cell r="C115">
            <v>209</v>
          </cell>
          <cell r="D115" t="str">
            <v>-  3/C - 25 SQ.MM. NYY-N</v>
          </cell>
          <cell r="E115">
            <v>358</v>
          </cell>
          <cell r="F115">
            <v>65</v>
          </cell>
          <cell r="G115" t="str">
            <v>M.</v>
          </cell>
        </row>
        <row r="116">
          <cell r="C116">
            <v>210</v>
          </cell>
          <cell r="D116" t="str">
            <v>-  3/C - 35 SQ.MM. NYY-N</v>
          </cell>
          <cell r="E116">
            <v>475</v>
          </cell>
          <cell r="F116">
            <v>70</v>
          </cell>
          <cell r="G116" t="str">
            <v>M.</v>
          </cell>
        </row>
        <row r="117">
          <cell r="C117">
            <v>211</v>
          </cell>
          <cell r="D117" t="str">
            <v>-  3/C - 50 SQ.MM. NYY-N</v>
          </cell>
          <cell r="E117">
            <v>672</v>
          </cell>
          <cell r="F117">
            <v>75</v>
          </cell>
          <cell r="G117" t="str">
            <v>M.</v>
          </cell>
        </row>
        <row r="118">
          <cell r="C118">
            <v>212</v>
          </cell>
          <cell r="D118" t="str">
            <v>-  3/C - 70 SQ.MM. NYY-N</v>
          </cell>
          <cell r="E118">
            <v>899</v>
          </cell>
          <cell r="F118">
            <v>80</v>
          </cell>
          <cell r="G118" t="str">
            <v>M.</v>
          </cell>
        </row>
        <row r="119">
          <cell r="C119">
            <v>213</v>
          </cell>
          <cell r="D119" t="str">
            <v>-  3/C - 95 SQ.MM. NYY-N</v>
          </cell>
          <cell r="E119">
            <v>1197</v>
          </cell>
          <cell r="F119">
            <v>85</v>
          </cell>
          <cell r="G119" t="str">
            <v>M.</v>
          </cell>
        </row>
        <row r="120">
          <cell r="C120">
            <v>214</v>
          </cell>
          <cell r="D120" t="str">
            <v>-  3/C - 120 SQ.MM. NYY-N</v>
          </cell>
          <cell r="E120">
            <v>1502</v>
          </cell>
          <cell r="F120">
            <v>90</v>
          </cell>
          <cell r="G120" t="str">
            <v>M.</v>
          </cell>
        </row>
        <row r="121">
          <cell r="C121">
            <v>215</v>
          </cell>
          <cell r="D121" t="str">
            <v>-  3/C - 150 SQ.MM. NYY-N</v>
          </cell>
          <cell r="E121">
            <v>1790</v>
          </cell>
          <cell r="F121">
            <v>110</v>
          </cell>
          <cell r="G121" t="str">
            <v>M.</v>
          </cell>
        </row>
        <row r="122">
          <cell r="C122">
            <v>216</v>
          </cell>
          <cell r="D122" t="str">
            <v>-  3/C - 185 SQ.MM. NYY-N</v>
          </cell>
          <cell r="E122">
            <v>2221</v>
          </cell>
          <cell r="F122">
            <v>120</v>
          </cell>
          <cell r="G122" t="str">
            <v>M.</v>
          </cell>
        </row>
        <row r="123">
          <cell r="C123">
            <v>217</v>
          </cell>
          <cell r="D123" t="str">
            <v>-  3/C - 240 SQ.MM. NYY-N</v>
          </cell>
          <cell r="E123">
            <v>3015</v>
          </cell>
          <cell r="F123">
            <v>130</v>
          </cell>
          <cell r="G123" t="str">
            <v>M.</v>
          </cell>
        </row>
        <row r="124">
          <cell r="C124">
            <v>218</v>
          </cell>
          <cell r="D124" t="str">
            <v>-  3/C - 300 SQ.MM. NYY-N</v>
          </cell>
          <cell r="E124">
            <v>3713</v>
          </cell>
          <cell r="F124">
            <v>140</v>
          </cell>
          <cell r="G124" t="str">
            <v>M.</v>
          </cell>
        </row>
        <row r="125">
          <cell r="C125">
            <v>219</v>
          </cell>
          <cell r="D125" t="str">
            <v>-  3/C - 6 SQ.MM. NYCY</v>
          </cell>
          <cell r="E125">
            <v>0</v>
          </cell>
          <cell r="F125">
            <v>75</v>
          </cell>
          <cell r="G125" t="str">
            <v>M.</v>
          </cell>
        </row>
        <row r="126">
          <cell r="C126">
            <v>220</v>
          </cell>
          <cell r="D126" t="str">
            <v>-  3/C - 10 SQ.MM. NYCY</v>
          </cell>
          <cell r="E126">
            <v>0</v>
          </cell>
          <cell r="F126">
            <v>80</v>
          </cell>
          <cell r="G126" t="str">
            <v>M.</v>
          </cell>
        </row>
        <row r="127">
          <cell r="C127">
            <v>221</v>
          </cell>
          <cell r="D127" t="str">
            <v>-  3/C - 16 SQ.MM. NYCY</v>
          </cell>
          <cell r="E127">
            <v>0</v>
          </cell>
          <cell r="F127">
            <v>85</v>
          </cell>
          <cell r="G127" t="str">
            <v>M.</v>
          </cell>
        </row>
        <row r="128">
          <cell r="C128">
            <v>222</v>
          </cell>
          <cell r="D128" t="str">
            <v>-  3/C - 25 SQ.MM. NYCY</v>
          </cell>
          <cell r="E128">
            <v>390</v>
          </cell>
          <cell r="F128">
            <v>75</v>
          </cell>
          <cell r="G128" t="str">
            <v>M.</v>
          </cell>
        </row>
        <row r="129">
          <cell r="C129">
            <v>223</v>
          </cell>
          <cell r="D129" t="str">
            <v>-  3/C - 35 SQ.MM. NYCY</v>
          </cell>
          <cell r="E129">
            <v>485</v>
          </cell>
          <cell r="F129">
            <v>80</v>
          </cell>
          <cell r="G129" t="str">
            <v>M.</v>
          </cell>
        </row>
        <row r="130">
          <cell r="C130">
            <v>224</v>
          </cell>
          <cell r="D130" t="str">
            <v>-  3/C - 50 SQ.MM. NYCY</v>
          </cell>
          <cell r="E130">
            <v>718</v>
          </cell>
          <cell r="F130">
            <v>85</v>
          </cell>
          <cell r="G130" t="str">
            <v>M.</v>
          </cell>
        </row>
        <row r="131">
          <cell r="C131">
            <v>225</v>
          </cell>
          <cell r="D131" t="str">
            <v>-  3/C - 70 SQ.MM. NYCY</v>
          </cell>
          <cell r="E131">
            <v>918</v>
          </cell>
          <cell r="F131">
            <v>90</v>
          </cell>
          <cell r="G131" t="str">
            <v>M.</v>
          </cell>
        </row>
        <row r="132">
          <cell r="C132">
            <v>226</v>
          </cell>
          <cell r="D132" t="str">
            <v>-  3/C - 95 SQ.MM. NYCY</v>
          </cell>
          <cell r="E132">
            <v>1234</v>
          </cell>
          <cell r="F132">
            <v>110</v>
          </cell>
          <cell r="G132" t="str">
            <v>M.</v>
          </cell>
        </row>
        <row r="133">
          <cell r="C133">
            <v>227</v>
          </cell>
          <cell r="D133" t="str">
            <v>-  3/C - 120 SQ.MM. NYCY</v>
          </cell>
          <cell r="E133">
            <v>1564</v>
          </cell>
          <cell r="F133">
            <v>120</v>
          </cell>
          <cell r="G133" t="str">
            <v>M.</v>
          </cell>
        </row>
        <row r="134">
          <cell r="C134">
            <v>228</v>
          </cell>
          <cell r="D134" t="str">
            <v>-  3/C - 150 SQ.MM. NYCY</v>
          </cell>
          <cell r="E134">
            <v>1872</v>
          </cell>
          <cell r="F134">
            <v>130</v>
          </cell>
          <cell r="G134" t="str">
            <v>M.</v>
          </cell>
        </row>
        <row r="135">
          <cell r="C135">
            <v>229</v>
          </cell>
          <cell r="D135" t="str">
            <v>-  3/C - 185 SQ.MM. NYCY</v>
          </cell>
          <cell r="E135">
            <v>2322</v>
          </cell>
          <cell r="F135">
            <v>140</v>
          </cell>
          <cell r="G135" t="str">
            <v>M.</v>
          </cell>
        </row>
        <row r="136">
          <cell r="C136">
            <v>230</v>
          </cell>
          <cell r="D136" t="str">
            <v>-  3/C - 240 SQ.MM. NYCY</v>
          </cell>
          <cell r="E136">
            <v>3146</v>
          </cell>
          <cell r="F136">
            <v>150</v>
          </cell>
          <cell r="G136" t="str">
            <v>M.</v>
          </cell>
        </row>
        <row r="137">
          <cell r="C137">
            <v>231</v>
          </cell>
          <cell r="D137" t="str">
            <v>-  3/C - 300 SQ.MM. NYCY</v>
          </cell>
          <cell r="E137">
            <v>3865</v>
          </cell>
          <cell r="F137">
            <v>170</v>
          </cell>
          <cell r="G137" t="str">
            <v>M.</v>
          </cell>
        </row>
        <row r="138">
          <cell r="C138">
            <v>232</v>
          </cell>
          <cell r="D138" t="str">
            <v>-  1/C - 2.5 SQ.MM. 0.6/1KV.CV</v>
          </cell>
          <cell r="E138">
            <v>15</v>
          </cell>
          <cell r="F138">
            <v>5</v>
          </cell>
          <cell r="G138" t="str">
            <v>M.</v>
          </cell>
        </row>
        <row r="139">
          <cell r="C139">
            <v>233</v>
          </cell>
          <cell r="D139" t="str">
            <v>-  1/C - 4 SQ.MM. 0.6/1KV.CV</v>
          </cell>
          <cell r="E139">
            <v>16</v>
          </cell>
          <cell r="F139">
            <v>6</v>
          </cell>
          <cell r="G139" t="str">
            <v>M.</v>
          </cell>
        </row>
        <row r="140">
          <cell r="C140">
            <v>234</v>
          </cell>
          <cell r="D140" t="str">
            <v>-  1/C - 6 SQ.MM. 0.6/1KV.CV</v>
          </cell>
          <cell r="E140">
            <v>20</v>
          </cell>
          <cell r="F140">
            <v>7</v>
          </cell>
          <cell r="G140" t="str">
            <v>M.</v>
          </cell>
        </row>
        <row r="141">
          <cell r="C141">
            <v>235</v>
          </cell>
          <cell r="D141" t="str">
            <v>-  1/C - 10 SQ.MM. 0.6/1KV.CV</v>
          </cell>
          <cell r="E141">
            <v>29</v>
          </cell>
          <cell r="F141">
            <v>8</v>
          </cell>
          <cell r="G141" t="str">
            <v>M.</v>
          </cell>
        </row>
        <row r="142">
          <cell r="C142">
            <v>236</v>
          </cell>
          <cell r="D142" t="str">
            <v>-  1/C - 16 SQ.MM. 0.6/1KV.CV</v>
          </cell>
          <cell r="E142">
            <v>41</v>
          </cell>
          <cell r="F142">
            <v>10</v>
          </cell>
          <cell r="G142" t="str">
            <v>M.</v>
          </cell>
        </row>
        <row r="143">
          <cell r="C143">
            <v>237</v>
          </cell>
          <cell r="D143" t="str">
            <v>-  1/C - 25 SQ.MM. 0.6/1KV.CV</v>
          </cell>
          <cell r="E143">
            <v>59</v>
          </cell>
          <cell r="F143">
            <v>14</v>
          </cell>
          <cell r="G143" t="str">
            <v>M.</v>
          </cell>
        </row>
        <row r="144">
          <cell r="C144">
            <v>238</v>
          </cell>
          <cell r="D144" t="str">
            <v>-  1/C - 35 SQ.MM. 0.6/1KV.CV</v>
          </cell>
          <cell r="E144">
            <v>77</v>
          </cell>
          <cell r="F144">
            <v>18</v>
          </cell>
          <cell r="G144" t="str">
            <v>M.</v>
          </cell>
        </row>
        <row r="145">
          <cell r="C145">
            <v>239</v>
          </cell>
          <cell r="D145" t="str">
            <v>-  1/C - 50 SQ.MM. 0.6/1KV.CV</v>
          </cell>
          <cell r="E145">
            <v>103</v>
          </cell>
          <cell r="F145">
            <v>20</v>
          </cell>
          <cell r="G145" t="str">
            <v>M.</v>
          </cell>
        </row>
        <row r="146">
          <cell r="C146">
            <v>240</v>
          </cell>
          <cell r="D146" t="str">
            <v>-  1/C - 70 SQ.MM. 0.6/1KV.CV</v>
          </cell>
          <cell r="E146">
            <v>142</v>
          </cell>
          <cell r="F146">
            <v>25</v>
          </cell>
          <cell r="G146" t="str">
            <v>M.</v>
          </cell>
        </row>
        <row r="147">
          <cell r="C147">
            <v>241</v>
          </cell>
          <cell r="D147" t="str">
            <v>-  1/C - 95 SQ.MM. 0.6/1KV.CV</v>
          </cell>
          <cell r="E147">
            <v>193</v>
          </cell>
          <cell r="F147">
            <v>30</v>
          </cell>
          <cell r="G147" t="str">
            <v>M.</v>
          </cell>
        </row>
        <row r="148">
          <cell r="C148">
            <v>242</v>
          </cell>
          <cell r="D148" t="str">
            <v>-  1/C - 120 SQ.MM. 0.6/1KV.CV</v>
          </cell>
          <cell r="E148">
            <v>242</v>
          </cell>
          <cell r="F148">
            <v>35</v>
          </cell>
          <cell r="G148" t="str">
            <v>M.</v>
          </cell>
        </row>
        <row r="149">
          <cell r="C149">
            <v>243</v>
          </cell>
          <cell r="D149" t="str">
            <v>-  1/C - 150 SQ.MM. 0.6/1KV.CV</v>
          </cell>
          <cell r="E149">
            <v>296</v>
          </cell>
          <cell r="F149">
            <v>40</v>
          </cell>
          <cell r="G149" t="str">
            <v>M.</v>
          </cell>
        </row>
        <row r="150">
          <cell r="C150">
            <v>244</v>
          </cell>
          <cell r="D150" t="str">
            <v>-  1/C - 185 SQ.MM. 0.6/1KV.CV</v>
          </cell>
          <cell r="E150">
            <v>398</v>
          </cell>
          <cell r="F150">
            <v>60</v>
          </cell>
          <cell r="G150" t="str">
            <v>M.</v>
          </cell>
        </row>
        <row r="151">
          <cell r="C151">
            <v>245</v>
          </cell>
          <cell r="D151" t="str">
            <v>-  1/C - 240 SQ.MM. 0.6/1KV.CV</v>
          </cell>
          <cell r="E151">
            <v>480</v>
          </cell>
          <cell r="F151">
            <v>70</v>
          </cell>
          <cell r="G151" t="str">
            <v>M.</v>
          </cell>
        </row>
        <row r="152">
          <cell r="C152">
            <v>246</v>
          </cell>
          <cell r="D152" t="str">
            <v>-  1/C - 300 SQ.MM. 0.6/1KV.CV</v>
          </cell>
          <cell r="E152">
            <v>597</v>
          </cell>
          <cell r="F152">
            <v>75</v>
          </cell>
          <cell r="G152" t="str">
            <v>M.</v>
          </cell>
        </row>
        <row r="153">
          <cell r="C153">
            <v>247</v>
          </cell>
          <cell r="D153" t="str">
            <v>-  1/C - 400 SQ.MM. 0.6/1KV.CV</v>
          </cell>
          <cell r="E153">
            <v>753</v>
          </cell>
          <cell r="F153">
            <v>80</v>
          </cell>
          <cell r="G153" t="str">
            <v>M.</v>
          </cell>
        </row>
        <row r="154">
          <cell r="C154">
            <v>248</v>
          </cell>
          <cell r="D154" t="str">
            <v>-  2/C - 2.5 SQ.MM. 0.6/1KV.CV</v>
          </cell>
          <cell r="E154">
            <v>30</v>
          </cell>
          <cell r="F154">
            <v>8</v>
          </cell>
          <cell r="G154" t="str">
            <v>M.</v>
          </cell>
        </row>
        <row r="155">
          <cell r="C155">
            <v>249</v>
          </cell>
          <cell r="D155" t="str">
            <v>-  2/C - 4 SQ.MM. 0.6/1KV.CV</v>
          </cell>
          <cell r="E155">
            <v>36</v>
          </cell>
          <cell r="F155">
            <v>10</v>
          </cell>
          <cell r="G155" t="str">
            <v>M.</v>
          </cell>
        </row>
        <row r="156">
          <cell r="C156">
            <v>250</v>
          </cell>
          <cell r="D156" t="str">
            <v>-  2/C - 6 SQ.MM. 0.6/1KV.CV</v>
          </cell>
          <cell r="E156">
            <v>46</v>
          </cell>
          <cell r="F156">
            <v>14</v>
          </cell>
          <cell r="G156" t="str">
            <v>M.</v>
          </cell>
        </row>
        <row r="157">
          <cell r="C157">
            <v>251</v>
          </cell>
          <cell r="D157" t="str">
            <v>-  2/C - 10 SQ.MM. 0.6/1KV.CV</v>
          </cell>
          <cell r="E157">
            <v>60</v>
          </cell>
          <cell r="F157">
            <v>18</v>
          </cell>
          <cell r="G157" t="str">
            <v>M.</v>
          </cell>
        </row>
        <row r="158">
          <cell r="C158">
            <v>252</v>
          </cell>
          <cell r="D158" t="str">
            <v>-  2/C - 16 SQ.MM. 0.6/1KV.CV</v>
          </cell>
          <cell r="E158">
            <v>87</v>
          </cell>
          <cell r="F158">
            <v>20</v>
          </cell>
          <cell r="G158" t="str">
            <v>M.</v>
          </cell>
        </row>
        <row r="159">
          <cell r="C159">
            <v>253</v>
          </cell>
          <cell r="D159" t="str">
            <v>-  2/C - 25 SQ.MM. 0.6/1KV.CV</v>
          </cell>
          <cell r="E159">
            <v>128</v>
          </cell>
          <cell r="F159">
            <v>25</v>
          </cell>
          <cell r="G159" t="str">
            <v>M.</v>
          </cell>
        </row>
        <row r="160">
          <cell r="C160">
            <v>254</v>
          </cell>
          <cell r="D160" t="str">
            <v>-  2/C - 35 SQ.MM. 0.6/1KV.CV</v>
          </cell>
          <cell r="E160">
            <v>166</v>
          </cell>
          <cell r="F160">
            <v>30</v>
          </cell>
          <cell r="G160" t="str">
            <v>M.</v>
          </cell>
        </row>
        <row r="161">
          <cell r="C161">
            <v>255</v>
          </cell>
          <cell r="D161" t="str">
            <v>-  2/C - 50 SQ.MM. 0.6/1KV.CV</v>
          </cell>
          <cell r="E161">
            <v>228</v>
          </cell>
          <cell r="F161">
            <v>35</v>
          </cell>
          <cell r="G161" t="str">
            <v>M.</v>
          </cell>
        </row>
        <row r="162">
          <cell r="C162">
            <v>256</v>
          </cell>
          <cell r="D162" t="str">
            <v>-  2/C - 70 SQ.MM. 0.6/1KV.CV</v>
          </cell>
          <cell r="E162">
            <v>315</v>
          </cell>
          <cell r="F162">
            <v>40</v>
          </cell>
          <cell r="G162" t="str">
            <v>M.</v>
          </cell>
        </row>
        <row r="163">
          <cell r="C163">
            <v>257</v>
          </cell>
          <cell r="D163" t="str">
            <v>-  2/C - 95 SQ.MM. 0.6/1KV.CV</v>
          </cell>
          <cell r="E163">
            <v>422</v>
          </cell>
          <cell r="F163">
            <v>60</v>
          </cell>
          <cell r="G163" t="str">
            <v>M.</v>
          </cell>
        </row>
        <row r="164">
          <cell r="C164">
            <v>258</v>
          </cell>
          <cell r="D164" t="str">
            <v>-  2/C - 120 SQ.MM. 0.6/1KV.CV</v>
          </cell>
          <cell r="E164">
            <v>530</v>
          </cell>
          <cell r="F164">
            <v>70</v>
          </cell>
          <cell r="G164" t="str">
            <v>M.</v>
          </cell>
        </row>
        <row r="165">
          <cell r="C165">
            <v>259</v>
          </cell>
          <cell r="D165" t="str">
            <v>-  2/C - 150 SQ.MM. 0.6/1KV.CV</v>
          </cell>
          <cell r="E165">
            <v>648</v>
          </cell>
          <cell r="F165">
            <v>75</v>
          </cell>
          <cell r="G165" t="str">
            <v>M.</v>
          </cell>
        </row>
        <row r="166">
          <cell r="C166">
            <v>260</v>
          </cell>
          <cell r="D166" t="str">
            <v>-  2/C - 185 SQ.MM. 0.6/1KV.CV</v>
          </cell>
          <cell r="E166">
            <v>806</v>
          </cell>
          <cell r="F166">
            <v>80</v>
          </cell>
          <cell r="G166" t="str">
            <v>M.</v>
          </cell>
        </row>
        <row r="167">
          <cell r="C167">
            <v>261</v>
          </cell>
          <cell r="D167" t="str">
            <v>-  2/C - 240 SQ.MM. 0.6/1KV.CV</v>
          </cell>
          <cell r="E167">
            <v>1051</v>
          </cell>
          <cell r="F167">
            <v>85</v>
          </cell>
          <cell r="G167" t="str">
            <v>M.</v>
          </cell>
        </row>
        <row r="168">
          <cell r="C168">
            <v>262</v>
          </cell>
          <cell r="D168" t="str">
            <v>-  2/C - 300 SQ.MM. 0.6/1KV.CV</v>
          </cell>
          <cell r="E168">
            <v>1302</v>
          </cell>
          <cell r="F168">
            <v>90</v>
          </cell>
          <cell r="G168" t="str">
            <v>M.</v>
          </cell>
        </row>
        <row r="169">
          <cell r="C169">
            <v>263</v>
          </cell>
          <cell r="D169" t="str">
            <v>-  2/C - 400 SQ.MM. 0.6/1KV.CV</v>
          </cell>
          <cell r="E169">
            <v>1642</v>
          </cell>
          <cell r="F169">
            <v>100</v>
          </cell>
          <cell r="G169" t="str">
            <v>M.</v>
          </cell>
        </row>
        <row r="170">
          <cell r="C170">
            <v>264</v>
          </cell>
          <cell r="D170" t="str">
            <v>-  4/C - 2.5 SQ.MM. 0.6/1KV.CV</v>
          </cell>
          <cell r="E170">
            <v>45</v>
          </cell>
          <cell r="F170">
            <v>25</v>
          </cell>
          <cell r="G170" t="str">
            <v>M.</v>
          </cell>
        </row>
        <row r="171">
          <cell r="C171">
            <v>265</v>
          </cell>
          <cell r="D171" t="str">
            <v>-  4/C - 4 SQ.MM. 0.6/1KV.CV</v>
          </cell>
          <cell r="E171">
            <v>59</v>
          </cell>
          <cell r="F171">
            <v>30</v>
          </cell>
          <cell r="G171" t="str">
            <v>M.</v>
          </cell>
        </row>
        <row r="172">
          <cell r="C172">
            <v>266</v>
          </cell>
          <cell r="D172" t="str">
            <v>-  4/C - 6 SQ.MM. 0.6/1KV.CV</v>
          </cell>
          <cell r="E172">
            <v>78</v>
          </cell>
          <cell r="F172">
            <v>35</v>
          </cell>
          <cell r="G172" t="str">
            <v>M.</v>
          </cell>
        </row>
        <row r="173">
          <cell r="C173">
            <v>267</v>
          </cell>
          <cell r="D173" t="str">
            <v>-  4/C - 10 SQ.MM. 0.6/1KV.CV</v>
          </cell>
          <cell r="E173">
            <v>106</v>
          </cell>
          <cell r="F173">
            <v>40</v>
          </cell>
          <cell r="G173" t="str">
            <v>M.</v>
          </cell>
        </row>
        <row r="174">
          <cell r="C174">
            <v>268</v>
          </cell>
          <cell r="D174" t="str">
            <v>-  4/C - 16 SQ.MM. 0.6/1KV.CV</v>
          </cell>
          <cell r="E174">
            <v>155</v>
          </cell>
          <cell r="F174">
            <v>60</v>
          </cell>
          <cell r="G174" t="str">
            <v>M.</v>
          </cell>
        </row>
        <row r="175">
          <cell r="C175">
            <v>269</v>
          </cell>
          <cell r="D175" t="str">
            <v>-  4/C - 25 SQ.MM. 0.6/1KV.CV</v>
          </cell>
          <cell r="E175">
            <v>131</v>
          </cell>
          <cell r="F175">
            <v>70</v>
          </cell>
          <cell r="G175" t="str">
            <v>M.</v>
          </cell>
        </row>
        <row r="176">
          <cell r="C176">
            <v>270</v>
          </cell>
          <cell r="D176" t="str">
            <v>-  4/C - 35 SQ.MM. 0.6/1KV.CV</v>
          </cell>
          <cell r="E176">
            <v>304</v>
          </cell>
          <cell r="F176">
            <v>75</v>
          </cell>
          <cell r="G176" t="str">
            <v>M.</v>
          </cell>
        </row>
        <row r="177">
          <cell r="C177">
            <v>271</v>
          </cell>
          <cell r="D177" t="str">
            <v>-  4/C - 50 SQ.MM. 0.6/1KV.CV</v>
          </cell>
          <cell r="E177">
            <v>420</v>
          </cell>
          <cell r="F177">
            <v>80</v>
          </cell>
          <cell r="G177" t="str">
            <v>M.</v>
          </cell>
        </row>
        <row r="178">
          <cell r="C178">
            <v>272</v>
          </cell>
          <cell r="D178" t="str">
            <v>-  4/C - 70 SQ.MM. 0.6/1KV.CV</v>
          </cell>
          <cell r="E178">
            <v>586</v>
          </cell>
          <cell r="F178">
            <v>85</v>
          </cell>
          <cell r="G178" t="str">
            <v>M.</v>
          </cell>
        </row>
        <row r="179">
          <cell r="C179">
            <v>273</v>
          </cell>
          <cell r="D179" t="str">
            <v>-  4/C - 95 SQ.MM. 0.6/1KV.CV</v>
          </cell>
          <cell r="E179">
            <v>791</v>
          </cell>
          <cell r="F179">
            <v>90</v>
          </cell>
          <cell r="G179" t="str">
            <v>M.</v>
          </cell>
        </row>
        <row r="180">
          <cell r="C180">
            <v>274</v>
          </cell>
          <cell r="D180" t="str">
            <v>-  4/C - 120 SQ.MM. 0.6/1KV.CV</v>
          </cell>
          <cell r="E180">
            <v>1000</v>
          </cell>
          <cell r="F180">
            <v>100</v>
          </cell>
          <cell r="G180" t="str">
            <v>M.</v>
          </cell>
        </row>
        <row r="181">
          <cell r="C181">
            <v>275</v>
          </cell>
          <cell r="D181" t="str">
            <v>-  4/C - 150 SQ.MM. 0.6/1KV.CV</v>
          </cell>
          <cell r="E181">
            <v>1220</v>
          </cell>
          <cell r="F181">
            <v>110</v>
          </cell>
          <cell r="G181" t="str">
            <v>M.</v>
          </cell>
        </row>
        <row r="182">
          <cell r="C182">
            <v>276</v>
          </cell>
          <cell r="D182" t="str">
            <v>-  4/C - 185 SQ.MM. 0.6/1KV.CV</v>
          </cell>
          <cell r="E182">
            <v>1524</v>
          </cell>
          <cell r="F182">
            <v>120</v>
          </cell>
          <cell r="G182" t="str">
            <v>M.</v>
          </cell>
        </row>
        <row r="183">
          <cell r="C183">
            <v>277</v>
          </cell>
          <cell r="D183" t="str">
            <v>-  4/C - 240 SQ.MM. 0.6/1KV.CV</v>
          </cell>
          <cell r="E183">
            <v>1992</v>
          </cell>
          <cell r="F183">
            <v>130</v>
          </cell>
          <cell r="G183" t="str">
            <v>M.</v>
          </cell>
        </row>
        <row r="184">
          <cell r="C184">
            <v>278</v>
          </cell>
          <cell r="D184" t="str">
            <v>-  4/C - 300 SQ.MM. 0.6/1KV.CV</v>
          </cell>
          <cell r="E184">
            <v>2482</v>
          </cell>
          <cell r="F184">
            <v>140</v>
          </cell>
          <cell r="G184" t="str">
            <v>M.</v>
          </cell>
        </row>
        <row r="185">
          <cell r="C185">
            <v>279</v>
          </cell>
          <cell r="D185" t="str">
            <v>-  4/C - 400 SQ.MM. 0.6/1KV.CV</v>
          </cell>
          <cell r="E185">
            <v>3135</v>
          </cell>
          <cell r="F185">
            <v>160</v>
          </cell>
          <cell r="G185" t="str">
            <v>M.</v>
          </cell>
        </row>
        <row r="186">
          <cell r="C186">
            <v>337</v>
          </cell>
          <cell r="D186" t="str">
            <v>SPACE</v>
          </cell>
          <cell r="E186">
            <v>186</v>
          </cell>
          <cell r="F186">
            <v>10</v>
          </cell>
          <cell r="G186" t="str">
            <v>M.</v>
          </cell>
        </row>
        <row r="187">
          <cell r="C187">
            <v>281</v>
          </cell>
          <cell r="D187" t="str">
            <v>-  6 SQ.MM. THWA</v>
          </cell>
          <cell r="E187">
            <v>0</v>
          </cell>
          <cell r="F187">
            <v>0</v>
          </cell>
          <cell r="G187" t="str">
            <v>M.</v>
          </cell>
        </row>
        <row r="188">
          <cell r="C188">
            <v>282</v>
          </cell>
          <cell r="D188" t="str">
            <v>-  10 SQ.MM. THWA</v>
          </cell>
          <cell r="E188">
            <v>7</v>
          </cell>
          <cell r="F188">
            <v>2</v>
          </cell>
          <cell r="G188" t="str">
            <v>M.</v>
          </cell>
        </row>
        <row r="189">
          <cell r="C189">
            <v>283</v>
          </cell>
          <cell r="D189" t="str">
            <v>-  16 SQ.MM. THWA</v>
          </cell>
          <cell r="E189">
            <v>8</v>
          </cell>
          <cell r="F189">
            <v>3</v>
          </cell>
          <cell r="G189" t="str">
            <v>M.</v>
          </cell>
        </row>
        <row r="190">
          <cell r="C190">
            <v>284</v>
          </cell>
          <cell r="D190" t="str">
            <v>-  25 SQ.MM. THWA</v>
          </cell>
          <cell r="E190">
            <v>12</v>
          </cell>
          <cell r="F190">
            <v>5</v>
          </cell>
          <cell r="G190" t="str">
            <v>M.</v>
          </cell>
        </row>
        <row r="191">
          <cell r="C191">
            <v>285</v>
          </cell>
          <cell r="D191" t="str">
            <v>-  35 SQ.MM. THWA</v>
          </cell>
          <cell r="E191">
            <v>15</v>
          </cell>
          <cell r="F191">
            <v>6</v>
          </cell>
          <cell r="G191" t="str">
            <v>M.</v>
          </cell>
        </row>
        <row r="192">
          <cell r="C192">
            <v>286</v>
          </cell>
          <cell r="D192" t="str">
            <v>-  50 SQ.MM. THWA</v>
          </cell>
          <cell r="E192">
            <v>21</v>
          </cell>
          <cell r="F192">
            <v>7</v>
          </cell>
          <cell r="G192" t="str">
            <v>M.</v>
          </cell>
        </row>
        <row r="193">
          <cell r="C193">
            <v>287</v>
          </cell>
          <cell r="D193" t="str">
            <v>-  70 SQ.MM. THWA</v>
          </cell>
          <cell r="E193">
            <v>29</v>
          </cell>
          <cell r="F193">
            <v>8</v>
          </cell>
          <cell r="G193" t="str">
            <v>M.</v>
          </cell>
        </row>
        <row r="194">
          <cell r="C194">
            <v>288</v>
          </cell>
          <cell r="D194" t="str">
            <v>-  90 SQ.MM. THWA</v>
          </cell>
          <cell r="E194">
            <v>39</v>
          </cell>
          <cell r="F194">
            <v>10</v>
          </cell>
          <cell r="G194" t="str">
            <v>M.</v>
          </cell>
        </row>
        <row r="195">
          <cell r="C195">
            <v>289</v>
          </cell>
          <cell r="D195" t="str">
            <v>-  120 SQ.MM. THWA</v>
          </cell>
          <cell r="E195">
            <v>47</v>
          </cell>
          <cell r="F195">
            <v>12</v>
          </cell>
          <cell r="G195" t="str">
            <v>M.</v>
          </cell>
        </row>
        <row r="196">
          <cell r="C196">
            <v>290</v>
          </cell>
          <cell r="D196" t="str">
            <v>-  150 SQ.MM. THWA</v>
          </cell>
          <cell r="E196">
            <v>59</v>
          </cell>
          <cell r="F196">
            <v>14</v>
          </cell>
          <cell r="G196" t="str">
            <v>M.</v>
          </cell>
        </row>
        <row r="197">
          <cell r="C197">
            <v>291</v>
          </cell>
          <cell r="D197" t="str">
            <v>-  185 SQ.MM. THWA</v>
          </cell>
          <cell r="E197">
            <v>72</v>
          </cell>
          <cell r="F197">
            <v>16</v>
          </cell>
          <cell r="G197" t="str">
            <v>M.</v>
          </cell>
        </row>
        <row r="198">
          <cell r="C198">
            <v>292</v>
          </cell>
          <cell r="D198" t="str">
            <v>-  240 SQ.MM. THWA</v>
          </cell>
          <cell r="E198">
            <v>96</v>
          </cell>
          <cell r="F198">
            <v>20</v>
          </cell>
          <cell r="G198" t="str">
            <v>M.</v>
          </cell>
        </row>
        <row r="199">
          <cell r="C199">
            <v>293</v>
          </cell>
          <cell r="D199" t="str">
            <v>-  300 SQ.MM. THWA</v>
          </cell>
          <cell r="E199">
            <v>125</v>
          </cell>
          <cell r="F199">
            <v>25</v>
          </cell>
          <cell r="G199" t="str">
            <v>M.</v>
          </cell>
        </row>
        <row r="200">
          <cell r="C200">
            <v>294</v>
          </cell>
          <cell r="D200" t="str">
            <v>-  6 SQ.MM. BARE COPPER</v>
          </cell>
          <cell r="E200">
            <v>12</v>
          </cell>
          <cell r="F200">
            <v>2</v>
          </cell>
          <cell r="G200" t="str">
            <v>M.</v>
          </cell>
        </row>
        <row r="201">
          <cell r="C201">
            <v>295</v>
          </cell>
          <cell r="D201" t="str">
            <v>-  10 SQ.MM. BARE COPPER</v>
          </cell>
          <cell r="E201">
            <v>15</v>
          </cell>
          <cell r="F201">
            <v>3</v>
          </cell>
          <cell r="G201" t="str">
            <v>M.</v>
          </cell>
        </row>
        <row r="202">
          <cell r="C202">
            <v>296</v>
          </cell>
          <cell r="D202" t="str">
            <v>-  16 SQ.MM. BARE COPPER</v>
          </cell>
          <cell r="E202">
            <v>28</v>
          </cell>
          <cell r="F202">
            <v>5</v>
          </cell>
          <cell r="G202" t="str">
            <v>M.</v>
          </cell>
        </row>
        <row r="203">
          <cell r="C203">
            <v>297</v>
          </cell>
          <cell r="D203" t="str">
            <v>-  25 SQ.MM. BARE COPPER</v>
          </cell>
          <cell r="E203">
            <v>38</v>
          </cell>
          <cell r="F203">
            <v>6</v>
          </cell>
          <cell r="G203" t="str">
            <v>M.</v>
          </cell>
        </row>
        <row r="204">
          <cell r="C204">
            <v>298</v>
          </cell>
          <cell r="D204" t="str">
            <v>-  35 SQ.MM. BARE COPPER</v>
          </cell>
          <cell r="E204">
            <v>55</v>
          </cell>
          <cell r="F204">
            <v>8</v>
          </cell>
          <cell r="G204" t="str">
            <v>M.</v>
          </cell>
        </row>
        <row r="205">
          <cell r="C205">
            <v>299</v>
          </cell>
          <cell r="D205" t="str">
            <v>-  50 SQ.MM. BARE COPPER</v>
          </cell>
          <cell r="E205">
            <v>74</v>
          </cell>
          <cell r="F205">
            <v>11</v>
          </cell>
          <cell r="G205" t="str">
            <v>M.</v>
          </cell>
        </row>
        <row r="206">
          <cell r="C206">
            <v>300</v>
          </cell>
          <cell r="D206" t="str">
            <v>-  70 SQ.MM. BARE COPPER</v>
          </cell>
          <cell r="E206">
            <v>98</v>
          </cell>
          <cell r="F206">
            <v>16</v>
          </cell>
          <cell r="G206" t="str">
            <v>M.</v>
          </cell>
        </row>
        <row r="207">
          <cell r="C207">
            <v>301</v>
          </cell>
          <cell r="D207" t="str">
            <v>-  95 SQ.MM. BARE COPPER</v>
          </cell>
          <cell r="E207">
            <v>140</v>
          </cell>
          <cell r="F207">
            <v>20</v>
          </cell>
          <cell r="G207" t="str">
            <v>M.</v>
          </cell>
        </row>
        <row r="208">
          <cell r="C208">
            <v>302</v>
          </cell>
          <cell r="D208" t="str">
            <v>-  120 SQ.MM. BARE COPPER</v>
          </cell>
          <cell r="E208">
            <v>180</v>
          </cell>
          <cell r="F208">
            <v>25</v>
          </cell>
          <cell r="G208" t="str">
            <v>M.</v>
          </cell>
        </row>
        <row r="209">
          <cell r="C209">
            <v>303</v>
          </cell>
          <cell r="D209" t="str">
            <v>-  150 SQ.MM. BARE COPPER</v>
          </cell>
          <cell r="E209">
            <v>210</v>
          </cell>
          <cell r="F209">
            <v>30</v>
          </cell>
          <cell r="G209" t="str">
            <v>M.</v>
          </cell>
        </row>
        <row r="210">
          <cell r="C210">
            <v>304</v>
          </cell>
          <cell r="D210" t="str">
            <v>-  185 SQ.MM. BARE COPPER</v>
          </cell>
          <cell r="E210">
            <v>280</v>
          </cell>
          <cell r="F210">
            <v>35</v>
          </cell>
          <cell r="G210" t="str">
            <v>M.</v>
          </cell>
        </row>
        <row r="211">
          <cell r="C211">
            <v>3</v>
          </cell>
          <cell r="D211" t="str">
            <v>HIGH VOLTAGE CABLE</v>
          </cell>
          <cell r="E211">
            <v>771</v>
          </cell>
          <cell r="F211">
            <v>58</v>
          </cell>
          <cell r="G211" t="str">
            <v>M.</v>
          </cell>
        </row>
        <row r="212">
          <cell r="C212">
            <v>311</v>
          </cell>
          <cell r="D212" t="str">
            <v>-  1/C - 35 SQ.MM. 12/20(24) KVCV</v>
          </cell>
          <cell r="E212">
            <v>251</v>
          </cell>
          <cell r="F212">
            <v>35</v>
          </cell>
          <cell r="G212" t="str">
            <v>M.</v>
          </cell>
        </row>
        <row r="213">
          <cell r="C213">
            <v>312</v>
          </cell>
          <cell r="D213" t="str">
            <v>-  1/C - 50 SQ.MM. 12/20(24) KVCV</v>
          </cell>
          <cell r="E213">
            <v>271</v>
          </cell>
          <cell r="F213">
            <v>40</v>
          </cell>
          <cell r="G213" t="str">
            <v>M.</v>
          </cell>
        </row>
        <row r="214">
          <cell r="C214">
            <v>313</v>
          </cell>
          <cell r="D214" t="str">
            <v>-  1/C - 70 SQ.MM. 12/20(24) KVCV</v>
          </cell>
          <cell r="E214">
            <v>317</v>
          </cell>
          <cell r="F214">
            <v>60</v>
          </cell>
          <cell r="G214" t="str">
            <v>M.</v>
          </cell>
        </row>
        <row r="215">
          <cell r="C215">
            <v>314</v>
          </cell>
          <cell r="D215" t="str">
            <v>-  1/C - 95 SQ.MM. 12/20(24) KVCV</v>
          </cell>
          <cell r="E215">
            <v>383</v>
          </cell>
          <cell r="F215">
            <v>70</v>
          </cell>
          <cell r="G215" t="str">
            <v>M.</v>
          </cell>
        </row>
        <row r="216">
          <cell r="C216">
            <v>315</v>
          </cell>
          <cell r="D216" t="str">
            <v>-  1/C - 120 SQ.MM. 12/20(24) KVCV</v>
          </cell>
          <cell r="E216">
            <v>473</v>
          </cell>
          <cell r="F216">
            <v>75</v>
          </cell>
          <cell r="G216" t="str">
            <v>M.</v>
          </cell>
        </row>
        <row r="217">
          <cell r="C217">
            <v>316</v>
          </cell>
          <cell r="D217" t="str">
            <v>-  1/C - 150 SQ.MM. 12/20(24) KVCV</v>
          </cell>
          <cell r="E217">
            <v>542</v>
          </cell>
          <cell r="F217">
            <v>80</v>
          </cell>
          <cell r="G217" t="str">
            <v>M.</v>
          </cell>
        </row>
        <row r="218">
          <cell r="C218">
            <v>317</v>
          </cell>
          <cell r="D218" t="str">
            <v>-  1/C - 185 SQ.MM. 12/20(24) KVCV</v>
          </cell>
          <cell r="E218">
            <v>632</v>
          </cell>
          <cell r="F218">
            <v>85</v>
          </cell>
          <cell r="G218" t="str">
            <v>M.</v>
          </cell>
        </row>
        <row r="219">
          <cell r="C219">
            <v>318</v>
          </cell>
          <cell r="D219" t="str">
            <v>-  1/C - 240 SQ.MM. 12/20(24) KVCV</v>
          </cell>
          <cell r="E219">
            <v>776</v>
          </cell>
          <cell r="F219">
            <v>90</v>
          </cell>
          <cell r="G219" t="str">
            <v>M.</v>
          </cell>
        </row>
        <row r="220">
          <cell r="C220">
            <v>319</v>
          </cell>
          <cell r="D220" t="str">
            <v>-  1/C - 300 SQ.MM. 12/20(24) KVCV</v>
          </cell>
          <cell r="E220">
            <v>930</v>
          </cell>
          <cell r="F220">
            <v>100</v>
          </cell>
          <cell r="G220" t="str">
            <v>M.</v>
          </cell>
        </row>
        <row r="221">
          <cell r="C221">
            <v>320</v>
          </cell>
          <cell r="D221" t="str">
            <v>-  1/C - 400 SQ.MM. 12/20(24) KVCV</v>
          </cell>
          <cell r="E221">
            <v>1120</v>
          </cell>
          <cell r="F221">
            <v>110</v>
          </cell>
          <cell r="G221" t="str">
            <v>M.</v>
          </cell>
        </row>
        <row r="222">
          <cell r="C222">
            <v>321</v>
          </cell>
          <cell r="D222" t="str">
            <v>-  3/C - 35 SQ.MM. 12/20(24) KVCV</v>
          </cell>
          <cell r="E222">
            <v>829</v>
          </cell>
          <cell r="F222">
            <v>85</v>
          </cell>
          <cell r="G222" t="str">
            <v>M.</v>
          </cell>
        </row>
        <row r="223">
          <cell r="C223">
            <v>322</v>
          </cell>
          <cell r="D223" t="str">
            <v>-  3/C - 50 SQ.MM. 12/20(24) KVCV</v>
          </cell>
          <cell r="E223">
            <v>897</v>
          </cell>
          <cell r="F223">
            <v>90</v>
          </cell>
          <cell r="G223" t="str">
            <v>M.</v>
          </cell>
        </row>
        <row r="224">
          <cell r="C224">
            <v>323</v>
          </cell>
          <cell r="D224" t="str">
            <v>-  3/C - 70 SQ.MM. 12/20(24) KVCV</v>
          </cell>
          <cell r="E224">
            <v>1050</v>
          </cell>
          <cell r="F224">
            <v>100</v>
          </cell>
          <cell r="G224" t="str">
            <v>M.</v>
          </cell>
        </row>
        <row r="225">
          <cell r="C225">
            <v>324</v>
          </cell>
          <cell r="D225" t="str">
            <v>-  3/C - 95 SQ.MM. 12/20(24) KVCV</v>
          </cell>
          <cell r="E225">
            <v>1258</v>
          </cell>
          <cell r="F225">
            <v>110</v>
          </cell>
          <cell r="G225" t="str">
            <v>M.</v>
          </cell>
        </row>
        <row r="226">
          <cell r="C226">
            <v>325</v>
          </cell>
          <cell r="D226" t="str">
            <v>-  3/C - 120 SQ.MM. 12/20(24) KVCV</v>
          </cell>
          <cell r="E226">
            <v>1613</v>
          </cell>
          <cell r="F226">
            <v>120</v>
          </cell>
          <cell r="G226" t="str">
            <v>M.</v>
          </cell>
        </row>
        <row r="227">
          <cell r="C227">
            <v>326</v>
          </cell>
          <cell r="D227" t="str">
            <v>-  3/C - 150 SQ.MM. 12/20(24) KVCV</v>
          </cell>
          <cell r="E227">
            <v>1832</v>
          </cell>
          <cell r="F227">
            <v>130</v>
          </cell>
          <cell r="G227" t="str">
            <v>M.</v>
          </cell>
        </row>
        <row r="228">
          <cell r="C228">
            <v>327</v>
          </cell>
          <cell r="D228" t="str">
            <v>-  3/C - 185 SQ.MM. 12/20(24) KVCV</v>
          </cell>
          <cell r="E228">
            <v>2131</v>
          </cell>
          <cell r="F228">
            <v>140</v>
          </cell>
          <cell r="G228" t="str">
            <v>M.</v>
          </cell>
        </row>
        <row r="229">
          <cell r="C229">
            <v>328</v>
          </cell>
          <cell r="D229" t="str">
            <v>-  3/C - 240 SQ.MM. 12/20(24) KVCV</v>
          </cell>
          <cell r="E229">
            <v>2566</v>
          </cell>
          <cell r="F229">
            <v>160</v>
          </cell>
          <cell r="G229" t="str">
            <v>M.</v>
          </cell>
        </row>
        <row r="230">
          <cell r="C230">
            <v>329</v>
          </cell>
          <cell r="D230" t="str">
            <v>-  3/C - 300 SQ.MM. 12/20(24) KVCV</v>
          </cell>
          <cell r="E230">
            <v>3084</v>
          </cell>
          <cell r="F230">
            <v>180</v>
          </cell>
          <cell r="G230" t="str">
            <v>M.</v>
          </cell>
        </row>
        <row r="231">
          <cell r="C231">
            <v>330</v>
          </cell>
          <cell r="D231" t="str">
            <v>-  3/C - 400 SQ.MM. 12/20(24) KVCV</v>
          </cell>
          <cell r="E231">
            <v>3712</v>
          </cell>
          <cell r="F231">
            <v>200</v>
          </cell>
          <cell r="G231" t="str">
            <v>M.</v>
          </cell>
        </row>
        <row r="232">
          <cell r="C232">
            <v>331</v>
          </cell>
          <cell r="D232" t="str">
            <v>-  1/C - 35 SQ.MM. 18/30(36) KVCV</v>
          </cell>
          <cell r="E232">
            <v>260</v>
          </cell>
          <cell r="F232">
            <v>60</v>
          </cell>
          <cell r="G232" t="str">
            <v>M.</v>
          </cell>
        </row>
        <row r="233">
          <cell r="C233">
            <v>332</v>
          </cell>
          <cell r="D233" t="str">
            <v>-  1/C - 50 SQ.MM. 18/30(36) KVCV</v>
          </cell>
          <cell r="E233">
            <v>281</v>
          </cell>
          <cell r="F233">
            <v>70</v>
          </cell>
          <cell r="G233" t="str">
            <v>M.</v>
          </cell>
        </row>
        <row r="234">
          <cell r="C234">
            <v>333</v>
          </cell>
          <cell r="D234" t="str">
            <v>-  1/C - 70 SQ.MM. 18/30(36) KVCV</v>
          </cell>
          <cell r="E234">
            <v>325</v>
          </cell>
          <cell r="F234">
            <v>75</v>
          </cell>
          <cell r="G234" t="str">
            <v>M.</v>
          </cell>
        </row>
        <row r="235">
          <cell r="C235">
            <v>334</v>
          </cell>
          <cell r="D235" t="str">
            <v>-  1/C - 95 SQ.MM. 18/30(36) KVCV</v>
          </cell>
          <cell r="E235">
            <v>396</v>
          </cell>
          <cell r="F235">
            <v>80</v>
          </cell>
          <cell r="G235" t="str">
            <v>M.</v>
          </cell>
        </row>
        <row r="236">
          <cell r="C236">
            <v>335</v>
          </cell>
          <cell r="D236" t="str">
            <v>-  1/C - 120 SQ.MM. 18/30(36) KVCV</v>
          </cell>
          <cell r="E236">
            <v>490</v>
          </cell>
          <cell r="F236">
            <v>85</v>
          </cell>
          <cell r="G236" t="str">
            <v>M.</v>
          </cell>
        </row>
        <row r="237">
          <cell r="C237">
            <v>336</v>
          </cell>
          <cell r="D237" t="str">
            <v>-  1/C - 150 SQ.MM. 18/30(36) KVCV</v>
          </cell>
          <cell r="E237">
            <v>560</v>
          </cell>
          <cell r="F237">
            <v>90</v>
          </cell>
          <cell r="G237" t="str">
            <v>M.</v>
          </cell>
        </row>
        <row r="238">
          <cell r="C238">
            <v>337</v>
          </cell>
          <cell r="D238" t="str">
            <v>-  1/C - 185 SQ.MM. 18/30(36) KVCV</v>
          </cell>
          <cell r="E238">
            <v>654</v>
          </cell>
          <cell r="F238">
            <v>100</v>
          </cell>
          <cell r="G238" t="str">
            <v>M.</v>
          </cell>
        </row>
        <row r="239">
          <cell r="C239">
            <v>338</v>
          </cell>
          <cell r="D239" t="str">
            <v>-  1/C - 240 SQ.MM. 18/30(36) KVCV</v>
          </cell>
          <cell r="E239">
            <v>802</v>
          </cell>
          <cell r="F239">
            <v>110</v>
          </cell>
          <cell r="G239" t="str">
            <v>M.</v>
          </cell>
        </row>
        <row r="240">
          <cell r="C240">
            <v>339</v>
          </cell>
          <cell r="D240" t="str">
            <v>-  1/C - 300 SQ.MM. 18/30(36) KVCV</v>
          </cell>
          <cell r="E240">
            <v>962</v>
          </cell>
          <cell r="F240">
            <v>130</v>
          </cell>
          <cell r="G240" t="str">
            <v>M.</v>
          </cell>
        </row>
        <row r="241">
          <cell r="C241">
            <v>340</v>
          </cell>
          <cell r="D241" t="str">
            <v>-  1/C - 400 SQ.MM. 18/30(36) KVCV</v>
          </cell>
          <cell r="E241">
            <v>1158</v>
          </cell>
          <cell r="F241">
            <v>150</v>
          </cell>
          <cell r="G241" t="str">
            <v>M.</v>
          </cell>
        </row>
        <row r="242">
          <cell r="C242">
            <v>341</v>
          </cell>
          <cell r="D242" t="str">
            <v>-  3/C - 50 SQ.MM. 18/30(36) KVCV</v>
          </cell>
          <cell r="E242">
            <v>930</v>
          </cell>
          <cell r="F242">
            <v>100</v>
          </cell>
          <cell r="G242" t="str">
            <v>M.</v>
          </cell>
        </row>
        <row r="243">
          <cell r="C243">
            <v>342</v>
          </cell>
          <cell r="D243" t="str">
            <v>-  3/C - 70 SQ.MM. 18/30(36) KVCV</v>
          </cell>
          <cell r="E243">
            <v>1088</v>
          </cell>
          <cell r="F243">
            <v>110</v>
          </cell>
          <cell r="G243" t="str">
            <v>M.</v>
          </cell>
        </row>
        <row r="244">
          <cell r="C244">
            <v>343</v>
          </cell>
          <cell r="D244" t="str">
            <v>-  3/C - 95 SQ.MM. 18/30(36) KVCV</v>
          </cell>
          <cell r="E244">
            <v>1303</v>
          </cell>
          <cell r="F244">
            <v>130</v>
          </cell>
          <cell r="G244" t="str">
            <v>M.</v>
          </cell>
        </row>
        <row r="245">
          <cell r="C245">
            <v>344</v>
          </cell>
          <cell r="D245" t="str">
            <v>-  3/C - 120 SQ.MM. 18/30(36) KVCV</v>
          </cell>
          <cell r="E245">
            <v>1670</v>
          </cell>
          <cell r="F245">
            <v>150</v>
          </cell>
          <cell r="G245" t="str">
            <v>M.</v>
          </cell>
        </row>
        <row r="246">
          <cell r="C246">
            <v>345</v>
          </cell>
          <cell r="D246" t="str">
            <v>-  3/C - 150 SQ.MM. 18/30(36) KVCV</v>
          </cell>
          <cell r="E246">
            <v>1897</v>
          </cell>
          <cell r="F246">
            <v>170</v>
          </cell>
          <cell r="G246" t="str">
            <v>M.</v>
          </cell>
        </row>
        <row r="247">
          <cell r="C247">
            <v>346</v>
          </cell>
          <cell r="D247" t="str">
            <v>-  3/C - 185 SQ.MM. 18/30(36) KVCV</v>
          </cell>
          <cell r="E247">
            <v>2206</v>
          </cell>
          <cell r="F247">
            <v>180</v>
          </cell>
          <cell r="G247" t="str">
            <v>M.</v>
          </cell>
        </row>
        <row r="248">
          <cell r="C248">
            <v>347</v>
          </cell>
          <cell r="D248" t="str">
            <v>-  3/C - 240 SQ.MM. 18/30(36) KVCV</v>
          </cell>
          <cell r="E248">
            <v>2660</v>
          </cell>
          <cell r="F248">
            <v>200</v>
          </cell>
          <cell r="G248" t="str">
            <v>M.</v>
          </cell>
        </row>
        <row r="249">
          <cell r="C249">
            <v>348</v>
          </cell>
          <cell r="D249" t="str">
            <v>-  3/C - 300 SQ.MM. 18/30(36) KVCV</v>
          </cell>
          <cell r="E249">
            <v>3166</v>
          </cell>
          <cell r="F249">
            <v>220</v>
          </cell>
          <cell r="G249" t="str">
            <v>M.</v>
          </cell>
        </row>
        <row r="250">
          <cell r="C250">
            <v>349</v>
          </cell>
          <cell r="D250" t="str">
            <v>-  3/C - 400 SQ.MM. 18/30(36) KVCV</v>
          </cell>
          <cell r="E250">
            <v>3709</v>
          </cell>
          <cell r="F250">
            <v>240</v>
          </cell>
          <cell r="G250" t="str">
            <v>M.</v>
          </cell>
        </row>
        <row r="251">
          <cell r="C251">
            <v>501</v>
          </cell>
          <cell r="D251" t="str">
            <v>SPACE</v>
          </cell>
          <cell r="E251">
            <v>23000</v>
          </cell>
          <cell r="F251">
            <v>2000</v>
          </cell>
          <cell r="G251" t="str">
            <v>SET</v>
          </cell>
        </row>
        <row r="252">
          <cell r="C252">
            <v>351</v>
          </cell>
          <cell r="D252" t="str">
            <v>-  1/C - 25 SQ.MM. 25 KV.XLPE</v>
          </cell>
          <cell r="E252">
            <v>0</v>
          </cell>
          <cell r="F252">
            <v>0</v>
          </cell>
          <cell r="G252" t="str">
            <v>M.</v>
          </cell>
        </row>
        <row r="253">
          <cell r="C253">
            <v>352</v>
          </cell>
          <cell r="D253" t="str">
            <v>-  1/C - 35 SQ.MM. 25 KV.XLPE</v>
          </cell>
          <cell r="E253">
            <v>305</v>
          </cell>
          <cell r="F253">
            <v>35</v>
          </cell>
          <cell r="G253" t="str">
            <v>M.</v>
          </cell>
        </row>
        <row r="254">
          <cell r="C254">
            <v>353</v>
          </cell>
          <cell r="D254" t="str">
            <v>-  1/C - 50 SQ.MM. 25 KV.XLPE</v>
          </cell>
          <cell r="E254">
            <v>345</v>
          </cell>
          <cell r="F254">
            <v>40</v>
          </cell>
          <cell r="G254" t="str">
            <v>M.</v>
          </cell>
        </row>
        <row r="255">
          <cell r="C255">
            <v>354</v>
          </cell>
          <cell r="D255" t="str">
            <v>-  1/C - 70 SQ.MM. 25 KV.XLPE</v>
          </cell>
          <cell r="E255">
            <v>415</v>
          </cell>
          <cell r="F255">
            <v>60</v>
          </cell>
          <cell r="G255" t="str">
            <v>M.</v>
          </cell>
        </row>
        <row r="256">
          <cell r="C256">
            <v>355</v>
          </cell>
          <cell r="D256" t="str">
            <v>-  1/C - 95 SQ.MM. 25 KV.XLPE</v>
          </cell>
          <cell r="E256">
            <v>515</v>
          </cell>
          <cell r="F256">
            <v>70</v>
          </cell>
          <cell r="G256" t="str">
            <v>M.</v>
          </cell>
        </row>
        <row r="257">
          <cell r="C257">
            <v>356</v>
          </cell>
          <cell r="D257" t="str">
            <v>-  1/C - 120 SQ.MM. 25 KV.XLPE</v>
          </cell>
          <cell r="E257">
            <v>605</v>
          </cell>
          <cell r="F257">
            <v>75</v>
          </cell>
          <cell r="G257" t="str">
            <v>M.</v>
          </cell>
        </row>
        <row r="258">
          <cell r="C258">
            <v>357</v>
          </cell>
          <cell r="D258" t="str">
            <v>-  1/C - 150 SQ.MM. 25 KV.XLPE</v>
          </cell>
          <cell r="E258">
            <v>705</v>
          </cell>
          <cell r="F258">
            <v>80</v>
          </cell>
          <cell r="G258" t="str">
            <v>M.</v>
          </cell>
        </row>
        <row r="259">
          <cell r="C259">
            <v>358</v>
          </cell>
          <cell r="D259" t="str">
            <v>-  1/C - 185 SQ.MM. 25 KV.XLPE</v>
          </cell>
          <cell r="E259">
            <v>835</v>
          </cell>
          <cell r="F259">
            <v>85</v>
          </cell>
          <cell r="G259" t="str">
            <v>M.</v>
          </cell>
        </row>
        <row r="260">
          <cell r="C260">
            <v>359</v>
          </cell>
          <cell r="D260" t="str">
            <v>-  1/C - 240 SQ.MM. 25 KV.XLPE</v>
          </cell>
          <cell r="E260">
            <v>995</v>
          </cell>
          <cell r="F260">
            <v>90</v>
          </cell>
          <cell r="G260" t="str">
            <v>M.</v>
          </cell>
        </row>
        <row r="261">
          <cell r="C261">
            <v>360</v>
          </cell>
          <cell r="D261" t="str">
            <v>-  1/C - 35 SQ.MM. 35 KV.XLPE</v>
          </cell>
          <cell r="E261">
            <v>0</v>
          </cell>
          <cell r="F261">
            <v>60</v>
          </cell>
          <cell r="G261" t="str">
            <v>M.</v>
          </cell>
        </row>
        <row r="262">
          <cell r="C262">
            <v>361</v>
          </cell>
          <cell r="D262" t="str">
            <v>-  1/C - 50 SQ.MM. 35 KV.XLPE</v>
          </cell>
          <cell r="E262">
            <v>0</v>
          </cell>
          <cell r="F262">
            <v>70</v>
          </cell>
          <cell r="G262" t="str">
            <v>M.</v>
          </cell>
        </row>
        <row r="263">
          <cell r="C263">
            <v>362</v>
          </cell>
          <cell r="D263" t="str">
            <v>-  1/C - 70 SQ.MM. 35 KV.XLPE</v>
          </cell>
          <cell r="E263">
            <v>0</v>
          </cell>
          <cell r="F263">
            <v>75</v>
          </cell>
          <cell r="G263" t="str">
            <v>M.</v>
          </cell>
        </row>
        <row r="264">
          <cell r="C264">
            <v>363</v>
          </cell>
          <cell r="D264" t="str">
            <v>-  1/C - 95 SQ.MM. 35 KV.XLPE</v>
          </cell>
          <cell r="E264">
            <v>0</v>
          </cell>
          <cell r="F264">
            <v>80</v>
          </cell>
          <cell r="G264" t="str">
            <v>M.</v>
          </cell>
        </row>
        <row r="265">
          <cell r="C265">
            <v>364</v>
          </cell>
          <cell r="D265" t="str">
            <v>-  1/C - 120 SQ.MM. 35 KV.XLPE</v>
          </cell>
          <cell r="E265">
            <v>0</v>
          </cell>
          <cell r="F265">
            <v>85</v>
          </cell>
          <cell r="G265" t="str">
            <v>M.</v>
          </cell>
        </row>
        <row r="266">
          <cell r="C266">
            <v>365</v>
          </cell>
          <cell r="D266" t="str">
            <v>-  1/C - 150 SQ.MM. 35 KV.XLPE</v>
          </cell>
          <cell r="E266">
            <v>0</v>
          </cell>
          <cell r="F266">
            <v>90</v>
          </cell>
          <cell r="G266" t="str">
            <v>M.</v>
          </cell>
        </row>
        <row r="267">
          <cell r="C267">
            <v>366</v>
          </cell>
          <cell r="D267" t="str">
            <v>-  1/C - 185 SQ.MM. 35 KV.XLPE</v>
          </cell>
          <cell r="E267">
            <v>0</v>
          </cell>
          <cell r="F267">
            <v>100</v>
          </cell>
          <cell r="G267" t="str">
            <v>M.</v>
          </cell>
        </row>
        <row r="268">
          <cell r="C268">
            <v>367</v>
          </cell>
          <cell r="D268" t="str">
            <v>-  1/C - 240 SQ.MM. 35 KV.XLPE</v>
          </cell>
          <cell r="E268">
            <v>0</v>
          </cell>
          <cell r="F268">
            <v>110</v>
          </cell>
          <cell r="G268" t="str">
            <v>M.</v>
          </cell>
        </row>
        <row r="269">
          <cell r="D269" t="str">
            <v>SPACE</v>
          </cell>
        </row>
        <row r="270">
          <cell r="C270">
            <v>369</v>
          </cell>
          <cell r="D270" t="str">
            <v>-  1/C - 35 SQ.MM. 25 KV.PIC</v>
          </cell>
          <cell r="E270">
            <v>108</v>
          </cell>
          <cell r="F270">
            <v>20</v>
          </cell>
          <cell r="G270" t="str">
            <v>M.</v>
          </cell>
        </row>
        <row r="271">
          <cell r="C271">
            <v>370</v>
          </cell>
          <cell r="D271" t="str">
            <v>-  1/C - 50 SQ.MM. 25 KV.PIC</v>
          </cell>
          <cell r="E271">
            <v>128</v>
          </cell>
          <cell r="F271">
            <v>25</v>
          </cell>
          <cell r="G271" t="str">
            <v>M.</v>
          </cell>
        </row>
        <row r="272">
          <cell r="C272">
            <v>371</v>
          </cell>
          <cell r="D272" t="str">
            <v>-  1/C - 70 SQ.MM. 25 KV.PIC</v>
          </cell>
          <cell r="E272">
            <v>148</v>
          </cell>
          <cell r="F272">
            <v>30</v>
          </cell>
          <cell r="G272" t="str">
            <v>M.</v>
          </cell>
        </row>
        <row r="273">
          <cell r="C273">
            <v>372</v>
          </cell>
          <cell r="D273" t="str">
            <v>-  1/C - 95 SQ.MM. 25 KV.PIC</v>
          </cell>
          <cell r="E273">
            <v>178</v>
          </cell>
          <cell r="F273">
            <v>35</v>
          </cell>
          <cell r="G273" t="str">
            <v>M.</v>
          </cell>
        </row>
        <row r="274">
          <cell r="C274">
            <v>373</v>
          </cell>
          <cell r="D274" t="str">
            <v>-  1/C - 120 SQ.MM. 25 KV.PIC</v>
          </cell>
          <cell r="E274">
            <v>208</v>
          </cell>
          <cell r="F274">
            <v>40</v>
          </cell>
          <cell r="G274" t="str">
            <v>M.</v>
          </cell>
        </row>
        <row r="275">
          <cell r="C275">
            <v>374</v>
          </cell>
          <cell r="D275" t="str">
            <v>-  1/C - 150 SQ.MM. 25 KV.PIC</v>
          </cell>
          <cell r="E275">
            <v>248</v>
          </cell>
          <cell r="F275">
            <v>60</v>
          </cell>
          <cell r="G275" t="str">
            <v>M.</v>
          </cell>
        </row>
        <row r="276">
          <cell r="C276">
            <v>375</v>
          </cell>
          <cell r="D276" t="str">
            <v>-  1/C - 185 SQ.MM. 25 KV.PIC</v>
          </cell>
          <cell r="E276">
            <v>288</v>
          </cell>
          <cell r="F276">
            <v>70</v>
          </cell>
          <cell r="G276" t="str">
            <v>M.</v>
          </cell>
        </row>
        <row r="277">
          <cell r="C277">
            <v>376</v>
          </cell>
          <cell r="D277" t="str">
            <v>-  1/C - 240 SQ.MM. 25 KV.PIC</v>
          </cell>
          <cell r="E277">
            <v>348</v>
          </cell>
          <cell r="F277">
            <v>75</v>
          </cell>
          <cell r="G277" t="str">
            <v>M.</v>
          </cell>
        </row>
        <row r="278">
          <cell r="C278">
            <v>377</v>
          </cell>
          <cell r="D278" t="str">
            <v>-  1/C - 35 SQ.MM. 35 KV.PIC</v>
          </cell>
          <cell r="E278">
            <v>0</v>
          </cell>
          <cell r="F278">
            <v>30</v>
          </cell>
          <cell r="G278" t="str">
            <v>M.</v>
          </cell>
        </row>
        <row r="279">
          <cell r="C279">
            <v>378</v>
          </cell>
          <cell r="D279" t="str">
            <v>-  1/C - 50 SQ.MM. 35 KV.PIC</v>
          </cell>
          <cell r="E279">
            <v>0</v>
          </cell>
          <cell r="F279">
            <v>35</v>
          </cell>
          <cell r="G279" t="str">
            <v>M.</v>
          </cell>
        </row>
        <row r="280">
          <cell r="C280">
            <v>379</v>
          </cell>
          <cell r="D280" t="str">
            <v>-  1/C - 70 SQ.MM. 35 KV.PIC</v>
          </cell>
          <cell r="E280">
            <v>0</v>
          </cell>
          <cell r="F280">
            <v>40</v>
          </cell>
          <cell r="G280" t="str">
            <v>M.</v>
          </cell>
        </row>
        <row r="281">
          <cell r="C281">
            <v>380</v>
          </cell>
          <cell r="D281" t="str">
            <v>-  1/C - 95 SQ.MM. 35 KV.PIC</v>
          </cell>
          <cell r="E281">
            <v>0</v>
          </cell>
          <cell r="F281">
            <v>60</v>
          </cell>
          <cell r="G281" t="str">
            <v>M.</v>
          </cell>
        </row>
        <row r="282">
          <cell r="C282">
            <v>381</v>
          </cell>
          <cell r="D282" t="str">
            <v>-  1/C - 120 SQ.MM. 35 KV.PIC</v>
          </cell>
          <cell r="E282">
            <v>0</v>
          </cell>
          <cell r="F282">
            <v>70</v>
          </cell>
          <cell r="G282" t="str">
            <v>M.</v>
          </cell>
        </row>
        <row r="283">
          <cell r="C283">
            <v>382</v>
          </cell>
          <cell r="D283" t="str">
            <v>-  1/C - 150 SQ.MM. 35 KV.PIC</v>
          </cell>
          <cell r="E283">
            <v>0</v>
          </cell>
          <cell r="F283">
            <v>75</v>
          </cell>
          <cell r="G283" t="str">
            <v>M.</v>
          </cell>
        </row>
        <row r="284">
          <cell r="C284">
            <v>383</v>
          </cell>
          <cell r="D284" t="str">
            <v>-  1/C - 185 SQ.MM. 35 KV.PIC</v>
          </cell>
          <cell r="E284">
            <v>0</v>
          </cell>
          <cell r="F284">
            <v>80</v>
          </cell>
          <cell r="G284" t="str">
            <v>M.</v>
          </cell>
        </row>
        <row r="285">
          <cell r="C285">
            <v>384</v>
          </cell>
          <cell r="D285" t="str">
            <v>-  1/C - 240 SQ.MM. 35 KV.PIC</v>
          </cell>
          <cell r="E285">
            <v>0</v>
          </cell>
          <cell r="F285">
            <v>85</v>
          </cell>
          <cell r="G285" t="str">
            <v>M.</v>
          </cell>
        </row>
        <row r="286">
          <cell r="D286" t="str">
            <v>SPACE</v>
          </cell>
        </row>
        <row r="287">
          <cell r="C287">
            <v>386</v>
          </cell>
          <cell r="D287" t="str">
            <v>-  1/C - 35 SQ.MM. 25 KV.SPACED AERIAL</v>
          </cell>
          <cell r="E287">
            <v>160</v>
          </cell>
          <cell r="F287">
            <v>25</v>
          </cell>
          <cell r="G287" t="str">
            <v>M.</v>
          </cell>
        </row>
        <row r="288">
          <cell r="C288">
            <v>387</v>
          </cell>
          <cell r="D288" t="str">
            <v>-  1/C - 50 SQ.MM. 25 KV.SPACED AERIAL</v>
          </cell>
          <cell r="E288">
            <v>190</v>
          </cell>
          <cell r="F288">
            <v>30</v>
          </cell>
          <cell r="G288" t="str">
            <v>M.</v>
          </cell>
        </row>
        <row r="289">
          <cell r="C289">
            <v>388</v>
          </cell>
          <cell r="D289" t="str">
            <v>-  1/C - 70 SQ.MM. 25 KV.SPACED AERIAL</v>
          </cell>
          <cell r="E289">
            <v>220</v>
          </cell>
          <cell r="F289">
            <v>35</v>
          </cell>
          <cell r="G289" t="str">
            <v>M.</v>
          </cell>
        </row>
        <row r="290">
          <cell r="C290">
            <v>389</v>
          </cell>
          <cell r="D290" t="str">
            <v>-  1/C - 95 SQ.MM. 25 KV.SPACED AERIAL</v>
          </cell>
          <cell r="E290">
            <v>260</v>
          </cell>
          <cell r="F290">
            <v>40</v>
          </cell>
          <cell r="G290" t="str">
            <v>M.</v>
          </cell>
        </row>
        <row r="291">
          <cell r="C291">
            <v>390</v>
          </cell>
          <cell r="D291" t="str">
            <v>-  1/C - 120 SQ.MM. 25 KV.SPACED AERIAL</v>
          </cell>
          <cell r="E291">
            <v>300</v>
          </cell>
          <cell r="F291">
            <v>60</v>
          </cell>
          <cell r="G291" t="str">
            <v>M.</v>
          </cell>
        </row>
        <row r="292">
          <cell r="C292">
            <v>391</v>
          </cell>
          <cell r="D292" t="str">
            <v>-  1/C - 150 SQ.MM. 25 KV.SPACED AERIAL</v>
          </cell>
          <cell r="E292">
            <v>340</v>
          </cell>
          <cell r="F292">
            <v>70</v>
          </cell>
          <cell r="G292" t="str">
            <v>M.</v>
          </cell>
        </row>
        <row r="293">
          <cell r="C293">
            <v>392</v>
          </cell>
          <cell r="D293" t="str">
            <v>-  1/C - 185 SQ.MM. 25 KV.SPACED AERIAL</v>
          </cell>
          <cell r="E293">
            <v>390</v>
          </cell>
          <cell r="F293">
            <v>75</v>
          </cell>
          <cell r="G293" t="str">
            <v>M.</v>
          </cell>
        </row>
        <row r="294">
          <cell r="C294">
            <v>393</v>
          </cell>
          <cell r="D294" t="str">
            <v>-  1/C - 240 SQ.MM. 25 KV.SPACED AERIAL</v>
          </cell>
          <cell r="E294">
            <v>470</v>
          </cell>
          <cell r="F294">
            <v>80</v>
          </cell>
          <cell r="G294" t="str">
            <v>M.</v>
          </cell>
        </row>
        <row r="295">
          <cell r="C295">
            <v>394</v>
          </cell>
          <cell r="D295" t="str">
            <v>-  1/C - 35 SQ.MM. 35 KV.SPACED AERIAL</v>
          </cell>
          <cell r="E295">
            <v>0</v>
          </cell>
          <cell r="F295">
            <v>75</v>
          </cell>
          <cell r="G295" t="str">
            <v>M.</v>
          </cell>
        </row>
        <row r="296">
          <cell r="C296">
            <v>395</v>
          </cell>
          <cell r="D296" t="str">
            <v>-  1/C - 50 SQ.MM. 35 KV.SPACED AERIAL</v>
          </cell>
          <cell r="E296">
            <v>0</v>
          </cell>
          <cell r="F296">
            <v>89</v>
          </cell>
          <cell r="G296" t="str">
            <v>M.</v>
          </cell>
        </row>
        <row r="297">
          <cell r="C297">
            <v>396</v>
          </cell>
          <cell r="D297" t="str">
            <v>-  1/C - 70 SQ.MM. 35 KV.SPACED AERIAL</v>
          </cell>
          <cell r="E297">
            <v>0</v>
          </cell>
          <cell r="F297">
            <v>85</v>
          </cell>
          <cell r="G297" t="str">
            <v>M.</v>
          </cell>
        </row>
        <row r="298">
          <cell r="C298">
            <v>397</v>
          </cell>
          <cell r="D298" t="str">
            <v>-  1/C - 95 SQ.MM. 35 KV.SPACED AERIAL</v>
          </cell>
          <cell r="E298">
            <v>0</v>
          </cell>
          <cell r="F298">
            <v>90</v>
          </cell>
          <cell r="G298" t="str">
            <v>M.</v>
          </cell>
        </row>
        <row r="299">
          <cell r="C299">
            <v>398</v>
          </cell>
          <cell r="D299" t="str">
            <v>-  1/C - 120 SQ.MM. 35 KV.SPACED AERIAL</v>
          </cell>
          <cell r="E299">
            <v>0</v>
          </cell>
          <cell r="F299">
            <v>100</v>
          </cell>
          <cell r="G299" t="str">
            <v>M.</v>
          </cell>
        </row>
        <row r="300">
          <cell r="C300">
            <v>399</v>
          </cell>
          <cell r="D300" t="str">
            <v>-  1/C - 150 SQ.MM. 35 KV.SPACED AERIAL</v>
          </cell>
          <cell r="E300">
            <v>0</v>
          </cell>
          <cell r="F300">
            <v>110</v>
          </cell>
          <cell r="G300" t="str">
            <v>M.</v>
          </cell>
        </row>
        <row r="301">
          <cell r="C301">
            <v>400</v>
          </cell>
          <cell r="D301" t="str">
            <v>-  1/C - 185 SQ.MM. 35 KV.SPACED AERIAL</v>
          </cell>
          <cell r="E301">
            <v>0</v>
          </cell>
          <cell r="F301">
            <v>120</v>
          </cell>
          <cell r="G301" t="str">
            <v>M.</v>
          </cell>
        </row>
        <row r="302">
          <cell r="C302">
            <v>401</v>
          </cell>
          <cell r="D302" t="str">
            <v>-  1/C - 240 SQ.MM. 35 KV.SPACED AERIAL</v>
          </cell>
          <cell r="E302">
            <v>0</v>
          </cell>
          <cell r="F302">
            <v>140</v>
          </cell>
          <cell r="G302" t="str">
            <v>M.</v>
          </cell>
        </row>
        <row r="303">
          <cell r="C303">
            <v>402</v>
          </cell>
          <cell r="D303" t="str">
            <v>-  25 SQ.MM. ALL ALUMINIUM CABLE</v>
          </cell>
          <cell r="E303">
            <v>9</v>
          </cell>
          <cell r="F303">
            <v>5</v>
          </cell>
          <cell r="G303" t="str">
            <v>M.</v>
          </cell>
        </row>
        <row r="304">
          <cell r="C304">
            <v>403</v>
          </cell>
          <cell r="D304" t="str">
            <v>-  35 SQ.MM. ALL ALUMINIUM CABLE</v>
          </cell>
          <cell r="E304">
            <v>13</v>
          </cell>
          <cell r="F304">
            <v>6</v>
          </cell>
          <cell r="G304" t="str">
            <v>M.</v>
          </cell>
        </row>
        <row r="305">
          <cell r="C305">
            <v>404</v>
          </cell>
          <cell r="D305" t="str">
            <v>-  50 SQ.MM. ALL ALUMINIUM CABLE</v>
          </cell>
          <cell r="E305">
            <v>18</v>
          </cell>
          <cell r="F305">
            <v>8</v>
          </cell>
          <cell r="G305" t="str">
            <v>M.</v>
          </cell>
        </row>
        <row r="306">
          <cell r="C306">
            <v>405</v>
          </cell>
          <cell r="D306" t="str">
            <v>-  70 SQ.MM. ALL ALUMINIUM CABLE</v>
          </cell>
          <cell r="E306">
            <v>26</v>
          </cell>
          <cell r="F306">
            <v>11</v>
          </cell>
          <cell r="G306" t="str">
            <v>M.</v>
          </cell>
        </row>
        <row r="307">
          <cell r="C307">
            <v>406</v>
          </cell>
          <cell r="D307" t="str">
            <v>-  95 SQ.MM. ALL ALUMINIUM CABLE</v>
          </cell>
          <cell r="E307">
            <v>36</v>
          </cell>
          <cell r="F307">
            <v>16</v>
          </cell>
          <cell r="G307" t="str">
            <v>M.</v>
          </cell>
        </row>
        <row r="308">
          <cell r="C308">
            <v>407</v>
          </cell>
          <cell r="D308" t="str">
            <v>-  120 SQ.MM. ALL ALUMINIUM CABLE</v>
          </cell>
          <cell r="E308">
            <v>46</v>
          </cell>
          <cell r="F308">
            <v>20</v>
          </cell>
          <cell r="G308" t="str">
            <v>M.</v>
          </cell>
        </row>
        <row r="309">
          <cell r="C309">
            <v>408</v>
          </cell>
          <cell r="D309" t="str">
            <v>-  150 SQ.MM. ALL ALUMINIUM CABLE</v>
          </cell>
          <cell r="E309">
            <v>56</v>
          </cell>
          <cell r="F309">
            <v>25</v>
          </cell>
          <cell r="G309" t="str">
            <v>M.</v>
          </cell>
        </row>
        <row r="310">
          <cell r="C310">
            <v>409</v>
          </cell>
          <cell r="D310" t="str">
            <v>-  185 SQ.MM. ALL ALUMINIUM CABLE</v>
          </cell>
          <cell r="E310">
            <v>64</v>
          </cell>
          <cell r="F310">
            <v>30</v>
          </cell>
          <cell r="G310" t="str">
            <v>M.</v>
          </cell>
        </row>
        <row r="311">
          <cell r="C311">
            <v>410</v>
          </cell>
          <cell r="D311" t="str">
            <v>-  25 SQ.MM. ACSR</v>
          </cell>
          <cell r="E311">
            <v>11</v>
          </cell>
          <cell r="F311">
            <v>5</v>
          </cell>
          <cell r="G311" t="str">
            <v>M.</v>
          </cell>
        </row>
        <row r="312">
          <cell r="C312">
            <v>411</v>
          </cell>
          <cell r="D312" t="str">
            <v>-  35 SQ.MM. ACSR</v>
          </cell>
          <cell r="E312">
            <v>15</v>
          </cell>
          <cell r="F312">
            <v>6</v>
          </cell>
          <cell r="G312" t="str">
            <v>M.</v>
          </cell>
        </row>
        <row r="313">
          <cell r="C313">
            <v>412</v>
          </cell>
          <cell r="D313" t="str">
            <v>-  50 SQ.MM. ACSR</v>
          </cell>
          <cell r="E313">
            <v>21</v>
          </cell>
          <cell r="F313">
            <v>8</v>
          </cell>
          <cell r="G313" t="str">
            <v>M.</v>
          </cell>
        </row>
        <row r="314">
          <cell r="C314">
            <v>413</v>
          </cell>
          <cell r="D314" t="str">
            <v>-  70 SQ.MM. ACSR</v>
          </cell>
          <cell r="E314">
            <v>30</v>
          </cell>
          <cell r="F314">
            <v>11</v>
          </cell>
          <cell r="G314" t="str">
            <v>M.</v>
          </cell>
        </row>
        <row r="315">
          <cell r="C315">
            <v>414</v>
          </cell>
          <cell r="D315" t="str">
            <v>-  95 SQ.MM. ACSR</v>
          </cell>
          <cell r="E315">
            <v>42</v>
          </cell>
          <cell r="F315">
            <v>16</v>
          </cell>
          <cell r="G315" t="str">
            <v>M.</v>
          </cell>
        </row>
        <row r="316">
          <cell r="C316">
            <v>415</v>
          </cell>
          <cell r="D316" t="str">
            <v>-  120 SQ.MM. ACSR</v>
          </cell>
          <cell r="E316">
            <v>54</v>
          </cell>
          <cell r="F316">
            <v>20</v>
          </cell>
          <cell r="G316" t="str">
            <v>M.</v>
          </cell>
        </row>
        <row r="317">
          <cell r="C317">
            <v>416</v>
          </cell>
          <cell r="D317" t="str">
            <v>-  150 SQ.MM. ACSR</v>
          </cell>
          <cell r="E317">
            <v>83</v>
          </cell>
          <cell r="F317">
            <v>25</v>
          </cell>
          <cell r="G317" t="str">
            <v>M.</v>
          </cell>
        </row>
        <row r="318">
          <cell r="C318">
            <v>417</v>
          </cell>
          <cell r="D318" t="str">
            <v>-  185 SQ.MM. ACSR</v>
          </cell>
          <cell r="E318">
            <v>0</v>
          </cell>
          <cell r="F318">
            <v>0</v>
          </cell>
          <cell r="G318" t="str">
            <v>M.</v>
          </cell>
        </row>
        <row r="319">
          <cell r="D319" t="str">
            <v>SPACE</v>
          </cell>
        </row>
        <row r="320">
          <cell r="C320">
            <v>45</v>
          </cell>
          <cell r="D320" t="str">
            <v>FIRE - RESISTANT CABLE</v>
          </cell>
        </row>
        <row r="321">
          <cell r="C321">
            <v>451</v>
          </cell>
          <cell r="D321" t="str">
            <v>-  1/C - 0.75 SQ.MM. FR.</v>
          </cell>
          <cell r="E321">
            <v>17</v>
          </cell>
          <cell r="F321">
            <v>1</v>
          </cell>
          <cell r="G321" t="str">
            <v>M.</v>
          </cell>
        </row>
        <row r="322">
          <cell r="C322">
            <v>452</v>
          </cell>
          <cell r="D322" t="str">
            <v>-  1/C - 1.0 SQ.MM. FR.</v>
          </cell>
          <cell r="E322">
            <v>19</v>
          </cell>
          <cell r="F322">
            <v>1</v>
          </cell>
          <cell r="G322" t="str">
            <v>M.</v>
          </cell>
        </row>
        <row r="323">
          <cell r="C323">
            <v>453</v>
          </cell>
          <cell r="D323" t="str">
            <v>-  1/C - 1.5 SQ.MM. FR.</v>
          </cell>
          <cell r="E323">
            <v>20</v>
          </cell>
          <cell r="F323">
            <v>1</v>
          </cell>
          <cell r="G323" t="str">
            <v>M.</v>
          </cell>
        </row>
        <row r="324">
          <cell r="C324">
            <v>454</v>
          </cell>
          <cell r="D324" t="str">
            <v>-  1/C - 2.5 SQ.MM. FR.</v>
          </cell>
          <cell r="E324">
            <v>26</v>
          </cell>
          <cell r="F324">
            <v>2</v>
          </cell>
          <cell r="G324" t="str">
            <v>M.</v>
          </cell>
        </row>
        <row r="325">
          <cell r="C325">
            <v>455</v>
          </cell>
          <cell r="D325" t="str">
            <v>-  1/C - 4 SQ.MM. FR.</v>
          </cell>
          <cell r="E325">
            <v>36</v>
          </cell>
          <cell r="F325">
            <v>2</v>
          </cell>
          <cell r="G325" t="str">
            <v>M.</v>
          </cell>
        </row>
        <row r="326">
          <cell r="C326">
            <v>456</v>
          </cell>
          <cell r="D326" t="str">
            <v>-  1/C - 6 SQ.MM. FR.</v>
          </cell>
          <cell r="E326">
            <v>60</v>
          </cell>
          <cell r="F326">
            <v>3</v>
          </cell>
          <cell r="G326" t="str">
            <v>M.</v>
          </cell>
        </row>
        <row r="327">
          <cell r="C327">
            <v>457</v>
          </cell>
          <cell r="D327" t="str">
            <v>-  1/C - 10 SQ.MM. FR.</v>
          </cell>
          <cell r="E327">
            <v>82</v>
          </cell>
          <cell r="F327">
            <v>5</v>
          </cell>
          <cell r="G327" t="str">
            <v>M.</v>
          </cell>
        </row>
        <row r="328">
          <cell r="C328">
            <v>458</v>
          </cell>
          <cell r="D328" t="str">
            <v>-  1/C - 16 SQ.MM. FR.</v>
          </cell>
          <cell r="E328">
            <v>96</v>
          </cell>
          <cell r="F328">
            <v>6</v>
          </cell>
          <cell r="G328" t="str">
            <v>M.</v>
          </cell>
        </row>
        <row r="329">
          <cell r="C329">
            <v>459</v>
          </cell>
          <cell r="D329" t="str">
            <v>-  1/C - 25 SQ.MM. FR.</v>
          </cell>
          <cell r="E329">
            <v>130</v>
          </cell>
          <cell r="F329">
            <v>8</v>
          </cell>
          <cell r="G329" t="str">
            <v>M.</v>
          </cell>
        </row>
        <row r="330">
          <cell r="C330">
            <v>460</v>
          </cell>
          <cell r="D330" t="str">
            <v>-  1/C - 35 SQ.MM. FR.</v>
          </cell>
          <cell r="E330">
            <v>184</v>
          </cell>
          <cell r="F330">
            <v>11</v>
          </cell>
          <cell r="G330" t="str">
            <v>M.</v>
          </cell>
        </row>
        <row r="331">
          <cell r="C331">
            <v>461</v>
          </cell>
          <cell r="D331" t="str">
            <v>-  1/C - 50 SQ.MM. FR.</v>
          </cell>
          <cell r="E331">
            <v>264</v>
          </cell>
          <cell r="F331">
            <v>16</v>
          </cell>
          <cell r="G331" t="str">
            <v>M.</v>
          </cell>
        </row>
        <row r="332">
          <cell r="C332">
            <v>462</v>
          </cell>
          <cell r="D332" t="str">
            <v>-  1/C - 70 SQ.MM. FR.</v>
          </cell>
          <cell r="E332">
            <v>330</v>
          </cell>
          <cell r="F332">
            <v>20</v>
          </cell>
          <cell r="G332" t="str">
            <v>M.</v>
          </cell>
        </row>
        <row r="333">
          <cell r="C333">
            <v>463</v>
          </cell>
          <cell r="D333" t="str">
            <v>-  1/C - 95 SQ.MM. FR.</v>
          </cell>
          <cell r="E333">
            <v>396</v>
          </cell>
          <cell r="F333">
            <v>25</v>
          </cell>
          <cell r="G333" t="str">
            <v>M.</v>
          </cell>
        </row>
        <row r="334">
          <cell r="C334">
            <v>464</v>
          </cell>
          <cell r="D334" t="str">
            <v>-  1/C - 120 SQ.MM. FR.</v>
          </cell>
          <cell r="E334">
            <v>488</v>
          </cell>
          <cell r="F334">
            <v>30</v>
          </cell>
          <cell r="G334" t="str">
            <v>M.</v>
          </cell>
        </row>
        <row r="335">
          <cell r="C335">
            <v>465</v>
          </cell>
          <cell r="D335" t="str">
            <v>-  1/C - 150 SQ.MM. FR.</v>
          </cell>
          <cell r="E335">
            <v>589</v>
          </cell>
          <cell r="F335">
            <v>35</v>
          </cell>
          <cell r="G335" t="str">
            <v>M.</v>
          </cell>
        </row>
        <row r="336">
          <cell r="C336">
            <v>466</v>
          </cell>
          <cell r="D336" t="str">
            <v>-  1/C - 185 SQ.MM. FR.</v>
          </cell>
          <cell r="E336">
            <v>688</v>
          </cell>
          <cell r="F336">
            <v>40</v>
          </cell>
          <cell r="G336" t="str">
            <v>M.</v>
          </cell>
        </row>
        <row r="337">
          <cell r="C337">
            <v>467</v>
          </cell>
          <cell r="D337" t="str">
            <v>-  1/C - 240 SQ.MM. FR.</v>
          </cell>
          <cell r="E337">
            <v>852</v>
          </cell>
          <cell r="F337">
            <v>50</v>
          </cell>
          <cell r="G337" t="str">
            <v>M.</v>
          </cell>
        </row>
        <row r="338">
          <cell r="C338">
            <v>468</v>
          </cell>
          <cell r="D338" t="str">
            <v>-  1/C - 300 SQ.MM. FR.</v>
          </cell>
          <cell r="E338">
            <v>1088</v>
          </cell>
          <cell r="F338">
            <v>60</v>
          </cell>
          <cell r="G338" t="str">
            <v>M.</v>
          </cell>
        </row>
        <row r="339">
          <cell r="C339">
            <v>469</v>
          </cell>
          <cell r="D339" t="str">
            <v>-  1/C - 400 SQ.MM. FR.</v>
          </cell>
          <cell r="E339">
            <v>1308</v>
          </cell>
          <cell r="F339">
            <v>70</v>
          </cell>
          <cell r="G339" t="str">
            <v>M.</v>
          </cell>
        </row>
        <row r="340">
          <cell r="C340">
            <v>470</v>
          </cell>
          <cell r="D340" t="str">
            <v>-  1/C - 500 SQ.MM. FR.</v>
          </cell>
          <cell r="E340">
            <v>1548</v>
          </cell>
          <cell r="F340">
            <v>90</v>
          </cell>
          <cell r="G340" t="str">
            <v>M.</v>
          </cell>
        </row>
        <row r="341">
          <cell r="C341">
            <v>471</v>
          </cell>
          <cell r="D341" t="str">
            <v>-  1/C - 630 SQ.MM. FR.</v>
          </cell>
          <cell r="E341">
            <v>1904</v>
          </cell>
          <cell r="F341">
            <v>105</v>
          </cell>
          <cell r="G341" t="str">
            <v>M.</v>
          </cell>
        </row>
        <row r="342">
          <cell r="C342">
            <v>472</v>
          </cell>
          <cell r="D342" t="str">
            <v>-  1/C - 2.5 SQ.MM. FR. W./SHEET</v>
          </cell>
          <cell r="E342">
            <v>44</v>
          </cell>
          <cell r="F342">
            <v>2</v>
          </cell>
          <cell r="G342" t="str">
            <v>M.</v>
          </cell>
        </row>
        <row r="343">
          <cell r="C343">
            <v>473</v>
          </cell>
          <cell r="D343" t="str">
            <v>-  1/C - 4 SQ.MM. FR. W./SHEET</v>
          </cell>
          <cell r="E343">
            <v>58</v>
          </cell>
          <cell r="F343">
            <v>3</v>
          </cell>
          <cell r="G343" t="str">
            <v>M.</v>
          </cell>
        </row>
        <row r="344">
          <cell r="C344">
            <v>474</v>
          </cell>
          <cell r="D344" t="str">
            <v>-  1/C - 6 SQ.MM. FR. W./SHEET</v>
          </cell>
          <cell r="E344">
            <v>71</v>
          </cell>
          <cell r="F344">
            <v>5</v>
          </cell>
          <cell r="G344" t="str">
            <v>M.</v>
          </cell>
        </row>
        <row r="345">
          <cell r="C345">
            <v>475</v>
          </cell>
          <cell r="D345" t="str">
            <v>-  1/C - 10 SQ.MM. FR. W./SHEET</v>
          </cell>
          <cell r="E345">
            <v>97</v>
          </cell>
          <cell r="F345">
            <v>6</v>
          </cell>
          <cell r="G345" t="str">
            <v>M.</v>
          </cell>
        </row>
        <row r="346">
          <cell r="C346">
            <v>476</v>
          </cell>
          <cell r="D346" t="str">
            <v>-  1/C - 16 SQ.MM. FR. W./SHEET</v>
          </cell>
          <cell r="E346">
            <v>112</v>
          </cell>
          <cell r="F346">
            <v>8</v>
          </cell>
          <cell r="G346" t="str">
            <v>M.</v>
          </cell>
        </row>
        <row r="347">
          <cell r="C347">
            <v>477</v>
          </cell>
          <cell r="D347" t="str">
            <v>-  1/C - 25 SQ.MM. FR. W./SHEET</v>
          </cell>
          <cell r="E347">
            <v>154</v>
          </cell>
          <cell r="F347">
            <v>11</v>
          </cell>
          <cell r="G347" t="str">
            <v>M.</v>
          </cell>
        </row>
        <row r="348">
          <cell r="C348">
            <v>478</v>
          </cell>
          <cell r="D348" t="str">
            <v>-  1/C - 35 SQ.MM. FR. W./SHEET</v>
          </cell>
          <cell r="E348">
            <v>211</v>
          </cell>
          <cell r="F348">
            <v>16</v>
          </cell>
          <cell r="G348" t="str">
            <v>M.</v>
          </cell>
        </row>
        <row r="349">
          <cell r="C349">
            <v>479</v>
          </cell>
          <cell r="D349" t="str">
            <v>-  1/C - 50 SQ.MM. FR. W./SHEET</v>
          </cell>
          <cell r="E349">
            <v>303</v>
          </cell>
          <cell r="F349">
            <v>20</v>
          </cell>
          <cell r="G349" t="str">
            <v>M.</v>
          </cell>
        </row>
        <row r="350">
          <cell r="C350">
            <v>480</v>
          </cell>
          <cell r="D350" t="str">
            <v>-  1/C - 70 SQ.MM. FR. W./SHEET</v>
          </cell>
          <cell r="E350">
            <v>389</v>
          </cell>
          <cell r="F350">
            <v>25</v>
          </cell>
          <cell r="G350" t="str">
            <v>M.</v>
          </cell>
        </row>
        <row r="351">
          <cell r="C351">
            <v>481</v>
          </cell>
          <cell r="D351" t="str">
            <v>-  1/C - 95 SQ.MM. FR. W./SHEET</v>
          </cell>
          <cell r="E351">
            <v>470</v>
          </cell>
          <cell r="F351">
            <v>30</v>
          </cell>
          <cell r="G351" t="str">
            <v>M.</v>
          </cell>
        </row>
        <row r="352">
          <cell r="C352">
            <v>482</v>
          </cell>
          <cell r="D352" t="str">
            <v>-  1/C - 120 SQ.MM. FR. W./SHEET</v>
          </cell>
          <cell r="E352">
            <v>570</v>
          </cell>
          <cell r="F352">
            <v>35</v>
          </cell>
          <cell r="G352" t="str">
            <v>M.</v>
          </cell>
        </row>
        <row r="353">
          <cell r="C353">
            <v>483</v>
          </cell>
          <cell r="D353" t="str">
            <v>-  1/C - 150 SQ.MM. FR. W./SHEET</v>
          </cell>
          <cell r="E353">
            <v>716</v>
          </cell>
          <cell r="F353">
            <v>40</v>
          </cell>
          <cell r="G353" t="str">
            <v>M.</v>
          </cell>
        </row>
        <row r="354">
          <cell r="C354">
            <v>484</v>
          </cell>
          <cell r="D354" t="str">
            <v>-  1/C - 185 SQ.MM. FR. W./SHEET</v>
          </cell>
          <cell r="E354">
            <v>835</v>
          </cell>
          <cell r="F354">
            <v>50</v>
          </cell>
          <cell r="G354" t="str">
            <v>M.</v>
          </cell>
        </row>
        <row r="355">
          <cell r="C355">
            <v>485</v>
          </cell>
          <cell r="D355" t="str">
            <v>-  1/C - 240 SQ.MM. FR. W./SHEET</v>
          </cell>
          <cell r="E355">
            <v>1051</v>
          </cell>
          <cell r="F355">
            <v>60</v>
          </cell>
          <cell r="G355" t="str">
            <v>M.</v>
          </cell>
        </row>
        <row r="356">
          <cell r="C356">
            <v>486</v>
          </cell>
          <cell r="D356" t="str">
            <v>-  1/C - 300 SQ.MM. FR. W./SHEET</v>
          </cell>
          <cell r="E356">
            <v>1390</v>
          </cell>
          <cell r="F356">
            <v>70</v>
          </cell>
          <cell r="G356" t="str">
            <v>M.</v>
          </cell>
        </row>
        <row r="357">
          <cell r="C357">
            <v>487</v>
          </cell>
          <cell r="D357" t="str">
            <v>-  1/C - 400 SQ.MM. FR. W./SHEET</v>
          </cell>
          <cell r="E357">
            <v>1679</v>
          </cell>
          <cell r="F357">
            <v>90</v>
          </cell>
          <cell r="G357" t="str">
            <v>M.</v>
          </cell>
        </row>
        <row r="358">
          <cell r="C358">
            <v>488</v>
          </cell>
          <cell r="D358" t="str">
            <v>-  1/C - 500 SQ.MM. FR. W./SHEET</v>
          </cell>
          <cell r="E358">
            <v>1818</v>
          </cell>
          <cell r="F358">
            <v>105</v>
          </cell>
          <cell r="G358" t="str">
            <v>M.</v>
          </cell>
        </row>
        <row r="359">
          <cell r="C359">
            <v>489</v>
          </cell>
          <cell r="D359" t="str">
            <v>-  1/C - 630 SQ.MM. FR. W./SHEET</v>
          </cell>
          <cell r="E359">
            <v>2183</v>
          </cell>
          <cell r="F359">
            <v>120</v>
          </cell>
          <cell r="G359" t="str">
            <v>M.</v>
          </cell>
        </row>
        <row r="360">
          <cell r="C360">
            <v>5</v>
          </cell>
          <cell r="D360" t="str">
            <v>CABLE RACEWAY</v>
          </cell>
        </row>
        <row r="361">
          <cell r="C361">
            <v>501</v>
          </cell>
          <cell r="D361" t="str">
            <v>-  DIA. 1/2" EMT</v>
          </cell>
          <cell r="E361">
            <v>23</v>
          </cell>
          <cell r="F361">
            <v>10</v>
          </cell>
          <cell r="G361" t="str">
            <v>M.</v>
          </cell>
        </row>
        <row r="362">
          <cell r="C362">
            <v>502</v>
          </cell>
          <cell r="D362" t="str">
            <v>-  DIA. 3/4" EMT</v>
          </cell>
          <cell r="E362">
            <v>34</v>
          </cell>
          <cell r="F362">
            <v>15</v>
          </cell>
          <cell r="G362" t="str">
            <v>M.</v>
          </cell>
        </row>
        <row r="363">
          <cell r="C363">
            <v>503</v>
          </cell>
          <cell r="D363" t="str">
            <v>-  DIA. 1" EMT</v>
          </cell>
          <cell r="E363">
            <v>48</v>
          </cell>
          <cell r="F363">
            <v>18</v>
          </cell>
          <cell r="G363" t="str">
            <v>M.</v>
          </cell>
        </row>
        <row r="364">
          <cell r="C364">
            <v>504</v>
          </cell>
          <cell r="D364" t="str">
            <v>-  DIA. 1 1/4" EMT</v>
          </cell>
          <cell r="E364">
            <v>79</v>
          </cell>
          <cell r="F364">
            <v>25</v>
          </cell>
          <cell r="G364" t="str">
            <v>M.</v>
          </cell>
        </row>
        <row r="365">
          <cell r="C365">
            <v>505</v>
          </cell>
          <cell r="D365" t="str">
            <v>-  DIA. 1 1/2" EMT</v>
          </cell>
          <cell r="E365">
            <v>92</v>
          </cell>
          <cell r="F365">
            <v>30</v>
          </cell>
          <cell r="G365" t="str">
            <v>M.</v>
          </cell>
        </row>
        <row r="366">
          <cell r="C366">
            <v>506</v>
          </cell>
          <cell r="D366" t="str">
            <v>-  DIA. 2" EMT</v>
          </cell>
          <cell r="E366">
            <v>114</v>
          </cell>
          <cell r="F366">
            <v>40</v>
          </cell>
          <cell r="G366" t="str">
            <v>M.</v>
          </cell>
        </row>
        <row r="367">
          <cell r="C367">
            <v>507</v>
          </cell>
          <cell r="D367" t="str">
            <v>-  DIA. 1/2" IMC</v>
          </cell>
          <cell r="E367">
            <v>45</v>
          </cell>
          <cell r="F367">
            <v>13</v>
          </cell>
          <cell r="G367" t="str">
            <v>M.</v>
          </cell>
        </row>
        <row r="368">
          <cell r="C368">
            <v>508</v>
          </cell>
          <cell r="D368" t="str">
            <v>-  DIA. 3/4" IMC</v>
          </cell>
          <cell r="E368">
            <v>61</v>
          </cell>
          <cell r="F368">
            <v>15</v>
          </cell>
          <cell r="G368" t="str">
            <v>M.</v>
          </cell>
        </row>
        <row r="369">
          <cell r="C369">
            <v>509</v>
          </cell>
          <cell r="D369" t="str">
            <v>-  DIA. 1" IMC</v>
          </cell>
          <cell r="E369">
            <v>82</v>
          </cell>
          <cell r="F369">
            <v>20</v>
          </cell>
          <cell r="G369" t="str">
            <v>M.</v>
          </cell>
        </row>
        <row r="370">
          <cell r="C370">
            <v>510</v>
          </cell>
          <cell r="D370" t="str">
            <v>-  DIA. 1 1/4" IMC</v>
          </cell>
          <cell r="E370">
            <v>105</v>
          </cell>
          <cell r="F370">
            <v>25</v>
          </cell>
          <cell r="G370" t="str">
            <v>M.</v>
          </cell>
        </row>
        <row r="371">
          <cell r="C371">
            <v>511</v>
          </cell>
          <cell r="D371" t="str">
            <v>-  DIA. 1 1/2" IMC</v>
          </cell>
          <cell r="E371">
            <v>130</v>
          </cell>
          <cell r="F371">
            <v>30</v>
          </cell>
          <cell r="G371" t="str">
            <v>M.</v>
          </cell>
        </row>
        <row r="372">
          <cell r="C372">
            <v>512</v>
          </cell>
          <cell r="D372" t="str">
            <v>-  DIA. 2" IMC</v>
          </cell>
          <cell r="E372">
            <v>174</v>
          </cell>
          <cell r="F372">
            <v>35</v>
          </cell>
          <cell r="G372" t="str">
            <v>M.</v>
          </cell>
        </row>
        <row r="373">
          <cell r="C373">
            <v>513</v>
          </cell>
          <cell r="D373" t="str">
            <v>-  DIA. 2 1/2" IMC</v>
          </cell>
          <cell r="E373">
            <v>282</v>
          </cell>
          <cell r="F373">
            <v>45</v>
          </cell>
          <cell r="G373" t="str">
            <v>M.</v>
          </cell>
        </row>
        <row r="374">
          <cell r="C374">
            <v>514</v>
          </cell>
          <cell r="D374" t="str">
            <v>-  DIA. 3" IMC</v>
          </cell>
          <cell r="E374">
            <v>342</v>
          </cell>
          <cell r="F374">
            <v>50</v>
          </cell>
          <cell r="G374" t="str">
            <v>M.</v>
          </cell>
        </row>
        <row r="375">
          <cell r="C375">
            <v>515</v>
          </cell>
          <cell r="D375" t="str">
            <v>-  DIA. 3 1/2" IMC</v>
          </cell>
          <cell r="E375">
            <v>397</v>
          </cell>
          <cell r="F375">
            <v>55</v>
          </cell>
          <cell r="G375" t="str">
            <v>M.</v>
          </cell>
        </row>
        <row r="376">
          <cell r="C376">
            <v>516</v>
          </cell>
          <cell r="D376" t="str">
            <v>-  DIA. 4" IMC</v>
          </cell>
          <cell r="E376">
            <v>433</v>
          </cell>
          <cell r="F376">
            <v>60</v>
          </cell>
          <cell r="G376" t="str">
            <v>M.</v>
          </cell>
        </row>
        <row r="377">
          <cell r="C377">
            <v>517</v>
          </cell>
          <cell r="D377" t="str">
            <v>-  DIA. 5" IMC</v>
          </cell>
          <cell r="E377">
            <v>747</v>
          </cell>
          <cell r="F377">
            <v>70</v>
          </cell>
          <cell r="G377" t="str">
            <v>M.</v>
          </cell>
        </row>
        <row r="378">
          <cell r="C378">
            <v>518</v>
          </cell>
          <cell r="D378" t="str">
            <v>-  DIA. 1/2" RSC</v>
          </cell>
          <cell r="E378">
            <v>64</v>
          </cell>
          <cell r="F378">
            <v>15</v>
          </cell>
          <cell r="G378" t="str">
            <v>M.</v>
          </cell>
        </row>
        <row r="379">
          <cell r="C379">
            <v>519</v>
          </cell>
          <cell r="D379" t="str">
            <v>-  DIA. 3/4" RSC</v>
          </cell>
          <cell r="E379">
            <v>82</v>
          </cell>
          <cell r="F379">
            <v>20</v>
          </cell>
          <cell r="G379" t="str">
            <v>M.</v>
          </cell>
        </row>
        <row r="380">
          <cell r="C380">
            <v>520</v>
          </cell>
          <cell r="D380" t="str">
            <v>-  DIA. 1" RSC</v>
          </cell>
          <cell r="E380">
            <v>120</v>
          </cell>
          <cell r="F380">
            <v>25</v>
          </cell>
          <cell r="G380" t="str">
            <v>M.</v>
          </cell>
        </row>
        <row r="381">
          <cell r="C381">
            <v>521</v>
          </cell>
          <cell r="D381" t="str">
            <v>-  DIA. 1 1/4" RSC</v>
          </cell>
          <cell r="E381">
            <v>153</v>
          </cell>
          <cell r="F381">
            <v>35</v>
          </cell>
          <cell r="G381" t="str">
            <v>M.</v>
          </cell>
        </row>
        <row r="382">
          <cell r="C382">
            <v>522</v>
          </cell>
          <cell r="D382" t="str">
            <v>-  DIA. 1 1/2" RSC</v>
          </cell>
          <cell r="E382">
            <v>182</v>
          </cell>
          <cell r="F382">
            <v>45</v>
          </cell>
          <cell r="G382" t="str">
            <v>M.</v>
          </cell>
        </row>
        <row r="383">
          <cell r="C383">
            <v>523</v>
          </cell>
          <cell r="D383" t="str">
            <v>-  DIA. 2" RSC</v>
          </cell>
          <cell r="E383">
            <v>243</v>
          </cell>
          <cell r="F383">
            <v>55</v>
          </cell>
          <cell r="G383" t="str">
            <v>M.</v>
          </cell>
        </row>
        <row r="384">
          <cell r="C384">
            <v>524</v>
          </cell>
          <cell r="D384" t="str">
            <v>-  DIA. 2 1/2" RSC</v>
          </cell>
          <cell r="E384">
            <v>373</v>
          </cell>
          <cell r="F384">
            <v>80</v>
          </cell>
          <cell r="G384" t="str">
            <v>M.</v>
          </cell>
        </row>
        <row r="385">
          <cell r="C385">
            <v>525</v>
          </cell>
          <cell r="D385" t="str">
            <v>-  DIA. 3" RSC</v>
          </cell>
          <cell r="E385">
            <v>480</v>
          </cell>
          <cell r="F385">
            <v>90</v>
          </cell>
          <cell r="G385" t="str">
            <v>M.</v>
          </cell>
        </row>
        <row r="386">
          <cell r="C386">
            <v>526</v>
          </cell>
          <cell r="D386" t="str">
            <v>-  DIA. 3 1/2" RSC</v>
          </cell>
          <cell r="E386">
            <v>606</v>
          </cell>
          <cell r="F386">
            <v>100</v>
          </cell>
          <cell r="G386" t="str">
            <v>M.</v>
          </cell>
        </row>
        <row r="387">
          <cell r="C387">
            <v>527</v>
          </cell>
          <cell r="D387" t="str">
            <v>-  DIA. 4" RSC</v>
          </cell>
          <cell r="E387">
            <v>706</v>
          </cell>
          <cell r="F387">
            <v>125</v>
          </cell>
          <cell r="G387" t="str">
            <v>M.</v>
          </cell>
        </row>
        <row r="388">
          <cell r="C388">
            <v>528</v>
          </cell>
          <cell r="D388" t="str">
            <v>-  DIA. 5" RSC</v>
          </cell>
          <cell r="E388">
            <v>1016</v>
          </cell>
          <cell r="F388">
            <v>140</v>
          </cell>
          <cell r="G388" t="str">
            <v>M.</v>
          </cell>
        </row>
        <row r="389">
          <cell r="D389" t="str">
            <v>SPACE</v>
          </cell>
        </row>
        <row r="390">
          <cell r="C390">
            <v>530</v>
          </cell>
          <cell r="D390" t="str">
            <v>-  DIA. 25 MM. HDPE-PN4</v>
          </cell>
          <cell r="E390">
            <v>20</v>
          </cell>
          <cell r="F390">
            <v>10</v>
          </cell>
          <cell r="G390" t="str">
            <v>M.</v>
          </cell>
        </row>
        <row r="391">
          <cell r="C391">
            <v>531</v>
          </cell>
          <cell r="D391" t="str">
            <v>-  DIA. 32 MM. HDPE-PN4</v>
          </cell>
          <cell r="E391">
            <v>25</v>
          </cell>
          <cell r="F391">
            <v>15</v>
          </cell>
          <cell r="G391" t="str">
            <v>M.</v>
          </cell>
        </row>
        <row r="392">
          <cell r="C392">
            <v>532</v>
          </cell>
          <cell r="D392" t="str">
            <v>-  DIA. 40 MM. HDPE-PN4</v>
          </cell>
          <cell r="E392">
            <v>34</v>
          </cell>
          <cell r="F392">
            <v>18</v>
          </cell>
          <cell r="G392" t="str">
            <v>M.</v>
          </cell>
        </row>
        <row r="393">
          <cell r="C393">
            <v>533</v>
          </cell>
          <cell r="D393" t="str">
            <v>-  DIA. 50 MM. HDPE-PN4</v>
          </cell>
          <cell r="E393">
            <v>38</v>
          </cell>
          <cell r="F393">
            <v>25</v>
          </cell>
          <cell r="G393" t="str">
            <v>M.</v>
          </cell>
        </row>
        <row r="394">
          <cell r="C394">
            <v>534</v>
          </cell>
          <cell r="D394" t="str">
            <v>-  DIA. 63 MM. HDPE-PN4</v>
          </cell>
          <cell r="E394">
            <v>56</v>
          </cell>
          <cell r="F394">
            <v>30</v>
          </cell>
          <cell r="G394" t="str">
            <v>M.</v>
          </cell>
        </row>
        <row r="395">
          <cell r="C395">
            <v>535</v>
          </cell>
          <cell r="D395" t="str">
            <v>-  DIA. 75 MM. HDPE-PN4</v>
          </cell>
          <cell r="E395">
            <v>81</v>
          </cell>
          <cell r="F395">
            <v>40</v>
          </cell>
          <cell r="G395" t="str">
            <v>M.</v>
          </cell>
        </row>
        <row r="396">
          <cell r="C396">
            <v>536</v>
          </cell>
          <cell r="D396" t="str">
            <v>-  DIA. 90 MM. HDPE-PN4</v>
          </cell>
          <cell r="E396">
            <v>116</v>
          </cell>
          <cell r="F396">
            <v>47</v>
          </cell>
          <cell r="G396" t="str">
            <v>M.</v>
          </cell>
        </row>
        <row r="397">
          <cell r="C397">
            <v>537</v>
          </cell>
          <cell r="D397" t="str">
            <v>-  DIA. 110 MM. HDPE-PN4</v>
          </cell>
          <cell r="E397">
            <v>170</v>
          </cell>
          <cell r="F397">
            <v>55</v>
          </cell>
          <cell r="G397" t="str">
            <v>M.</v>
          </cell>
        </row>
        <row r="398">
          <cell r="C398">
            <v>538</v>
          </cell>
          <cell r="D398" t="str">
            <v>-  DIA. 125 MM. HDPE-PN4</v>
          </cell>
          <cell r="E398">
            <v>220</v>
          </cell>
          <cell r="F398">
            <v>65</v>
          </cell>
          <cell r="G398" t="str">
            <v>M.</v>
          </cell>
        </row>
        <row r="399">
          <cell r="C399">
            <v>539</v>
          </cell>
          <cell r="D399" t="str">
            <v>-  DIA. 140 MM. HDPE-PN4</v>
          </cell>
          <cell r="E399">
            <v>278</v>
          </cell>
          <cell r="F399">
            <v>70</v>
          </cell>
          <cell r="G399" t="str">
            <v>M.</v>
          </cell>
        </row>
        <row r="400">
          <cell r="C400">
            <v>540</v>
          </cell>
          <cell r="D400" t="str">
            <v>-  DIA. 160 MM. HDPE-PN4</v>
          </cell>
          <cell r="E400">
            <v>363</v>
          </cell>
          <cell r="F400">
            <v>75</v>
          </cell>
          <cell r="G400" t="str">
            <v>M.</v>
          </cell>
        </row>
        <row r="401">
          <cell r="C401">
            <v>541</v>
          </cell>
          <cell r="D401" t="str">
            <v>-  DIA. 180 MM. HDPE-PN4</v>
          </cell>
          <cell r="E401">
            <v>462</v>
          </cell>
          <cell r="F401">
            <v>80</v>
          </cell>
          <cell r="G401" t="str">
            <v>M.</v>
          </cell>
        </row>
        <row r="402">
          <cell r="D402" t="str">
            <v>SPACE</v>
          </cell>
        </row>
        <row r="403">
          <cell r="C403">
            <v>546</v>
          </cell>
          <cell r="D403" t="str">
            <v>-  DIA. 25 MM. HDPE-PN6</v>
          </cell>
          <cell r="E403">
            <v>20</v>
          </cell>
          <cell r="F403">
            <v>10</v>
          </cell>
          <cell r="G403" t="str">
            <v>M.</v>
          </cell>
        </row>
        <row r="404">
          <cell r="C404">
            <v>547</v>
          </cell>
          <cell r="D404" t="str">
            <v>-  DIA. 32 MM. HDPE-PN6</v>
          </cell>
          <cell r="E404">
            <v>25</v>
          </cell>
          <cell r="F404">
            <v>15</v>
          </cell>
          <cell r="G404" t="str">
            <v>M.</v>
          </cell>
        </row>
        <row r="405">
          <cell r="C405">
            <v>548</v>
          </cell>
          <cell r="D405" t="str">
            <v>-  DIA. 40 MM. HDPE-PN6</v>
          </cell>
          <cell r="E405">
            <v>34</v>
          </cell>
          <cell r="F405">
            <v>18</v>
          </cell>
          <cell r="G405" t="str">
            <v>M.</v>
          </cell>
        </row>
        <row r="406">
          <cell r="C406">
            <v>549</v>
          </cell>
          <cell r="D406" t="str">
            <v>-  DIA. 50 MM. HDPE-PN6</v>
          </cell>
          <cell r="E406">
            <v>53</v>
          </cell>
          <cell r="F406">
            <v>25</v>
          </cell>
          <cell r="G406" t="str">
            <v>M.</v>
          </cell>
        </row>
        <row r="407">
          <cell r="C407">
            <v>550</v>
          </cell>
          <cell r="D407" t="str">
            <v>-  DIA. 63 MM. HDPE-PN6</v>
          </cell>
          <cell r="E407">
            <v>83</v>
          </cell>
          <cell r="F407">
            <v>30</v>
          </cell>
          <cell r="G407" t="str">
            <v>M.</v>
          </cell>
        </row>
        <row r="408">
          <cell r="C408">
            <v>551</v>
          </cell>
          <cell r="D408" t="str">
            <v>-  DIA. 75 MM. HDPE-PN6</v>
          </cell>
          <cell r="E408">
            <v>116</v>
          </cell>
          <cell r="F408">
            <v>40</v>
          </cell>
          <cell r="G408" t="str">
            <v>M.</v>
          </cell>
        </row>
        <row r="409">
          <cell r="C409">
            <v>552</v>
          </cell>
          <cell r="D409" t="str">
            <v>-  DIA. 90 MM. HDPE-PN6</v>
          </cell>
          <cell r="E409">
            <v>166</v>
          </cell>
          <cell r="F409">
            <v>47</v>
          </cell>
          <cell r="G409" t="str">
            <v>M.</v>
          </cell>
        </row>
        <row r="410">
          <cell r="C410">
            <v>553</v>
          </cell>
          <cell r="D410" t="str">
            <v>-  DIA. 110 MM. HDPE-PN6</v>
          </cell>
          <cell r="E410">
            <v>248</v>
          </cell>
          <cell r="F410">
            <v>55</v>
          </cell>
          <cell r="G410" t="str">
            <v>M.</v>
          </cell>
        </row>
        <row r="411">
          <cell r="C411">
            <v>554</v>
          </cell>
          <cell r="D411" t="str">
            <v>-  DIA. 125 MM. HDPE-PN6</v>
          </cell>
          <cell r="E411">
            <v>318</v>
          </cell>
          <cell r="F411">
            <v>65</v>
          </cell>
          <cell r="G411" t="str">
            <v>M.</v>
          </cell>
        </row>
        <row r="412">
          <cell r="C412">
            <v>555</v>
          </cell>
          <cell r="D412" t="str">
            <v>-  DIA. 140 MM. HDPE-PN6</v>
          </cell>
          <cell r="E412">
            <v>399</v>
          </cell>
          <cell r="F412">
            <v>70</v>
          </cell>
          <cell r="G412" t="str">
            <v>M.</v>
          </cell>
        </row>
        <row r="413">
          <cell r="C413">
            <v>556</v>
          </cell>
          <cell r="D413" t="str">
            <v>-  DIA. 160 MM. HDPE-PN6</v>
          </cell>
          <cell r="E413">
            <v>520</v>
          </cell>
          <cell r="F413">
            <v>75</v>
          </cell>
          <cell r="G413" t="str">
            <v>M.</v>
          </cell>
        </row>
        <row r="414">
          <cell r="C414">
            <v>557</v>
          </cell>
          <cell r="D414" t="str">
            <v>-  DIA. 180 MM. HDPE-PN6</v>
          </cell>
          <cell r="E414">
            <v>655</v>
          </cell>
          <cell r="F414">
            <v>80</v>
          </cell>
          <cell r="G414" t="str">
            <v>M.</v>
          </cell>
        </row>
        <row r="415">
          <cell r="D415" t="str">
            <v>SPACE</v>
          </cell>
        </row>
        <row r="416">
          <cell r="C416">
            <v>561</v>
          </cell>
          <cell r="D416" t="str">
            <v>-  DIA. 2" FRE</v>
          </cell>
          <cell r="E416">
            <v>380</v>
          </cell>
          <cell r="F416">
            <v>50</v>
          </cell>
          <cell r="G416" t="str">
            <v>M.</v>
          </cell>
        </row>
        <row r="417">
          <cell r="C417">
            <v>562</v>
          </cell>
          <cell r="D417" t="str">
            <v>-  DIA. 2 1/2" FRE</v>
          </cell>
          <cell r="E417">
            <v>430</v>
          </cell>
          <cell r="F417">
            <v>60</v>
          </cell>
          <cell r="G417" t="str">
            <v>M.</v>
          </cell>
        </row>
        <row r="418">
          <cell r="C418">
            <v>563</v>
          </cell>
          <cell r="D418" t="str">
            <v>-  DIA. 3" FRE</v>
          </cell>
          <cell r="E418">
            <v>490</v>
          </cell>
          <cell r="F418">
            <v>70</v>
          </cell>
          <cell r="G418" t="str">
            <v>M.</v>
          </cell>
        </row>
        <row r="419">
          <cell r="C419">
            <v>564</v>
          </cell>
          <cell r="D419" t="str">
            <v>-  DIA. 4" FRE</v>
          </cell>
          <cell r="E419">
            <v>550</v>
          </cell>
          <cell r="F419">
            <v>70</v>
          </cell>
          <cell r="G419" t="str">
            <v>M.</v>
          </cell>
        </row>
        <row r="420">
          <cell r="C420">
            <v>565</v>
          </cell>
          <cell r="D420" t="str">
            <v>-  DIA. 5" FRE</v>
          </cell>
          <cell r="E420">
            <v>830</v>
          </cell>
          <cell r="F420">
            <v>100</v>
          </cell>
          <cell r="G420" t="str">
            <v>M.</v>
          </cell>
        </row>
        <row r="421">
          <cell r="C421">
            <v>566</v>
          </cell>
          <cell r="D421" t="str">
            <v>-  DIA. 6" FRE</v>
          </cell>
          <cell r="E421">
            <v>1330</v>
          </cell>
          <cell r="F421">
            <v>150</v>
          </cell>
          <cell r="G421" t="str">
            <v>M.</v>
          </cell>
        </row>
        <row r="422">
          <cell r="D422" t="str">
            <v>SPACE</v>
          </cell>
        </row>
        <row r="423">
          <cell r="D423" t="str">
            <v>5"CONDUIT IN DUCT BANK</v>
          </cell>
        </row>
        <row r="424">
          <cell r="C424">
            <v>571</v>
          </cell>
          <cell r="D424" t="str">
            <v xml:space="preserve">-  DIA. 125 MM. HDPE-PN6 (2x1) DUCT BANK </v>
          </cell>
          <cell r="E424">
            <v>1480</v>
          </cell>
          <cell r="F424">
            <v>600</v>
          </cell>
          <cell r="G424" t="str">
            <v>M.</v>
          </cell>
        </row>
        <row r="425">
          <cell r="C425">
            <v>572</v>
          </cell>
          <cell r="D425" t="str">
            <v xml:space="preserve">-  DIA. 125 MM. HDPE-PN6 (2x2) DUCT BANK </v>
          </cell>
          <cell r="E425">
            <v>2420</v>
          </cell>
          <cell r="F425">
            <v>800</v>
          </cell>
          <cell r="G425" t="str">
            <v>M.</v>
          </cell>
        </row>
        <row r="426">
          <cell r="C426">
            <v>573</v>
          </cell>
          <cell r="D426" t="str">
            <v xml:space="preserve">-  DIA. 125 MM. HDPE-PN6 (2x3) DUCT BANK </v>
          </cell>
          <cell r="E426">
            <v>3400</v>
          </cell>
          <cell r="F426">
            <v>1000</v>
          </cell>
          <cell r="G426" t="str">
            <v>M.</v>
          </cell>
        </row>
        <row r="427">
          <cell r="D427" t="str">
            <v>SPACE</v>
          </cell>
        </row>
        <row r="428">
          <cell r="C428">
            <v>576</v>
          </cell>
          <cell r="D428" t="str">
            <v xml:space="preserve">-  DIA. 5" FRE (2x1) CONDUIT </v>
          </cell>
          <cell r="E428">
            <v>1480</v>
          </cell>
          <cell r="F428">
            <v>300</v>
          </cell>
          <cell r="G428" t="str">
            <v>M.</v>
          </cell>
        </row>
        <row r="429">
          <cell r="C429">
            <v>577</v>
          </cell>
          <cell r="D429" t="str">
            <v xml:space="preserve">-  DIA. 5" FRE (2x2) CONDUIT </v>
          </cell>
          <cell r="E429">
            <v>2830</v>
          </cell>
          <cell r="F429">
            <v>400</v>
          </cell>
          <cell r="G429" t="str">
            <v>M.</v>
          </cell>
        </row>
        <row r="430">
          <cell r="C430">
            <v>578</v>
          </cell>
          <cell r="D430" t="str">
            <v xml:space="preserve">-  DIA. 5" FRE (2x3) CONDUIT </v>
          </cell>
          <cell r="E430">
            <v>3970</v>
          </cell>
          <cell r="F430">
            <v>600</v>
          </cell>
          <cell r="G430" t="str">
            <v>M.</v>
          </cell>
        </row>
        <row r="431">
          <cell r="D431" t="str">
            <v>SPACE</v>
          </cell>
        </row>
        <row r="432">
          <cell r="C432">
            <v>591</v>
          </cell>
          <cell r="D432" t="str">
            <v>-  DIA. 1/2" PVC-CLASS2</v>
          </cell>
          <cell r="E432">
            <v>11</v>
          </cell>
          <cell r="F432">
            <v>5</v>
          </cell>
          <cell r="G432" t="str">
            <v>M.</v>
          </cell>
        </row>
        <row r="433">
          <cell r="C433">
            <v>592</v>
          </cell>
          <cell r="D433" t="str">
            <v>-  DIA. 3/4" PVC-CLASS2</v>
          </cell>
          <cell r="E433">
            <v>13</v>
          </cell>
          <cell r="F433">
            <v>8</v>
          </cell>
          <cell r="G433" t="str">
            <v>M.</v>
          </cell>
        </row>
        <row r="434">
          <cell r="C434">
            <v>593</v>
          </cell>
          <cell r="D434" t="str">
            <v>-  DIA. 1" PVC-CLASS2</v>
          </cell>
          <cell r="E434">
            <v>24</v>
          </cell>
          <cell r="F434">
            <v>12</v>
          </cell>
          <cell r="G434" t="str">
            <v>M.</v>
          </cell>
        </row>
        <row r="435">
          <cell r="C435">
            <v>594</v>
          </cell>
          <cell r="D435" t="str">
            <v>-  DIA. 1 1/4" PVC-CLASS2</v>
          </cell>
          <cell r="E435">
            <v>34</v>
          </cell>
          <cell r="F435">
            <v>18</v>
          </cell>
          <cell r="G435" t="str">
            <v>M.</v>
          </cell>
        </row>
        <row r="436">
          <cell r="C436">
            <v>595</v>
          </cell>
          <cell r="D436" t="str">
            <v>-  DIA. 1 1/2" PVC-CLASS2</v>
          </cell>
          <cell r="E436">
            <v>44</v>
          </cell>
          <cell r="F436">
            <v>20</v>
          </cell>
          <cell r="G436" t="str">
            <v>M.</v>
          </cell>
        </row>
        <row r="437">
          <cell r="C437">
            <v>596</v>
          </cell>
          <cell r="D437" t="str">
            <v>-  DIA. 2" PVC-CLASS2</v>
          </cell>
          <cell r="E437">
            <v>62</v>
          </cell>
          <cell r="F437">
            <v>24</v>
          </cell>
          <cell r="G437" t="str">
            <v>M.</v>
          </cell>
        </row>
        <row r="438">
          <cell r="C438">
            <v>597</v>
          </cell>
          <cell r="D438" t="str">
            <v>-  DIA. 2 1/2" PVC-CLASS3</v>
          </cell>
          <cell r="E438">
            <v>80</v>
          </cell>
          <cell r="F438">
            <v>30</v>
          </cell>
          <cell r="G438" t="str">
            <v>M.</v>
          </cell>
        </row>
        <row r="439">
          <cell r="C439">
            <v>598</v>
          </cell>
          <cell r="D439" t="str">
            <v>-  DIA. 3" PVC-CLASS2</v>
          </cell>
          <cell r="E439">
            <v>126</v>
          </cell>
          <cell r="F439">
            <v>35</v>
          </cell>
          <cell r="G439" t="str">
            <v>M.</v>
          </cell>
        </row>
        <row r="440">
          <cell r="C440">
            <v>599</v>
          </cell>
          <cell r="D440" t="str">
            <v>-  DIA. 4" PVC-CLASS2</v>
          </cell>
          <cell r="E440">
            <v>192</v>
          </cell>
          <cell r="F440">
            <v>40</v>
          </cell>
          <cell r="G440" t="str">
            <v>M.</v>
          </cell>
        </row>
        <row r="441">
          <cell r="D441" t="str">
            <v>SPACE</v>
          </cell>
        </row>
        <row r="442">
          <cell r="C442">
            <v>6</v>
          </cell>
          <cell r="D442" t="str">
            <v>WIRE WAY (1.6 mm.THICK)</v>
          </cell>
        </row>
        <row r="443">
          <cell r="C443">
            <v>601</v>
          </cell>
          <cell r="D443" t="str">
            <v>-  50 mm.x50 mm. WIRE WAY</v>
          </cell>
          <cell r="E443">
            <v>192</v>
          </cell>
          <cell r="F443">
            <v>11</v>
          </cell>
          <cell r="G443" t="str">
            <v>M.</v>
          </cell>
        </row>
        <row r="444">
          <cell r="C444">
            <v>602</v>
          </cell>
          <cell r="D444" t="str">
            <v>-  50 mm.x75 mm. WIRE WAY</v>
          </cell>
          <cell r="E444">
            <v>230</v>
          </cell>
          <cell r="F444">
            <v>14</v>
          </cell>
          <cell r="G444" t="str">
            <v>M.</v>
          </cell>
        </row>
        <row r="445">
          <cell r="C445">
            <v>603</v>
          </cell>
          <cell r="D445" t="str">
            <v>-  50 mm.x100 mm. WIRE WAY</v>
          </cell>
          <cell r="E445">
            <v>263</v>
          </cell>
          <cell r="F445">
            <v>17</v>
          </cell>
          <cell r="G445" t="str">
            <v>M.</v>
          </cell>
        </row>
        <row r="446">
          <cell r="C446">
            <v>604</v>
          </cell>
          <cell r="D446" t="str">
            <v>-  50 mm.x125 mm. WIRE WAY</v>
          </cell>
          <cell r="E446">
            <v>300</v>
          </cell>
          <cell r="F446">
            <v>20</v>
          </cell>
          <cell r="G446" t="str">
            <v>M.</v>
          </cell>
        </row>
        <row r="447">
          <cell r="C447">
            <v>605</v>
          </cell>
          <cell r="D447" t="str">
            <v>-  50 mm.x150 mm. WIRE WAY</v>
          </cell>
          <cell r="E447">
            <v>340</v>
          </cell>
          <cell r="F447">
            <v>23</v>
          </cell>
          <cell r="G447" t="str">
            <v>M.</v>
          </cell>
        </row>
        <row r="448">
          <cell r="C448">
            <v>606</v>
          </cell>
          <cell r="D448" t="str">
            <v>-  50 mm.x200 mm. WIRE WAY</v>
          </cell>
          <cell r="E448">
            <v>400</v>
          </cell>
          <cell r="F448">
            <v>26</v>
          </cell>
          <cell r="G448" t="str">
            <v>M.</v>
          </cell>
        </row>
        <row r="449">
          <cell r="C449">
            <v>607</v>
          </cell>
          <cell r="D449" t="str">
            <v>-  50 mm.x250 mm. WIRE WAY</v>
          </cell>
          <cell r="E449">
            <v>483</v>
          </cell>
          <cell r="F449">
            <v>29</v>
          </cell>
          <cell r="G449" t="str">
            <v>M.</v>
          </cell>
        </row>
        <row r="450">
          <cell r="C450">
            <v>608</v>
          </cell>
          <cell r="D450" t="str">
            <v>-  75 mm.x100 mm. WIRE WAY</v>
          </cell>
          <cell r="E450">
            <v>300</v>
          </cell>
          <cell r="F450">
            <v>20</v>
          </cell>
          <cell r="G450" t="str">
            <v>M.</v>
          </cell>
        </row>
        <row r="451">
          <cell r="C451">
            <v>609</v>
          </cell>
          <cell r="D451" t="str">
            <v>-  75 mm.x150 mm. WIRE WAY</v>
          </cell>
          <cell r="E451">
            <v>375</v>
          </cell>
          <cell r="F451">
            <v>25</v>
          </cell>
          <cell r="G451" t="str">
            <v>M.</v>
          </cell>
        </row>
        <row r="452">
          <cell r="C452">
            <v>610</v>
          </cell>
          <cell r="D452" t="str">
            <v>-  75 mm.x200 mm. WIRE WAY</v>
          </cell>
          <cell r="E452">
            <v>446</v>
          </cell>
          <cell r="F452">
            <v>28</v>
          </cell>
          <cell r="G452" t="str">
            <v>M.</v>
          </cell>
        </row>
        <row r="453">
          <cell r="C453">
            <v>611</v>
          </cell>
          <cell r="D453" t="str">
            <v>-  75 mm.x250 mm. WIRE WAY</v>
          </cell>
          <cell r="E453">
            <v>520</v>
          </cell>
          <cell r="F453">
            <v>32</v>
          </cell>
          <cell r="G453" t="str">
            <v>M.</v>
          </cell>
        </row>
        <row r="454">
          <cell r="C454">
            <v>612</v>
          </cell>
          <cell r="D454" t="str">
            <v>-  75 mm.x300 mm. WIRE WAY</v>
          </cell>
          <cell r="E454">
            <v>590</v>
          </cell>
          <cell r="F454">
            <v>35</v>
          </cell>
          <cell r="G454" t="str">
            <v>M.</v>
          </cell>
        </row>
        <row r="455">
          <cell r="C455">
            <v>613</v>
          </cell>
          <cell r="D455" t="str">
            <v>-  100 mm.x100 mm. WIRE WAY</v>
          </cell>
          <cell r="E455">
            <v>340</v>
          </cell>
          <cell r="F455">
            <v>23</v>
          </cell>
          <cell r="G455" t="str">
            <v>M.</v>
          </cell>
        </row>
        <row r="456">
          <cell r="C456">
            <v>614</v>
          </cell>
          <cell r="D456" t="str">
            <v>-  100 mm.x150 mm. WIRE WAY</v>
          </cell>
          <cell r="E456">
            <v>400</v>
          </cell>
          <cell r="F456">
            <v>26</v>
          </cell>
          <cell r="G456" t="str">
            <v>M.</v>
          </cell>
        </row>
        <row r="457">
          <cell r="C457">
            <v>615</v>
          </cell>
          <cell r="D457" t="str">
            <v>-  100 mm.x200 mm. WIRE WAY</v>
          </cell>
          <cell r="E457">
            <v>483</v>
          </cell>
          <cell r="F457">
            <v>29</v>
          </cell>
          <cell r="G457" t="str">
            <v>M.</v>
          </cell>
        </row>
        <row r="458">
          <cell r="C458">
            <v>616</v>
          </cell>
          <cell r="D458" t="str">
            <v>-  100 mm.x250 mm. WIRE WAY</v>
          </cell>
          <cell r="E458">
            <v>550</v>
          </cell>
          <cell r="F458">
            <v>34</v>
          </cell>
          <cell r="G458" t="str">
            <v>M.</v>
          </cell>
        </row>
        <row r="459">
          <cell r="C459">
            <v>617</v>
          </cell>
          <cell r="D459" t="str">
            <v>-  100 mm.x300 mm. WIRE WAY</v>
          </cell>
          <cell r="E459">
            <v>630</v>
          </cell>
          <cell r="F459">
            <v>37</v>
          </cell>
          <cell r="G459" t="str">
            <v>M.</v>
          </cell>
        </row>
        <row r="460">
          <cell r="C460">
            <v>618</v>
          </cell>
          <cell r="D460" t="str">
            <v>-  100 mm.x350 mm. WIRE WAY</v>
          </cell>
          <cell r="E460">
            <v>700</v>
          </cell>
          <cell r="F460">
            <v>40</v>
          </cell>
          <cell r="G460" t="str">
            <v>M.</v>
          </cell>
        </row>
        <row r="461">
          <cell r="C461">
            <v>619</v>
          </cell>
          <cell r="D461" t="str">
            <v>-  150 mm.x150 mm. WIRE WAY</v>
          </cell>
          <cell r="E461">
            <v>483</v>
          </cell>
          <cell r="F461">
            <v>29</v>
          </cell>
          <cell r="G461" t="str">
            <v>M.</v>
          </cell>
        </row>
        <row r="462">
          <cell r="C462">
            <v>620</v>
          </cell>
          <cell r="D462" t="str">
            <v>-  150 mm.x200 mm. WIRE WAY</v>
          </cell>
          <cell r="E462">
            <v>550</v>
          </cell>
          <cell r="F462">
            <v>34</v>
          </cell>
          <cell r="G462" t="str">
            <v>M.</v>
          </cell>
        </row>
        <row r="463">
          <cell r="C463">
            <v>621</v>
          </cell>
          <cell r="D463" t="str">
            <v>-  150 mm.x250 mm. WIRE WAY</v>
          </cell>
          <cell r="E463">
            <v>630</v>
          </cell>
          <cell r="F463">
            <v>37</v>
          </cell>
          <cell r="G463" t="str">
            <v>M.</v>
          </cell>
        </row>
        <row r="464">
          <cell r="C464">
            <v>622</v>
          </cell>
          <cell r="D464" t="str">
            <v>-  150 mm.x300 mm. WIRE WAY</v>
          </cell>
          <cell r="E464">
            <v>700</v>
          </cell>
          <cell r="F464">
            <v>40</v>
          </cell>
          <cell r="G464" t="str">
            <v>M.</v>
          </cell>
        </row>
        <row r="465">
          <cell r="C465">
            <v>623</v>
          </cell>
          <cell r="D465" t="str">
            <v>-  150 mm.x350 mm. WIRE WAY</v>
          </cell>
          <cell r="E465">
            <v>775</v>
          </cell>
          <cell r="F465">
            <v>45</v>
          </cell>
          <cell r="G465" t="str">
            <v>M.</v>
          </cell>
        </row>
        <row r="466">
          <cell r="C466">
            <v>624</v>
          </cell>
          <cell r="D466" t="str">
            <v>-  150 mm.x400 mm. WIRE WAY</v>
          </cell>
          <cell r="E466">
            <v>846</v>
          </cell>
          <cell r="F466">
            <v>48</v>
          </cell>
          <cell r="G466" t="str">
            <v>M.</v>
          </cell>
        </row>
        <row r="467">
          <cell r="C467">
            <v>625</v>
          </cell>
          <cell r="D467" t="str">
            <v>-  200 mm.x200 mm. WIRE WAY</v>
          </cell>
          <cell r="E467">
            <v>500</v>
          </cell>
          <cell r="F467">
            <v>31</v>
          </cell>
          <cell r="G467" t="str">
            <v>M.</v>
          </cell>
        </row>
        <row r="468">
          <cell r="C468">
            <v>626</v>
          </cell>
          <cell r="D468" t="str">
            <v>-  200 mm.x250 mm. WIRE WAY</v>
          </cell>
          <cell r="E468">
            <v>575</v>
          </cell>
          <cell r="F468">
            <v>35</v>
          </cell>
          <cell r="G468" t="str">
            <v>M.</v>
          </cell>
        </row>
        <row r="469">
          <cell r="C469">
            <v>627</v>
          </cell>
          <cell r="D469" t="str">
            <v>-  200 mm.x300 mm. WIRE WAY</v>
          </cell>
          <cell r="E469">
            <v>775</v>
          </cell>
          <cell r="F469">
            <v>45</v>
          </cell>
          <cell r="G469" t="str">
            <v>M.</v>
          </cell>
        </row>
        <row r="470">
          <cell r="C470">
            <v>628</v>
          </cell>
          <cell r="D470" t="str">
            <v>-  200 mm.x350 mm. WIRE WAY</v>
          </cell>
          <cell r="E470">
            <v>846</v>
          </cell>
          <cell r="F470">
            <v>48</v>
          </cell>
          <cell r="G470" t="str">
            <v>M.</v>
          </cell>
        </row>
        <row r="471">
          <cell r="C471">
            <v>629</v>
          </cell>
          <cell r="D471" t="str">
            <v>-  200 mm.x400 mm. WIRE WAY</v>
          </cell>
          <cell r="E471">
            <v>920</v>
          </cell>
          <cell r="F471">
            <v>53</v>
          </cell>
          <cell r="G471" t="str">
            <v>M.</v>
          </cell>
        </row>
        <row r="472">
          <cell r="C472">
            <v>630</v>
          </cell>
          <cell r="D472" t="str">
            <v>-  200 mm.x450 mm. WIRE WAY</v>
          </cell>
          <cell r="E472">
            <v>990</v>
          </cell>
          <cell r="F472">
            <v>56</v>
          </cell>
          <cell r="G472" t="str">
            <v>M.</v>
          </cell>
        </row>
        <row r="473">
          <cell r="C473">
            <v>631</v>
          </cell>
          <cell r="D473" t="str">
            <v>-  250 mm.x250 mm. WIRE WAY</v>
          </cell>
          <cell r="E473">
            <v>775</v>
          </cell>
          <cell r="F473">
            <v>45</v>
          </cell>
          <cell r="G473" t="str">
            <v>M.</v>
          </cell>
        </row>
        <row r="474">
          <cell r="C474">
            <v>632</v>
          </cell>
          <cell r="D474" t="str">
            <v>-  250 mm.x300 mm. WIRE WAY</v>
          </cell>
          <cell r="E474">
            <v>846</v>
          </cell>
          <cell r="F474">
            <v>48</v>
          </cell>
          <cell r="G474" t="str">
            <v>M.</v>
          </cell>
        </row>
        <row r="475">
          <cell r="C475">
            <v>633</v>
          </cell>
          <cell r="D475" t="str">
            <v>-  250 mm.x350 mm. WIRE WAY</v>
          </cell>
          <cell r="E475">
            <v>920</v>
          </cell>
          <cell r="F475">
            <v>53</v>
          </cell>
          <cell r="G475" t="str">
            <v>M.</v>
          </cell>
        </row>
        <row r="476">
          <cell r="C476">
            <v>634</v>
          </cell>
          <cell r="D476" t="str">
            <v>-  250 mm.x400 mm. WIRE WAY</v>
          </cell>
          <cell r="E476">
            <v>990</v>
          </cell>
          <cell r="F476">
            <v>56</v>
          </cell>
          <cell r="G476" t="str">
            <v>M.</v>
          </cell>
        </row>
        <row r="477">
          <cell r="C477">
            <v>635</v>
          </cell>
          <cell r="D477" t="str">
            <v>-  250 mm.x450 mm. WIRE WAY</v>
          </cell>
          <cell r="E477">
            <v>1066</v>
          </cell>
          <cell r="F477">
            <v>60</v>
          </cell>
          <cell r="G477" t="str">
            <v>M.</v>
          </cell>
        </row>
        <row r="478">
          <cell r="C478">
            <v>636</v>
          </cell>
          <cell r="D478" t="str">
            <v>-  250 mm.x500 mm. WIRE WAY</v>
          </cell>
          <cell r="E478">
            <v>1138</v>
          </cell>
          <cell r="F478">
            <v>64</v>
          </cell>
          <cell r="G478" t="str">
            <v>M.</v>
          </cell>
        </row>
        <row r="479">
          <cell r="C479">
            <v>637</v>
          </cell>
          <cell r="D479" t="str">
            <v>-  250 mm.x550 mm. WIRE WAY</v>
          </cell>
          <cell r="E479">
            <v>1213</v>
          </cell>
          <cell r="F479">
            <v>70</v>
          </cell>
          <cell r="G479" t="str">
            <v>M.</v>
          </cell>
        </row>
        <row r="480">
          <cell r="D480" t="str">
            <v/>
          </cell>
        </row>
        <row r="481">
          <cell r="C481">
            <v>64</v>
          </cell>
          <cell r="D481" t="str">
            <v>CABLE TRAY ; ( 2.0 mm. THICK)</v>
          </cell>
        </row>
        <row r="482">
          <cell r="C482">
            <v>641</v>
          </cell>
          <cell r="D482" t="str">
            <v>-  100 mm. CABLE TRAY</v>
          </cell>
          <cell r="E482">
            <v>423</v>
          </cell>
          <cell r="F482">
            <v>29</v>
          </cell>
          <cell r="G482" t="str">
            <v>M.</v>
          </cell>
        </row>
        <row r="483">
          <cell r="C483">
            <v>642</v>
          </cell>
          <cell r="D483" t="str">
            <v>-  200 mm. CABLE TRAY</v>
          </cell>
          <cell r="E483">
            <v>533</v>
          </cell>
          <cell r="F483">
            <v>32</v>
          </cell>
          <cell r="G483" t="str">
            <v>M.</v>
          </cell>
        </row>
        <row r="484">
          <cell r="C484">
            <v>643</v>
          </cell>
          <cell r="D484" t="str">
            <v>-  300 mm. CABLE TRAY</v>
          </cell>
          <cell r="E484">
            <v>640</v>
          </cell>
          <cell r="F484">
            <v>35</v>
          </cell>
          <cell r="G484" t="str">
            <v>M.</v>
          </cell>
        </row>
        <row r="485">
          <cell r="C485">
            <v>644</v>
          </cell>
          <cell r="D485" t="str">
            <v>-  400 mm. CABLE TRAY</v>
          </cell>
          <cell r="E485">
            <v>747</v>
          </cell>
          <cell r="F485">
            <v>42</v>
          </cell>
          <cell r="G485" t="str">
            <v>M.</v>
          </cell>
        </row>
        <row r="486">
          <cell r="C486">
            <v>645</v>
          </cell>
          <cell r="D486" t="str">
            <v>-  500 mm. CABLE TRAY</v>
          </cell>
          <cell r="E486">
            <v>877</v>
          </cell>
          <cell r="F486">
            <v>50</v>
          </cell>
          <cell r="G486" t="str">
            <v>M.</v>
          </cell>
        </row>
        <row r="487">
          <cell r="C487">
            <v>646</v>
          </cell>
          <cell r="D487" t="str">
            <v>-  600 mm. CABLE TRAY</v>
          </cell>
          <cell r="E487">
            <v>986</v>
          </cell>
          <cell r="F487">
            <v>55</v>
          </cell>
          <cell r="G487" t="str">
            <v>M.</v>
          </cell>
        </row>
        <row r="488">
          <cell r="C488">
            <v>647</v>
          </cell>
          <cell r="D488" t="str">
            <v>-  700 mm. CABLE TRAY</v>
          </cell>
          <cell r="E488">
            <v>1094</v>
          </cell>
          <cell r="F488">
            <v>61</v>
          </cell>
          <cell r="G488" t="str">
            <v>M.</v>
          </cell>
        </row>
        <row r="489">
          <cell r="C489">
            <v>648</v>
          </cell>
          <cell r="D489" t="str">
            <v>-  800 mm. CABLE TRAY</v>
          </cell>
          <cell r="E489">
            <v>1200</v>
          </cell>
          <cell r="F489">
            <v>70</v>
          </cell>
          <cell r="G489" t="str">
            <v>M.</v>
          </cell>
        </row>
        <row r="490">
          <cell r="C490">
            <v>649</v>
          </cell>
          <cell r="D490" t="str">
            <v>-  900 mm. CABLE TRAY</v>
          </cell>
          <cell r="E490">
            <v>1320</v>
          </cell>
          <cell r="F490">
            <v>78</v>
          </cell>
          <cell r="G490" t="str">
            <v>M.</v>
          </cell>
        </row>
        <row r="491">
          <cell r="C491">
            <v>650</v>
          </cell>
          <cell r="D491" t="str">
            <v>-  1,000 mm. CABLE TRAY</v>
          </cell>
          <cell r="E491">
            <v>1440</v>
          </cell>
          <cell r="F491">
            <v>82</v>
          </cell>
          <cell r="G491" t="str">
            <v>M.</v>
          </cell>
        </row>
        <row r="492">
          <cell r="C492">
            <v>65</v>
          </cell>
          <cell r="D492" t="str">
            <v>CABLE LADDER ; ( 2.0 mm. THICK)</v>
          </cell>
        </row>
        <row r="493">
          <cell r="C493">
            <v>651</v>
          </cell>
          <cell r="D493" t="str">
            <v>-  100 mm. CABLE LADDER</v>
          </cell>
          <cell r="E493">
            <v>563</v>
          </cell>
          <cell r="F493">
            <v>34</v>
          </cell>
          <cell r="G493" t="str">
            <v>M.</v>
          </cell>
        </row>
        <row r="494">
          <cell r="C494">
            <v>652</v>
          </cell>
          <cell r="D494" t="str">
            <v>-  200 mm. CABLE LADDER</v>
          </cell>
          <cell r="E494">
            <v>600</v>
          </cell>
          <cell r="F494">
            <v>36</v>
          </cell>
          <cell r="G494" t="str">
            <v>M.</v>
          </cell>
        </row>
        <row r="495">
          <cell r="C495">
            <v>653</v>
          </cell>
          <cell r="D495" t="str">
            <v>-  300 mm. CABLE LADDER</v>
          </cell>
          <cell r="E495">
            <v>650</v>
          </cell>
          <cell r="F495">
            <v>39</v>
          </cell>
          <cell r="G495" t="str">
            <v>M.</v>
          </cell>
        </row>
        <row r="496">
          <cell r="C496">
            <v>654</v>
          </cell>
          <cell r="D496" t="str">
            <v>-  400 mm. CABLE LADDER</v>
          </cell>
          <cell r="E496">
            <v>690</v>
          </cell>
          <cell r="F496">
            <v>41</v>
          </cell>
          <cell r="G496" t="str">
            <v>M.</v>
          </cell>
        </row>
        <row r="497">
          <cell r="C497">
            <v>655</v>
          </cell>
          <cell r="D497" t="str">
            <v>-  500 mm. CABLE LADDER</v>
          </cell>
          <cell r="E497">
            <v>740</v>
          </cell>
          <cell r="F497">
            <v>43</v>
          </cell>
          <cell r="G497" t="str">
            <v>M.</v>
          </cell>
        </row>
        <row r="498">
          <cell r="C498">
            <v>656</v>
          </cell>
          <cell r="D498" t="str">
            <v>-  600 mm. CABLE LADDER</v>
          </cell>
          <cell r="E498">
            <v>785</v>
          </cell>
          <cell r="F498">
            <v>45</v>
          </cell>
          <cell r="G498" t="str">
            <v>M.</v>
          </cell>
        </row>
        <row r="499">
          <cell r="C499">
            <v>657</v>
          </cell>
          <cell r="D499" t="str">
            <v>-  700 mm. CABLE LADDER</v>
          </cell>
          <cell r="E499">
            <v>830</v>
          </cell>
          <cell r="F499">
            <v>48</v>
          </cell>
          <cell r="G499" t="str">
            <v>M.</v>
          </cell>
        </row>
        <row r="500">
          <cell r="C500">
            <v>658</v>
          </cell>
          <cell r="D500" t="str">
            <v>-  800 mm. CABLE LADDER</v>
          </cell>
          <cell r="E500">
            <v>877</v>
          </cell>
          <cell r="F500">
            <v>50</v>
          </cell>
          <cell r="G500" t="str">
            <v>M.</v>
          </cell>
        </row>
        <row r="501">
          <cell r="C501">
            <v>659</v>
          </cell>
          <cell r="D501" t="str">
            <v>-  900 mm. CABLE LADDER</v>
          </cell>
          <cell r="E501">
            <v>920</v>
          </cell>
          <cell r="F501">
            <v>53</v>
          </cell>
          <cell r="G501" t="str">
            <v>M.</v>
          </cell>
        </row>
        <row r="502">
          <cell r="C502">
            <v>660</v>
          </cell>
          <cell r="D502" t="str">
            <v>-  1,000 mm. CABLE LADDER</v>
          </cell>
          <cell r="E502">
            <v>963</v>
          </cell>
          <cell r="F502">
            <v>56</v>
          </cell>
          <cell r="G502" t="str">
            <v>M.</v>
          </cell>
        </row>
      </sheetData>
      <sheetData sheetId="5" refreshError="1"/>
      <sheetData sheetId="6" refreshError="1"/>
      <sheetData sheetId="7">
        <row r="3">
          <cell r="C3" t="str">
            <v>N0.</v>
          </cell>
        </row>
      </sheetData>
      <sheetData sheetId="8">
        <row r="3">
          <cell r="C3" t="str">
            <v>N0.</v>
          </cell>
        </row>
      </sheetData>
      <sheetData sheetId="9">
        <row r="3">
          <cell r="C3" t="str">
            <v>N0.</v>
          </cell>
        </row>
      </sheetData>
      <sheetData sheetId="10">
        <row r="3">
          <cell r="C3" t="str">
            <v>N0.</v>
          </cell>
        </row>
      </sheetData>
      <sheetData sheetId="11">
        <row r="3">
          <cell r="C3" t="str">
            <v>N0.</v>
          </cell>
        </row>
      </sheetData>
      <sheetData sheetId="12">
        <row r="3">
          <cell r="C3" t="str">
            <v>N0.</v>
          </cell>
        </row>
      </sheetData>
      <sheetData sheetId="13">
        <row r="3">
          <cell r="C3" t="str">
            <v>N0.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sheetData sheetId="523"/>
      <sheetData sheetId="524" refreshError="1"/>
      <sheetData sheetId="525" refreshError="1"/>
      <sheetData sheetId="526" refreshError="1"/>
      <sheetData sheetId="527" refreshError="1"/>
      <sheetData sheetId="528"/>
      <sheetData sheetId="529"/>
      <sheetData sheetId="530" refreshError="1"/>
      <sheetData sheetId="53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sheetData sheetId="556" refreshError="1"/>
      <sheetData sheetId="557" refreshError="1"/>
      <sheetData sheetId="558" refreshError="1"/>
      <sheetData sheetId="55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03 "/>
      <sheetName val="Sheet1"/>
      <sheetName val="Sheet2"/>
      <sheetName val="Sheet3"/>
      <sheetName val="FFGM06-1"/>
      <sheetName val="FFGM06-2 "/>
      <sheetName val="存货汇总表10"/>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fo"/>
      <sheetName val="MENU"/>
      <sheetName val="INDEX"/>
      <sheetName val="OC"/>
      <sheetName val="USD"/>
      <sheetName val="MONTH(AGRO)"/>
      <sheetName val="MONTH(IND)"/>
      <sheetName val="MONTH(NC)"/>
      <sheetName val="MONTH(TW)"/>
      <sheetName val="M&amp;Y(AGRO)"/>
      <sheetName val="Rank(Agro)"/>
      <sheetName val="M&amp;Y(AGRO)分區"/>
      <sheetName val="M&amp;Y(AGRO)分省"/>
      <sheetName val="M&amp;Y(Dragon)"/>
      <sheetName val="M&amp;Y(Oil)"/>
      <sheetName val="M&amp;Y(TW)"/>
      <sheetName val="M&amp;Y(IND)"/>
      <sheetName val="M&amp;Y(NC)"/>
      <sheetName val="OUTPUT(AGRO-FIN)"/>
      <sheetName val="M&amp;Y(NC-NL) "/>
      <sheetName val="M&amp;Y(HKF)"/>
      <sheetName val="YEAR(AGRO)"/>
      <sheetName val="YEAR(IND)"/>
      <sheetName val="OUTPUT(AGRO-OPT)"/>
      <sheetName val="DEC"/>
      <sheetName val="OUTPUT(IND-FIN)"/>
      <sheetName val="OUTPUT(IND-OPT)"/>
      <sheetName val="YEAR(NC)"/>
      <sheetName val="YEAR(TW)"/>
      <sheetName val="OUTPUT(TW-FIN)"/>
      <sheetName val="P VS LY &amp; B(AGRO)"/>
      <sheetName val="P VS LY(AGRO)"/>
      <sheetName val="P VS B(AGRO)"/>
      <sheetName val="P VS LY(IND)"/>
      <sheetName val="P VS B(IND)"/>
      <sheetName val="BUDGET(AGRO-FIN)"/>
      <sheetName val="BUDGET(AGRO-OPT)"/>
      <sheetName val="BUDGET(IND-FIN)"/>
      <sheetName val="BUDGET(IND-OPT)"/>
      <sheetName val="HISTORY(AGRO-FIN)"/>
      <sheetName val="HISTORY(AGRO-OPT)"/>
      <sheetName val="HISTORY(IND-FIN)"/>
      <sheetName val="HISTORY(IND-OPT)"/>
      <sheetName val="HISTORY(NC-FIN)"/>
      <sheetName val="HISTORY(TW-FIN)"/>
      <sheetName val="AGRO-DATA"/>
      <sheetName val="IND-DATA"/>
      <sheetName val="NC-DATA"/>
      <sheetName val="TW-DATA"/>
      <sheetName val="Province &amp; Unit"/>
      <sheetName val="LY(AGRO-FIN)"/>
      <sheetName val="LY(AGRO-OPT)"/>
      <sheetName val="LY(IND-FIN)"/>
      <sheetName val="LY(IND-OPT)"/>
      <sheetName val="LY(NC-FIN)"/>
      <sheetName val="LY(TW-FIN)"/>
      <sheetName val="Period"/>
      <sheetName val="OUTPUT(NC-FIN)"/>
      <sheetName val="存货汇总表10"/>
      <sheetName val="KH-Q1,Q2,01"/>
      <sheetName val="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row r="9">
          <cell r="D9" t="str">
            <v>分區</v>
          </cell>
        </row>
        <row r="10">
          <cell r="D10" t="str">
            <v>柳志誠</v>
          </cell>
        </row>
        <row r="11">
          <cell r="D11" t="str">
            <v>柳志誠</v>
          </cell>
        </row>
        <row r="12">
          <cell r="D12" t="str">
            <v>陳伯正</v>
          </cell>
        </row>
        <row r="13">
          <cell r="D13" t="str">
            <v>柳勤齡</v>
          </cell>
        </row>
        <row r="14">
          <cell r="D14" t="str">
            <v>相福利</v>
          </cell>
        </row>
        <row r="15">
          <cell r="D15" t="str">
            <v>柳志誠</v>
          </cell>
        </row>
        <row r="16">
          <cell r="D16" t="str">
            <v>柳志誠</v>
          </cell>
        </row>
        <row r="17">
          <cell r="D17" t="str">
            <v>其他</v>
          </cell>
        </row>
        <row r="18">
          <cell r="D18" t="str">
            <v>柳志誠</v>
          </cell>
        </row>
        <row r="19">
          <cell r="D19" t="str">
            <v>柳志誠</v>
          </cell>
        </row>
        <row r="20">
          <cell r="D20" t="str">
            <v>柳志誠</v>
          </cell>
        </row>
        <row r="21">
          <cell r="D21" t="str">
            <v>相福利</v>
          </cell>
        </row>
        <row r="22">
          <cell r="D22" t="str">
            <v>姚民僕</v>
          </cell>
        </row>
        <row r="23">
          <cell r="D23" t="str">
            <v>姚民僕</v>
          </cell>
        </row>
        <row r="24">
          <cell r="D24" t="str">
            <v>姚民僕</v>
          </cell>
        </row>
        <row r="25">
          <cell r="D25" t="str">
            <v>吉林德大</v>
          </cell>
        </row>
        <row r="26">
          <cell r="D26" t="str">
            <v>姚民僕</v>
          </cell>
        </row>
        <row r="27">
          <cell r="D27" t="str">
            <v>姚民僕</v>
          </cell>
        </row>
        <row r="28">
          <cell r="D28" t="str">
            <v>其他</v>
          </cell>
        </row>
        <row r="29">
          <cell r="D29" t="str">
            <v>其他</v>
          </cell>
        </row>
        <row r="30">
          <cell r="D30" t="str">
            <v>姚民僕</v>
          </cell>
        </row>
        <row r="31">
          <cell r="D31" t="str">
            <v>姚民僕</v>
          </cell>
        </row>
        <row r="32">
          <cell r="D32" t="str">
            <v>林奕章</v>
          </cell>
        </row>
        <row r="33">
          <cell r="D33" t="str">
            <v>姚民僕</v>
          </cell>
        </row>
        <row r="34">
          <cell r="D34" t="str">
            <v>陳伯正</v>
          </cell>
        </row>
        <row r="35">
          <cell r="D35" t="str">
            <v>姚民僕</v>
          </cell>
        </row>
        <row r="36">
          <cell r="D36" t="str">
            <v>姚民僕</v>
          </cell>
        </row>
        <row r="37">
          <cell r="D37" t="str">
            <v>其他</v>
          </cell>
        </row>
        <row r="38">
          <cell r="D38" t="str">
            <v>白善霖</v>
          </cell>
        </row>
        <row r="39">
          <cell r="D39" t="str">
            <v>柳志誠</v>
          </cell>
        </row>
        <row r="40">
          <cell r="D40" t="str">
            <v>白善霖</v>
          </cell>
        </row>
        <row r="41">
          <cell r="D41" t="str">
            <v>白善霖</v>
          </cell>
        </row>
        <row r="42">
          <cell r="D42" t="str">
            <v>白善霖</v>
          </cell>
        </row>
        <row r="43">
          <cell r="D43" t="str">
            <v>白善霖</v>
          </cell>
        </row>
        <row r="44">
          <cell r="D44" t="str">
            <v>姚民僕</v>
          </cell>
        </row>
        <row r="45">
          <cell r="D45" t="str">
            <v>何炎光</v>
          </cell>
        </row>
        <row r="46">
          <cell r="D46" t="str">
            <v>何炎光</v>
          </cell>
        </row>
        <row r="47">
          <cell r="D47" t="str">
            <v>何炎光</v>
          </cell>
        </row>
        <row r="48">
          <cell r="D48" t="str">
            <v>何炎光</v>
          </cell>
        </row>
        <row r="49">
          <cell r="D49" t="str">
            <v>何炎光</v>
          </cell>
        </row>
        <row r="50">
          <cell r="D50" t="str">
            <v>何炎光</v>
          </cell>
        </row>
        <row r="51">
          <cell r="D51" t="str">
            <v>何炎光</v>
          </cell>
        </row>
        <row r="52">
          <cell r="D52" t="str">
            <v>何炎光</v>
          </cell>
        </row>
        <row r="53">
          <cell r="D53" t="str">
            <v>何炎光</v>
          </cell>
        </row>
        <row r="54">
          <cell r="D54" t="str">
            <v>何炎光</v>
          </cell>
        </row>
        <row r="55">
          <cell r="D55" t="str">
            <v>何炎光</v>
          </cell>
        </row>
        <row r="56">
          <cell r="D56" t="str">
            <v>其他</v>
          </cell>
        </row>
        <row r="57">
          <cell r="D57" t="str">
            <v>何炎光</v>
          </cell>
        </row>
        <row r="58">
          <cell r="D58" t="str">
            <v>柳勤齡</v>
          </cell>
        </row>
        <row r="59">
          <cell r="D59" t="str">
            <v>柳勤齡</v>
          </cell>
        </row>
        <row r="60">
          <cell r="D60" t="str">
            <v>何炎光</v>
          </cell>
        </row>
        <row r="61">
          <cell r="D61" t="str">
            <v>林奕章</v>
          </cell>
        </row>
        <row r="62">
          <cell r="D62" t="str">
            <v>何炎光</v>
          </cell>
        </row>
        <row r="63">
          <cell r="D63" t="str">
            <v>何炎光</v>
          </cell>
        </row>
        <row r="64">
          <cell r="D64" t="str">
            <v>徐立寬</v>
          </cell>
        </row>
        <row r="65">
          <cell r="D65" t="str">
            <v>何炎光</v>
          </cell>
        </row>
        <row r="66">
          <cell r="D66" t="str">
            <v>何炎光</v>
          </cell>
        </row>
        <row r="67">
          <cell r="D67" t="str">
            <v>何炎光</v>
          </cell>
        </row>
        <row r="68">
          <cell r="D68" t="str">
            <v>徐立寬</v>
          </cell>
        </row>
        <row r="69">
          <cell r="D69" t="str">
            <v>徐立寬</v>
          </cell>
        </row>
        <row r="70">
          <cell r="D70" t="str">
            <v>何炎光</v>
          </cell>
        </row>
        <row r="71">
          <cell r="D71" t="str">
            <v>何炎光</v>
          </cell>
        </row>
        <row r="72">
          <cell r="D72" t="str">
            <v>何炎光</v>
          </cell>
        </row>
        <row r="73">
          <cell r="D73" t="str">
            <v>何炎光</v>
          </cell>
        </row>
        <row r="74">
          <cell r="D74" t="str">
            <v>何炎光</v>
          </cell>
        </row>
        <row r="75">
          <cell r="D75" t="str">
            <v>相福利</v>
          </cell>
        </row>
        <row r="76">
          <cell r="D76" t="str">
            <v>相福利</v>
          </cell>
        </row>
        <row r="77">
          <cell r="D77" t="str">
            <v>何炎光</v>
          </cell>
        </row>
        <row r="78">
          <cell r="D78" t="str">
            <v>徐立寬</v>
          </cell>
        </row>
        <row r="79">
          <cell r="D79" t="str">
            <v>柳勤齡</v>
          </cell>
        </row>
        <row r="80">
          <cell r="D80" t="str">
            <v>何炎光</v>
          </cell>
        </row>
        <row r="81">
          <cell r="D81" t="str">
            <v>何炎光</v>
          </cell>
        </row>
        <row r="82">
          <cell r="D82" t="str">
            <v>黃業夫</v>
          </cell>
        </row>
        <row r="83">
          <cell r="D83" t="str">
            <v>黃業夫</v>
          </cell>
        </row>
        <row r="84">
          <cell r="D84" t="str">
            <v>何炎光</v>
          </cell>
        </row>
        <row r="85">
          <cell r="D85" t="str">
            <v>何炎光</v>
          </cell>
        </row>
        <row r="86">
          <cell r="D86" t="str">
            <v>何炎光</v>
          </cell>
        </row>
        <row r="87">
          <cell r="D87" t="str">
            <v>何炎光</v>
          </cell>
        </row>
        <row r="88">
          <cell r="D88" t="str">
            <v>相福利</v>
          </cell>
        </row>
        <row r="89">
          <cell r="D89" t="str">
            <v>何炎光</v>
          </cell>
        </row>
        <row r="90">
          <cell r="D90" t="str">
            <v>何炎光</v>
          </cell>
        </row>
        <row r="91">
          <cell r="D91" t="str">
            <v>黃業夫</v>
          </cell>
        </row>
        <row r="92">
          <cell r="D92" t="str">
            <v>何炎光</v>
          </cell>
        </row>
        <row r="93">
          <cell r="D93" t="str">
            <v>何炎光</v>
          </cell>
        </row>
        <row r="94">
          <cell r="D94" t="str">
            <v>其他</v>
          </cell>
        </row>
        <row r="95">
          <cell r="D95" t="str">
            <v>黃業夫</v>
          </cell>
        </row>
        <row r="96">
          <cell r="D96" t="str">
            <v>其他</v>
          </cell>
        </row>
        <row r="97">
          <cell r="D97" t="str">
            <v>相福利</v>
          </cell>
        </row>
        <row r="98">
          <cell r="D98" t="str">
            <v>相福利</v>
          </cell>
        </row>
        <row r="99">
          <cell r="D99" t="str">
            <v>其他</v>
          </cell>
        </row>
        <row r="100">
          <cell r="D100" t="str">
            <v>何炎光</v>
          </cell>
        </row>
        <row r="101">
          <cell r="D101" t="str">
            <v>何炎光</v>
          </cell>
        </row>
        <row r="102">
          <cell r="D102" t="str">
            <v>黃業夫</v>
          </cell>
        </row>
        <row r="103">
          <cell r="D103" t="str">
            <v>黃業夫</v>
          </cell>
        </row>
        <row r="104">
          <cell r="D104" t="str">
            <v>相福利</v>
          </cell>
        </row>
        <row r="105">
          <cell r="D105" t="str">
            <v>何炎光</v>
          </cell>
        </row>
        <row r="106">
          <cell r="D106" t="str">
            <v>相福利</v>
          </cell>
        </row>
        <row r="107">
          <cell r="D107" t="str">
            <v>黃業夫</v>
          </cell>
        </row>
        <row r="108">
          <cell r="D108" t="str">
            <v>柳勤齡</v>
          </cell>
        </row>
        <row r="109">
          <cell r="D109" t="str">
            <v>其他</v>
          </cell>
        </row>
        <row r="110">
          <cell r="D110" t="str">
            <v>黃元安</v>
          </cell>
        </row>
        <row r="111">
          <cell r="D111" t="str">
            <v>黃元安</v>
          </cell>
        </row>
        <row r="112">
          <cell r="D112" t="str">
            <v>黃元安</v>
          </cell>
        </row>
        <row r="113">
          <cell r="D113" t="str">
            <v>黃元安</v>
          </cell>
        </row>
        <row r="114">
          <cell r="D114" t="str">
            <v>黃元安</v>
          </cell>
        </row>
        <row r="115">
          <cell r="D115" t="str">
            <v>黃元安</v>
          </cell>
        </row>
        <row r="116">
          <cell r="D116" t="str">
            <v>黃元安</v>
          </cell>
        </row>
        <row r="117">
          <cell r="D117" t="str">
            <v>黃元安</v>
          </cell>
        </row>
        <row r="118">
          <cell r="D118" t="str">
            <v>黃元安</v>
          </cell>
        </row>
        <row r="119">
          <cell r="D119" t="str">
            <v>黃元安</v>
          </cell>
        </row>
        <row r="120">
          <cell r="D120" t="str">
            <v>黃元安</v>
          </cell>
        </row>
        <row r="121">
          <cell r="D121" t="str">
            <v>黃元安</v>
          </cell>
        </row>
        <row r="122">
          <cell r="D122" t="str">
            <v>其他</v>
          </cell>
        </row>
        <row r="123">
          <cell r="D123" t="str">
            <v>其他</v>
          </cell>
        </row>
        <row r="124">
          <cell r="D124" t="str">
            <v>徐立寬</v>
          </cell>
        </row>
        <row r="125">
          <cell r="D125" t="str">
            <v>其他</v>
          </cell>
        </row>
        <row r="126">
          <cell r="D126" t="str">
            <v>柳勤齡</v>
          </cell>
        </row>
        <row r="127">
          <cell r="D127" t="str">
            <v>柳勤齡</v>
          </cell>
        </row>
        <row r="128">
          <cell r="D128" t="str">
            <v>何炎光</v>
          </cell>
        </row>
        <row r="129">
          <cell r="D129" t="str">
            <v>柳勤齡</v>
          </cell>
        </row>
        <row r="130">
          <cell r="D130" t="str">
            <v>林奕章</v>
          </cell>
        </row>
        <row r="131">
          <cell r="D131" t="str">
            <v>林奕章</v>
          </cell>
        </row>
        <row r="132">
          <cell r="D132" t="str">
            <v>其他</v>
          </cell>
        </row>
        <row r="133">
          <cell r="D133" t="str">
            <v>相福利</v>
          </cell>
        </row>
        <row r="134">
          <cell r="D134" t="str">
            <v>白善霖</v>
          </cell>
        </row>
        <row r="135">
          <cell r="D135" t="str">
            <v>陳伯正</v>
          </cell>
        </row>
        <row r="136">
          <cell r="D136" t="str">
            <v>陳伯正</v>
          </cell>
        </row>
        <row r="137">
          <cell r="D137" t="str">
            <v>陳伯正</v>
          </cell>
        </row>
      </sheetData>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
      <sheetName val="SH-B"/>
      <sheetName val="SH-C"/>
      <sheetName val="SH-D"/>
      <sheetName val="SH-E"/>
      <sheetName val="SH-F"/>
      <sheetName val="SH-G"/>
      <sheetName val="SH_A"/>
      <sheetName val="SH_B"/>
      <sheetName val="SH_C"/>
      <sheetName val="SH_D"/>
      <sheetName val="SH_E"/>
      <sheetName val="SH_F"/>
      <sheetName val="SH_G"/>
      <sheetName val="실행철강하도"/>
      <sheetName val="Store"/>
      <sheetName val="토공집계표"/>
      <sheetName val="Worksheet"/>
    </sheetNames>
    <sheetDataSet>
      <sheetData sheetId="0" refreshError="1"/>
      <sheetData sheetId="1" refreshError="1"/>
      <sheetData sheetId="2" refreshError="1"/>
      <sheetData sheetId="3" refreshError="1">
        <row r="3">
          <cell r="C3" t="str">
            <v>N0.</v>
          </cell>
          <cell r="D3" t="str">
            <v>DESCRIPTION</v>
          </cell>
          <cell r="E3" t="str">
            <v xml:space="preserve">UNIT  </v>
          </cell>
          <cell r="F3" t="str">
            <v xml:space="preserve">LABOUR </v>
          </cell>
          <cell r="G3" t="str">
            <v>UNIT</v>
          </cell>
        </row>
        <row r="4">
          <cell r="E4" t="str">
            <v>COST</v>
          </cell>
          <cell r="F4" t="str">
            <v>COST</v>
          </cell>
        </row>
        <row r="5">
          <cell r="D5" t="str">
            <v>LIGHTING FIXTURE ,SWITCH, RECEPTACLE,</v>
          </cell>
        </row>
        <row r="6">
          <cell r="D6" t="str">
            <v>DIMMER AND ACCESSORIES</v>
          </cell>
        </row>
        <row r="7">
          <cell r="C7">
            <v>1</v>
          </cell>
          <cell r="D7" t="str">
            <v>SWITCH AND RECEPTACLE</v>
          </cell>
        </row>
        <row r="8">
          <cell r="C8">
            <v>101</v>
          </cell>
          <cell r="D8" t="str">
            <v>-  1-WAY SWITCH, PLASTIC  PLATE</v>
          </cell>
          <cell r="E8">
            <v>75</v>
          </cell>
          <cell r="F8">
            <v>50</v>
          </cell>
          <cell r="G8" t="str">
            <v>SET</v>
          </cell>
        </row>
        <row r="9">
          <cell r="C9">
            <v>102</v>
          </cell>
          <cell r="D9" t="str">
            <v>-  1-WAY SWITCH, ALUMINIUM  PLATE</v>
          </cell>
          <cell r="E9">
            <v>105</v>
          </cell>
          <cell r="F9">
            <v>50</v>
          </cell>
          <cell r="G9" t="str">
            <v>SET</v>
          </cell>
        </row>
        <row r="10">
          <cell r="C10">
            <v>103</v>
          </cell>
          <cell r="D10" t="str">
            <v>-  1-WAY SWITCH, STAINLES  PLATE</v>
          </cell>
          <cell r="E10">
            <v>120</v>
          </cell>
          <cell r="F10">
            <v>50</v>
          </cell>
          <cell r="G10" t="str">
            <v>SET</v>
          </cell>
        </row>
        <row r="11">
          <cell r="C11">
            <v>104</v>
          </cell>
          <cell r="D11" t="str">
            <v>-  1-WAY SWITCH, PLASTIC PLATE, LIVING STYLE</v>
          </cell>
          <cell r="E11">
            <v>360</v>
          </cell>
          <cell r="F11">
            <v>50</v>
          </cell>
          <cell r="G11" t="str">
            <v>SET</v>
          </cell>
        </row>
        <row r="12">
          <cell r="C12">
            <v>105</v>
          </cell>
          <cell r="D12" t="str">
            <v>-  1-WAY SWITCH, CHROMIUM PLATE, LIVING STYLE</v>
          </cell>
          <cell r="E12">
            <v>620</v>
          </cell>
          <cell r="F12">
            <v>50</v>
          </cell>
          <cell r="G12" t="str">
            <v>SET</v>
          </cell>
        </row>
        <row r="13">
          <cell r="C13">
            <v>106</v>
          </cell>
          <cell r="D13" t="str">
            <v>-  2-WAY SWITCH, PLASTIC PLATE</v>
          </cell>
          <cell r="E13">
            <v>90</v>
          </cell>
          <cell r="F13">
            <v>70</v>
          </cell>
          <cell r="G13" t="str">
            <v>SET</v>
          </cell>
        </row>
        <row r="14">
          <cell r="C14">
            <v>107</v>
          </cell>
          <cell r="D14" t="str">
            <v>-  2-WAY SWITCH, ALUMINIUM PLATE</v>
          </cell>
          <cell r="E14">
            <v>120</v>
          </cell>
          <cell r="F14">
            <v>70</v>
          </cell>
          <cell r="G14" t="str">
            <v>SET</v>
          </cell>
        </row>
        <row r="15">
          <cell r="C15">
            <v>108</v>
          </cell>
          <cell r="D15" t="str">
            <v>-  2-WAY SWITCH, STAINLESS PLATE</v>
          </cell>
          <cell r="E15">
            <v>135</v>
          </cell>
          <cell r="F15">
            <v>70</v>
          </cell>
          <cell r="G15" t="str">
            <v>SET</v>
          </cell>
        </row>
        <row r="16">
          <cell r="C16">
            <v>109</v>
          </cell>
          <cell r="D16" t="str">
            <v>-  2-WAY SWITCH, PLASTIC PLATE, LIVING STYLE</v>
          </cell>
          <cell r="E16">
            <v>380</v>
          </cell>
          <cell r="F16">
            <v>70</v>
          </cell>
          <cell r="G16" t="str">
            <v>SET</v>
          </cell>
        </row>
        <row r="17">
          <cell r="C17">
            <v>110</v>
          </cell>
          <cell r="D17" t="str">
            <v>-  2-WAY SWITCH, CHROMIUM PLATE, LIVING STYLE</v>
          </cell>
          <cell r="E17">
            <v>460</v>
          </cell>
          <cell r="F17">
            <v>70</v>
          </cell>
          <cell r="G17" t="str">
            <v>SET</v>
          </cell>
        </row>
        <row r="18">
          <cell r="C18">
            <v>111</v>
          </cell>
          <cell r="D18" t="str">
            <v>-  4-WAY SWITCH, PLASTIC PLATE</v>
          </cell>
          <cell r="E18">
            <v>255</v>
          </cell>
          <cell r="F18">
            <v>80</v>
          </cell>
          <cell r="G18" t="str">
            <v>SET</v>
          </cell>
        </row>
        <row r="19">
          <cell r="C19">
            <v>112</v>
          </cell>
          <cell r="D19" t="str">
            <v>-  4-WAY SWITCH, ALUMINIUM PLATE</v>
          </cell>
          <cell r="E19">
            <v>285</v>
          </cell>
          <cell r="F19">
            <v>80</v>
          </cell>
          <cell r="G19" t="str">
            <v>SET</v>
          </cell>
        </row>
        <row r="20">
          <cell r="C20">
            <v>113</v>
          </cell>
          <cell r="D20" t="str">
            <v>-  4-WAY SWITCH, STAINLESS PLATE</v>
          </cell>
          <cell r="E20">
            <v>300</v>
          </cell>
          <cell r="F20">
            <v>80</v>
          </cell>
          <cell r="G20" t="str">
            <v>SET</v>
          </cell>
        </row>
        <row r="21">
          <cell r="C21">
            <v>114</v>
          </cell>
          <cell r="D21" t="str">
            <v>-  4-WAY SWITCH, PLASTIC PLATE, LIVING STYLE</v>
          </cell>
          <cell r="E21">
            <v>475</v>
          </cell>
          <cell r="F21">
            <v>80</v>
          </cell>
          <cell r="G21" t="str">
            <v>SET</v>
          </cell>
        </row>
        <row r="22">
          <cell r="C22">
            <v>115</v>
          </cell>
          <cell r="D22" t="str">
            <v>-  4-WAY SWITCH, CHROMIUM PLATE, LIVING STYLE</v>
          </cell>
          <cell r="E22">
            <v>735</v>
          </cell>
          <cell r="F22">
            <v>80</v>
          </cell>
          <cell r="G22" t="str">
            <v>SET</v>
          </cell>
        </row>
        <row r="23">
          <cell r="C23">
            <v>116</v>
          </cell>
          <cell r="D23" t="str">
            <v>-  PILOT LAMP 1-W. SWITCH. PLASTIC PLATE</v>
          </cell>
          <cell r="E23">
            <v>185</v>
          </cell>
          <cell r="F23">
            <v>50</v>
          </cell>
          <cell r="G23" t="str">
            <v>SET</v>
          </cell>
        </row>
        <row r="24">
          <cell r="C24">
            <v>117</v>
          </cell>
          <cell r="D24" t="str">
            <v>-  PILOT LAMP 1-W. SWITCH. ALUMINIUM PLATE</v>
          </cell>
          <cell r="E24">
            <v>215</v>
          </cell>
          <cell r="F24">
            <v>50</v>
          </cell>
          <cell r="G24" t="str">
            <v>SET</v>
          </cell>
        </row>
        <row r="25">
          <cell r="C25">
            <v>118</v>
          </cell>
          <cell r="D25" t="str">
            <v>-  PILOT LAMP 1-W. SWITCH. STAINLESS PLATE</v>
          </cell>
          <cell r="E25">
            <v>230</v>
          </cell>
          <cell r="F25">
            <v>50</v>
          </cell>
          <cell r="G25" t="str">
            <v>SET</v>
          </cell>
        </row>
        <row r="26">
          <cell r="C26">
            <v>119</v>
          </cell>
          <cell r="D26" t="str">
            <v>-  PILOT LAMP 1-W. SWITCH. PLASTIC PLATE, LIVING STYLE</v>
          </cell>
          <cell r="E26">
            <v>440</v>
          </cell>
          <cell r="F26">
            <v>50</v>
          </cell>
          <cell r="G26" t="str">
            <v>SET</v>
          </cell>
        </row>
        <row r="27">
          <cell r="C27">
            <v>120</v>
          </cell>
          <cell r="D27" t="str">
            <v>-  PILOT LAMP 1-W. SWITCH. CHROMIUM PLATE, LIVING STYLE</v>
          </cell>
          <cell r="E27">
            <v>700</v>
          </cell>
          <cell r="F27">
            <v>50</v>
          </cell>
          <cell r="G27" t="str">
            <v>SET</v>
          </cell>
        </row>
        <row r="28">
          <cell r="C28">
            <v>121</v>
          </cell>
          <cell r="D28" t="str">
            <v>-  DIMMER 1-W. SWITCH. PLASTIC PLATE</v>
          </cell>
          <cell r="E28">
            <v>460</v>
          </cell>
          <cell r="F28">
            <v>70</v>
          </cell>
          <cell r="G28" t="str">
            <v>SET</v>
          </cell>
        </row>
        <row r="29">
          <cell r="C29">
            <v>122</v>
          </cell>
          <cell r="D29" t="str">
            <v>-  DIMMER 1-W. SWITCH. ALUMINIUM PLATE</v>
          </cell>
          <cell r="E29">
            <v>500</v>
          </cell>
          <cell r="F29">
            <v>70</v>
          </cell>
          <cell r="G29" t="str">
            <v>SET</v>
          </cell>
        </row>
        <row r="30">
          <cell r="C30">
            <v>123</v>
          </cell>
          <cell r="D30" t="str">
            <v>-  DIMMER 1-W. SWITCH. STAINLESS PLATE</v>
          </cell>
          <cell r="E30">
            <v>520</v>
          </cell>
          <cell r="F30">
            <v>70</v>
          </cell>
          <cell r="G30" t="str">
            <v>SET</v>
          </cell>
        </row>
        <row r="31">
          <cell r="C31">
            <v>124</v>
          </cell>
          <cell r="D31" t="str">
            <v>-  DIMMER 1-W. SWITCH. PLASTIC PLATE, LIVING STYLE</v>
          </cell>
          <cell r="E31">
            <v>760</v>
          </cell>
          <cell r="F31">
            <v>70</v>
          </cell>
          <cell r="G31" t="str">
            <v>SET</v>
          </cell>
        </row>
        <row r="32">
          <cell r="C32">
            <v>125</v>
          </cell>
          <cell r="D32" t="str">
            <v>-  DIMMER 1-W. SWITCH. CHROMIUM PLATE, LIVING STYLE</v>
          </cell>
          <cell r="E32">
            <v>1000</v>
          </cell>
          <cell r="F32">
            <v>70</v>
          </cell>
          <cell r="G32" t="str">
            <v>SET</v>
          </cell>
        </row>
        <row r="33">
          <cell r="C33">
            <v>126</v>
          </cell>
          <cell r="D33" t="str">
            <v>-  DIMMER 2-W. SWITCH. PLASTIC PLATE</v>
          </cell>
          <cell r="E33">
            <v>680</v>
          </cell>
          <cell r="F33">
            <v>70</v>
          </cell>
          <cell r="G33" t="str">
            <v>SET</v>
          </cell>
        </row>
        <row r="34">
          <cell r="C34">
            <v>127</v>
          </cell>
          <cell r="D34" t="str">
            <v>-  DIMMER 2-W. SWITCH. ALUMINIUM PLATE</v>
          </cell>
          <cell r="E34">
            <v>700</v>
          </cell>
          <cell r="F34">
            <v>80</v>
          </cell>
          <cell r="G34" t="str">
            <v>SET</v>
          </cell>
        </row>
        <row r="35">
          <cell r="C35">
            <v>128</v>
          </cell>
          <cell r="D35" t="str">
            <v>-  DIMMER 2-W. SWITCH. STAINLESS PLATE</v>
          </cell>
          <cell r="E35">
            <v>720</v>
          </cell>
          <cell r="F35">
            <v>80</v>
          </cell>
          <cell r="G35" t="str">
            <v>SET</v>
          </cell>
        </row>
        <row r="36">
          <cell r="C36">
            <v>129</v>
          </cell>
          <cell r="D36" t="str">
            <v>-  DIMMER 2-W. SWITCH. PLASTIC PLATE, LIVING STYLE</v>
          </cell>
          <cell r="E36">
            <v>950</v>
          </cell>
          <cell r="F36">
            <v>80</v>
          </cell>
          <cell r="G36" t="str">
            <v>SET</v>
          </cell>
        </row>
        <row r="37">
          <cell r="C37">
            <v>130</v>
          </cell>
          <cell r="D37" t="str">
            <v>-  DIMMER 2-W. SWITCH. CHROMIUM PLATE, LIVING STYLE</v>
          </cell>
          <cell r="E37">
            <v>1200</v>
          </cell>
          <cell r="F37">
            <v>90</v>
          </cell>
          <cell r="G37" t="str">
            <v>SET</v>
          </cell>
        </row>
        <row r="38">
          <cell r="C38">
            <v>131</v>
          </cell>
          <cell r="D38" t="str">
            <v>-  DIMMER 4-W. SWITCH. PLASTIC PLATE</v>
          </cell>
          <cell r="E38">
            <v>1100</v>
          </cell>
          <cell r="F38">
            <v>90</v>
          </cell>
          <cell r="G38" t="str">
            <v>SET</v>
          </cell>
        </row>
        <row r="39">
          <cell r="C39">
            <v>132</v>
          </cell>
          <cell r="D39" t="str">
            <v>-  DIMMER 4-W. SWITCH. ALUMINIUM PLATE</v>
          </cell>
          <cell r="E39">
            <v>1200</v>
          </cell>
          <cell r="F39">
            <v>90</v>
          </cell>
          <cell r="G39" t="str">
            <v>SET</v>
          </cell>
        </row>
        <row r="40">
          <cell r="C40">
            <v>133</v>
          </cell>
          <cell r="D40" t="str">
            <v>-  DIMMER 4-W. SWITCH. STAINLESS PLATE</v>
          </cell>
          <cell r="E40">
            <v>1250</v>
          </cell>
          <cell r="F40">
            <v>90</v>
          </cell>
          <cell r="G40" t="str">
            <v>SET</v>
          </cell>
        </row>
        <row r="41">
          <cell r="C41">
            <v>134</v>
          </cell>
          <cell r="D41" t="str">
            <v>-  DIMMER 4-W. SWITCH. PLASTIC PLATE, LIVING STYLE</v>
          </cell>
          <cell r="E41">
            <v>2500</v>
          </cell>
          <cell r="F41">
            <v>90</v>
          </cell>
          <cell r="G41" t="str">
            <v>SET</v>
          </cell>
        </row>
        <row r="42">
          <cell r="C42">
            <v>135</v>
          </cell>
          <cell r="D42" t="str">
            <v>-  DIMMER 4-W. SWITCH. CHROMIUM PLATE, LIVING STYLE</v>
          </cell>
          <cell r="E42">
            <v>2800</v>
          </cell>
          <cell r="F42">
            <v>90</v>
          </cell>
          <cell r="G42" t="str">
            <v>SET</v>
          </cell>
        </row>
        <row r="43">
          <cell r="D43" t="str">
            <v>SPACE</v>
          </cell>
        </row>
        <row r="44">
          <cell r="C44">
            <v>141</v>
          </cell>
          <cell r="D44" t="str">
            <v>-  SIMPLEX RECEPTACLE,2P+G, PLASTIC PLATE</v>
          </cell>
          <cell r="E44">
            <v>120</v>
          </cell>
          <cell r="F44">
            <v>50</v>
          </cell>
          <cell r="G44" t="str">
            <v>SET</v>
          </cell>
        </row>
        <row r="45">
          <cell r="C45">
            <v>142</v>
          </cell>
          <cell r="D45" t="str">
            <v>-  SIMPLEX RECEPTACLE,2P+G, ALUMINIUM PLATE</v>
          </cell>
          <cell r="E45">
            <v>150</v>
          </cell>
          <cell r="F45">
            <v>50</v>
          </cell>
          <cell r="G45" t="str">
            <v>SET</v>
          </cell>
        </row>
        <row r="46">
          <cell r="C46">
            <v>143</v>
          </cell>
          <cell r="D46" t="str">
            <v>-  SIMPLEX RECEPTACLE,2P+G, STAINLESS PLATE</v>
          </cell>
          <cell r="E46">
            <v>160</v>
          </cell>
          <cell r="F46">
            <v>50</v>
          </cell>
          <cell r="G46" t="str">
            <v>SET</v>
          </cell>
        </row>
        <row r="47">
          <cell r="C47">
            <v>144</v>
          </cell>
          <cell r="D47" t="str">
            <v>-  SIMPLEX RECEPTACLE,2P, PLASTIC PLATE</v>
          </cell>
          <cell r="E47">
            <v>80</v>
          </cell>
          <cell r="F47">
            <v>50</v>
          </cell>
          <cell r="G47" t="str">
            <v>SET</v>
          </cell>
        </row>
        <row r="48">
          <cell r="C48">
            <v>145</v>
          </cell>
          <cell r="D48" t="str">
            <v>-  SIMPLEX RECEPTACLE,2P, ALUMINIUM PLATE</v>
          </cell>
          <cell r="E48">
            <v>110</v>
          </cell>
          <cell r="F48">
            <v>50</v>
          </cell>
          <cell r="G48" t="str">
            <v>SET</v>
          </cell>
        </row>
        <row r="49">
          <cell r="C49">
            <v>146</v>
          </cell>
          <cell r="D49" t="str">
            <v>-  SIMPLEX RECEPTACLE,2P, STAINLESS PLATE</v>
          </cell>
          <cell r="E49">
            <v>120</v>
          </cell>
          <cell r="F49">
            <v>50</v>
          </cell>
          <cell r="G49" t="str">
            <v>SET</v>
          </cell>
        </row>
        <row r="50">
          <cell r="C50">
            <v>147</v>
          </cell>
          <cell r="D50" t="str">
            <v>-  DUPLEX RECEPTACLE,2P+G, PLASTIC PLATE</v>
          </cell>
          <cell r="E50">
            <v>200</v>
          </cell>
          <cell r="F50">
            <v>70</v>
          </cell>
          <cell r="G50" t="str">
            <v>SET</v>
          </cell>
        </row>
        <row r="51">
          <cell r="C51">
            <v>148</v>
          </cell>
          <cell r="D51" t="str">
            <v>-  DUPLEX RECEPTACLE,2P+G, ALUMINIUM PLATE</v>
          </cell>
          <cell r="E51">
            <v>220</v>
          </cell>
          <cell r="F51">
            <v>70</v>
          </cell>
          <cell r="G51" t="str">
            <v>SET</v>
          </cell>
        </row>
        <row r="52">
          <cell r="C52">
            <v>149</v>
          </cell>
          <cell r="D52" t="str">
            <v>-  DUPLEX RECEPTACLE,2P+G, STAINLESS PLATE</v>
          </cell>
          <cell r="E52">
            <v>240</v>
          </cell>
          <cell r="F52">
            <v>70</v>
          </cell>
          <cell r="G52" t="str">
            <v>SET</v>
          </cell>
        </row>
        <row r="53">
          <cell r="C53">
            <v>150</v>
          </cell>
          <cell r="D53" t="str">
            <v>-  DUPLEX RECEPTACLE,2P, PLASTIC PLATE</v>
          </cell>
          <cell r="E53">
            <v>120</v>
          </cell>
          <cell r="F53">
            <v>70</v>
          </cell>
          <cell r="G53" t="str">
            <v>SET</v>
          </cell>
        </row>
        <row r="54">
          <cell r="C54">
            <v>151</v>
          </cell>
          <cell r="D54" t="str">
            <v>-  DUPLEX RECEPTACLE,2P, ALUMINIUM PLATE</v>
          </cell>
          <cell r="E54">
            <v>140</v>
          </cell>
          <cell r="F54">
            <v>70</v>
          </cell>
          <cell r="G54" t="str">
            <v>SET</v>
          </cell>
        </row>
        <row r="55">
          <cell r="C55">
            <v>152</v>
          </cell>
          <cell r="D55" t="str">
            <v>-  DUPLEX RECEPTACLE,2P, STAINLESS PLATE</v>
          </cell>
          <cell r="E55">
            <v>160</v>
          </cell>
          <cell r="F55">
            <v>70</v>
          </cell>
          <cell r="G55" t="str">
            <v>SET</v>
          </cell>
        </row>
        <row r="56">
          <cell r="C56">
            <v>153</v>
          </cell>
          <cell r="D56" t="str">
            <v>-  SIMPLEX RECEPTACLE,2P+G, PLASTIC PLATE,LIVING STYLE</v>
          </cell>
          <cell r="E56">
            <v>405</v>
          </cell>
          <cell r="F56">
            <v>50</v>
          </cell>
          <cell r="G56" t="str">
            <v>SET</v>
          </cell>
        </row>
        <row r="57">
          <cell r="C57">
            <v>154</v>
          </cell>
          <cell r="D57" t="str">
            <v>-  SIMPLEX RECEPTACLE,2P+G, CHROMINIUM PLATE, LIVING STYLE</v>
          </cell>
          <cell r="E57">
            <v>665</v>
          </cell>
          <cell r="F57">
            <v>50</v>
          </cell>
          <cell r="G57" t="str">
            <v>SET</v>
          </cell>
        </row>
        <row r="58">
          <cell r="C58">
            <v>155</v>
          </cell>
          <cell r="D58" t="str">
            <v>-  DUPLEX RECEPTACLE,2P+G, PLASTIC PLATE, LIVING STYLE</v>
          </cell>
          <cell r="E58">
            <v>550</v>
          </cell>
          <cell r="F58">
            <v>70</v>
          </cell>
          <cell r="G58" t="str">
            <v>SET</v>
          </cell>
        </row>
        <row r="59">
          <cell r="C59">
            <v>156</v>
          </cell>
          <cell r="D59" t="str">
            <v>-  DUPLEX RECEPTACLE,2P+G, CHROMINIUM PLATE, LIVING STYLE</v>
          </cell>
          <cell r="E59">
            <v>810</v>
          </cell>
          <cell r="F59">
            <v>70</v>
          </cell>
          <cell r="G59" t="str">
            <v>SET</v>
          </cell>
        </row>
        <row r="60">
          <cell r="C60">
            <v>157</v>
          </cell>
          <cell r="D60" t="str">
            <v>-  SIMPLEX RECEPTACLE, 2P+G, POP UP TYPE</v>
          </cell>
          <cell r="E60">
            <v>1400</v>
          </cell>
          <cell r="F60">
            <v>70</v>
          </cell>
          <cell r="G60" t="str">
            <v>SET</v>
          </cell>
        </row>
        <row r="61">
          <cell r="C61">
            <v>158</v>
          </cell>
          <cell r="D61" t="str">
            <v>-  DUPLEX RECEPTACLE, 2P+G, POP UP TYPE</v>
          </cell>
          <cell r="E61">
            <v>2200</v>
          </cell>
          <cell r="F61">
            <v>70</v>
          </cell>
          <cell r="G61" t="str">
            <v>SET</v>
          </cell>
        </row>
        <row r="62">
          <cell r="C62">
            <v>159</v>
          </cell>
          <cell r="D62" t="str">
            <v>-  SHAVER OUTLET W./ISOLATING TRANSFORMER</v>
          </cell>
          <cell r="E62">
            <v>1500</v>
          </cell>
          <cell r="F62">
            <v>70</v>
          </cell>
          <cell r="G62" t="str">
            <v>SET</v>
          </cell>
        </row>
        <row r="63">
          <cell r="D63" t="str">
            <v>SPACE</v>
          </cell>
        </row>
        <row r="64">
          <cell r="C64">
            <v>161</v>
          </cell>
          <cell r="D64" t="str">
            <v>-  1-WAY SWITCH,WEATHER PROOF</v>
          </cell>
          <cell r="E64">
            <v>280</v>
          </cell>
          <cell r="F64">
            <v>70</v>
          </cell>
          <cell r="G64" t="str">
            <v>SET</v>
          </cell>
        </row>
        <row r="65">
          <cell r="C65">
            <v>162</v>
          </cell>
          <cell r="D65" t="str">
            <v>-  2-WAY SWITCH,WEATHER PROOF</v>
          </cell>
          <cell r="E65">
            <v>300</v>
          </cell>
          <cell r="F65">
            <v>70</v>
          </cell>
          <cell r="G65" t="str">
            <v>SET</v>
          </cell>
        </row>
        <row r="66">
          <cell r="C66">
            <v>163</v>
          </cell>
          <cell r="D66" t="str">
            <v>-  4-WAY SWITCH,WEATHER PROOF</v>
          </cell>
          <cell r="E66">
            <v>460</v>
          </cell>
          <cell r="F66">
            <v>70</v>
          </cell>
          <cell r="G66" t="str">
            <v>SET</v>
          </cell>
        </row>
        <row r="67">
          <cell r="C67">
            <v>164</v>
          </cell>
          <cell r="D67" t="str">
            <v>-  SIMPLEX RECEPTACLE, 2P+G, WEATHER PROOF</v>
          </cell>
          <cell r="E67">
            <v>340</v>
          </cell>
          <cell r="F67">
            <v>70</v>
          </cell>
          <cell r="G67" t="str">
            <v>SET</v>
          </cell>
        </row>
        <row r="68">
          <cell r="C68">
            <v>165</v>
          </cell>
          <cell r="D68" t="str">
            <v>-  SIMPLEX RECEPTACLE, 2P, WEATHER PROOF</v>
          </cell>
          <cell r="E68">
            <v>300</v>
          </cell>
          <cell r="F68">
            <v>70</v>
          </cell>
          <cell r="G68" t="str">
            <v>SET</v>
          </cell>
        </row>
        <row r="69">
          <cell r="C69">
            <v>166</v>
          </cell>
          <cell r="D69" t="str">
            <v>-  DUPLEX RECEPTACLE, 2P+G, WEATHER PROOF</v>
          </cell>
          <cell r="E69">
            <v>420</v>
          </cell>
          <cell r="F69">
            <v>70</v>
          </cell>
          <cell r="G69" t="str">
            <v>SET</v>
          </cell>
        </row>
        <row r="70">
          <cell r="C70">
            <v>167</v>
          </cell>
          <cell r="D70" t="str">
            <v>-  DUPLEX RECEPTACLE, 2P, WEATHER PROOF</v>
          </cell>
          <cell r="E70">
            <v>340</v>
          </cell>
          <cell r="F70">
            <v>70</v>
          </cell>
          <cell r="G70" t="str">
            <v>SET</v>
          </cell>
        </row>
        <row r="71">
          <cell r="D71" t="str">
            <v>SPACE</v>
          </cell>
        </row>
        <row r="72">
          <cell r="C72">
            <v>171</v>
          </cell>
          <cell r="D72" t="str">
            <v>-  POWER PLUG 2P 15A. 250V.</v>
          </cell>
          <cell r="E72">
            <v>150</v>
          </cell>
          <cell r="F72">
            <v>80</v>
          </cell>
          <cell r="G72" t="str">
            <v>SET</v>
          </cell>
        </row>
        <row r="73">
          <cell r="C73">
            <v>172</v>
          </cell>
          <cell r="D73" t="str">
            <v>-  POWER PLUG 2P 20A. 250V.</v>
          </cell>
          <cell r="E73">
            <v>165</v>
          </cell>
          <cell r="F73">
            <v>80</v>
          </cell>
          <cell r="G73" t="str">
            <v>SET</v>
          </cell>
        </row>
        <row r="74">
          <cell r="C74">
            <v>173</v>
          </cell>
          <cell r="D74" t="str">
            <v>-  POWER PLUG 2P+G 15A. 250V.</v>
          </cell>
          <cell r="E74">
            <v>125</v>
          </cell>
          <cell r="F74">
            <v>80</v>
          </cell>
          <cell r="G74" t="str">
            <v>SET</v>
          </cell>
        </row>
        <row r="75">
          <cell r="C75">
            <v>174</v>
          </cell>
          <cell r="D75" t="str">
            <v>-  POWER PLUG 2P+G 20A. 250V.</v>
          </cell>
          <cell r="E75">
            <v>165</v>
          </cell>
          <cell r="F75">
            <v>80</v>
          </cell>
          <cell r="G75" t="str">
            <v>SET</v>
          </cell>
        </row>
        <row r="76">
          <cell r="C76">
            <v>175</v>
          </cell>
          <cell r="D76" t="str">
            <v>-  POWER PLUG 2P+G 30A. 250V.</v>
          </cell>
          <cell r="E76">
            <v>495</v>
          </cell>
          <cell r="F76">
            <v>100</v>
          </cell>
          <cell r="G76" t="str">
            <v>SET</v>
          </cell>
        </row>
        <row r="77">
          <cell r="C77">
            <v>176</v>
          </cell>
          <cell r="D77" t="str">
            <v>-  POWER PLUG 2P+G 50A. 250V.</v>
          </cell>
          <cell r="E77">
            <v>1780</v>
          </cell>
          <cell r="F77">
            <v>200</v>
          </cell>
          <cell r="G77" t="str">
            <v>SET</v>
          </cell>
        </row>
        <row r="78">
          <cell r="D78" t="str">
            <v>SPACE</v>
          </cell>
        </row>
        <row r="79">
          <cell r="C79">
            <v>181</v>
          </cell>
          <cell r="D79" t="str">
            <v>-  PUSH BUTTON BELL SWITCH</v>
          </cell>
          <cell r="E79">
            <v>160</v>
          </cell>
          <cell r="F79">
            <v>100</v>
          </cell>
          <cell r="G79" t="str">
            <v>SET</v>
          </cell>
        </row>
        <row r="80">
          <cell r="C80">
            <v>182</v>
          </cell>
          <cell r="D80" t="str">
            <v>-  BELL 220 VAC.</v>
          </cell>
          <cell r="E80">
            <v>330</v>
          </cell>
          <cell r="F80">
            <v>100</v>
          </cell>
          <cell r="G80" t="str">
            <v>SET</v>
          </cell>
        </row>
        <row r="81">
          <cell r="C81">
            <v>183</v>
          </cell>
          <cell r="D81" t="str">
            <v>-  BUZZER 220 VAC.</v>
          </cell>
          <cell r="E81">
            <v>330</v>
          </cell>
          <cell r="F81">
            <v>100</v>
          </cell>
          <cell r="G81" t="str">
            <v>SET</v>
          </cell>
        </row>
        <row r="82">
          <cell r="C82">
            <v>184</v>
          </cell>
          <cell r="D82" t="str">
            <v>-  DUTONE BELL</v>
          </cell>
          <cell r="E82">
            <v>200</v>
          </cell>
          <cell r="F82">
            <v>100</v>
          </cell>
          <cell r="G82" t="str">
            <v>SET</v>
          </cell>
        </row>
        <row r="83">
          <cell r="C83">
            <v>2</v>
          </cell>
          <cell r="D83" t="str">
            <v>ACCESSORIES</v>
          </cell>
        </row>
        <row r="84">
          <cell r="C84">
            <v>201</v>
          </cell>
          <cell r="D84" t="str">
            <v>-  SAFETY SWITCH 2P, 30A. FUSIBLE</v>
          </cell>
          <cell r="E84">
            <v>800</v>
          </cell>
          <cell r="F84">
            <v>100</v>
          </cell>
          <cell r="G84" t="str">
            <v>EA.</v>
          </cell>
        </row>
        <row r="85">
          <cell r="C85">
            <v>202</v>
          </cell>
          <cell r="D85" t="str">
            <v>-  SAFETY SWITCH 2P, 60A. FUSIBLE</v>
          </cell>
          <cell r="E85">
            <v>1700</v>
          </cell>
          <cell r="F85">
            <v>150</v>
          </cell>
          <cell r="G85" t="str">
            <v>EA.</v>
          </cell>
        </row>
        <row r="86">
          <cell r="C86">
            <v>203</v>
          </cell>
          <cell r="D86" t="str">
            <v>-  SAFETY SWITCH 2P, 100A. FUSIBLE</v>
          </cell>
          <cell r="E86">
            <v>2500</v>
          </cell>
          <cell r="F86">
            <v>200</v>
          </cell>
          <cell r="G86" t="str">
            <v>EA.</v>
          </cell>
        </row>
        <row r="87">
          <cell r="C87">
            <v>204</v>
          </cell>
          <cell r="D87" t="str">
            <v>-  SAFETY SWITCH 2P, 200A. FUSIBLE</v>
          </cell>
          <cell r="E87">
            <v>5000</v>
          </cell>
          <cell r="F87">
            <v>400</v>
          </cell>
          <cell r="G87" t="str">
            <v>EA.</v>
          </cell>
        </row>
        <row r="88">
          <cell r="C88">
            <v>205</v>
          </cell>
          <cell r="D88" t="str">
            <v>-  SAFETY SWITCH 2P, 400A. FUSIBLE</v>
          </cell>
          <cell r="E88">
            <v>16000</v>
          </cell>
          <cell r="F88">
            <v>500</v>
          </cell>
          <cell r="G88" t="str">
            <v>EA.</v>
          </cell>
        </row>
        <row r="89">
          <cell r="C89">
            <v>206</v>
          </cell>
          <cell r="D89" t="str">
            <v xml:space="preserve">-  SAFETY SWITCH 2P, 30A. NON-FUSIBLE </v>
          </cell>
          <cell r="E89">
            <v>900</v>
          </cell>
          <cell r="F89">
            <v>100</v>
          </cell>
          <cell r="G89" t="str">
            <v>EA.</v>
          </cell>
        </row>
        <row r="90">
          <cell r="C90">
            <v>207</v>
          </cell>
          <cell r="D90" t="str">
            <v xml:space="preserve">-  SAFETY SWITCH 2P, 60A. NON-FUSIBLE </v>
          </cell>
          <cell r="E90">
            <v>1100</v>
          </cell>
          <cell r="F90">
            <v>150</v>
          </cell>
          <cell r="G90" t="str">
            <v>EA.</v>
          </cell>
        </row>
        <row r="91">
          <cell r="C91">
            <v>208</v>
          </cell>
          <cell r="D91" t="str">
            <v xml:space="preserve">-  SAFETY SWITCH 2P, 100A. NON-FUSIBLE </v>
          </cell>
          <cell r="E91">
            <v>2200</v>
          </cell>
          <cell r="F91">
            <v>200</v>
          </cell>
          <cell r="G91" t="str">
            <v>EA.</v>
          </cell>
        </row>
        <row r="92">
          <cell r="C92">
            <v>209</v>
          </cell>
          <cell r="D92" t="str">
            <v xml:space="preserve">-  SAFETY SWITCH 2P, 200A. NON-FUSIBLE </v>
          </cell>
          <cell r="E92">
            <v>4800</v>
          </cell>
          <cell r="F92">
            <v>400</v>
          </cell>
          <cell r="G92" t="str">
            <v>EA.</v>
          </cell>
        </row>
        <row r="93">
          <cell r="C93">
            <v>210</v>
          </cell>
          <cell r="D93" t="str">
            <v>-  SAFETY SWITCH 2P, 30A. FUSIBLE , OUTDOOR TYPE</v>
          </cell>
          <cell r="E93">
            <v>1100</v>
          </cell>
          <cell r="F93">
            <v>100</v>
          </cell>
          <cell r="G93" t="str">
            <v>EA.</v>
          </cell>
        </row>
        <row r="94">
          <cell r="C94">
            <v>211</v>
          </cell>
          <cell r="D94" t="str">
            <v>-  SAFETY SWITCH 2P, 60A. FUSIBLE , OUTDOOR TYPE</v>
          </cell>
          <cell r="E94">
            <v>2000</v>
          </cell>
          <cell r="F94">
            <v>150</v>
          </cell>
          <cell r="G94" t="str">
            <v>EA.</v>
          </cell>
        </row>
        <row r="95">
          <cell r="C95">
            <v>212</v>
          </cell>
          <cell r="D95" t="str">
            <v>-  SAFETY SWITCH 2P, 100A. FUSIBLE , OUTDOOR TYPE</v>
          </cell>
          <cell r="E95">
            <v>3000</v>
          </cell>
          <cell r="F95">
            <v>200</v>
          </cell>
          <cell r="G95" t="str">
            <v>EA.</v>
          </cell>
        </row>
        <row r="96">
          <cell r="C96">
            <v>213</v>
          </cell>
          <cell r="D96" t="str">
            <v>-  SAFETY SWITCH 2P, 200A. FUSIBLE , OUTDOOR TYPE</v>
          </cell>
          <cell r="E96">
            <v>6000</v>
          </cell>
          <cell r="F96">
            <v>400</v>
          </cell>
          <cell r="G96" t="str">
            <v>EA.</v>
          </cell>
        </row>
        <row r="97">
          <cell r="C97">
            <v>214</v>
          </cell>
          <cell r="D97" t="str">
            <v>-  SAFETY SWITCH 2P, 400A. FUSIBLE , OUTDOOR TYPE</v>
          </cell>
          <cell r="E97">
            <v>20000</v>
          </cell>
          <cell r="F97">
            <v>500</v>
          </cell>
          <cell r="G97" t="str">
            <v>EA.</v>
          </cell>
        </row>
        <row r="98">
          <cell r="C98">
            <v>215</v>
          </cell>
          <cell r="D98" t="str">
            <v>-  SAFETY SWITCH 2P, 30A. NON-FUSE , OUTDOOR TYPE</v>
          </cell>
          <cell r="E98">
            <v>1000</v>
          </cell>
          <cell r="F98">
            <v>100</v>
          </cell>
          <cell r="G98" t="str">
            <v>EA.</v>
          </cell>
        </row>
        <row r="99">
          <cell r="C99">
            <v>216</v>
          </cell>
          <cell r="D99" t="str">
            <v>-  SAFETY SWITCH 2P, 60A. NON-FUSE , OUTDOOR TYPE</v>
          </cell>
          <cell r="E99">
            <v>1700</v>
          </cell>
          <cell r="F99">
            <v>150</v>
          </cell>
          <cell r="G99" t="str">
            <v>EA.</v>
          </cell>
        </row>
        <row r="100">
          <cell r="C100">
            <v>217</v>
          </cell>
          <cell r="D100" t="str">
            <v>-  SAFETY SWITCH 2P, 100A. NON-FUSE , OUTDOOR TYPE</v>
          </cell>
          <cell r="E100">
            <v>3800</v>
          </cell>
          <cell r="F100">
            <v>200</v>
          </cell>
          <cell r="G100" t="str">
            <v>EA.</v>
          </cell>
        </row>
        <row r="101">
          <cell r="C101">
            <v>218</v>
          </cell>
          <cell r="D101" t="str">
            <v>-  SAFETY SWITCH 2P, 200A. NON-FUSE , OUTDOOR TYPE</v>
          </cell>
          <cell r="E101">
            <v>7000</v>
          </cell>
          <cell r="F101">
            <v>400</v>
          </cell>
          <cell r="G101" t="str">
            <v>EA.</v>
          </cell>
        </row>
        <row r="102">
          <cell r="C102">
            <v>219</v>
          </cell>
          <cell r="D102" t="str">
            <v>-  SAFETY SWITCH 3P, 30A. FUSIBLE</v>
          </cell>
          <cell r="E102">
            <v>3200</v>
          </cell>
          <cell r="F102">
            <v>200</v>
          </cell>
          <cell r="G102" t="str">
            <v>EA.</v>
          </cell>
        </row>
        <row r="103">
          <cell r="C103">
            <v>220</v>
          </cell>
          <cell r="D103" t="str">
            <v>-  SAFETY SWITCH 3P, 60A. FUSIBLE</v>
          </cell>
          <cell r="E103">
            <v>4000</v>
          </cell>
          <cell r="F103">
            <v>300</v>
          </cell>
          <cell r="G103" t="str">
            <v>EA.</v>
          </cell>
        </row>
        <row r="104">
          <cell r="C104">
            <v>221</v>
          </cell>
          <cell r="D104" t="str">
            <v>-  SAFETY SWITCH 3P, 100A. FUSIBLE</v>
          </cell>
          <cell r="E104">
            <v>8000</v>
          </cell>
          <cell r="F104">
            <v>400</v>
          </cell>
          <cell r="G104" t="str">
            <v>EA.</v>
          </cell>
        </row>
        <row r="105">
          <cell r="C105">
            <v>222</v>
          </cell>
          <cell r="D105" t="str">
            <v>-  SAFETY SWITCH 3P, 200A. FUSIBLE</v>
          </cell>
          <cell r="E105">
            <v>11000</v>
          </cell>
          <cell r="F105">
            <v>400</v>
          </cell>
          <cell r="G105" t="str">
            <v>EA.</v>
          </cell>
        </row>
        <row r="106">
          <cell r="C106">
            <v>223</v>
          </cell>
          <cell r="D106" t="str">
            <v>-  SAFETY SWITCH 3P, 400A. FUSIBLE</v>
          </cell>
          <cell r="E106">
            <v>32000</v>
          </cell>
          <cell r="F106">
            <v>500</v>
          </cell>
          <cell r="G106" t="str">
            <v>EA.</v>
          </cell>
        </row>
        <row r="107">
          <cell r="C107">
            <v>224</v>
          </cell>
          <cell r="D107" t="str">
            <v>-  SAFETY SWITCH 3P, 600A. FUSIBLE</v>
          </cell>
          <cell r="E107">
            <v>50000</v>
          </cell>
          <cell r="F107">
            <v>500</v>
          </cell>
          <cell r="G107" t="str">
            <v>EA.</v>
          </cell>
        </row>
        <row r="108">
          <cell r="C108">
            <v>225</v>
          </cell>
          <cell r="D108" t="str">
            <v>-  SAFETY SWITCH 3P, 800A. FUSIBLE</v>
          </cell>
          <cell r="E108">
            <v>82000</v>
          </cell>
          <cell r="F108">
            <v>1000</v>
          </cell>
          <cell r="G108" t="str">
            <v>EA.</v>
          </cell>
        </row>
        <row r="109">
          <cell r="C109">
            <v>226</v>
          </cell>
          <cell r="D109" t="str">
            <v>-  SAFETY SWITCH 3P, 1,200A. FUSIBLE</v>
          </cell>
          <cell r="E109">
            <v>110000</v>
          </cell>
          <cell r="F109">
            <v>1000</v>
          </cell>
          <cell r="G109" t="str">
            <v>EA.</v>
          </cell>
        </row>
        <row r="110">
          <cell r="C110">
            <v>227</v>
          </cell>
          <cell r="D110" t="str">
            <v xml:space="preserve">-  SAFETY SWITCH 3P, 30A. NON-FUSE </v>
          </cell>
          <cell r="E110">
            <v>2000</v>
          </cell>
          <cell r="F110">
            <v>200</v>
          </cell>
          <cell r="G110" t="str">
            <v>EA.</v>
          </cell>
        </row>
        <row r="111">
          <cell r="C111">
            <v>228</v>
          </cell>
          <cell r="D111" t="str">
            <v xml:space="preserve">-  SAFETY SWITCH 3P, 60A. NON-FUSE </v>
          </cell>
          <cell r="E111">
            <v>3000</v>
          </cell>
          <cell r="F111">
            <v>300</v>
          </cell>
          <cell r="G111" t="str">
            <v>EA.</v>
          </cell>
        </row>
        <row r="112">
          <cell r="C112">
            <v>229</v>
          </cell>
          <cell r="D112" t="str">
            <v xml:space="preserve">-  SAFETY SWITCH 3P, 100A. NON-FUSE </v>
          </cell>
          <cell r="E112">
            <v>5000</v>
          </cell>
          <cell r="F112">
            <v>400</v>
          </cell>
          <cell r="G112" t="str">
            <v>EA.</v>
          </cell>
        </row>
        <row r="113">
          <cell r="C113">
            <v>230</v>
          </cell>
          <cell r="D113" t="str">
            <v xml:space="preserve">-  SAFETY SWITCH 3P, 200A. NON-FUSE </v>
          </cell>
          <cell r="E113">
            <v>11000</v>
          </cell>
          <cell r="F113">
            <v>400</v>
          </cell>
          <cell r="G113" t="str">
            <v>EA.</v>
          </cell>
        </row>
        <row r="114">
          <cell r="C114">
            <v>231</v>
          </cell>
          <cell r="D114" t="str">
            <v xml:space="preserve">-  SAFETY SWITCH 3P, 400A. NON-FUSE </v>
          </cell>
          <cell r="E114">
            <v>30000</v>
          </cell>
          <cell r="F114">
            <v>500</v>
          </cell>
          <cell r="G114" t="str">
            <v>EA.</v>
          </cell>
        </row>
        <row r="115">
          <cell r="C115">
            <v>232</v>
          </cell>
          <cell r="D115" t="str">
            <v xml:space="preserve">-  SAFETY SWITCH 3P, 600A. NON-FUSE </v>
          </cell>
          <cell r="E115">
            <v>50000</v>
          </cell>
          <cell r="F115">
            <v>500</v>
          </cell>
          <cell r="G115" t="str">
            <v>EA.</v>
          </cell>
        </row>
        <row r="116">
          <cell r="C116">
            <v>233</v>
          </cell>
          <cell r="D116" t="str">
            <v>-  SAFETY SWITCH 3P, 30A. FUSIBLE , OUTDOOR TYPE</v>
          </cell>
          <cell r="E116">
            <v>5000</v>
          </cell>
          <cell r="F116">
            <v>200</v>
          </cell>
          <cell r="G116" t="str">
            <v>EA.</v>
          </cell>
        </row>
        <row r="117">
          <cell r="C117">
            <v>234</v>
          </cell>
          <cell r="D117" t="str">
            <v>-  SAFETY SWITCH 3P, 60A. FUSIBLE , OUTDOOR TYPE</v>
          </cell>
          <cell r="E117">
            <v>6000</v>
          </cell>
          <cell r="F117">
            <v>300</v>
          </cell>
          <cell r="G117" t="str">
            <v>EA.</v>
          </cell>
        </row>
        <row r="118">
          <cell r="C118">
            <v>235</v>
          </cell>
          <cell r="D118" t="str">
            <v>-  SAFETY SWITCH 3P, 100A. FUSIBLE , OUTDOOR TYPE</v>
          </cell>
          <cell r="E118">
            <v>10000</v>
          </cell>
          <cell r="F118">
            <v>400</v>
          </cell>
          <cell r="G118" t="str">
            <v>EA.</v>
          </cell>
        </row>
        <row r="119">
          <cell r="C119">
            <v>236</v>
          </cell>
          <cell r="D119" t="str">
            <v>-  SAFETY SWITCH 3P, 200A. FUSIBLE , OUTDOOR TYPE</v>
          </cell>
          <cell r="E119">
            <v>13000</v>
          </cell>
          <cell r="F119">
            <v>400</v>
          </cell>
          <cell r="G119" t="str">
            <v>EA.</v>
          </cell>
        </row>
        <row r="120">
          <cell r="C120">
            <v>237</v>
          </cell>
          <cell r="D120" t="str">
            <v>-  SAFETY SWITCH 3P, 400A. FUSIBLE , OUTDOOR TYPE</v>
          </cell>
          <cell r="E120">
            <v>35000</v>
          </cell>
          <cell r="F120">
            <v>500</v>
          </cell>
          <cell r="G120" t="str">
            <v>EA.</v>
          </cell>
        </row>
        <row r="121">
          <cell r="C121">
            <v>238</v>
          </cell>
          <cell r="D121" t="str">
            <v>-  SAFETY SWITCH 3P, 600A. FUSIBLE , OUTDOOR TYPE</v>
          </cell>
          <cell r="E121">
            <v>60000</v>
          </cell>
          <cell r="F121">
            <v>500</v>
          </cell>
          <cell r="G121" t="str">
            <v>EA.</v>
          </cell>
        </row>
        <row r="122">
          <cell r="C122">
            <v>239</v>
          </cell>
          <cell r="D122" t="str">
            <v>-  SAFETY SWITCH 3P, 800A. FUSIBLE , OUTDOOR TYPE</v>
          </cell>
          <cell r="E122">
            <v>100000</v>
          </cell>
          <cell r="F122">
            <v>1000</v>
          </cell>
          <cell r="G122" t="str">
            <v>EA.</v>
          </cell>
        </row>
        <row r="123">
          <cell r="C123">
            <v>240</v>
          </cell>
          <cell r="D123" t="str">
            <v>-  SAFETY SWITCH 3P, 1,200A. FUSIBLE , OUTDOOR TYPE</v>
          </cell>
          <cell r="E123">
            <v>120000</v>
          </cell>
          <cell r="F123">
            <v>1000</v>
          </cell>
          <cell r="G123" t="str">
            <v>EA.</v>
          </cell>
        </row>
        <row r="124">
          <cell r="C124">
            <v>241</v>
          </cell>
          <cell r="D124" t="str">
            <v>-  SAFETY SWITCH 3P, 30A. NON-FUSE , OUTDOOR TYPE</v>
          </cell>
          <cell r="E124">
            <v>2800</v>
          </cell>
          <cell r="F124">
            <v>200</v>
          </cell>
          <cell r="G124" t="str">
            <v>EA.</v>
          </cell>
        </row>
        <row r="125">
          <cell r="C125">
            <v>242</v>
          </cell>
          <cell r="D125" t="str">
            <v>-  SAFETY SWITCH 3P, 60A. NON-FUSE , OUTDOOR TYPE</v>
          </cell>
          <cell r="E125">
            <v>5000</v>
          </cell>
          <cell r="F125">
            <v>300</v>
          </cell>
          <cell r="G125" t="str">
            <v>EA.</v>
          </cell>
        </row>
        <row r="126">
          <cell r="C126">
            <v>243</v>
          </cell>
          <cell r="D126" t="str">
            <v>-  SAFETY SWITCH 3P, 100A. NON-FUSE , OUTDOOR TYPE</v>
          </cell>
          <cell r="E126">
            <v>7000</v>
          </cell>
          <cell r="F126">
            <v>400</v>
          </cell>
          <cell r="G126" t="str">
            <v>EA.</v>
          </cell>
        </row>
        <row r="127">
          <cell r="C127">
            <v>244</v>
          </cell>
          <cell r="D127" t="str">
            <v>-  SAFETY SWITCH 3P, 200A. NON-FUSE , OUTDOOR TYPE</v>
          </cell>
          <cell r="E127">
            <v>14000</v>
          </cell>
          <cell r="F127">
            <v>400</v>
          </cell>
          <cell r="G127" t="str">
            <v>EA.</v>
          </cell>
        </row>
        <row r="128">
          <cell r="C128">
            <v>245</v>
          </cell>
          <cell r="D128" t="str">
            <v>-  SAFETY SWITCH 3P, 400A. NON-FUSE , OUTDOOR TYPE</v>
          </cell>
          <cell r="E128">
            <v>33000</v>
          </cell>
          <cell r="F128">
            <v>500</v>
          </cell>
          <cell r="G128" t="str">
            <v>EA.</v>
          </cell>
        </row>
        <row r="129">
          <cell r="C129">
            <v>246</v>
          </cell>
          <cell r="D129" t="str">
            <v>-  SAFETY SWITCH 3P, 600A. NON-FUSE , OUTDOOR TYPE</v>
          </cell>
          <cell r="E129">
            <v>60000</v>
          </cell>
          <cell r="F129">
            <v>500</v>
          </cell>
          <cell r="G129" t="str">
            <v>EA.</v>
          </cell>
        </row>
        <row r="130">
          <cell r="D130" t="str">
            <v>SPACE</v>
          </cell>
        </row>
        <row r="131">
          <cell r="C131">
            <v>251</v>
          </cell>
          <cell r="D131" t="str">
            <v>-  CB 1P 10A. 5KA. W./ENCLOSURE</v>
          </cell>
          <cell r="E131">
            <v>410</v>
          </cell>
          <cell r="F131">
            <v>100</v>
          </cell>
          <cell r="G131" t="str">
            <v>EA.</v>
          </cell>
        </row>
        <row r="132">
          <cell r="C132">
            <v>252</v>
          </cell>
          <cell r="D132" t="str">
            <v>-  CB 1P 15A. 5KA. W./ENCLOSURE</v>
          </cell>
          <cell r="E132">
            <v>410</v>
          </cell>
          <cell r="F132">
            <v>100</v>
          </cell>
          <cell r="G132" t="str">
            <v>EA.</v>
          </cell>
        </row>
        <row r="133">
          <cell r="C133">
            <v>253</v>
          </cell>
          <cell r="D133" t="str">
            <v>-  CB 1P 20A. 5KA. W./ENCLOSURE</v>
          </cell>
          <cell r="E133">
            <v>410</v>
          </cell>
          <cell r="F133">
            <v>100</v>
          </cell>
          <cell r="G133" t="str">
            <v>EA.</v>
          </cell>
        </row>
        <row r="134">
          <cell r="C134">
            <v>254</v>
          </cell>
          <cell r="D134" t="str">
            <v>-  CB 1P 30A. 5KA. W./ENCLOSURE</v>
          </cell>
          <cell r="E134">
            <v>410</v>
          </cell>
          <cell r="F134">
            <v>100</v>
          </cell>
          <cell r="G134" t="str">
            <v>EA.</v>
          </cell>
        </row>
        <row r="135">
          <cell r="C135">
            <v>255</v>
          </cell>
          <cell r="D135" t="str">
            <v>-  CB 1P 40A. 5KA. W./ENCLOSURE</v>
          </cell>
          <cell r="E135">
            <v>480</v>
          </cell>
          <cell r="F135">
            <v>100</v>
          </cell>
          <cell r="G135" t="str">
            <v>EA.</v>
          </cell>
        </row>
        <row r="136">
          <cell r="C136">
            <v>256</v>
          </cell>
          <cell r="D136" t="str">
            <v>-  CB 2P 15A. 10KA. W./ENCLOSURE</v>
          </cell>
          <cell r="E136">
            <v>730</v>
          </cell>
          <cell r="F136">
            <v>100</v>
          </cell>
          <cell r="G136" t="str">
            <v>EA.</v>
          </cell>
        </row>
        <row r="137">
          <cell r="C137">
            <v>257</v>
          </cell>
          <cell r="D137" t="str">
            <v>-  CB 2P 30A. 10KA. W./ENCLOSURE</v>
          </cell>
          <cell r="E137">
            <v>730</v>
          </cell>
          <cell r="F137">
            <v>100</v>
          </cell>
          <cell r="G137" t="str">
            <v>EA.</v>
          </cell>
        </row>
        <row r="138">
          <cell r="C138">
            <v>258</v>
          </cell>
          <cell r="D138" t="str">
            <v>-  CB 2P 40A. 10KA. W./ENCLOSURE</v>
          </cell>
          <cell r="E138">
            <v>730</v>
          </cell>
          <cell r="F138">
            <v>100</v>
          </cell>
          <cell r="G138" t="str">
            <v>EA.</v>
          </cell>
        </row>
        <row r="139">
          <cell r="C139">
            <v>259</v>
          </cell>
          <cell r="D139" t="str">
            <v>-  CB 2P 50A. 10KA. W./ENCLOSURE</v>
          </cell>
          <cell r="E139">
            <v>730</v>
          </cell>
          <cell r="F139">
            <v>100</v>
          </cell>
          <cell r="G139" t="str">
            <v>EA.</v>
          </cell>
        </row>
        <row r="140">
          <cell r="C140">
            <v>260</v>
          </cell>
          <cell r="D140" t="str">
            <v>-  CB 2P 60A. 10KA. W./ENCLOSURE</v>
          </cell>
          <cell r="E140">
            <v>880</v>
          </cell>
          <cell r="F140">
            <v>100</v>
          </cell>
          <cell r="G140" t="str">
            <v>EA.</v>
          </cell>
        </row>
        <row r="141">
          <cell r="C141">
            <v>261</v>
          </cell>
          <cell r="D141" t="str">
            <v>-  RCB 1P 10A., 5KA.,10mA. W./ENCLOSURE</v>
          </cell>
          <cell r="E141">
            <v>1780</v>
          </cell>
          <cell r="F141">
            <v>150</v>
          </cell>
          <cell r="G141" t="str">
            <v>EA.</v>
          </cell>
        </row>
        <row r="142">
          <cell r="C142">
            <v>262</v>
          </cell>
          <cell r="D142" t="str">
            <v>-  RCB 1P 15A., 5KA.,10mA. W./ENCLOSURE</v>
          </cell>
          <cell r="E142">
            <v>1780</v>
          </cell>
          <cell r="F142">
            <v>150</v>
          </cell>
          <cell r="G142" t="str">
            <v>EA.</v>
          </cell>
        </row>
        <row r="143">
          <cell r="C143">
            <v>263</v>
          </cell>
          <cell r="D143" t="str">
            <v>-  RCB 1P 20A., 5KA.,10mA. W./ENCLOSURE</v>
          </cell>
          <cell r="E143">
            <v>1780</v>
          </cell>
          <cell r="F143">
            <v>150</v>
          </cell>
          <cell r="G143" t="str">
            <v>EA.</v>
          </cell>
        </row>
        <row r="144">
          <cell r="C144">
            <v>264</v>
          </cell>
          <cell r="D144" t="str">
            <v>-  RCB 1P 30A., 5KA.,10mA. W./ENCLOSURE</v>
          </cell>
          <cell r="E144">
            <v>1780</v>
          </cell>
          <cell r="F144">
            <v>150</v>
          </cell>
          <cell r="G144" t="str">
            <v>EA.</v>
          </cell>
        </row>
        <row r="145">
          <cell r="C145">
            <v>265</v>
          </cell>
          <cell r="D145" t="str">
            <v>-  RCB 1P 40A., 5KA.,10mA. W./ENCLOSURE</v>
          </cell>
          <cell r="E145">
            <v>2680</v>
          </cell>
          <cell r="F145">
            <v>150</v>
          </cell>
          <cell r="G145" t="str">
            <v>EA.</v>
          </cell>
        </row>
        <row r="146">
          <cell r="C146">
            <v>266</v>
          </cell>
          <cell r="D146" t="str">
            <v>-  RCB 1P 15A., 10KA.,10mA. W./ENCLOSURE</v>
          </cell>
          <cell r="E146">
            <v>3080</v>
          </cell>
          <cell r="F146">
            <v>150</v>
          </cell>
          <cell r="G146" t="str">
            <v>EA.</v>
          </cell>
        </row>
        <row r="147">
          <cell r="C147">
            <v>267</v>
          </cell>
          <cell r="D147" t="str">
            <v>-  RCB 1P 30A., 10KA.,10mA. W./ENCLOSURE</v>
          </cell>
          <cell r="E147">
            <v>3080</v>
          </cell>
          <cell r="F147">
            <v>150</v>
          </cell>
          <cell r="G147" t="str">
            <v>EA.</v>
          </cell>
        </row>
        <row r="148">
          <cell r="C148">
            <v>268</v>
          </cell>
          <cell r="D148" t="str">
            <v>-  RCB 1P 40A., 10KA.,10mA. W./ENCLOSURE</v>
          </cell>
          <cell r="E148">
            <v>3080</v>
          </cell>
          <cell r="F148">
            <v>150</v>
          </cell>
          <cell r="G148" t="str">
            <v>EA.</v>
          </cell>
        </row>
        <row r="149">
          <cell r="C149">
            <v>269</v>
          </cell>
          <cell r="D149" t="str">
            <v>-  RCB 1P 50A., 10KA.,10mA. W./ENCLOSURE</v>
          </cell>
          <cell r="E149">
            <v>3080</v>
          </cell>
          <cell r="F149">
            <v>150</v>
          </cell>
          <cell r="G149" t="str">
            <v>EA.</v>
          </cell>
        </row>
        <row r="150">
          <cell r="C150">
            <v>270</v>
          </cell>
          <cell r="D150" t="str">
            <v>-  RCB 1P 60A., 10KA.,10mA. W./ENCLOSURE</v>
          </cell>
          <cell r="E150">
            <v>3080</v>
          </cell>
          <cell r="F150">
            <v>150</v>
          </cell>
          <cell r="G150" t="str">
            <v>EA.</v>
          </cell>
        </row>
        <row r="151">
          <cell r="C151">
            <v>271</v>
          </cell>
          <cell r="D151" t="str">
            <v>-  MAGNETIC CONTACTOR 3P 6A. AC3</v>
          </cell>
          <cell r="E151">
            <v>530</v>
          </cell>
          <cell r="F151">
            <v>100</v>
          </cell>
          <cell r="G151" t="str">
            <v>EA.</v>
          </cell>
        </row>
        <row r="152">
          <cell r="C152">
            <v>272</v>
          </cell>
          <cell r="D152" t="str">
            <v>-  MAGNETIC CONTACTOR 3P 9A. AC3</v>
          </cell>
          <cell r="E152">
            <v>580</v>
          </cell>
          <cell r="F152">
            <v>100</v>
          </cell>
          <cell r="G152" t="str">
            <v>EA.</v>
          </cell>
        </row>
        <row r="153">
          <cell r="C153">
            <v>273</v>
          </cell>
          <cell r="D153" t="str">
            <v>-  MAGNETIC CONTACTOR 3P 12A. AC3</v>
          </cell>
          <cell r="E153">
            <v>660</v>
          </cell>
          <cell r="F153">
            <v>100</v>
          </cell>
          <cell r="G153" t="str">
            <v>EA.</v>
          </cell>
        </row>
        <row r="154">
          <cell r="C154">
            <v>274</v>
          </cell>
          <cell r="D154" t="str">
            <v>-  MAGNETIC CONTACTOR 3P 18A. AC3</v>
          </cell>
          <cell r="E154">
            <v>930</v>
          </cell>
          <cell r="F154">
            <v>100</v>
          </cell>
          <cell r="G154" t="str">
            <v>EA.</v>
          </cell>
        </row>
        <row r="155">
          <cell r="C155">
            <v>275</v>
          </cell>
          <cell r="D155" t="str">
            <v>-  MAGNETIC CONTACTOR 3P 25A. AC3</v>
          </cell>
          <cell r="E155">
            <v>1150</v>
          </cell>
          <cell r="F155">
            <v>100</v>
          </cell>
          <cell r="G155" t="str">
            <v>EA.</v>
          </cell>
        </row>
        <row r="156">
          <cell r="C156">
            <v>276</v>
          </cell>
          <cell r="D156" t="str">
            <v>-  MAGNETIC CONTACTOR 3P 32A. AC3</v>
          </cell>
          <cell r="E156">
            <v>1550</v>
          </cell>
          <cell r="F156">
            <v>100</v>
          </cell>
          <cell r="G156" t="str">
            <v>EA.</v>
          </cell>
        </row>
        <row r="157">
          <cell r="C157">
            <v>277</v>
          </cell>
          <cell r="D157" t="str">
            <v>-  MAGNETIC CONTACTOR 3P 40A. AC3</v>
          </cell>
          <cell r="E157">
            <v>2100</v>
          </cell>
          <cell r="F157">
            <v>100</v>
          </cell>
          <cell r="G157" t="str">
            <v>EA.</v>
          </cell>
        </row>
        <row r="158">
          <cell r="C158">
            <v>278</v>
          </cell>
          <cell r="D158" t="str">
            <v>-  MAGNETIC CONTACTOR 3P 50A. AC3</v>
          </cell>
          <cell r="E158">
            <v>2700</v>
          </cell>
          <cell r="F158">
            <v>100</v>
          </cell>
          <cell r="G158" t="str">
            <v>EA.</v>
          </cell>
        </row>
        <row r="159">
          <cell r="C159">
            <v>279</v>
          </cell>
          <cell r="D159" t="str">
            <v>-  MAGNETIC CONTACTOR 3P 65A. AC3</v>
          </cell>
          <cell r="E159">
            <v>3100</v>
          </cell>
          <cell r="F159">
            <v>150</v>
          </cell>
          <cell r="G159" t="str">
            <v>EA.</v>
          </cell>
        </row>
        <row r="160">
          <cell r="C160">
            <v>280</v>
          </cell>
          <cell r="D160" t="str">
            <v>-  MAGNETIC CONTACTOR 3P 80A. AC3</v>
          </cell>
          <cell r="E160">
            <v>3830</v>
          </cell>
          <cell r="F160">
            <v>200</v>
          </cell>
          <cell r="G160" t="str">
            <v>EA.</v>
          </cell>
        </row>
        <row r="161">
          <cell r="C161">
            <v>281</v>
          </cell>
          <cell r="D161" t="str">
            <v>-  MAGNETIC CONTACTOR 3P 100A. AC3</v>
          </cell>
          <cell r="E161">
            <v>4480</v>
          </cell>
          <cell r="F161">
            <v>200</v>
          </cell>
          <cell r="G161" t="str">
            <v>EA.</v>
          </cell>
        </row>
        <row r="162">
          <cell r="C162">
            <v>282</v>
          </cell>
          <cell r="D162" t="str">
            <v>-  MAGNETIC CONTACTOR 3P 110A. AC3</v>
          </cell>
          <cell r="E162">
            <v>5120</v>
          </cell>
          <cell r="F162">
            <v>200</v>
          </cell>
          <cell r="G162" t="str">
            <v>EA.</v>
          </cell>
        </row>
        <row r="163">
          <cell r="C163">
            <v>283</v>
          </cell>
          <cell r="D163" t="str">
            <v>-  MAGNETIC CONTACTOR 3P 150A. AC3</v>
          </cell>
          <cell r="E163">
            <v>9200</v>
          </cell>
          <cell r="F163">
            <v>200</v>
          </cell>
          <cell r="G163" t="str">
            <v>EA.</v>
          </cell>
        </row>
        <row r="164">
          <cell r="C164">
            <v>284</v>
          </cell>
          <cell r="D164" t="str">
            <v>-  MAGNETIC CONTACTOR 3P 185A. AC3</v>
          </cell>
          <cell r="E164">
            <v>10920</v>
          </cell>
          <cell r="F164">
            <v>300</v>
          </cell>
          <cell r="G164" t="str">
            <v>EA.</v>
          </cell>
        </row>
        <row r="165">
          <cell r="C165">
            <v>285</v>
          </cell>
          <cell r="D165" t="str">
            <v>-  MAGNETIC CONTACTOR 3P 200A. AC3</v>
          </cell>
          <cell r="E165">
            <v>12500</v>
          </cell>
          <cell r="F165">
            <v>300</v>
          </cell>
          <cell r="G165" t="str">
            <v>EA.</v>
          </cell>
        </row>
        <row r="166">
          <cell r="C166">
            <v>286</v>
          </cell>
          <cell r="D166" t="str">
            <v>-  MAGNETIC CONTACTOR 3P 265A. AC3</v>
          </cell>
          <cell r="E166">
            <v>16500</v>
          </cell>
          <cell r="F166">
            <v>300</v>
          </cell>
          <cell r="G166" t="str">
            <v>EA.</v>
          </cell>
        </row>
        <row r="167">
          <cell r="C167">
            <v>287</v>
          </cell>
          <cell r="D167" t="str">
            <v>-  MAGNETIC CONTACTOR 3P 300A. AC3</v>
          </cell>
          <cell r="E167">
            <v>22000</v>
          </cell>
          <cell r="F167">
            <v>400</v>
          </cell>
          <cell r="G167" t="str">
            <v>EA.</v>
          </cell>
        </row>
        <row r="168">
          <cell r="C168">
            <v>288</v>
          </cell>
          <cell r="D168" t="str">
            <v>-  MAGNETIC CONTACTOR 3P 410A. AC3</v>
          </cell>
          <cell r="E168">
            <v>24900</v>
          </cell>
          <cell r="F168">
            <v>400</v>
          </cell>
          <cell r="G168" t="str">
            <v>EA.</v>
          </cell>
        </row>
        <row r="169">
          <cell r="C169">
            <v>289</v>
          </cell>
          <cell r="D169" t="str">
            <v>-  MAGNETIC CONTACTOR 3P 450A. AC3</v>
          </cell>
          <cell r="E169">
            <v>28460</v>
          </cell>
          <cell r="F169">
            <v>400</v>
          </cell>
          <cell r="G169" t="str">
            <v>EA.</v>
          </cell>
        </row>
        <row r="170">
          <cell r="C170">
            <v>290</v>
          </cell>
          <cell r="D170" t="str">
            <v>-  MAGNETIC CONTACTOR 3P 630A. AC3</v>
          </cell>
          <cell r="E170">
            <v>35240</v>
          </cell>
          <cell r="F170">
            <v>500</v>
          </cell>
          <cell r="G170" t="str">
            <v>EA.</v>
          </cell>
        </row>
        <row r="171">
          <cell r="C171">
            <v>291</v>
          </cell>
          <cell r="D171" t="str">
            <v>-  MAGNETIC CONTACTOR 3P 800A. AC3</v>
          </cell>
          <cell r="E171">
            <v>52780</v>
          </cell>
          <cell r="F171">
            <v>700</v>
          </cell>
          <cell r="G171" t="str">
            <v>EA.</v>
          </cell>
        </row>
        <row r="172">
          <cell r="C172">
            <v>292</v>
          </cell>
          <cell r="D172" t="str">
            <v>-  MAGNETIC CONTACTOR 3P 1,000A. AC3</v>
          </cell>
          <cell r="E172">
            <v>111700</v>
          </cell>
          <cell r="F172">
            <v>1000</v>
          </cell>
          <cell r="G172" t="str">
            <v>EA.</v>
          </cell>
        </row>
        <row r="173">
          <cell r="D173" t="str">
            <v>SPACE</v>
          </cell>
        </row>
        <row r="174">
          <cell r="C174">
            <v>296</v>
          </cell>
          <cell r="D174" t="str">
            <v>-  6A. CONTROL RELAY</v>
          </cell>
          <cell r="E174">
            <v>1000</v>
          </cell>
          <cell r="F174">
            <v>100</v>
          </cell>
          <cell r="G174" t="str">
            <v>EA.</v>
          </cell>
        </row>
      </sheetData>
      <sheetData sheetId="4" refreshError="1"/>
      <sheetData sheetId="5" refreshError="1"/>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
      <sheetName val="ERP"/>
      <sheetName val="สาธารณะ"/>
      <sheetName val="Store"/>
    </sheetNames>
    <sheetDataSet>
      <sheetData sheetId="0"/>
      <sheetData sheetId="1"/>
      <sheetData sheetId="2"/>
      <sheetData sheetId="3">
        <row r="3">
          <cell r="A3" t="str">
            <v>CO3AA1</v>
          </cell>
          <cell r="B3" t="str">
            <v>CO3-อาคารพาณิชย์ 3 ชั้น ห้องริม</v>
          </cell>
          <cell r="C3" t="str">
            <v>B</v>
          </cell>
          <cell r="D3" t="str">
            <v>B1</v>
          </cell>
        </row>
        <row r="4">
          <cell r="A4" t="str">
            <v>CO3AA2</v>
          </cell>
          <cell r="B4" t="str">
            <v>CO3-อาคารพาณิชย์ 3 ชั้น ห้องกลาง</v>
          </cell>
          <cell r="C4" t="str">
            <v>B</v>
          </cell>
          <cell r="D4" t="str">
            <v>B1</v>
          </cell>
        </row>
        <row r="5">
          <cell r="A5" t="str">
            <v>THCN31</v>
          </cell>
          <cell r="B5" t="str">
            <v>ทาวน์เฮาส์ 2 ชั้น ทรงพลอยพฤกษา C ( ห้องริม )</v>
          </cell>
          <cell r="C5" t="str">
            <v>T</v>
          </cell>
          <cell r="D5" t="str">
            <v>C1</v>
          </cell>
        </row>
        <row r="6">
          <cell r="A6" t="str">
            <v>THCN32</v>
          </cell>
          <cell r="B6" t="str">
            <v>ทาวน์เฮาส์ 2 ชั้น ทรงพลอยพฤกษา  C ( ห้องกลาง )</v>
          </cell>
          <cell r="C6" t="str">
            <v>T</v>
          </cell>
          <cell r="D6" t="str">
            <v>C1</v>
          </cell>
        </row>
        <row r="7">
          <cell r="A7" t="str">
            <v>DHCN31</v>
          </cell>
          <cell r="B7" t="str">
            <v>บ้านแฝด 2 ชั้น ทรงพลอยพฤกษา C ( ห้องริม )</v>
          </cell>
          <cell r="C7" t="str">
            <v>D</v>
          </cell>
          <cell r="D7" t="str">
            <v>C1</v>
          </cell>
        </row>
        <row r="8">
          <cell r="A8" t="str">
            <v>THCN41</v>
          </cell>
          <cell r="B8" t="str">
            <v>ทาวน์เฮ้าส์ 2 ชั้น หน้ากว้าง 5.7ม. (ห้องริม)</v>
          </cell>
          <cell r="C8" t="str">
            <v>T</v>
          </cell>
          <cell r="D8" t="str">
            <v>G1</v>
          </cell>
        </row>
        <row r="9">
          <cell r="A9" t="str">
            <v>THCN40</v>
          </cell>
          <cell r="B9" t="str">
            <v>ทาวน์เฮ้าส์ 2 ชั้น หน้ากว้าง 5.7ม. (ห้องกลาง)</v>
          </cell>
          <cell r="C9" t="str">
            <v>T</v>
          </cell>
          <cell r="D9" t="str">
            <v>G1</v>
          </cell>
        </row>
        <row r="10">
          <cell r="A10" t="str">
            <v>COCN41</v>
          </cell>
          <cell r="B10" t="str">
            <v>อาคารพาณิชย์ 2 ชั้น หน้ากว้าง 5.7ม. (ห้องริม)</v>
          </cell>
          <cell r="C10" t="str">
            <v>B</v>
          </cell>
          <cell r="D10" t="str">
            <v>B1</v>
          </cell>
        </row>
        <row r="11">
          <cell r="A11" t="str">
            <v>COCN40</v>
          </cell>
          <cell r="B11" t="str">
            <v>อาคารพาณิชย์ 2 ชั้น หน้ากว้าง 5.7ม. (ห้องกลาง)</v>
          </cell>
          <cell r="C11" t="str">
            <v>B</v>
          </cell>
          <cell r="D11" t="str">
            <v>B1</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
      <sheetName val="SH-B"/>
      <sheetName val="SH-C"/>
      <sheetName val="SH-D"/>
      <sheetName val="SH-E"/>
      <sheetName val="SH-F"/>
      <sheetName val="SH-G"/>
      <sheetName val="SH_A"/>
      <sheetName val="실행철강하도"/>
      <sheetName val="Store"/>
      <sheetName val="รวมราคาทั้งสิ้น"/>
      <sheetName val="form"/>
      <sheetName val="e4"/>
      <sheetName val="EST-FOOTING (G)"/>
      <sheetName val="H1.0"/>
      <sheetName val="ประมาณการประตูหน้าต่าง "/>
      <sheetName val="QUANTITY COMPARISON"/>
      <sheetName val="Bill No. 2 - Carpark"/>
      <sheetName val="แบบเดิม"/>
      <sheetName val="code"/>
      <sheetName val="หน้า ปมก"/>
      <sheetName val="covere"/>
      <sheetName val="Document"/>
      <sheetName val="ภูมิทัศน์"/>
      <sheetName val="EST_FOOTING _G_"/>
      <sheetName val="Worksheet"/>
      <sheetName val="boq"/>
      <sheetName val="Struc. "/>
      <sheetName val="I-slab"/>
      <sheetName val="วัดใต้"/>
      <sheetName val="SITE OFFICE"/>
      <sheetName val="Sheet1"/>
      <sheetName val="RW_Option"/>
      <sheetName val="Structural work"/>
      <sheetName val="Electrical Systems"/>
      <sheetName val="Plumbing Systems"/>
      <sheetName val="Air Conditioning"/>
      <sheetName val="External work"/>
      <sheetName val="EST-FOOTING_(G)"/>
      <sheetName val="Wkgs_BS Lead"/>
      <sheetName val="วิเคราะห์ (2)"/>
      <sheetName val="H1_0"/>
      <sheetName val="ประมาณการประตูหน้าต่าง_"/>
      <sheetName val="QUANTITY_COMPARISON"/>
      <sheetName val="Bill_No__2_-_Carpark"/>
      <sheetName val="หน้า_ปมก"/>
      <sheetName val="EST_FOOTING__G_"/>
      <sheetName val="Struc__"/>
      <sheetName val="LpC"/>
      <sheetName val="SI-039"/>
      <sheetName val="Present-ex"/>
      <sheetName val="LOTUS-EE1"/>
      <sheetName val="EST-FOOTING_(G)1"/>
      <sheetName val="H1_01"/>
      <sheetName val="ประมาณการประตูหน้าต่าง_1"/>
      <sheetName val="QUANTITY_COMPARISON1"/>
      <sheetName val="Bill_No__2_-_Carpark1"/>
      <sheetName val="หน้า_ปมก1"/>
      <sheetName val="EST_FOOTING__G_1"/>
      <sheetName val="Struc__1"/>
      <sheetName val="SITE_OFFICE"/>
      <sheetName val="Replacement Cost "/>
      <sheetName val="schedule "/>
      <sheetName val="งานโครงสร้าง "/>
      <sheetName val="งานโครงสร้าง"/>
      <sheetName val="SITE_OFFICE1"/>
      <sheetName val="EE"/>
      <sheetName val="EST-FOOTING_(G)2"/>
      <sheetName val="H1_02"/>
      <sheetName val="ประมาณการประตูหน้าต่าง_2"/>
      <sheetName val="QUANTITY_COMPARISON2"/>
      <sheetName val="Bill_No__2_-_Carpark2"/>
      <sheetName val="หน้า_ปมก2"/>
      <sheetName val="EST_FOOTING__G_2"/>
      <sheetName val="Struc__2"/>
      <sheetName val="Cover"/>
      <sheetName val="ปร"/>
      <sheetName val="material_cost"/>
      <sheetName val="EFR30696"/>
      <sheetName val="ราคาต่อหน่วย2-9"/>
      <sheetName val="INFO"/>
      <sheetName val="LOTS-A&amp;B"/>
      <sheetName val="A"/>
      <sheetName val="G"/>
      <sheetName val="1.R18 BF"/>
      <sheetName val="F-B"/>
      <sheetName val="splinkler"/>
      <sheetName val="PL"/>
      <sheetName val="GS-Curve S.15 (Meeting)"/>
      <sheetName val="E"/>
      <sheetName val="PRICE LIST"/>
      <sheetName val="ราคากลาง 2"/>
      <sheetName val="งานซ๋อมพื้นคอนกรีต 1"/>
      <sheetName val="calc_menu_déroulant"/>
      <sheetName val="Book 1 Summary"/>
      <sheetName val="Detail"/>
      <sheetName val="Exchange Rate"/>
      <sheetName val="STMspry"/>
      <sheetName val="PsychroData"/>
      <sheetName val="ส่วนลดระบบไฟฟ้า"/>
      <sheetName val="schedule_"/>
      <sheetName val="Structural_work"/>
      <sheetName val="Electrical_Systems"/>
      <sheetName val="Plumbing_Systems"/>
      <sheetName val="Air_Conditioning"/>
      <sheetName val="External_work"/>
      <sheetName val="Wkgs_BS_Lead"/>
      <sheetName val="วิเคราะห์_(2)"/>
      <sheetName val="Replacement_Cost_"/>
      <sheetName val="EST-FOOTING_(G)3"/>
      <sheetName val="H1_03"/>
      <sheetName val="ประมาณการประตูหน้าต่าง_3"/>
      <sheetName val="QUANTITY_COMPARISON3"/>
      <sheetName val="Bill_No__2_-_Carpark3"/>
      <sheetName val="หน้า_ปมก3"/>
      <sheetName val="EST_FOOTING__G_3"/>
      <sheetName val="Struc__3"/>
      <sheetName val="SITE_OFFICE2"/>
      <sheetName val="schedule_1"/>
      <sheetName val="Structural_work1"/>
      <sheetName val="Electrical_Systems1"/>
      <sheetName val="Plumbing_Systems1"/>
      <sheetName val="Air_Conditioning1"/>
      <sheetName val="External_work1"/>
      <sheetName val="Wkgs_BS_Lead1"/>
      <sheetName val="วิเคราะห์_(2)1"/>
      <sheetName val="Replacement_Cost_1"/>
      <sheetName val="SCHEDULE_2"/>
      <sheetName val="SCHEDULE_3"/>
      <sheetName val="detail "/>
      <sheetName val="งานโครงสร้าง_"/>
      <sheetName val="EST-FOOTING_(G)4"/>
      <sheetName val="H1_04"/>
      <sheetName val="ประมาณการประตูหน้าต่าง_4"/>
      <sheetName val="QUANTITY_COMPARISON4"/>
      <sheetName val="Bill_No__2_-_Carpark4"/>
      <sheetName val="หน้า_ปมก4"/>
      <sheetName val="EST_FOOTING__G_4"/>
      <sheetName val="Struc__4"/>
      <sheetName val="SITE_OFFICE3"/>
      <sheetName val="Replacement_Cost_2"/>
      <sheetName val="Wkgs_BS_Lead2"/>
      <sheetName val="วิเคราะห์_(2)2"/>
      <sheetName val="Structural_work2"/>
      <sheetName val="Electrical_Systems2"/>
      <sheetName val="Plumbing_Systems2"/>
      <sheetName val="Air_Conditioning2"/>
      <sheetName val="External_work2"/>
      <sheetName val="งานโครงสร้าง_1"/>
      <sheetName val="CSBR"/>
      <sheetName val="Insul-Cost Control-REV-00 "/>
      <sheetName val="KKC_Brkdwn"/>
      <sheetName val="LEGEND"/>
      <sheetName val="RECY"/>
      <sheetName val="SAN REDUCED 1"/>
      <sheetName val="สรุป"/>
      <sheetName val="BOX Cryostat Details"/>
      <sheetName val="Driver Linac Layout"/>
      <sheetName val="Inputs"/>
      <sheetName val="Magnet Details"/>
      <sheetName val="List"/>
      <sheetName val="Prod-1"/>
      <sheetName val="DATA"/>
      <sheetName val="cost_categories"/>
      <sheetName val="HDPE"/>
      <sheetName val="ส่งงาน"/>
      <sheetName val="picture"/>
      <sheetName val="picture (2)"/>
      <sheetName val="picture (3)"/>
      <sheetName val="pvc"/>
      <sheetName val="PR "/>
      <sheetName val="%"/>
      <sheetName val="PR  (2)"/>
      <sheetName val="ฐานราคา"/>
      <sheetName val="5a. Code_E"/>
      <sheetName val="Prompt"/>
      <sheetName val="SANITARY"/>
      <sheetName val="Quotation"/>
      <sheetName val="LITF"/>
      <sheetName val="ราคาต่ำสุด-721"/>
      <sheetName val="Attendance配合费"/>
      <sheetName val="name"/>
      <sheetName val="clg fin"/>
      <sheetName val="flr fin"/>
      <sheetName val="Col"/>
      <sheetName val="Rif_Col"/>
      <sheetName val="timber frame"/>
      <sheetName val="Wall Qty"/>
      <sheetName val="roof fin"/>
      <sheetName val="Flr, Rf Bm"/>
      <sheetName val="Rif_PCap"/>
      <sheetName val="Flr Slb, stair"/>
      <sheetName val="Gd Bm"/>
      <sheetName val="PC, G.Slab"/>
      <sheetName val="wall fin"/>
      <sheetName val="3 Cost Summary with classes"/>
      <sheetName val="XLR_NoRangeSheet"/>
      <sheetName val="110"/>
      <sheetName val="FSA"/>
      <sheetName val="QS-Payment"/>
      <sheetName val="GS-Curve_S_15_(Meeting)"/>
      <sheetName val="GS-Curve_S_15_(Meeting)1"/>
      <sheetName val="CR100"/>
      <sheetName val="21"/>
      <sheetName val="Référentiel"/>
      <sheetName val="Cctmst"/>
      <sheetName val="QuantitySegment"/>
      <sheetName val="sum-ac"/>
      <sheetName val="ใบปะหน้า"/>
      <sheetName val="งานก่อสร้าง"/>
      <sheetName val="งานไฟฟ้า"/>
      <sheetName val="งานปรับอากาศ"/>
      <sheetName val="งานสุขาภิบาล"/>
      <sheetName val="ค่าขนส่ง"/>
      <sheetName val="corring"/>
      <sheetName val="Material"/>
      <sheetName val="แว่น"/>
      <sheetName val="แสงใหม"/>
      <sheetName val="Manpower"/>
      <sheetName val="Progress"/>
      <sheetName val="KC"/>
      <sheetName val="Income Statement"/>
      <sheetName val="Boq.Arc. take จริง"/>
      <sheetName val="cover page"/>
      <sheetName val="Final Summary - Base"/>
      <sheetName val="Lookups"/>
      <sheetName val="AC_A"/>
      <sheetName val="เตรียมการและบริหารโครงการ"/>
      <sheetName val="전기"/>
      <sheetName val="EST-FOOTING_(G)5"/>
      <sheetName val="ประมาณการประตูหน้าต่าง_5"/>
      <sheetName val="H1_05"/>
      <sheetName val="QUANTITY_COMPARISON5"/>
      <sheetName val="Bill_No__2_-_Carpark5"/>
      <sheetName val="หน้า_ปมก5"/>
      <sheetName val="EST_FOOTING__G_5"/>
      <sheetName val="Struc__5"/>
      <sheetName val="SITE_OFFICE4"/>
      <sheetName val="งานโครงสร้าง_2"/>
      <sheetName val="GS-Curve_S_15_(Meeting)2"/>
      <sheetName val="งานประปา"/>
      <sheetName val="Exp"/>
      <sheetName val="概総括1"/>
      <sheetName val="PRICE_LIST"/>
      <sheetName val="Book_1_Summary"/>
      <sheetName val="ราคากลาง_2"/>
      <sheetName val="งานซ๋อมพื้นคอนกรีต_1"/>
      <sheetName val="1_R18_BF"/>
      <sheetName val="Exchange_Rate"/>
      <sheetName val="Structural_work3"/>
      <sheetName val="Electrical_Systems3"/>
      <sheetName val="Plumbing_Systems3"/>
      <sheetName val="Air_Conditioning3"/>
      <sheetName val="External_work3"/>
      <sheetName val="Wkgs_BS_Lead3"/>
      <sheetName val="วิเคราะห์_(2)3"/>
      <sheetName val="Replacement_Cost_3"/>
      <sheetName val="PRICE_LIST1"/>
      <sheetName val="Book_1_Summary1"/>
      <sheetName val="ราคากลาง_21"/>
      <sheetName val="งานซ๋อมพื้นคอนกรีต_11"/>
      <sheetName val="1_R18_BF1"/>
      <sheetName val="Exchange_Rate1"/>
      <sheetName val="Struc__6"/>
      <sheetName val="EST-FOOTING_(G)6"/>
      <sheetName val="ประมาณการประตูหน้าต่าง_6"/>
      <sheetName val="H1_06"/>
      <sheetName val="QUANTITY_COMPARISON6"/>
      <sheetName val="Bill_No__2_-_Carpark6"/>
      <sheetName val="หน้า_ปมก6"/>
      <sheetName val="EST_FOOTING__G_6"/>
      <sheetName val="SITE_OFFICE5"/>
      <sheetName val="Structural_work4"/>
      <sheetName val="Electrical_Systems4"/>
      <sheetName val="Plumbing_Systems4"/>
      <sheetName val="Air_Conditioning4"/>
      <sheetName val="External_work4"/>
      <sheetName val="Wkgs_BS_Lead4"/>
      <sheetName val="วิเคราะห์_(2)4"/>
      <sheetName val="schedule_4"/>
      <sheetName val="Replacement_Cost_4"/>
      <sheetName val="PRICE_LIST2"/>
      <sheetName val="Book_1_Summary2"/>
      <sheetName val="ราคากลาง_22"/>
      <sheetName val="งานซ๋อมพื้นคอนกรีต_12"/>
      <sheetName val="1_R18_BF2"/>
      <sheetName val="Exchange_Rate2"/>
      <sheetName val="unitcost"/>
      <sheetName val="แหล่งวัสดุ"/>
      <sheetName val="Auto Monthly Inputs "/>
      <sheetName val="2a-Consol-RVOs"/>
      <sheetName val="3-CAPARS Log"/>
      <sheetName val="mock up "/>
      <sheetName val="SUMMARY"/>
      <sheetName val="summary1-3"/>
      <sheetName val="Assumptions"/>
      <sheetName val="data3"/>
      <sheetName val="S3 Architectural"/>
      <sheetName val="สรุปราคาทั้งหมด (2)"/>
      <sheetName val="配管単価"/>
      <sheetName val="Reason of Difference"/>
      <sheetName val="Summary(1)"/>
      <sheetName val="Summary(2)"/>
      <sheetName val="Dwg list "/>
      <sheetName val="2.1Piling"/>
      <sheetName val="3.1 ST(basement)"/>
      <sheetName val="3.2Sky Villa"/>
      <sheetName val="3.2IL Condo1"/>
      <sheetName val="3.2IL Condo2"/>
      <sheetName val="3.2IL Condo3"/>
      <sheetName val="3.2HiCare"/>
      <sheetName val="3.2Clubhouse"/>
      <sheetName val="Footings- Working"/>
      <sheetName val="3.3basement(AR)"/>
      <sheetName val="3.3basement(ID)"/>
      <sheetName val="3.3SkyVilla(SUM AR,ID)"/>
      <sheetName val="3.3SkyVilla(AR)"/>
      <sheetName val="3.3SkyVilla(SUM ID)"/>
      <sheetName val="3.3SkyVilla (ID)"/>
      <sheetName val="3.3ILCondo (SUM AR,ID)"/>
      <sheetName val="3.3ILCondo(AR)"/>
      <sheetName val="3.3ILCondo ( SUM ID)"/>
      <sheetName val="3.3IL (ID Public)"/>
      <sheetName val="3.3ILCondo (ID Guest Room)"/>
      <sheetName val="3.3HiCare (AR)"/>
      <sheetName val="3.3HiCare (ID)"/>
      <sheetName val="3.3Clubhouse(AR)"/>
      <sheetName val="3.3Clubhouse(ID)"/>
      <sheetName val="3.4SkyVilla(Facade)"/>
      <sheetName val="3.4ILCondo(Facade)"/>
      <sheetName val="3.4HiCare(Facade)"/>
      <sheetName val="3.4Clubhouse(Facade)"/>
      <sheetName val="3.5 Ext"/>
      <sheetName val="3.6 Pro Sum"/>
      <sheetName val="Exclusion"/>
      <sheetName val="ILCondoFacade - Working"/>
      <sheetName val="CERT"/>
      <sheetName val="DO"/>
      <sheetName val="Price Variation"/>
      <sheetName val="rc"/>
      <sheetName val="Master01"/>
      <sheetName val="cov-estimate"/>
      <sheetName val="Compare"/>
      <sheetName val="standard structure"/>
      <sheetName val="sum 1-4"/>
      <sheetName val="mat"/>
      <sheetName val="79 นอร์ธปาร์ค 021052"/>
      <sheetName val="Raw Material"/>
      <sheetName val="ค่าใช้จ่าย"/>
      <sheetName val="BOX_Cryostat_Details"/>
      <sheetName val="Driver_Linac_Layout"/>
      <sheetName val="Magnet_Details"/>
      <sheetName val="detail_"/>
      <sheetName val="Insul-Cost_Control-REV-00_"/>
      <sheetName val="SAN_REDUCED_1"/>
      <sheetName val="picture_(2)"/>
      <sheetName val="picture_(3)"/>
      <sheetName val="PR_"/>
      <sheetName val="PR__(2)"/>
      <sheetName val="5a__Code_E"/>
      <sheetName val="clg_fin"/>
      <sheetName val="flr_fin"/>
      <sheetName val="timber_frame"/>
      <sheetName val="Wall_Qty"/>
      <sheetName val="roof_fin"/>
      <sheetName val="Flr,_Rf_Bm"/>
      <sheetName val="Flr_Slb,_stair"/>
      <sheetName val="Gd_Bm"/>
      <sheetName val="PC,_G_Slab"/>
      <sheetName val="wall_fin"/>
      <sheetName val="3_Cost_Summary_with_classes"/>
      <sheetName val="Income_Statement"/>
      <sheetName val="Auto_Monthly_Inputs_"/>
      <sheetName val="3-CAPARS_Log"/>
      <sheetName val="งานโครงสร้าง_3"/>
      <sheetName val="GS-Curve_S_15_(Meeting)3"/>
      <sheetName val="BOX_Cryostat_Details1"/>
      <sheetName val="Driver_Linac_Layout1"/>
      <sheetName val="Magnet_Details1"/>
      <sheetName val="detail_1"/>
      <sheetName val="Insul-Cost_Control-REV-00_1"/>
      <sheetName val="SAN_REDUCED_11"/>
      <sheetName val="picture_(2)1"/>
      <sheetName val="picture_(3)1"/>
      <sheetName val="PR_1"/>
      <sheetName val="PR__(2)1"/>
      <sheetName val="5a__Code_E1"/>
      <sheetName val="clg_fin1"/>
      <sheetName val="flr_fin1"/>
      <sheetName val="timber_frame1"/>
      <sheetName val="Wall_Qty1"/>
      <sheetName val="roof_fin1"/>
      <sheetName val="Flr,_Rf_Bm1"/>
      <sheetName val="Flr_Slb,_stair1"/>
      <sheetName val="Gd_Bm1"/>
      <sheetName val="PC,_G_Slab1"/>
      <sheetName val="wall_fin1"/>
      <sheetName val="3_Cost_Summary_with_classes1"/>
      <sheetName val="Income_Statement1"/>
      <sheetName val="Auto_Monthly_Inputs_1"/>
      <sheetName val="3-CAPARS_Log1"/>
      <sheetName val="EST-FOOTING_(G)8"/>
      <sheetName val="H1_08"/>
      <sheetName val="QUANTITY_COMPARISON8"/>
      <sheetName val="Bill_No__2_-_Carpark8"/>
      <sheetName val="ประมาณการประตูหน้าต่าง_8"/>
      <sheetName val="หน้า_ปมก8"/>
      <sheetName val="EST_FOOTING__G_8"/>
      <sheetName val="Struc__8"/>
      <sheetName val="SITE_OFFICE7"/>
      <sheetName val="Structural_work6"/>
      <sheetName val="Electrical_Systems6"/>
      <sheetName val="Plumbing_Systems6"/>
      <sheetName val="Air_Conditioning6"/>
      <sheetName val="External_work6"/>
      <sheetName val="Wkgs_BS_Lead6"/>
      <sheetName val="วิเคราะห์_(2)6"/>
      <sheetName val="Replacement_Cost_6"/>
      <sheetName val="งานโครงสร้าง_5"/>
      <sheetName val="GS-Curve_S_15_(Meeting)5"/>
      <sheetName val="1_R18_BF3"/>
      <sheetName val="Exchange_Rate3"/>
      <sheetName val="PRICE_LIST3"/>
      <sheetName val="Book_1_Summary3"/>
      <sheetName val="ราคากลาง_23"/>
      <sheetName val="งานซ๋อมพื้นคอนกรีต_13"/>
      <sheetName val="BOX_Cryostat_Details3"/>
      <sheetName val="Driver_Linac_Layout3"/>
      <sheetName val="Magnet_Details3"/>
      <sheetName val="detail_3"/>
      <sheetName val="Insul-Cost_Control-REV-00_3"/>
      <sheetName val="SAN_REDUCED_13"/>
      <sheetName val="picture_(2)3"/>
      <sheetName val="picture_(3)3"/>
      <sheetName val="PR_3"/>
      <sheetName val="PR__(2)3"/>
      <sheetName val="5a__Code_E3"/>
      <sheetName val="clg_fin3"/>
      <sheetName val="flr_fin3"/>
      <sheetName val="timber_frame3"/>
      <sheetName val="Wall_Qty3"/>
      <sheetName val="roof_fin3"/>
      <sheetName val="Flr,_Rf_Bm3"/>
      <sheetName val="Flr_Slb,_stair3"/>
      <sheetName val="Gd_Bm3"/>
      <sheetName val="PC,_G_Slab3"/>
      <sheetName val="wall_fin3"/>
      <sheetName val="3_Cost_Summary_with_classes3"/>
      <sheetName val="Income_Statement3"/>
      <sheetName val="Auto_Monthly_Inputs_3"/>
      <sheetName val="3-CAPARS_Log3"/>
      <sheetName val="EST-FOOTING_(G)7"/>
      <sheetName val="H1_07"/>
      <sheetName val="QUANTITY_COMPARISON7"/>
      <sheetName val="Bill_No__2_-_Carpark7"/>
      <sheetName val="ประมาณการประตูหน้าต่าง_7"/>
      <sheetName val="หน้า_ปมก7"/>
      <sheetName val="EST_FOOTING__G_7"/>
      <sheetName val="Struc__7"/>
      <sheetName val="SITE_OFFICE6"/>
      <sheetName val="Structural_work5"/>
      <sheetName val="Electrical_Systems5"/>
      <sheetName val="Plumbing_Systems5"/>
      <sheetName val="Air_Conditioning5"/>
      <sheetName val="External_work5"/>
      <sheetName val="Wkgs_BS_Lead5"/>
      <sheetName val="วิเคราะห์_(2)5"/>
      <sheetName val="Replacement_Cost_5"/>
      <sheetName val="งานโครงสร้าง_4"/>
      <sheetName val="GS-Curve_S_15_(Meeting)4"/>
      <sheetName val="BOX_Cryostat_Details2"/>
      <sheetName val="Driver_Linac_Layout2"/>
      <sheetName val="Magnet_Details2"/>
      <sheetName val="detail_2"/>
      <sheetName val="Insul-Cost_Control-REV-00_2"/>
      <sheetName val="SAN_REDUCED_12"/>
      <sheetName val="picture_(2)2"/>
      <sheetName val="picture_(3)2"/>
      <sheetName val="PR_2"/>
      <sheetName val="PR__(2)2"/>
      <sheetName val="5a__Code_E2"/>
      <sheetName val="clg_fin2"/>
      <sheetName val="flr_fin2"/>
      <sheetName val="timber_frame2"/>
      <sheetName val="Wall_Qty2"/>
      <sheetName val="roof_fin2"/>
      <sheetName val="Flr,_Rf_Bm2"/>
      <sheetName val="Flr_Slb,_stair2"/>
      <sheetName val="Gd_Bm2"/>
      <sheetName val="PC,_G_Slab2"/>
      <sheetName val="wall_fin2"/>
      <sheetName val="3_Cost_Summary_with_classes2"/>
      <sheetName val="Income_Statement2"/>
      <sheetName val="Auto_Monthly_Inputs_2"/>
      <sheetName val="3-CAPARS_Log2"/>
      <sheetName val="สรุปรวม (2)"/>
      <sheetName val="cal"/>
      <sheetName val="ค่าวัสดุ"/>
      <sheetName val="Main Summary"/>
      <sheetName val="Purchase Order"/>
      <sheetName val="Customize Your Purchase Order"/>
      <sheetName val="invoice"/>
      <sheetName val="VRV Boq"/>
      <sheetName val="IN"/>
      <sheetName val="CashFlow krt"/>
      <sheetName val="FAB별"/>
      <sheetName val="STRUCTURE"/>
      <sheetName val="CPA33-34"/>
      <sheetName val="rate"/>
      <sheetName val="D"/>
      <sheetName val="二级成本动态表"/>
      <sheetName val="2.1.1Take pipe"/>
      <sheetName val="2.1.2Take Copper Pipe"/>
      <sheetName val="ME_DB"/>
      <sheetName val="#REF"/>
      <sheetName val="costs"/>
      <sheetName val="opstat"/>
      <sheetName val="Final_Summary_-_Base"/>
      <sheetName val="Boq_Arc__take_จริง"/>
      <sheetName val="mock_up_"/>
      <sheetName val="S3_Architectural"/>
      <sheetName val="Discounted Cash Flow"/>
      <sheetName val="sheetNO"/>
      <sheetName val="ZW-DP"/>
      <sheetName val="RM2"/>
      <sheetName val="SCHEDULE_6"/>
      <sheetName val="TOSHIBA-Structure"/>
      <sheetName val="labour_unit_rates"/>
      <sheetName val="summary_level-2"/>
      <sheetName val="Profit_Budget"/>
      <sheetName val="schedule 10_build management"/>
      <sheetName val="ข้อมูลคำนวณ"/>
      <sheetName val="EXCEL出力資料"/>
      <sheetName val="2.0"/>
      <sheetName val="3.0"/>
      <sheetName val="4.0"/>
      <sheetName val="5.0"/>
      <sheetName val="6.0"/>
      <sheetName val="7.0"/>
      <sheetName val="8.0"/>
      <sheetName val="LINKS"/>
      <sheetName val="Control Sheet"/>
      <sheetName val="furniture"/>
      <sheetName val="electrical reference"/>
      <sheetName val="unitcostรวม"/>
      <sheetName val="หน้าปก"/>
      <sheetName val="สารบัญ"/>
      <sheetName val="1 คำนำ"/>
      <sheetName val="2 บทสรุปของผู้บริหาร  "/>
      <sheetName val="2.1 การว่าจ้างที่ปรึกษา"/>
      <sheetName val="3 สถานะการออกแบบ"/>
      <sheetName val="3.1 สถานะการออกแบบ AR "/>
      <sheetName val="3.2 สถานะการออกแบบ ST "/>
      <sheetName val="3.3 สถานะการออกแบบ MES "/>
      <sheetName val="3.4 สถานะการออกแบบ LS "/>
      <sheetName val="3.5 สถานะการออกแบบ IN "/>
      <sheetName val="4 EIA"/>
      <sheetName val="สถานะ EIA "/>
      <sheetName val="5.การยื่นขอใบอนุญาตราชการ"/>
      <sheetName val="6 การประกันภัย&amp;หลักประกัน"/>
      <sheetName val="3. สถานะงานก่อสร้าง"/>
      <sheetName val="Demolish work "/>
      <sheetName val="Work_SO Fl.1"/>
      <sheetName val="MOCK UP(AR)_Fl.2"/>
      <sheetName val="3.1 งานโครงสร้าง+ระบบ "/>
      <sheetName val="3.2 งานโครงสร้าง."/>
      <sheetName val="3.3 งานสถาปัตย์"/>
      <sheetName val="L PILE"/>
      <sheetName val="Retaining Wall"/>
      <sheetName val="Plumbing-SN1."/>
      <sheetName val="Plumbing-SN2"/>
      <sheetName val="Electrical system-(1st)"/>
      <sheetName val="Electrical system-(2nd)"/>
      <sheetName val="Air condition system-1ST-1"/>
      <sheetName val="Air condition system-1ST-2"/>
      <sheetName val="Air condition system-2ND"/>
      <sheetName val="Air condition system-(Mockup)"/>
      <sheetName val="Site Drainage system-part 1"/>
      <sheetName val="Site Drainage system-part 2"/>
      <sheetName val="3.4 งานระบบ"/>
      <sheetName val="4. สรุปการเงินโครงการ"/>
      <sheetName val="4.1 สรุปการเงินโครงการ"/>
      <sheetName val="5.แผนการทำงาน"/>
      <sheetName val="9.1 แผนงานการพัฒนาโครงการ"/>
      <sheetName val="5.1 Schedule มีไฟล์แนบ"/>
      <sheetName val="9.2 แผนการทำงานเดือนถัดไป "/>
      <sheetName val="5.2 S-Curve มีไฟล์แนบ"/>
      <sheetName val="6. ภาพถ่ายความก้าวหน้าโครงการ"/>
      <sheetName val="6.1 Photo"/>
      <sheetName val="7. แผนภาพสภาวะอากาศ"/>
      <sheetName val="7.1 แผนภาพสภาวะอากาศ "/>
      <sheetName val="12 Site Instruction Log"/>
      <sheetName val="8. รายการอนุมัติวัสดุ&amp;แบบแปลน"/>
      <sheetName val="8.1 Shop Drawing (ST)"/>
      <sheetName val="8.1 Shop Drawing  (AR)"/>
      <sheetName val="8.2 Shop Drawing (AR)"/>
      <sheetName val="8.3 Material (ST) "/>
      <sheetName val="14 รายการเอกสารติดต่อประสานงาน"/>
      <sheetName val="หนังสือเข้า"/>
      <sheetName val="หนังสือออก"/>
      <sheetName val="8.2 Material (SN)"/>
      <sheetName val="8.2 Material (EE)"/>
      <sheetName val="8.4 Material (AR)"/>
      <sheetName val="8.5 Shop Drawing (ระบบ)"/>
      <sheetName val="8.6 Material (ระบบ)"/>
      <sheetName val="9. ผังโครงสร้างบุคลากร"/>
      <sheetName val="9.1 JTK มีไฟล์แนบ"/>
      <sheetName val="15.2 MM"/>
      <sheetName val="SA Lifecycle Inputs"/>
      <sheetName val="Key Stats Timeline"/>
      <sheetName val="SA FM Inputs"/>
      <sheetName val="Internal Input"/>
      <sheetName val="SA SPC Summary Inputs"/>
      <sheetName val="Key Data"/>
      <sheetName val="ปลีกวันนี้พ่วง"/>
      <sheetName val="累计明细成本表"/>
      <sheetName val="ที่จอดรถและถนนในจุดพักรถ"/>
      <sheetName val="ค่าดำเนินการ+ค่าเสื่อมราคา"/>
      <sheetName val="สรุปค่าขนส่ง"/>
      <sheetName val="F"/>
      <sheetName val="fr"/>
      <sheetName val="LISTS"/>
      <sheetName val="Boq(1)"/>
      <sheetName val="Soi 08"/>
      <sheetName val="Interial"/>
      <sheetName val="HVAC"/>
      <sheetName val="หน้า 1"/>
    </sheetNames>
    <sheetDataSet>
      <sheetData sheetId="0" refreshError="1">
        <row r="1">
          <cell r="C1">
            <v>0</v>
          </cell>
        </row>
        <row r="3">
          <cell r="C3" t="str">
            <v>N0.</v>
          </cell>
          <cell r="D3" t="str">
            <v>DESCRIPTION</v>
          </cell>
          <cell r="E3" t="str">
            <v xml:space="preserve">UNIT  </v>
          </cell>
          <cell r="F3" t="str">
            <v xml:space="preserve">LABOUR </v>
          </cell>
          <cell r="G3" t="str">
            <v>UNIT</v>
          </cell>
        </row>
        <row r="4">
          <cell r="E4" t="str">
            <v>COST</v>
          </cell>
          <cell r="F4" t="str">
            <v>COST</v>
          </cell>
        </row>
        <row r="5">
          <cell r="D5" t="str">
            <v>TRANSFORMER , GENERATOR AND HIGH-VOLTAGE EQUIPMENT</v>
          </cell>
        </row>
        <row r="6">
          <cell r="C6">
            <v>1</v>
          </cell>
          <cell r="D6" t="str">
            <v>OIL IMMERSED TRANSFORMER</v>
          </cell>
        </row>
        <row r="7">
          <cell r="D7" t="str">
            <v>33 KV. OIL IMMERSED TRANS</v>
          </cell>
        </row>
        <row r="8">
          <cell r="C8">
            <v>101</v>
          </cell>
          <cell r="D8" t="str">
            <v>-  OIL IMMERSED TRANS. 100 KVA.</v>
          </cell>
          <cell r="E8">
            <v>137000</v>
          </cell>
          <cell r="F8">
            <v>2500</v>
          </cell>
          <cell r="G8" t="str">
            <v>SET</v>
          </cell>
        </row>
        <row r="9">
          <cell r="C9">
            <v>102</v>
          </cell>
          <cell r="D9" t="str">
            <v>-  OIL IMMERSED TRANS. 160 KVA.</v>
          </cell>
          <cell r="E9">
            <v>148000</v>
          </cell>
          <cell r="F9">
            <v>2500</v>
          </cell>
          <cell r="G9" t="str">
            <v>SET</v>
          </cell>
        </row>
        <row r="10">
          <cell r="C10">
            <v>103</v>
          </cell>
          <cell r="D10" t="str">
            <v>-  OIL IMMERSED TRANS. 250 KVA.</v>
          </cell>
          <cell r="E10">
            <v>193000</v>
          </cell>
          <cell r="F10">
            <v>2500</v>
          </cell>
          <cell r="G10" t="str">
            <v>SET</v>
          </cell>
        </row>
        <row r="11">
          <cell r="C11">
            <v>104</v>
          </cell>
          <cell r="D11" t="str">
            <v>-  OIL IMMERSED TRANS. 315 KVA.</v>
          </cell>
          <cell r="E11">
            <v>262000</v>
          </cell>
          <cell r="F11">
            <v>3000</v>
          </cell>
          <cell r="G11" t="str">
            <v>SET</v>
          </cell>
        </row>
        <row r="12">
          <cell r="C12">
            <v>105</v>
          </cell>
          <cell r="D12" t="str">
            <v>-  OIL IMMERSED TRANS. 400 KVA.</v>
          </cell>
          <cell r="E12">
            <v>297500</v>
          </cell>
          <cell r="F12">
            <v>3000</v>
          </cell>
          <cell r="G12" t="str">
            <v>SET</v>
          </cell>
        </row>
        <row r="13">
          <cell r="C13">
            <v>106</v>
          </cell>
          <cell r="D13" t="str">
            <v>-  OIL IMMERSED TRANS. 500 KVA.</v>
          </cell>
          <cell r="E13">
            <v>323000</v>
          </cell>
          <cell r="F13">
            <v>3000</v>
          </cell>
          <cell r="G13" t="str">
            <v>SET</v>
          </cell>
        </row>
        <row r="14">
          <cell r="C14">
            <v>107</v>
          </cell>
          <cell r="D14" t="str">
            <v>-  OIL IMMERSED TRANS. 630 KVA.</v>
          </cell>
          <cell r="E14">
            <v>359000</v>
          </cell>
          <cell r="F14">
            <v>5000</v>
          </cell>
          <cell r="G14" t="str">
            <v>SET</v>
          </cell>
        </row>
        <row r="15">
          <cell r="C15">
            <v>108</v>
          </cell>
          <cell r="D15" t="str">
            <v>-  OIL IMMERSED TRANS. 800 KVA.</v>
          </cell>
          <cell r="E15">
            <v>446000</v>
          </cell>
          <cell r="F15">
            <v>5000</v>
          </cell>
          <cell r="G15" t="str">
            <v>SET</v>
          </cell>
        </row>
        <row r="16">
          <cell r="C16">
            <v>109</v>
          </cell>
          <cell r="D16" t="str">
            <v>-  OIL IMMERSED TRANS. 1,000 KVA.</v>
          </cell>
          <cell r="E16">
            <v>542000</v>
          </cell>
          <cell r="F16">
            <v>6000</v>
          </cell>
          <cell r="G16" t="str">
            <v>SET</v>
          </cell>
        </row>
        <row r="17">
          <cell r="C17">
            <v>110</v>
          </cell>
          <cell r="D17" t="str">
            <v>-  OIL IMMERSED TRANS. 1,250 KVA.</v>
          </cell>
          <cell r="E17">
            <v>595000</v>
          </cell>
          <cell r="F17">
            <v>6000</v>
          </cell>
          <cell r="G17" t="str">
            <v>SET</v>
          </cell>
        </row>
        <row r="18">
          <cell r="C18">
            <v>111</v>
          </cell>
          <cell r="D18" t="str">
            <v>-  OIL IMMERSED TRANS. 1,500 KVA.</v>
          </cell>
          <cell r="E18">
            <v>680000</v>
          </cell>
          <cell r="F18">
            <v>6500</v>
          </cell>
          <cell r="G18" t="str">
            <v>SET</v>
          </cell>
        </row>
        <row r="19">
          <cell r="C19">
            <v>112</v>
          </cell>
          <cell r="D19" t="str">
            <v>-  OIL IMMERSED TRANS. 2,000 KVA.</v>
          </cell>
          <cell r="E19">
            <v>855000</v>
          </cell>
          <cell r="F19">
            <v>7000</v>
          </cell>
          <cell r="G19" t="str">
            <v>SET</v>
          </cell>
        </row>
        <row r="20">
          <cell r="C20">
            <v>113</v>
          </cell>
          <cell r="D20" t="str">
            <v>-  OIL IMMERSED TRANS. 2,500 KVA.</v>
          </cell>
          <cell r="E20">
            <v>1046000</v>
          </cell>
          <cell r="F20">
            <v>7500</v>
          </cell>
          <cell r="G20" t="str">
            <v>SET</v>
          </cell>
        </row>
        <row r="21">
          <cell r="C21">
            <v>114</v>
          </cell>
          <cell r="D21" t="str">
            <v>-  OIL IMMERSED TRANS. 3,000 KVA.</v>
          </cell>
          <cell r="E21">
            <v>1256000</v>
          </cell>
          <cell r="F21">
            <v>8500</v>
          </cell>
          <cell r="G21" t="str">
            <v>SET</v>
          </cell>
        </row>
        <row r="22">
          <cell r="D22" t="str">
            <v>22 - 24 KV หรือ 11 - 12 KV. OIL IMMERSED TRANS</v>
          </cell>
        </row>
        <row r="23">
          <cell r="C23">
            <v>115</v>
          </cell>
          <cell r="D23" t="str">
            <v>-  OIL IMMERSED TRANS. 100 KVA.</v>
          </cell>
          <cell r="E23">
            <v>104000</v>
          </cell>
          <cell r="F23">
            <v>2500</v>
          </cell>
          <cell r="G23" t="str">
            <v>SET</v>
          </cell>
        </row>
        <row r="24">
          <cell r="C24">
            <v>116</v>
          </cell>
          <cell r="D24" t="str">
            <v>-  OIL IMMERSED TRANS. 160 KVA.</v>
          </cell>
          <cell r="E24">
            <v>131000</v>
          </cell>
          <cell r="F24">
            <v>2500</v>
          </cell>
          <cell r="G24" t="str">
            <v>SET</v>
          </cell>
        </row>
        <row r="25">
          <cell r="C25">
            <v>117</v>
          </cell>
          <cell r="D25" t="str">
            <v>-  OIL IMMERSED TRANS. 200 KVA.</v>
          </cell>
          <cell r="E25">
            <v>154000</v>
          </cell>
          <cell r="F25">
            <v>2500</v>
          </cell>
          <cell r="G25" t="str">
            <v>SET</v>
          </cell>
        </row>
        <row r="26">
          <cell r="C26">
            <v>118</v>
          </cell>
          <cell r="D26" t="str">
            <v>-  OIL IMMERSED TRANS. 250 KVA.</v>
          </cell>
          <cell r="E26">
            <v>171000</v>
          </cell>
          <cell r="F26">
            <v>3000</v>
          </cell>
          <cell r="G26" t="str">
            <v>SET</v>
          </cell>
        </row>
        <row r="27">
          <cell r="C27">
            <v>119</v>
          </cell>
          <cell r="D27" t="str">
            <v>-  OIL IMMERSED TRANS. 315 KVA.</v>
          </cell>
          <cell r="E27">
            <v>227500</v>
          </cell>
          <cell r="F27">
            <v>3000</v>
          </cell>
          <cell r="G27" t="str">
            <v>SET</v>
          </cell>
        </row>
        <row r="28">
          <cell r="C28">
            <v>120</v>
          </cell>
          <cell r="D28" t="str">
            <v>-  OIL IMMERSED TRANS. 400 KVA.</v>
          </cell>
          <cell r="E28">
            <v>262000</v>
          </cell>
          <cell r="F28">
            <v>3000</v>
          </cell>
          <cell r="G28" t="str">
            <v>SET</v>
          </cell>
        </row>
        <row r="29">
          <cell r="C29">
            <v>121</v>
          </cell>
          <cell r="D29" t="str">
            <v>-  OIL IMMERSED TRANS. 500 KVA.</v>
          </cell>
          <cell r="E29">
            <v>289000</v>
          </cell>
          <cell r="F29">
            <v>3000</v>
          </cell>
          <cell r="G29" t="str">
            <v>SET</v>
          </cell>
        </row>
        <row r="30">
          <cell r="C30">
            <v>122</v>
          </cell>
          <cell r="D30" t="str">
            <v>-  OIL IMMERSED TRANS. 630 KVA.</v>
          </cell>
          <cell r="E30">
            <v>323000</v>
          </cell>
          <cell r="F30">
            <v>5000</v>
          </cell>
          <cell r="G30" t="str">
            <v>SET</v>
          </cell>
        </row>
        <row r="31">
          <cell r="C31">
            <v>123</v>
          </cell>
          <cell r="D31" t="str">
            <v>-  OIL IMMERSED TRANS. 800 KVA.</v>
          </cell>
          <cell r="E31">
            <v>402000</v>
          </cell>
          <cell r="F31">
            <v>5000</v>
          </cell>
          <cell r="G31" t="str">
            <v>SET</v>
          </cell>
        </row>
        <row r="32">
          <cell r="C32">
            <v>124</v>
          </cell>
          <cell r="D32" t="str">
            <v>-  OIL IMMERSED TRANS. 1,000 KVA.</v>
          </cell>
          <cell r="E32">
            <v>480000</v>
          </cell>
          <cell r="F32">
            <v>6000</v>
          </cell>
          <cell r="G32" t="str">
            <v>SET</v>
          </cell>
        </row>
        <row r="33">
          <cell r="C33">
            <v>125</v>
          </cell>
          <cell r="D33" t="str">
            <v>-  OIL IMMERSED TRANS. 1,250 KVA.</v>
          </cell>
          <cell r="E33">
            <v>542000</v>
          </cell>
          <cell r="F33">
            <v>6000</v>
          </cell>
          <cell r="G33" t="str">
            <v>SET</v>
          </cell>
        </row>
        <row r="34">
          <cell r="C34">
            <v>126</v>
          </cell>
          <cell r="D34" t="str">
            <v>-  OIL IMMERSED TRANS. 1,600 KVA.</v>
          </cell>
          <cell r="E34">
            <v>629000</v>
          </cell>
          <cell r="F34">
            <v>6000</v>
          </cell>
          <cell r="G34" t="str">
            <v>SET</v>
          </cell>
        </row>
        <row r="35">
          <cell r="C35">
            <v>127</v>
          </cell>
          <cell r="D35" t="str">
            <v>-  OIL IMMERSED TRANS. 2,000 KVA.</v>
          </cell>
          <cell r="E35">
            <v>785000</v>
          </cell>
          <cell r="F35">
            <v>7000</v>
          </cell>
          <cell r="G35" t="str">
            <v>SET</v>
          </cell>
        </row>
        <row r="36">
          <cell r="C36">
            <v>128</v>
          </cell>
          <cell r="D36" t="str">
            <v>-  OIL IMMERSED TRANS. 2,500 KVA.</v>
          </cell>
          <cell r="E36">
            <v>959000</v>
          </cell>
          <cell r="F36">
            <v>7000</v>
          </cell>
          <cell r="G36" t="str">
            <v>SET</v>
          </cell>
        </row>
        <row r="37">
          <cell r="C37">
            <v>129</v>
          </cell>
          <cell r="D37" t="str">
            <v>-  OIL IMMERSED TRANS. 3,150 KVA.</v>
          </cell>
          <cell r="E37">
            <v>1133000</v>
          </cell>
          <cell r="F37">
            <v>8000</v>
          </cell>
          <cell r="G37" t="str">
            <v>SET</v>
          </cell>
        </row>
        <row r="38">
          <cell r="C38">
            <v>2</v>
          </cell>
          <cell r="D38" t="str">
            <v>DRY TYPE CAST RESIN TRANSFORMER</v>
          </cell>
        </row>
        <row r="39">
          <cell r="D39" t="str">
            <v>22 - 24 KV OR 11 - 12 KV.  CAST RESIN TRANS</v>
          </cell>
        </row>
        <row r="40">
          <cell r="C40">
            <v>201</v>
          </cell>
          <cell r="D40" t="str">
            <v>-  CAST RESIN TRANS. 100 KVA.</v>
          </cell>
          <cell r="E40">
            <v>180000</v>
          </cell>
          <cell r="F40">
            <v>7000</v>
          </cell>
          <cell r="G40" t="str">
            <v>SET</v>
          </cell>
        </row>
        <row r="41">
          <cell r="C41">
            <v>202</v>
          </cell>
          <cell r="D41" t="str">
            <v>-  CAST RESIN TRANS. 160 KVA.</v>
          </cell>
          <cell r="E41">
            <v>243000</v>
          </cell>
          <cell r="F41">
            <v>7000</v>
          </cell>
          <cell r="G41" t="str">
            <v>SET</v>
          </cell>
        </row>
        <row r="42">
          <cell r="C42">
            <v>203</v>
          </cell>
          <cell r="D42" t="str">
            <v>-  CAST RESIN TRANS. 250 KVA.</v>
          </cell>
          <cell r="E42">
            <v>304000</v>
          </cell>
          <cell r="F42">
            <v>8000</v>
          </cell>
          <cell r="G42" t="str">
            <v>SET</v>
          </cell>
        </row>
        <row r="43">
          <cell r="C43">
            <v>204</v>
          </cell>
          <cell r="D43" t="str">
            <v>-  CAST RESIN TRANS. 315 KVA.</v>
          </cell>
          <cell r="E43">
            <v>342000</v>
          </cell>
          <cell r="F43">
            <v>8000</v>
          </cell>
          <cell r="G43" t="str">
            <v>SET</v>
          </cell>
        </row>
        <row r="44">
          <cell r="C44">
            <v>205</v>
          </cell>
          <cell r="D44" t="str">
            <v>-  CAST RESIN TRANS. 400 KVA.</v>
          </cell>
          <cell r="E44">
            <v>410000</v>
          </cell>
          <cell r="F44">
            <v>10000</v>
          </cell>
          <cell r="G44" t="str">
            <v>SET</v>
          </cell>
        </row>
        <row r="45">
          <cell r="C45">
            <v>206</v>
          </cell>
          <cell r="D45" t="str">
            <v>-  CAST RESIN TRANS. 500 KVA.</v>
          </cell>
          <cell r="E45">
            <v>486000</v>
          </cell>
          <cell r="F45">
            <v>10000</v>
          </cell>
          <cell r="G45" t="str">
            <v>SET</v>
          </cell>
        </row>
        <row r="46">
          <cell r="C46">
            <v>207</v>
          </cell>
          <cell r="D46" t="str">
            <v>-  CAST RESIN TRANS. 630 KVA.</v>
          </cell>
          <cell r="E46">
            <v>574000</v>
          </cell>
          <cell r="F46">
            <v>12000</v>
          </cell>
          <cell r="G46" t="str">
            <v>SET</v>
          </cell>
        </row>
        <row r="47">
          <cell r="C47">
            <v>208</v>
          </cell>
          <cell r="D47" t="str">
            <v>-  CAST RESIN TRANS. 800 KVA.</v>
          </cell>
          <cell r="E47">
            <v>673000</v>
          </cell>
          <cell r="F47">
            <v>12000</v>
          </cell>
          <cell r="G47" t="str">
            <v>SET</v>
          </cell>
        </row>
        <row r="48">
          <cell r="C48">
            <v>209</v>
          </cell>
          <cell r="D48" t="str">
            <v>-  CAST RESIN TRANS. 1,000 KVA.</v>
          </cell>
          <cell r="E48">
            <v>830000</v>
          </cell>
          <cell r="F48">
            <v>15000</v>
          </cell>
          <cell r="G48" t="str">
            <v>SET</v>
          </cell>
        </row>
        <row r="49">
          <cell r="C49">
            <v>210</v>
          </cell>
          <cell r="D49" t="str">
            <v>-  CAST RESIN TRANS. 1,250 KVA.</v>
          </cell>
          <cell r="E49">
            <v>991000</v>
          </cell>
          <cell r="F49">
            <v>15000</v>
          </cell>
          <cell r="G49" t="str">
            <v>SET</v>
          </cell>
        </row>
        <row r="50">
          <cell r="C50">
            <v>211</v>
          </cell>
          <cell r="D50" t="str">
            <v>-  CAST RESIN TRANS. 1,600 KVA.</v>
          </cell>
          <cell r="E50">
            <v>1137000</v>
          </cell>
          <cell r="F50">
            <v>15000</v>
          </cell>
          <cell r="G50" t="str">
            <v>SET</v>
          </cell>
        </row>
        <row r="51">
          <cell r="C51">
            <v>212</v>
          </cell>
          <cell r="D51" t="str">
            <v>-  CAST RESIN TRANS. 2,000 KVA.</v>
          </cell>
          <cell r="E51">
            <v>1425000</v>
          </cell>
          <cell r="F51">
            <v>18000</v>
          </cell>
          <cell r="G51" t="str">
            <v>SET</v>
          </cell>
        </row>
        <row r="52">
          <cell r="C52">
            <v>213</v>
          </cell>
          <cell r="D52" t="str">
            <v>-  CAST RESIN TRANS. 2,500 KVA.</v>
          </cell>
          <cell r="E52">
            <v>1700000</v>
          </cell>
          <cell r="F52">
            <v>20000</v>
          </cell>
          <cell r="G52" t="str">
            <v>SET</v>
          </cell>
        </row>
        <row r="53">
          <cell r="C53">
            <v>214</v>
          </cell>
          <cell r="D53" t="str">
            <v>-  CAST RESIN TRANS. 3,000 KVA.</v>
          </cell>
          <cell r="E53">
            <v>1902000</v>
          </cell>
          <cell r="F53">
            <v>22000</v>
          </cell>
          <cell r="G53" t="str">
            <v>SET</v>
          </cell>
        </row>
        <row r="54">
          <cell r="D54" t="str">
            <v>SPACE</v>
          </cell>
        </row>
        <row r="55">
          <cell r="C55">
            <v>3</v>
          </cell>
          <cell r="D55" t="str">
            <v>PAD MOUNTED TRANSFORMER</v>
          </cell>
        </row>
        <row r="56">
          <cell r="D56" t="str">
            <v>11 - 12 OR 22 - 24 KA. PAD MOUNTED TRANS</v>
          </cell>
        </row>
        <row r="57">
          <cell r="C57">
            <v>301</v>
          </cell>
          <cell r="D57" t="str">
            <v>-  PAD MOUNTED TRANS. 100 KVA.</v>
          </cell>
          <cell r="E57">
            <v>100000</v>
          </cell>
          <cell r="F57">
            <v>2500</v>
          </cell>
          <cell r="G57" t="str">
            <v>SET</v>
          </cell>
        </row>
        <row r="58">
          <cell r="C58">
            <v>302</v>
          </cell>
          <cell r="D58" t="str">
            <v>-  PAD MOUNTED TRANS. 160 KVA.</v>
          </cell>
          <cell r="E58">
            <v>131000</v>
          </cell>
          <cell r="F58">
            <v>2500</v>
          </cell>
          <cell r="G58" t="str">
            <v>SET</v>
          </cell>
        </row>
        <row r="59">
          <cell r="C59">
            <v>303</v>
          </cell>
          <cell r="D59" t="str">
            <v>-  PAD MOUNTED TRANS. 250 KVA.</v>
          </cell>
          <cell r="E59">
            <v>165000</v>
          </cell>
          <cell r="F59">
            <v>2500</v>
          </cell>
          <cell r="G59" t="str">
            <v>SET</v>
          </cell>
        </row>
        <row r="60">
          <cell r="C60">
            <v>304</v>
          </cell>
          <cell r="D60" t="str">
            <v>-  PAD MOUNTED TRANS. 315 KVA.</v>
          </cell>
          <cell r="E60">
            <v>185000</v>
          </cell>
          <cell r="F60">
            <v>3000</v>
          </cell>
          <cell r="G60" t="str">
            <v>SET</v>
          </cell>
        </row>
        <row r="61">
          <cell r="C61">
            <v>305</v>
          </cell>
          <cell r="D61" t="str">
            <v>-  PAD MOUNTED TRANS. 400 KVA.</v>
          </cell>
          <cell r="E61">
            <v>222000</v>
          </cell>
          <cell r="F61">
            <v>3000</v>
          </cell>
          <cell r="G61" t="str">
            <v>SET</v>
          </cell>
        </row>
        <row r="62">
          <cell r="C62">
            <v>306</v>
          </cell>
          <cell r="D62" t="str">
            <v>-  PAD MOUNTED TRANS. 500 KVA.</v>
          </cell>
          <cell r="E62">
            <v>263000</v>
          </cell>
          <cell r="F62">
            <v>3000</v>
          </cell>
          <cell r="G62" t="str">
            <v>SET</v>
          </cell>
        </row>
        <row r="63">
          <cell r="C63">
            <v>307</v>
          </cell>
          <cell r="D63" t="str">
            <v>-  PAD MOUNTED TRANS. 630 KVA.</v>
          </cell>
          <cell r="E63">
            <v>311000</v>
          </cell>
          <cell r="F63">
            <v>5000</v>
          </cell>
          <cell r="G63" t="str">
            <v>SET</v>
          </cell>
        </row>
        <row r="64">
          <cell r="C64">
            <v>308</v>
          </cell>
          <cell r="D64" t="str">
            <v>-  PAD MOUNTED TRANS. 800 KVA.</v>
          </cell>
          <cell r="E64">
            <v>364000</v>
          </cell>
          <cell r="F64">
            <v>5000</v>
          </cell>
          <cell r="G64" t="str">
            <v>SET</v>
          </cell>
        </row>
        <row r="65">
          <cell r="C65">
            <v>309</v>
          </cell>
          <cell r="D65" t="str">
            <v>-  PAD MOUNTED TRANS. 1,000 KVA.</v>
          </cell>
          <cell r="E65">
            <v>450000</v>
          </cell>
          <cell r="F65">
            <v>6000</v>
          </cell>
          <cell r="G65" t="str">
            <v>SET</v>
          </cell>
        </row>
        <row r="66">
          <cell r="C66">
            <v>310</v>
          </cell>
          <cell r="D66" t="str">
            <v>-  PAD MOUNTED TRANS. 1,250 KVA.</v>
          </cell>
          <cell r="E66">
            <v>537000</v>
          </cell>
          <cell r="F66">
            <v>6000</v>
          </cell>
          <cell r="G66" t="str">
            <v>SET</v>
          </cell>
        </row>
        <row r="67">
          <cell r="C67">
            <v>311</v>
          </cell>
          <cell r="D67" t="str">
            <v>-  PAD MOUNTED TRANS. 1,500 KVA.</v>
          </cell>
          <cell r="E67">
            <v>616000</v>
          </cell>
          <cell r="F67">
            <v>6000</v>
          </cell>
          <cell r="G67" t="str">
            <v>SET</v>
          </cell>
        </row>
        <row r="68">
          <cell r="C68">
            <v>312</v>
          </cell>
          <cell r="D68" t="str">
            <v>-  PAD MOUNTED TRANS. 2,000 KVA.</v>
          </cell>
          <cell r="E68">
            <v>772000</v>
          </cell>
          <cell r="F68">
            <v>7000</v>
          </cell>
          <cell r="G68" t="str">
            <v>SET</v>
          </cell>
        </row>
        <row r="69">
          <cell r="C69">
            <v>313</v>
          </cell>
          <cell r="D69" t="str">
            <v>-  PAD MOUNTED TRANS. 2,500 KVA.</v>
          </cell>
          <cell r="E69">
            <v>921000</v>
          </cell>
          <cell r="F69">
            <v>7000</v>
          </cell>
          <cell r="G69" t="str">
            <v>SET</v>
          </cell>
        </row>
        <row r="70">
          <cell r="C70">
            <v>314</v>
          </cell>
          <cell r="D70" t="str">
            <v>-  PAD MOUNTED TRANS. 3,000 KVA.</v>
          </cell>
          <cell r="E70">
            <v>1030000</v>
          </cell>
          <cell r="F70">
            <v>8000</v>
          </cell>
          <cell r="G70" t="str">
            <v>SET</v>
          </cell>
        </row>
        <row r="71">
          <cell r="D71" t="str">
            <v>OIL IMMERSED TRANSFORMER</v>
          </cell>
        </row>
        <row r="72">
          <cell r="D72" t="str">
            <v>33 KA. PAD MOUNTED TRANS</v>
          </cell>
        </row>
        <row r="73">
          <cell r="C73">
            <v>315</v>
          </cell>
          <cell r="D73" t="str">
            <v>-  PAD MOUNTED TRANS. 100 KVA.</v>
          </cell>
          <cell r="E73">
            <v>106000</v>
          </cell>
          <cell r="F73">
            <v>2500</v>
          </cell>
          <cell r="G73" t="str">
            <v>SET</v>
          </cell>
        </row>
        <row r="74">
          <cell r="C74">
            <v>316</v>
          </cell>
          <cell r="D74" t="str">
            <v>-  PAD MOUNTED TRANS. 160 KVA.</v>
          </cell>
          <cell r="E74">
            <v>139000</v>
          </cell>
          <cell r="F74">
            <v>2500</v>
          </cell>
          <cell r="G74" t="str">
            <v>SET</v>
          </cell>
        </row>
        <row r="75">
          <cell r="C75">
            <v>317</v>
          </cell>
          <cell r="D75" t="str">
            <v>-  PAD MOUNTED TRANS. 250 KVA.</v>
          </cell>
          <cell r="E75">
            <v>176000</v>
          </cell>
          <cell r="F75">
            <v>2500</v>
          </cell>
          <cell r="G75" t="str">
            <v>SET</v>
          </cell>
        </row>
        <row r="76">
          <cell r="C76">
            <v>318</v>
          </cell>
          <cell r="D76" t="str">
            <v>-  PAD MOUNTED TRANS. 315 KVA.</v>
          </cell>
          <cell r="E76">
            <v>197000</v>
          </cell>
          <cell r="F76">
            <v>3000</v>
          </cell>
          <cell r="G76" t="str">
            <v>SET</v>
          </cell>
        </row>
        <row r="77">
          <cell r="C77">
            <v>319</v>
          </cell>
          <cell r="D77" t="str">
            <v>-  PAD MOUNTED TRANS. 400 KVA.</v>
          </cell>
          <cell r="E77">
            <v>237000</v>
          </cell>
          <cell r="F77">
            <v>3000</v>
          </cell>
          <cell r="G77" t="str">
            <v>SET</v>
          </cell>
        </row>
        <row r="78">
          <cell r="C78">
            <v>320</v>
          </cell>
          <cell r="D78" t="str">
            <v>-  PAD MOUNTED TRANS. 500 KVA.</v>
          </cell>
          <cell r="E78">
            <v>280000</v>
          </cell>
          <cell r="F78">
            <v>3000</v>
          </cell>
          <cell r="G78" t="str">
            <v>SET</v>
          </cell>
        </row>
        <row r="79">
          <cell r="C79">
            <v>321</v>
          </cell>
          <cell r="D79" t="str">
            <v>-  PAD MOUNTED TRANS. 630 KVA.</v>
          </cell>
          <cell r="E79">
            <v>331000</v>
          </cell>
          <cell r="F79">
            <v>5000</v>
          </cell>
          <cell r="G79" t="str">
            <v>SET</v>
          </cell>
        </row>
        <row r="80">
          <cell r="C80">
            <v>322</v>
          </cell>
          <cell r="D80" t="str">
            <v>-  PAD MOUNTED TRANS. 800 KVA.</v>
          </cell>
          <cell r="E80">
            <v>388000</v>
          </cell>
          <cell r="F80">
            <v>5000</v>
          </cell>
          <cell r="G80" t="str">
            <v>SET</v>
          </cell>
        </row>
        <row r="81">
          <cell r="C81">
            <v>323</v>
          </cell>
          <cell r="D81" t="str">
            <v>-  PAD MOUNTED TRANS. 1,000 KVA.</v>
          </cell>
          <cell r="E81">
            <v>480000</v>
          </cell>
          <cell r="F81">
            <v>6000</v>
          </cell>
          <cell r="G81" t="str">
            <v>SET</v>
          </cell>
        </row>
        <row r="82">
          <cell r="C82">
            <v>324</v>
          </cell>
          <cell r="D82" t="str">
            <v>-  PAD MOUNTED TRANS. 1,250 KVA.</v>
          </cell>
          <cell r="E82">
            <v>572000</v>
          </cell>
          <cell r="F82">
            <v>6000</v>
          </cell>
          <cell r="G82" t="str">
            <v>SET</v>
          </cell>
        </row>
        <row r="83">
          <cell r="C83">
            <v>325</v>
          </cell>
          <cell r="D83" t="str">
            <v>-  PAD MOUNTED TRANS. 1,500 KVA.</v>
          </cell>
          <cell r="E83">
            <v>657000</v>
          </cell>
          <cell r="F83">
            <v>6500</v>
          </cell>
          <cell r="G83" t="str">
            <v>SET</v>
          </cell>
        </row>
        <row r="84">
          <cell r="C84">
            <v>326</v>
          </cell>
          <cell r="D84" t="str">
            <v>-  PAD MOUNTED TRANS. 2,000 KVA.</v>
          </cell>
          <cell r="E84">
            <v>823000</v>
          </cell>
          <cell r="F84">
            <v>7000</v>
          </cell>
          <cell r="G84" t="str">
            <v>SET</v>
          </cell>
        </row>
        <row r="85">
          <cell r="C85">
            <v>327</v>
          </cell>
          <cell r="D85" t="str">
            <v>-  PAD MOUNTED TRANS. 2,500 KVA.</v>
          </cell>
          <cell r="E85">
            <v>982000</v>
          </cell>
          <cell r="F85">
            <v>7500</v>
          </cell>
          <cell r="G85" t="str">
            <v>SET</v>
          </cell>
        </row>
        <row r="86">
          <cell r="C86">
            <v>328</v>
          </cell>
          <cell r="D86" t="str">
            <v>-  PAD MOUNTED TRANS. 3,000 KVA.</v>
          </cell>
          <cell r="E86">
            <v>1110000</v>
          </cell>
          <cell r="F86">
            <v>8500</v>
          </cell>
          <cell r="G86" t="str">
            <v>SET</v>
          </cell>
        </row>
        <row r="87">
          <cell r="C87">
            <v>4</v>
          </cell>
          <cell r="D87" t="str">
            <v>GENERATOR SET</v>
          </cell>
        </row>
        <row r="88">
          <cell r="C88">
            <v>401</v>
          </cell>
          <cell r="D88" t="str">
            <v>-  GEN. SET 35 KVA. (PRIME)</v>
          </cell>
          <cell r="E88">
            <v>456000</v>
          </cell>
          <cell r="F88">
            <v>8000</v>
          </cell>
          <cell r="G88" t="str">
            <v>SET</v>
          </cell>
        </row>
        <row r="89">
          <cell r="C89">
            <v>402</v>
          </cell>
          <cell r="D89" t="str">
            <v>-  GEN. SET 50 KVA. (PRIME)</v>
          </cell>
          <cell r="E89">
            <v>546000</v>
          </cell>
          <cell r="F89">
            <v>8000</v>
          </cell>
          <cell r="G89" t="str">
            <v>SET</v>
          </cell>
        </row>
        <row r="90">
          <cell r="C90">
            <v>403</v>
          </cell>
          <cell r="D90" t="str">
            <v>-  GEN. SET 60 KVA. (PRIME)</v>
          </cell>
          <cell r="E90">
            <v>592000</v>
          </cell>
          <cell r="F90">
            <v>1000</v>
          </cell>
          <cell r="G90" t="str">
            <v>SET</v>
          </cell>
        </row>
        <row r="91">
          <cell r="C91">
            <v>404</v>
          </cell>
          <cell r="D91" t="str">
            <v>-  GEN. SET 80 KVA. (PRIME)</v>
          </cell>
          <cell r="E91">
            <v>600000</v>
          </cell>
          <cell r="F91">
            <v>1000</v>
          </cell>
          <cell r="G91" t="str">
            <v>SET</v>
          </cell>
        </row>
        <row r="92">
          <cell r="C92">
            <v>405</v>
          </cell>
          <cell r="D92" t="str">
            <v>-  GEN. SET 100 KVA. (PRIME)</v>
          </cell>
          <cell r="E92">
            <v>683000</v>
          </cell>
          <cell r="F92">
            <v>15000</v>
          </cell>
          <cell r="G92" t="str">
            <v>SET</v>
          </cell>
        </row>
        <row r="93">
          <cell r="C93">
            <v>406</v>
          </cell>
          <cell r="D93" t="str">
            <v>-  GEN. SET 130 KVA. (PRIME)</v>
          </cell>
          <cell r="E93">
            <v>900000</v>
          </cell>
          <cell r="F93">
            <v>15000</v>
          </cell>
          <cell r="G93" t="str">
            <v>SET</v>
          </cell>
        </row>
        <row r="94">
          <cell r="C94">
            <v>407</v>
          </cell>
          <cell r="D94" t="str">
            <v>-  GEN. SET 170 KVA. (PRIME)</v>
          </cell>
          <cell r="E94">
            <v>1100000</v>
          </cell>
          <cell r="F94">
            <v>20000</v>
          </cell>
          <cell r="G94" t="str">
            <v>SET</v>
          </cell>
        </row>
        <row r="95">
          <cell r="C95">
            <v>408</v>
          </cell>
          <cell r="D95" t="str">
            <v>-  GEN. SET 200 KVA. (PRIME)</v>
          </cell>
          <cell r="E95">
            <v>1200000</v>
          </cell>
          <cell r="F95">
            <v>20000</v>
          </cell>
          <cell r="G95" t="str">
            <v>SET</v>
          </cell>
        </row>
        <row r="96">
          <cell r="C96">
            <v>409</v>
          </cell>
          <cell r="D96" t="str">
            <v>-  GEN. SET 230 KVA. (PRIME)</v>
          </cell>
          <cell r="E96">
            <v>1350000</v>
          </cell>
          <cell r="F96">
            <v>20000</v>
          </cell>
          <cell r="G96" t="str">
            <v>SET</v>
          </cell>
        </row>
        <row r="97">
          <cell r="C97">
            <v>410</v>
          </cell>
          <cell r="D97" t="str">
            <v>-  GEN. SET 250 KVA. (PRIME)</v>
          </cell>
          <cell r="E97">
            <v>1350000</v>
          </cell>
          <cell r="F97">
            <v>25000</v>
          </cell>
          <cell r="G97" t="str">
            <v>SET</v>
          </cell>
        </row>
        <row r="98">
          <cell r="C98">
            <v>411</v>
          </cell>
          <cell r="D98" t="str">
            <v>-  GEN. SET 300 KVA. (PRIME)</v>
          </cell>
          <cell r="E98">
            <v>1514000</v>
          </cell>
          <cell r="F98">
            <v>25000</v>
          </cell>
          <cell r="G98" t="str">
            <v>SET</v>
          </cell>
        </row>
        <row r="99">
          <cell r="C99">
            <v>412</v>
          </cell>
          <cell r="D99" t="str">
            <v>-  GEN. SET 320 KVA. (PRIME)</v>
          </cell>
          <cell r="E99">
            <v>1600000</v>
          </cell>
          <cell r="F99">
            <v>25000</v>
          </cell>
          <cell r="G99" t="str">
            <v>SET</v>
          </cell>
        </row>
        <row r="100">
          <cell r="C100">
            <v>413</v>
          </cell>
          <cell r="D100" t="str">
            <v>-  GEN. SET 360 KVA. (PRIME)</v>
          </cell>
          <cell r="E100">
            <v>1884000</v>
          </cell>
          <cell r="F100">
            <v>25000</v>
          </cell>
          <cell r="G100" t="str">
            <v>SET</v>
          </cell>
        </row>
        <row r="101">
          <cell r="C101">
            <v>414</v>
          </cell>
          <cell r="D101" t="str">
            <v>-  GEN. SET 380 KVA. (PRIME)</v>
          </cell>
          <cell r="E101">
            <v>1950000</v>
          </cell>
          <cell r="F101">
            <v>25000</v>
          </cell>
          <cell r="G101" t="str">
            <v>SET</v>
          </cell>
        </row>
        <row r="102">
          <cell r="C102">
            <v>415</v>
          </cell>
          <cell r="D102" t="str">
            <v>-  GEN. SET 450 KVA. (PRIME)</v>
          </cell>
          <cell r="E102">
            <v>2000000</v>
          </cell>
          <cell r="F102">
            <v>30000</v>
          </cell>
          <cell r="G102" t="str">
            <v>SET</v>
          </cell>
        </row>
        <row r="103">
          <cell r="C103">
            <v>416</v>
          </cell>
          <cell r="D103" t="str">
            <v>-  GEN. SET 500 KVA. (PRIME)</v>
          </cell>
          <cell r="E103">
            <v>2190000</v>
          </cell>
          <cell r="F103">
            <v>30000</v>
          </cell>
          <cell r="G103" t="str">
            <v>SET</v>
          </cell>
        </row>
        <row r="104">
          <cell r="C104">
            <v>417</v>
          </cell>
          <cell r="D104" t="str">
            <v>-  GEN. SET 650 KVA. (PRIME)</v>
          </cell>
          <cell r="E104">
            <v>2897000</v>
          </cell>
          <cell r="F104">
            <v>30000</v>
          </cell>
          <cell r="G104" t="str">
            <v>SET</v>
          </cell>
        </row>
        <row r="105">
          <cell r="C105">
            <v>418</v>
          </cell>
          <cell r="D105" t="str">
            <v>-  GEN. SET 720 KVA. (PRIME)</v>
          </cell>
          <cell r="E105">
            <v>3200000</v>
          </cell>
          <cell r="F105">
            <v>35000</v>
          </cell>
          <cell r="G105" t="str">
            <v>SET</v>
          </cell>
        </row>
        <row r="106">
          <cell r="C106">
            <v>419</v>
          </cell>
          <cell r="D106" t="str">
            <v>-  GEN. SET 760 KVA. (PRIME)</v>
          </cell>
          <cell r="E106">
            <v>3700000</v>
          </cell>
          <cell r="F106">
            <v>35000</v>
          </cell>
          <cell r="G106" t="str">
            <v>SET</v>
          </cell>
        </row>
        <row r="107">
          <cell r="C107">
            <v>420</v>
          </cell>
          <cell r="D107" t="str">
            <v>-  GEN. SET 720 KVA. (PRIME)</v>
          </cell>
          <cell r="E107">
            <v>3963000</v>
          </cell>
          <cell r="F107">
            <v>40000</v>
          </cell>
          <cell r="G107" t="str">
            <v>SET</v>
          </cell>
        </row>
        <row r="108">
          <cell r="C108">
            <v>421</v>
          </cell>
          <cell r="D108" t="str">
            <v>-  GEN. SET 1,000 KVA. (PRIME)</v>
          </cell>
          <cell r="E108">
            <v>4683000</v>
          </cell>
          <cell r="F108">
            <v>45000</v>
          </cell>
          <cell r="G108" t="str">
            <v>SET</v>
          </cell>
        </row>
        <row r="109">
          <cell r="C109">
            <v>422</v>
          </cell>
          <cell r="D109" t="str">
            <v>-  GEN. SET 1,250 KVA. (PRIME)</v>
          </cell>
          <cell r="E109">
            <v>5400000</v>
          </cell>
          <cell r="F109">
            <v>50000</v>
          </cell>
          <cell r="G109" t="str">
            <v>SET</v>
          </cell>
        </row>
        <row r="110">
          <cell r="C110">
            <v>423</v>
          </cell>
          <cell r="D110" t="str">
            <v>-  GEN. SET 1,375 KVA. (PRIME)</v>
          </cell>
          <cell r="E110">
            <v>6330000</v>
          </cell>
          <cell r="F110">
            <v>50000</v>
          </cell>
          <cell r="G110" t="str">
            <v>SET</v>
          </cell>
        </row>
        <row r="111">
          <cell r="D111" t="str">
            <v>SPACE</v>
          </cell>
        </row>
        <row r="112">
          <cell r="C112">
            <v>431</v>
          </cell>
          <cell r="D112" t="str">
            <v>-  GEN. SET 30 KVA. (STAND-BY)</v>
          </cell>
          <cell r="E112">
            <v>411000</v>
          </cell>
          <cell r="F112">
            <v>6000</v>
          </cell>
          <cell r="G112" t="str">
            <v>SET</v>
          </cell>
        </row>
        <row r="113">
          <cell r="C113">
            <v>432</v>
          </cell>
          <cell r="D113" t="str">
            <v>-  GEN. SET 45 KVA. (STAND-BY)</v>
          </cell>
          <cell r="E113">
            <v>456000</v>
          </cell>
          <cell r="F113">
            <v>6000</v>
          </cell>
          <cell r="G113" t="str">
            <v>SET</v>
          </cell>
        </row>
        <row r="114">
          <cell r="C114">
            <v>433</v>
          </cell>
          <cell r="D114" t="str">
            <v>-  GEN. SET 50 KVA. (STAND-BY)</v>
          </cell>
          <cell r="E114">
            <v>546000</v>
          </cell>
          <cell r="F114">
            <v>8000</v>
          </cell>
          <cell r="G114" t="str">
            <v>SET</v>
          </cell>
        </row>
        <row r="115">
          <cell r="C115">
            <v>434</v>
          </cell>
          <cell r="D115" t="str">
            <v>-  GEN. SET 70 KVA. (STAND-BY)</v>
          </cell>
          <cell r="E115">
            <v>570000</v>
          </cell>
          <cell r="F115">
            <v>8000</v>
          </cell>
          <cell r="G115" t="str">
            <v>SET</v>
          </cell>
        </row>
        <row r="116">
          <cell r="C116">
            <v>435</v>
          </cell>
          <cell r="D116" t="str">
            <v>-  GEN. SET 90 KVA. (STAND-BY)</v>
          </cell>
          <cell r="E116">
            <v>590000</v>
          </cell>
          <cell r="F116">
            <v>10000</v>
          </cell>
          <cell r="G116" t="str">
            <v>SET</v>
          </cell>
        </row>
        <row r="117">
          <cell r="C117">
            <v>436</v>
          </cell>
          <cell r="D117" t="str">
            <v>-  GEN. SET 110 KVA. (STAND-BY)</v>
          </cell>
          <cell r="E117">
            <v>670000</v>
          </cell>
          <cell r="F117">
            <v>10000</v>
          </cell>
          <cell r="G117" t="str">
            <v>SET</v>
          </cell>
        </row>
        <row r="118">
          <cell r="C118">
            <v>437</v>
          </cell>
          <cell r="D118" t="str">
            <v>-  GEN. SET 150 KVA. (STAND-BY)</v>
          </cell>
          <cell r="E118">
            <v>900000</v>
          </cell>
          <cell r="F118">
            <v>15000</v>
          </cell>
          <cell r="G118" t="str">
            <v>SET</v>
          </cell>
        </row>
        <row r="119">
          <cell r="C119">
            <v>438</v>
          </cell>
          <cell r="D119" t="str">
            <v>-  GEN. SET 190 KVA. (STAND-BY)</v>
          </cell>
          <cell r="E119">
            <v>920000</v>
          </cell>
          <cell r="F119">
            <v>15000</v>
          </cell>
          <cell r="G119" t="str">
            <v>SET</v>
          </cell>
        </row>
        <row r="120">
          <cell r="C120">
            <v>439</v>
          </cell>
          <cell r="D120" t="str">
            <v>-  GEN. SET 210 KVA. (STAND-BY)</v>
          </cell>
          <cell r="E120">
            <v>1100000</v>
          </cell>
          <cell r="F120">
            <v>20000</v>
          </cell>
          <cell r="G120" t="str">
            <v>SET</v>
          </cell>
        </row>
        <row r="121">
          <cell r="C121">
            <v>440</v>
          </cell>
          <cell r="D121" t="str">
            <v>-  GEN. SET 250 KVA. (STAND-BY)</v>
          </cell>
          <cell r="E121">
            <v>1214000</v>
          </cell>
          <cell r="F121">
            <v>20000</v>
          </cell>
          <cell r="G121" t="str">
            <v>SET</v>
          </cell>
        </row>
        <row r="122">
          <cell r="C122">
            <v>441</v>
          </cell>
          <cell r="D122" t="str">
            <v>-  GEN. SET 280 KVA. (STAND-BY)</v>
          </cell>
          <cell r="E122">
            <v>1350000</v>
          </cell>
          <cell r="F122">
            <v>20000</v>
          </cell>
          <cell r="G122" t="str">
            <v>SET</v>
          </cell>
        </row>
        <row r="123">
          <cell r="C123">
            <v>442</v>
          </cell>
          <cell r="D123" t="str">
            <v>-  GEN. SET 310 KVA. (STAND-BY)</v>
          </cell>
          <cell r="E123">
            <v>1510000</v>
          </cell>
          <cell r="F123">
            <v>25000</v>
          </cell>
          <cell r="G123" t="str">
            <v>SET</v>
          </cell>
        </row>
        <row r="124">
          <cell r="C124">
            <v>443</v>
          </cell>
          <cell r="D124" t="str">
            <v>-  GEN. SET 330 KVA. (STAND-BY)</v>
          </cell>
          <cell r="E124">
            <v>1550000</v>
          </cell>
          <cell r="F124">
            <v>25000</v>
          </cell>
          <cell r="G124" t="str">
            <v>SET</v>
          </cell>
        </row>
        <row r="125">
          <cell r="C125">
            <v>444</v>
          </cell>
          <cell r="D125" t="str">
            <v>-  GEN. SET 345 KVA. (STAND-BY)</v>
          </cell>
          <cell r="E125">
            <v>1600000</v>
          </cell>
          <cell r="F125">
            <v>25000</v>
          </cell>
          <cell r="G125" t="str">
            <v>SET</v>
          </cell>
        </row>
        <row r="126">
          <cell r="C126">
            <v>445</v>
          </cell>
          <cell r="D126" t="str">
            <v>-  GEN. SET 390 KVA. (STAND-BY)</v>
          </cell>
          <cell r="E126">
            <v>1884000</v>
          </cell>
          <cell r="F126">
            <v>25000</v>
          </cell>
          <cell r="G126" t="str">
            <v>SET</v>
          </cell>
        </row>
        <row r="127">
          <cell r="C127">
            <v>446</v>
          </cell>
          <cell r="D127" t="str">
            <v>-  GEN. SET 415 KVA. (STAND-BY)</v>
          </cell>
          <cell r="E127">
            <v>1900000</v>
          </cell>
          <cell r="F127">
            <v>25000</v>
          </cell>
          <cell r="G127" t="str">
            <v>SET</v>
          </cell>
        </row>
        <row r="128">
          <cell r="C128">
            <v>447</v>
          </cell>
          <cell r="D128" t="str">
            <v>-  GEN. SET 500 KVA. (STAND-BY)</v>
          </cell>
          <cell r="E128">
            <v>2063000</v>
          </cell>
          <cell r="F128">
            <v>25000</v>
          </cell>
          <cell r="G128" t="str">
            <v>SET</v>
          </cell>
        </row>
        <row r="129">
          <cell r="C129">
            <v>448</v>
          </cell>
          <cell r="D129" t="str">
            <v>-  GEN. SET 560 KVA. (STAND-BY)</v>
          </cell>
          <cell r="E129">
            <v>2195000</v>
          </cell>
          <cell r="F129">
            <v>30000</v>
          </cell>
          <cell r="G129" t="str">
            <v>SET</v>
          </cell>
        </row>
        <row r="130">
          <cell r="C130">
            <v>449</v>
          </cell>
          <cell r="D130" t="str">
            <v>-  GEN. SET 700 KVA. (STAND-BY)</v>
          </cell>
          <cell r="E130">
            <v>2897000</v>
          </cell>
          <cell r="F130">
            <v>30000</v>
          </cell>
          <cell r="G130" t="str">
            <v>SET</v>
          </cell>
        </row>
        <row r="131">
          <cell r="C131">
            <v>450</v>
          </cell>
          <cell r="D131" t="str">
            <v>-  GEN. SET 800 KVA. (STAND-BY)</v>
          </cell>
          <cell r="E131">
            <v>3664000</v>
          </cell>
          <cell r="F131">
            <v>30000</v>
          </cell>
          <cell r="G131" t="str">
            <v>SET</v>
          </cell>
        </row>
        <row r="132">
          <cell r="C132">
            <v>451</v>
          </cell>
          <cell r="D132" t="str">
            <v>-  GEN. SET 830 KVA. (STAND-BY)</v>
          </cell>
          <cell r="E132">
            <v>3826000</v>
          </cell>
          <cell r="F132">
            <v>35000</v>
          </cell>
          <cell r="G132" t="str">
            <v>SET</v>
          </cell>
        </row>
        <row r="133">
          <cell r="C133">
            <v>452</v>
          </cell>
          <cell r="D133" t="str">
            <v>-  GEN. SET 1,000 KVA. (STAND-BY)</v>
          </cell>
          <cell r="E133">
            <v>3963000</v>
          </cell>
          <cell r="F133">
            <v>35000</v>
          </cell>
          <cell r="G133" t="str">
            <v>SET</v>
          </cell>
        </row>
        <row r="134">
          <cell r="C134">
            <v>453</v>
          </cell>
          <cell r="D134" t="str">
            <v>-  GEN. SET 1,125 KVA. (STAND-BY)</v>
          </cell>
          <cell r="E134">
            <v>4683000</v>
          </cell>
          <cell r="F134">
            <v>40000</v>
          </cell>
          <cell r="G134" t="str">
            <v>SET</v>
          </cell>
        </row>
        <row r="135">
          <cell r="C135">
            <v>454</v>
          </cell>
          <cell r="D135" t="str">
            <v>-  GEN. SET 1,400 KVA. (STAND-BY)</v>
          </cell>
          <cell r="E135">
            <v>5400000</v>
          </cell>
          <cell r="F135">
            <v>45000</v>
          </cell>
          <cell r="G135" t="str">
            <v>SET</v>
          </cell>
        </row>
        <row r="136">
          <cell r="C136">
            <v>455</v>
          </cell>
          <cell r="D136" t="str">
            <v>-  GEN. SET 1,550 KVA. (STAND-BY)</v>
          </cell>
          <cell r="E136">
            <v>6330000</v>
          </cell>
          <cell r="F136">
            <v>50000</v>
          </cell>
          <cell r="G136" t="str">
            <v>SET</v>
          </cell>
        </row>
        <row r="137">
          <cell r="C137">
            <v>456</v>
          </cell>
          <cell r="D137" t="str">
            <v>-  GEN. SET 1,600 KVA. (STAND-BY)</v>
          </cell>
          <cell r="E137">
            <v>7000000</v>
          </cell>
          <cell r="F137">
            <v>50000</v>
          </cell>
          <cell r="G137" t="str">
            <v>SET</v>
          </cell>
        </row>
        <row r="138">
          <cell r="D138" t="str">
            <v>SPACE</v>
          </cell>
        </row>
        <row r="139">
          <cell r="C139">
            <v>5</v>
          </cell>
          <cell r="D139" t="str">
            <v>HIGH-VOLTAGE EQUIPMENT</v>
          </cell>
        </row>
        <row r="140">
          <cell r="C140">
            <v>501</v>
          </cell>
          <cell r="D140" t="str">
            <v>-  LIGHTNING ARRESTER 21 KV. 5 KA.</v>
          </cell>
          <cell r="E140">
            <v>3000</v>
          </cell>
          <cell r="F140">
            <v>200</v>
          </cell>
          <cell r="G140" t="str">
            <v>EA.</v>
          </cell>
        </row>
        <row r="141">
          <cell r="C141">
            <v>502</v>
          </cell>
          <cell r="D141" t="str">
            <v>-  LIGHTNING ARRESTER 24 KV. 5 KA.</v>
          </cell>
          <cell r="E141">
            <v>3000</v>
          </cell>
          <cell r="F141">
            <v>200</v>
          </cell>
          <cell r="G141" t="str">
            <v>EA.</v>
          </cell>
        </row>
        <row r="142">
          <cell r="C142">
            <v>503</v>
          </cell>
          <cell r="D142" t="str">
            <v>-  LIGHTNING ARRESTER 30 KV. 5 KA.</v>
          </cell>
          <cell r="E142">
            <v>5800</v>
          </cell>
          <cell r="F142">
            <v>200</v>
          </cell>
          <cell r="G142" t="str">
            <v>EA.</v>
          </cell>
        </row>
        <row r="143">
          <cell r="C143">
            <v>504</v>
          </cell>
          <cell r="D143" t="str">
            <v>-  LIGHTNING ARRESTER 20 KV. 10 KA.</v>
          </cell>
          <cell r="E143">
            <v>6000</v>
          </cell>
          <cell r="F143">
            <v>200</v>
          </cell>
          <cell r="G143" t="str">
            <v>EA.</v>
          </cell>
        </row>
        <row r="144">
          <cell r="C144">
            <v>505</v>
          </cell>
          <cell r="D144" t="str">
            <v>-  LIGHTNING ARRESTER 24 KV. 10 KA.</v>
          </cell>
          <cell r="E144">
            <v>6000</v>
          </cell>
          <cell r="F144">
            <v>200</v>
          </cell>
          <cell r="G144" t="str">
            <v>EA.</v>
          </cell>
        </row>
        <row r="145">
          <cell r="C145">
            <v>506</v>
          </cell>
          <cell r="D145" t="str">
            <v>-  LIGHTNING ARRESTER 30 KV. 10 KA.</v>
          </cell>
          <cell r="E145">
            <v>7500</v>
          </cell>
          <cell r="F145">
            <v>200</v>
          </cell>
          <cell r="G145" t="str">
            <v>EA.</v>
          </cell>
        </row>
        <row r="146">
          <cell r="C146">
            <v>507</v>
          </cell>
          <cell r="D146" t="str">
            <v>-  CURRENT TRANSFORMER 24 KV.</v>
          </cell>
          <cell r="E146">
            <v>22000</v>
          </cell>
          <cell r="F146">
            <v>0</v>
          </cell>
          <cell r="G146" t="str">
            <v>EA.</v>
          </cell>
        </row>
        <row r="147">
          <cell r="C147">
            <v>508</v>
          </cell>
          <cell r="D147" t="str">
            <v>-  CURRENT TRANSFORMER 36 KV.</v>
          </cell>
          <cell r="E147">
            <v>25000</v>
          </cell>
          <cell r="F147">
            <v>0</v>
          </cell>
          <cell r="G147" t="str">
            <v>EA.</v>
          </cell>
        </row>
        <row r="148">
          <cell r="C148">
            <v>509</v>
          </cell>
          <cell r="D148" t="str">
            <v>-  VOLTAGE TRANSFORMER 24 KV.</v>
          </cell>
          <cell r="E148">
            <v>32000</v>
          </cell>
          <cell r="F148">
            <v>0</v>
          </cell>
          <cell r="G148" t="str">
            <v>EA.</v>
          </cell>
        </row>
        <row r="149">
          <cell r="C149">
            <v>510</v>
          </cell>
          <cell r="D149" t="str">
            <v>-  VOLTAGE TRANSFORMER 36 KV.</v>
          </cell>
          <cell r="E149">
            <v>50000</v>
          </cell>
          <cell r="F149">
            <v>0</v>
          </cell>
          <cell r="G149" t="str">
            <v>EA.</v>
          </cell>
        </row>
        <row r="150">
          <cell r="C150">
            <v>511</v>
          </cell>
          <cell r="D150" t="str">
            <v>-  35 SQ.MM. TERMINATOR 24 KV. INDOOR TYPE</v>
          </cell>
          <cell r="E150">
            <v>1750</v>
          </cell>
          <cell r="F150">
            <v>1000</v>
          </cell>
          <cell r="G150" t="str">
            <v>SET</v>
          </cell>
        </row>
        <row r="151">
          <cell r="C151">
            <v>512</v>
          </cell>
          <cell r="D151" t="str">
            <v>-  70 SQ.MM. TERMINATOR 24 KV. INDOOR TYPE</v>
          </cell>
          <cell r="E151">
            <v>1850</v>
          </cell>
          <cell r="F151">
            <v>1000</v>
          </cell>
          <cell r="G151" t="str">
            <v>SET</v>
          </cell>
        </row>
        <row r="152">
          <cell r="C152">
            <v>513</v>
          </cell>
          <cell r="D152" t="str">
            <v>-  185 SQ.MM. TERMINATOR 24 KV. INDOOR TYPE</v>
          </cell>
          <cell r="E152">
            <v>2100</v>
          </cell>
          <cell r="F152">
            <v>1000</v>
          </cell>
          <cell r="G152" t="str">
            <v>SET</v>
          </cell>
        </row>
        <row r="153">
          <cell r="C153">
            <v>514</v>
          </cell>
          <cell r="D153" t="str">
            <v>-  400 SQ.MM. TERMINATOR 24 KV. INDOOR TYPE</v>
          </cell>
          <cell r="E153">
            <v>2380</v>
          </cell>
          <cell r="F153">
            <v>1000</v>
          </cell>
          <cell r="G153" t="str">
            <v>SET</v>
          </cell>
        </row>
        <row r="154">
          <cell r="C154">
            <v>515</v>
          </cell>
          <cell r="D154" t="str">
            <v>-  50 SQ.MM. TERMINATOR 36 KV. INDOOR TYPE</v>
          </cell>
          <cell r="E154">
            <v>2750</v>
          </cell>
          <cell r="F154">
            <v>1000</v>
          </cell>
          <cell r="G154" t="str">
            <v>SET</v>
          </cell>
        </row>
        <row r="155">
          <cell r="C155">
            <v>516</v>
          </cell>
          <cell r="D155" t="str">
            <v>-  120 SQ.MM. TERMINATOR 36 KV. INDOOR TYPE</v>
          </cell>
          <cell r="E155">
            <v>3150</v>
          </cell>
          <cell r="F155">
            <v>1000</v>
          </cell>
          <cell r="G155" t="str">
            <v>SET</v>
          </cell>
        </row>
        <row r="156">
          <cell r="C156">
            <v>517</v>
          </cell>
          <cell r="D156" t="str">
            <v>-  185 SQ.MM. TERMINATOR 36 KV. INDOOR TYPE</v>
          </cell>
          <cell r="E156">
            <v>3380</v>
          </cell>
          <cell r="F156">
            <v>1000</v>
          </cell>
          <cell r="G156" t="str">
            <v>SET</v>
          </cell>
        </row>
        <row r="157">
          <cell r="C157">
            <v>518</v>
          </cell>
          <cell r="D157" t="str">
            <v>-  500 SQ.MM. TERMINATOR 36 KV. INDOOR TYPE</v>
          </cell>
          <cell r="E157">
            <v>3800</v>
          </cell>
          <cell r="F157">
            <v>1000</v>
          </cell>
          <cell r="G157" t="str">
            <v>SET</v>
          </cell>
        </row>
        <row r="158">
          <cell r="C158">
            <v>519</v>
          </cell>
          <cell r="D158" t="str">
            <v>-  35 SQ.MM. TERMINATOR 24 KV. OUTDOOR TYPE</v>
          </cell>
          <cell r="E158">
            <v>4400</v>
          </cell>
          <cell r="F158">
            <v>1000</v>
          </cell>
          <cell r="G158" t="str">
            <v>SET</v>
          </cell>
        </row>
        <row r="159">
          <cell r="C159">
            <v>520</v>
          </cell>
          <cell r="D159" t="str">
            <v>-  70 SQ.MM. TERMINATOR 24 KV. OUTDOOR TYPE</v>
          </cell>
          <cell r="E159">
            <v>4600</v>
          </cell>
          <cell r="F159">
            <v>1000</v>
          </cell>
          <cell r="G159" t="str">
            <v>SET</v>
          </cell>
        </row>
        <row r="160">
          <cell r="C160">
            <v>521</v>
          </cell>
          <cell r="D160" t="str">
            <v>-  185 SQ.MM. TERMINATOR 24 KV. OUTDOOR TYPE</v>
          </cell>
          <cell r="E160">
            <v>4950</v>
          </cell>
          <cell r="F160">
            <v>1200</v>
          </cell>
          <cell r="G160" t="str">
            <v>SET</v>
          </cell>
        </row>
        <row r="161">
          <cell r="C161">
            <v>522</v>
          </cell>
          <cell r="D161" t="str">
            <v>-  400 SQ.MM. TERMINATOR 24 KV. OUTDOOR TYPE</v>
          </cell>
          <cell r="E161">
            <v>5400</v>
          </cell>
          <cell r="F161">
            <v>1200</v>
          </cell>
          <cell r="G161" t="str">
            <v>SET</v>
          </cell>
        </row>
        <row r="162">
          <cell r="C162">
            <v>523</v>
          </cell>
          <cell r="D162" t="str">
            <v>-  50 SQ.MM. TERMINATOR 36 KV. OUTDOOR TYPE</v>
          </cell>
          <cell r="E162">
            <v>6300</v>
          </cell>
          <cell r="F162">
            <v>1000</v>
          </cell>
          <cell r="G162" t="str">
            <v>SET</v>
          </cell>
        </row>
        <row r="163">
          <cell r="C163">
            <v>524</v>
          </cell>
          <cell r="D163" t="str">
            <v>-  120 SQ.MM. TERMINATOR 36 KV. OUTDOOR TYPE</v>
          </cell>
          <cell r="E163">
            <v>6800</v>
          </cell>
          <cell r="F163">
            <v>1000</v>
          </cell>
          <cell r="G163" t="str">
            <v>SET</v>
          </cell>
        </row>
        <row r="164">
          <cell r="C164">
            <v>525</v>
          </cell>
          <cell r="D164" t="str">
            <v>-  185 SQ.MM. TERMINATOR 36 KV. OUTDOOR TYPE</v>
          </cell>
          <cell r="E164">
            <v>7600</v>
          </cell>
          <cell r="F164">
            <v>1200</v>
          </cell>
          <cell r="G164" t="str">
            <v>SET</v>
          </cell>
        </row>
        <row r="165">
          <cell r="C165">
            <v>526</v>
          </cell>
          <cell r="D165" t="str">
            <v>-  500 SQ.MM. TERMINATOR 36 KV. OUTDOOR TYPE</v>
          </cell>
          <cell r="E165">
            <v>8000</v>
          </cell>
          <cell r="F165">
            <v>1200</v>
          </cell>
          <cell r="G165" t="str">
            <v>SET</v>
          </cell>
        </row>
        <row r="166">
          <cell r="D166" t="str">
            <v>SPACE</v>
          </cell>
        </row>
        <row r="167">
          <cell r="D167" t="str">
            <v>MANHOLE</v>
          </cell>
        </row>
        <row r="168">
          <cell r="C168">
            <v>551</v>
          </cell>
          <cell r="D168" t="str">
            <v>-  MANHOLE TYPE C</v>
          </cell>
          <cell r="E168">
            <v>15000</v>
          </cell>
          <cell r="F168">
            <v>5000</v>
          </cell>
          <cell r="G168" t="str">
            <v>LOT</v>
          </cell>
        </row>
        <row r="169">
          <cell r="C169">
            <v>552</v>
          </cell>
          <cell r="D169" t="str">
            <v>-  MANHOLE TYPE C - 1</v>
          </cell>
          <cell r="E169">
            <v>19000</v>
          </cell>
          <cell r="F169">
            <v>5000</v>
          </cell>
          <cell r="G169" t="str">
            <v>LOT</v>
          </cell>
        </row>
        <row r="170">
          <cell r="C170">
            <v>553</v>
          </cell>
          <cell r="D170" t="str">
            <v>-  MANHOLE TYPE C - 2</v>
          </cell>
          <cell r="E170">
            <v>14000</v>
          </cell>
          <cell r="F170">
            <v>5000</v>
          </cell>
          <cell r="G170" t="str">
            <v>LOT</v>
          </cell>
        </row>
        <row r="171">
          <cell r="C171">
            <v>554</v>
          </cell>
          <cell r="D171" t="str">
            <v>-  MANHOLE TYPE C - 3</v>
          </cell>
          <cell r="E171">
            <v>15000</v>
          </cell>
          <cell r="F171">
            <v>5000</v>
          </cell>
          <cell r="G171" t="str">
            <v>LOT</v>
          </cell>
        </row>
        <row r="172">
          <cell r="C172">
            <v>555</v>
          </cell>
          <cell r="D172" t="str">
            <v>-  MANHOLE TYPE A - 1</v>
          </cell>
          <cell r="E172">
            <v>40000</v>
          </cell>
          <cell r="F172">
            <v>25000</v>
          </cell>
          <cell r="G172" t="str">
            <v>LOT</v>
          </cell>
        </row>
        <row r="173">
          <cell r="C173">
            <v>556</v>
          </cell>
          <cell r="D173" t="str">
            <v>-  MANHOLE TYPE A - 1/1</v>
          </cell>
          <cell r="E173">
            <v>60000</v>
          </cell>
          <cell r="F173">
            <v>25000</v>
          </cell>
          <cell r="G173" t="str">
            <v>LOT</v>
          </cell>
        </row>
        <row r="174">
          <cell r="C174">
            <v>557</v>
          </cell>
          <cell r="D174" t="str">
            <v>-  MANHOLE TYPE A - 1/2</v>
          </cell>
          <cell r="E174">
            <v>54000</v>
          </cell>
          <cell r="F174">
            <v>22000</v>
          </cell>
          <cell r="G174" t="str">
            <v>LOT</v>
          </cell>
        </row>
        <row r="175">
          <cell r="C175">
            <v>558</v>
          </cell>
          <cell r="D175" t="str">
            <v>-  MANHOLE TYPE A - 1/3</v>
          </cell>
          <cell r="E175">
            <v>54000</v>
          </cell>
          <cell r="F175">
            <v>22000</v>
          </cell>
          <cell r="G175" t="str">
            <v>LOT</v>
          </cell>
        </row>
        <row r="176">
          <cell r="C176">
            <v>559</v>
          </cell>
          <cell r="D176" t="str">
            <v>-  MANHOLE TYPE A - 2</v>
          </cell>
          <cell r="E176">
            <v>49000</v>
          </cell>
          <cell r="F176">
            <v>17000</v>
          </cell>
          <cell r="G176" t="str">
            <v>LOT</v>
          </cell>
        </row>
        <row r="177">
          <cell r="C177">
            <v>560</v>
          </cell>
          <cell r="D177" t="str">
            <v>-  MANHOLE TYPE A - 2/1</v>
          </cell>
          <cell r="E177">
            <v>50000</v>
          </cell>
          <cell r="F177">
            <v>17000</v>
          </cell>
          <cell r="G177" t="str">
            <v>LOT</v>
          </cell>
        </row>
        <row r="178">
          <cell r="C178">
            <v>561</v>
          </cell>
          <cell r="D178" t="str">
            <v>-  MANHOLE TYPE A - 3</v>
          </cell>
          <cell r="E178">
            <v>42000</v>
          </cell>
          <cell r="F178">
            <v>15000</v>
          </cell>
          <cell r="G178" t="str">
            <v>LOT</v>
          </cell>
        </row>
        <row r="179">
          <cell r="C179">
            <v>562</v>
          </cell>
          <cell r="D179" t="str">
            <v>-  MANHOLE TYPE A - 3/1</v>
          </cell>
          <cell r="E179">
            <v>43000</v>
          </cell>
          <cell r="F179">
            <v>16000</v>
          </cell>
          <cell r="G179" t="str">
            <v>LOT</v>
          </cell>
        </row>
        <row r="180">
          <cell r="C180">
            <v>563</v>
          </cell>
          <cell r="D180" t="str">
            <v>-  MANHOLE TYPE A - 4/1</v>
          </cell>
          <cell r="E180">
            <v>60000</v>
          </cell>
          <cell r="F180">
            <v>20000</v>
          </cell>
          <cell r="G180" t="str">
            <v>LOT</v>
          </cell>
        </row>
        <row r="181">
          <cell r="C181">
            <v>564</v>
          </cell>
          <cell r="D181" t="str">
            <v>-  MANHOLE TYPE B - 3/1</v>
          </cell>
          <cell r="E181">
            <v>165000</v>
          </cell>
          <cell r="F181">
            <v>33000</v>
          </cell>
          <cell r="G181" t="str">
            <v>LOT</v>
          </cell>
        </row>
        <row r="182">
          <cell r="C182">
            <v>565</v>
          </cell>
          <cell r="D182" t="str">
            <v>-  MANHOLE TYPE B - 3/15</v>
          </cell>
          <cell r="E182">
            <v>144000</v>
          </cell>
          <cell r="F182">
            <v>46000</v>
          </cell>
          <cell r="G182" t="str">
            <v>LOT</v>
          </cell>
        </row>
        <row r="183">
          <cell r="C183">
            <v>566</v>
          </cell>
          <cell r="D183" t="str">
            <v>-  MANHOLE TYPE B - 3/3</v>
          </cell>
          <cell r="E183">
            <v>110000</v>
          </cell>
          <cell r="F183">
            <v>39000</v>
          </cell>
          <cell r="G183" t="str">
            <v>LOT</v>
          </cell>
        </row>
        <row r="184">
          <cell r="C184">
            <v>567</v>
          </cell>
          <cell r="D184" t="str">
            <v>-  MANHOLE TYPE B - 3/4</v>
          </cell>
          <cell r="E184">
            <v>136000</v>
          </cell>
          <cell r="F184">
            <v>37000</v>
          </cell>
          <cell r="G184" t="str">
            <v>LOT</v>
          </cell>
        </row>
        <row r="185">
          <cell r="C185">
            <v>568</v>
          </cell>
          <cell r="D185" t="str">
            <v>-  MANHOLE TYPE B - 4/1</v>
          </cell>
          <cell r="E185">
            <v>93000</v>
          </cell>
          <cell r="F185">
            <v>29000</v>
          </cell>
          <cell r="G185" t="str">
            <v>LOT</v>
          </cell>
        </row>
        <row r="186">
          <cell r="C186">
            <v>6</v>
          </cell>
          <cell r="D186" t="str">
            <v>HIGH-VOLTAGE SWITCHING EQUIPMENT</v>
          </cell>
        </row>
        <row r="187">
          <cell r="D187" t="str">
            <v>DROPOUT FUSE CUTOUT</v>
          </cell>
        </row>
        <row r="188">
          <cell r="C188">
            <v>601</v>
          </cell>
          <cell r="D188" t="str">
            <v>-  DROPOUT FUSE CUTOUT 24 KV. 100A. 10 KA.</v>
          </cell>
          <cell r="E188">
            <v>6000</v>
          </cell>
          <cell r="F188">
            <v>500</v>
          </cell>
          <cell r="G188" t="str">
            <v>EA.</v>
          </cell>
        </row>
        <row r="189">
          <cell r="C189">
            <v>602</v>
          </cell>
          <cell r="D189" t="str">
            <v>-  DROPOUT FUSE CUTOUT 24 KV. 200A. 10 KA.</v>
          </cell>
          <cell r="E189">
            <v>7500</v>
          </cell>
          <cell r="F189">
            <v>500</v>
          </cell>
          <cell r="G189" t="str">
            <v>EA.</v>
          </cell>
        </row>
        <row r="190">
          <cell r="C190">
            <v>603</v>
          </cell>
          <cell r="D190" t="str">
            <v>-  DROPOUT FUSE CUTOUT 36 KV. 100A. 10 KA.</v>
          </cell>
          <cell r="E190">
            <v>6000</v>
          </cell>
          <cell r="F190">
            <v>500</v>
          </cell>
          <cell r="G190" t="str">
            <v>EA.</v>
          </cell>
        </row>
        <row r="191">
          <cell r="C191">
            <v>604</v>
          </cell>
          <cell r="D191" t="str">
            <v>-  DROPOUT FUSE CUTOUT 36 KV. 200A. 10 KA.</v>
          </cell>
          <cell r="E191">
            <v>14000</v>
          </cell>
          <cell r="F191">
            <v>500</v>
          </cell>
          <cell r="G191" t="str">
            <v>EA.</v>
          </cell>
        </row>
        <row r="192">
          <cell r="D192" t="str">
            <v>SPACE</v>
          </cell>
        </row>
        <row r="193">
          <cell r="D193" t="str">
            <v>LOAD BREAK  (POLE MOUNTED)</v>
          </cell>
        </row>
        <row r="194">
          <cell r="C194">
            <v>611</v>
          </cell>
          <cell r="D194" t="str">
            <v>-  LOAD BREAK SWITCH 25 KV. 600A.</v>
          </cell>
          <cell r="E194">
            <v>200000</v>
          </cell>
          <cell r="F194">
            <v>5000</v>
          </cell>
          <cell r="G194" t="str">
            <v>EA.</v>
          </cell>
        </row>
        <row r="195">
          <cell r="C195">
            <v>612</v>
          </cell>
          <cell r="D195" t="str">
            <v>-  LOAD BREAK SWITCH 35 KV. 600A.</v>
          </cell>
          <cell r="E195">
            <v>288000</v>
          </cell>
          <cell r="F195">
            <v>5000</v>
          </cell>
          <cell r="G195" t="str">
            <v>EA.</v>
          </cell>
        </row>
        <row r="196">
          <cell r="C196">
            <v>613</v>
          </cell>
          <cell r="D196" t="str">
            <v>-  SF6. LOAD BREAK SWITCH 25 KV. 400A. MANUAL OPERATE</v>
          </cell>
          <cell r="E196">
            <v>300000</v>
          </cell>
          <cell r="F196">
            <v>7000</v>
          </cell>
          <cell r="G196" t="str">
            <v>EA.</v>
          </cell>
        </row>
        <row r="197">
          <cell r="C197">
            <v>614</v>
          </cell>
          <cell r="D197" t="str">
            <v>-  SF6. LOAD BREAK SWITCH 25 KV. 400A. MANUAL AND ELECTRIC OPERATE</v>
          </cell>
          <cell r="E197">
            <v>380000</v>
          </cell>
          <cell r="F197">
            <v>7000</v>
          </cell>
          <cell r="G197" t="str">
            <v>EA.</v>
          </cell>
        </row>
        <row r="198">
          <cell r="D198" t="str">
            <v>SPACE</v>
          </cell>
        </row>
        <row r="199">
          <cell r="D199" t="str">
            <v>DISCONNECTING SWITCH</v>
          </cell>
        </row>
        <row r="200">
          <cell r="C200">
            <v>616</v>
          </cell>
          <cell r="D200" t="str">
            <v>-  DISCONNECTING SWITCH 24 KV. 600A.</v>
          </cell>
          <cell r="E200">
            <v>11000</v>
          </cell>
          <cell r="F200">
            <v>1500</v>
          </cell>
          <cell r="G200" t="str">
            <v>EA.</v>
          </cell>
        </row>
        <row r="201">
          <cell r="C201">
            <v>617</v>
          </cell>
          <cell r="D201" t="str">
            <v>-  DISCONNECTING SWITCH 36 KV. 600A.</v>
          </cell>
          <cell r="E201">
            <v>25000</v>
          </cell>
          <cell r="F201">
            <v>1500</v>
          </cell>
          <cell r="G201" t="str">
            <v>EA.</v>
          </cell>
        </row>
        <row r="202">
          <cell r="C202">
            <v>618</v>
          </cell>
          <cell r="D202" t="str">
            <v>-  DISCONNECTING SWITCH 24 KV. 1,200A.</v>
          </cell>
          <cell r="E202">
            <v>25000</v>
          </cell>
          <cell r="F202">
            <v>1500</v>
          </cell>
          <cell r="G202" t="str">
            <v>EA.</v>
          </cell>
        </row>
        <row r="203">
          <cell r="C203">
            <v>619</v>
          </cell>
          <cell r="D203" t="str">
            <v>-  DISCONNECTING SWITCH 36 KV. 1,200A.</v>
          </cell>
          <cell r="E203">
            <v>35000</v>
          </cell>
          <cell r="F203">
            <v>1500</v>
          </cell>
          <cell r="G203" t="str">
            <v>EA.</v>
          </cell>
        </row>
        <row r="204">
          <cell r="D204" t="str">
            <v>SPACE</v>
          </cell>
        </row>
        <row r="205">
          <cell r="D205" t="str">
            <v>LOAD BREAK SWITCH  (INDOOR)</v>
          </cell>
        </row>
        <row r="206">
          <cell r="C206">
            <v>626</v>
          </cell>
          <cell r="D206" t="str">
            <v>-  LOAD BREAK SWITCH 24 KV. 630A. (NONFUSE)</v>
          </cell>
          <cell r="E206">
            <v>70000</v>
          </cell>
          <cell r="F206">
            <v>0</v>
          </cell>
          <cell r="G206" t="str">
            <v>EA.</v>
          </cell>
        </row>
        <row r="207">
          <cell r="C207">
            <v>627</v>
          </cell>
          <cell r="D207" t="str">
            <v>-  LOAD BREAK SWITCH 36 KV. 630A. (NONFUSE)</v>
          </cell>
          <cell r="E207">
            <v>85000</v>
          </cell>
          <cell r="F207">
            <v>0</v>
          </cell>
          <cell r="G207" t="str">
            <v>EA.</v>
          </cell>
        </row>
        <row r="208">
          <cell r="C208">
            <v>628</v>
          </cell>
          <cell r="D208" t="str">
            <v>-  LOAD BREAK SWITCH 24 KV. 630A. (W./FUSE)</v>
          </cell>
          <cell r="E208">
            <v>86000</v>
          </cell>
          <cell r="F208">
            <v>0</v>
          </cell>
          <cell r="G208" t="str">
            <v>EA.</v>
          </cell>
        </row>
        <row r="209">
          <cell r="C209">
            <v>629</v>
          </cell>
          <cell r="D209" t="str">
            <v>-  LOAD BREAK SWITCH 36 KV. 630A. (W./FUSE)</v>
          </cell>
          <cell r="E209">
            <v>115000</v>
          </cell>
          <cell r="F209">
            <v>0</v>
          </cell>
          <cell r="G209" t="str">
            <v>EA.</v>
          </cell>
        </row>
        <row r="210">
          <cell r="D210" t="str">
            <v>SPACE</v>
          </cell>
        </row>
        <row r="211">
          <cell r="C211">
            <v>636</v>
          </cell>
          <cell r="D211" t="str">
            <v xml:space="preserve">-  LOAD BREAK SWITCH 24 KV. 200A. </v>
          </cell>
          <cell r="E211">
            <v>514000</v>
          </cell>
          <cell r="F211">
            <v>8000</v>
          </cell>
          <cell r="G211" t="str">
            <v>EA.</v>
          </cell>
        </row>
        <row r="212">
          <cell r="C212">
            <v>637</v>
          </cell>
          <cell r="D212" t="str">
            <v xml:space="preserve">-  LOAD BREAK SWITCH 24 KV. 200A. </v>
          </cell>
          <cell r="E212">
            <v>819000</v>
          </cell>
          <cell r="F212">
            <v>10000</v>
          </cell>
          <cell r="G212" t="str">
            <v>EA.</v>
          </cell>
        </row>
        <row r="213">
          <cell r="C213">
            <v>638</v>
          </cell>
          <cell r="D213" t="str">
            <v xml:space="preserve">-  LOAD BREAK SWITCH 24 KV. 200A. </v>
          </cell>
          <cell r="E213">
            <v>1123000</v>
          </cell>
          <cell r="F213">
            <v>15000</v>
          </cell>
          <cell r="G213" t="str">
            <v>EA.</v>
          </cell>
        </row>
        <row r="214">
          <cell r="C214">
            <v>639</v>
          </cell>
          <cell r="D214" t="str">
            <v xml:space="preserve">-  LOAD BREAK SWITCH 24 KV. 200A. </v>
          </cell>
          <cell r="E214">
            <v>1224000</v>
          </cell>
          <cell r="F214">
            <v>10000</v>
          </cell>
          <cell r="G214" t="str">
            <v>EA.</v>
          </cell>
        </row>
        <row r="215">
          <cell r="C215">
            <v>640</v>
          </cell>
          <cell r="D215" t="str">
            <v xml:space="preserve">-  LOAD BREAK SWITCH 24 KV. 200A. </v>
          </cell>
          <cell r="E215">
            <v>2238000</v>
          </cell>
          <cell r="F215">
            <v>15000</v>
          </cell>
          <cell r="G215" t="str">
            <v>EA.</v>
          </cell>
        </row>
        <row r="216">
          <cell r="C216">
            <v>641</v>
          </cell>
          <cell r="D216" t="str">
            <v xml:space="preserve">-  LOAD BREAK SWITCH 24 KV. 200A. </v>
          </cell>
          <cell r="E216">
            <v>3252000</v>
          </cell>
          <cell r="F216">
            <v>18000</v>
          </cell>
          <cell r="G216" t="str">
            <v>EA.</v>
          </cell>
        </row>
        <row r="217">
          <cell r="D217" t="str">
            <v>SPACE</v>
          </cell>
        </row>
        <row r="218">
          <cell r="D218" t="str">
            <v>RING MAIN UNIT (SF6)</v>
          </cell>
        </row>
        <row r="219">
          <cell r="C219">
            <v>651</v>
          </cell>
          <cell r="D219" t="str">
            <v>-  3 FUNC 400A. RING MAIN UNIT (DISCONNECTING SWITCH)</v>
          </cell>
          <cell r="E219">
            <v>702000</v>
          </cell>
          <cell r="F219">
            <v>10000</v>
          </cell>
          <cell r="G219" t="str">
            <v>SET</v>
          </cell>
        </row>
        <row r="220">
          <cell r="C220">
            <v>652</v>
          </cell>
          <cell r="D220" t="str">
            <v>-  3 FUNC 400A. RING MAIN UNIT (CIRCUIT BREAKER))</v>
          </cell>
          <cell r="E220">
            <v>702000</v>
          </cell>
          <cell r="F220">
            <v>10000</v>
          </cell>
          <cell r="G220" t="str">
            <v>SET</v>
          </cell>
        </row>
        <row r="221">
          <cell r="C221">
            <v>653</v>
          </cell>
          <cell r="D221" t="str">
            <v>-  4 FUNC 400A. RING MAIN UNIT (DISCONNECTING SWITCH)</v>
          </cell>
          <cell r="E221">
            <v>1014000</v>
          </cell>
          <cell r="F221">
            <v>12000</v>
          </cell>
          <cell r="G221" t="str">
            <v>SET</v>
          </cell>
        </row>
        <row r="222">
          <cell r="C222">
            <v>654</v>
          </cell>
          <cell r="D222" t="str">
            <v>-  4 FUNC 400A. RING MAIN UNIT (CIRCUIT BREAKER))</v>
          </cell>
          <cell r="E222">
            <v>1014000</v>
          </cell>
          <cell r="F222">
            <v>12000</v>
          </cell>
          <cell r="G222" t="str">
            <v>SET</v>
          </cell>
        </row>
        <row r="223">
          <cell r="C223">
            <v>655</v>
          </cell>
          <cell r="D223" t="str">
            <v>-  3 FUNC 600A. RING MAIN UNIT (DISCONNECTING SWITCH)</v>
          </cell>
          <cell r="E223">
            <v>819000</v>
          </cell>
          <cell r="F223">
            <v>12000</v>
          </cell>
          <cell r="G223" t="str">
            <v>SET</v>
          </cell>
        </row>
        <row r="224">
          <cell r="C224">
            <v>656</v>
          </cell>
          <cell r="D224" t="str">
            <v>-  3 FUNC 600A. RING MAIN UNIT (CIRCUIT BREAKER))</v>
          </cell>
          <cell r="E224">
            <v>819000</v>
          </cell>
          <cell r="F224">
            <v>12000</v>
          </cell>
          <cell r="G224" t="str">
            <v>SET</v>
          </cell>
        </row>
        <row r="225">
          <cell r="C225">
            <v>657</v>
          </cell>
          <cell r="D225" t="str">
            <v>-  4 FUNC 600A. RING MAIN UNIT (DISCONNECTING SWITCH)</v>
          </cell>
          <cell r="E225">
            <v>1131000</v>
          </cell>
          <cell r="F225">
            <v>15000</v>
          </cell>
          <cell r="G225" t="str">
            <v>SET</v>
          </cell>
        </row>
        <row r="226">
          <cell r="C226">
            <v>658</v>
          </cell>
          <cell r="D226" t="str">
            <v>-  4 FUNC 600A. RING MAIN UNIT (CIRCUIT BREAKER))</v>
          </cell>
          <cell r="E226">
            <v>1131000</v>
          </cell>
          <cell r="F226">
            <v>15000</v>
          </cell>
          <cell r="G226" t="str">
            <v>SET</v>
          </cell>
        </row>
        <row r="227">
          <cell r="D227" t="str">
            <v>SPACE</v>
          </cell>
        </row>
      </sheetData>
      <sheetData sheetId="1" refreshError="1"/>
      <sheetData sheetId="2" refreshError="1"/>
      <sheetData sheetId="3" refreshError="1"/>
      <sheetData sheetId="4" refreshError="1"/>
      <sheetData sheetId="5" refreshError="1"/>
      <sheetData sheetId="6" refreshError="1"/>
      <sheetData sheetId="7">
        <row r="1">
          <cell r="C1">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row r="1">
          <cell r="C1">
            <v>0</v>
          </cell>
        </row>
      </sheetData>
      <sheetData sheetId="70">
        <row r="1">
          <cell r="C1">
            <v>0</v>
          </cell>
        </row>
      </sheetData>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1">
          <cell r="C1">
            <v>0</v>
          </cell>
        </row>
      </sheetData>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1">
          <cell r="C1">
            <v>0</v>
          </cell>
        </row>
      </sheetData>
      <sheetData sheetId="101">
        <row r="1">
          <cell r="C1">
            <v>0</v>
          </cell>
        </row>
      </sheetData>
      <sheetData sheetId="102">
        <row r="1">
          <cell r="C1">
            <v>0</v>
          </cell>
        </row>
      </sheetData>
      <sheetData sheetId="103">
        <row r="1">
          <cell r="C1">
            <v>0</v>
          </cell>
        </row>
      </sheetData>
      <sheetData sheetId="104">
        <row r="1">
          <cell r="C1">
            <v>0</v>
          </cell>
        </row>
      </sheetData>
      <sheetData sheetId="105">
        <row r="1">
          <cell r="C1">
            <v>0</v>
          </cell>
        </row>
      </sheetData>
      <sheetData sheetId="106">
        <row r="1">
          <cell r="C1">
            <v>0</v>
          </cell>
        </row>
      </sheetData>
      <sheetData sheetId="107">
        <row r="1">
          <cell r="C1">
            <v>0</v>
          </cell>
        </row>
      </sheetData>
      <sheetData sheetId="108">
        <row r="1">
          <cell r="C1">
            <v>0</v>
          </cell>
        </row>
      </sheetData>
      <sheetData sheetId="109">
        <row r="1">
          <cell r="C1">
            <v>0</v>
          </cell>
        </row>
      </sheetData>
      <sheetData sheetId="110">
        <row r="1">
          <cell r="C1">
            <v>0</v>
          </cell>
        </row>
      </sheetData>
      <sheetData sheetId="111">
        <row r="1">
          <cell r="C1">
            <v>0</v>
          </cell>
        </row>
      </sheetData>
      <sheetData sheetId="112">
        <row r="1">
          <cell r="C1">
            <v>0</v>
          </cell>
        </row>
      </sheetData>
      <sheetData sheetId="113">
        <row r="1">
          <cell r="C1">
            <v>0</v>
          </cell>
        </row>
      </sheetData>
      <sheetData sheetId="114">
        <row r="1">
          <cell r="C1">
            <v>0</v>
          </cell>
        </row>
      </sheetData>
      <sheetData sheetId="115">
        <row r="1">
          <cell r="C1">
            <v>0</v>
          </cell>
        </row>
      </sheetData>
      <sheetData sheetId="116">
        <row r="1">
          <cell r="C1">
            <v>0</v>
          </cell>
        </row>
      </sheetData>
      <sheetData sheetId="117">
        <row r="1">
          <cell r="C1">
            <v>0</v>
          </cell>
        </row>
      </sheetData>
      <sheetData sheetId="118">
        <row r="1">
          <cell r="C1">
            <v>0</v>
          </cell>
        </row>
      </sheetData>
      <sheetData sheetId="119">
        <row r="1">
          <cell r="C1">
            <v>0</v>
          </cell>
        </row>
      </sheetData>
      <sheetData sheetId="120">
        <row r="1">
          <cell r="C1">
            <v>0</v>
          </cell>
        </row>
      </sheetData>
      <sheetData sheetId="121">
        <row r="1">
          <cell r="C1">
            <v>0</v>
          </cell>
        </row>
      </sheetData>
      <sheetData sheetId="122">
        <row r="1">
          <cell r="C1">
            <v>0</v>
          </cell>
        </row>
      </sheetData>
      <sheetData sheetId="123">
        <row r="1">
          <cell r="C1">
            <v>0</v>
          </cell>
        </row>
      </sheetData>
      <sheetData sheetId="124">
        <row r="1">
          <cell r="C1">
            <v>0</v>
          </cell>
        </row>
      </sheetData>
      <sheetData sheetId="125">
        <row r="1">
          <cell r="C1">
            <v>0</v>
          </cell>
        </row>
      </sheetData>
      <sheetData sheetId="126">
        <row r="1">
          <cell r="C1">
            <v>0</v>
          </cell>
        </row>
      </sheetData>
      <sheetData sheetId="127" refreshError="1"/>
      <sheetData sheetId="128" refreshError="1"/>
      <sheetData sheetId="129" refreshError="1"/>
      <sheetData sheetId="130">
        <row r="1">
          <cell r="C1">
            <v>0</v>
          </cell>
        </row>
      </sheetData>
      <sheetData sheetId="131" refreshError="1"/>
      <sheetData sheetId="132" refreshError="1"/>
      <sheetData sheetId="133">
        <row r="1">
          <cell r="C1">
            <v>0</v>
          </cell>
        </row>
      </sheetData>
      <sheetData sheetId="134">
        <row r="1">
          <cell r="C1">
            <v>0</v>
          </cell>
        </row>
      </sheetData>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ow r="1">
          <cell r="C1">
            <v>0</v>
          </cell>
        </row>
      </sheetData>
      <sheetData sheetId="155" refreshError="1"/>
      <sheetData sheetId="156" refreshError="1"/>
      <sheetData sheetId="157" refreshError="1"/>
      <sheetData sheetId="158" refreshError="1"/>
      <sheetData sheetId="159" refreshError="1"/>
      <sheetData sheetId="160" refreshError="1"/>
      <sheetData sheetId="161">
        <row r="1">
          <cell r="C1">
            <v>0</v>
          </cell>
        </row>
      </sheetData>
      <sheetData sheetId="162" refreshError="1"/>
      <sheetData sheetId="163" refreshError="1"/>
      <sheetData sheetId="164">
        <row r="1">
          <cell r="C1">
            <v>0</v>
          </cell>
        </row>
      </sheetData>
      <sheetData sheetId="165">
        <row r="1">
          <cell r="C1">
            <v>0</v>
          </cell>
        </row>
      </sheetData>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C1">
            <v>0</v>
          </cell>
        </row>
      </sheetData>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ow r="1">
          <cell r="C1">
            <v>0</v>
          </cell>
        </row>
      </sheetData>
      <sheetData sheetId="209">
        <row r="5">
          <cell r="C5" t="str">
            <v>Basement</v>
          </cell>
        </row>
      </sheetData>
      <sheetData sheetId="210"/>
      <sheetData sheetId="211">
        <row r="1">
          <cell r="C1">
            <v>0</v>
          </cell>
        </row>
      </sheetData>
      <sheetData sheetId="212"/>
      <sheetData sheetId="213"/>
      <sheetData sheetId="214"/>
      <sheetData sheetId="215"/>
      <sheetData sheetId="216"/>
      <sheetData sheetId="217">
        <row r="5">
          <cell r="C5" t="str">
            <v>Basement</v>
          </cell>
        </row>
      </sheetData>
      <sheetData sheetId="218" refreshError="1"/>
      <sheetData sheetId="219">
        <row r="1">
          <cell r="C1" t="str">
            <v xml:space="preserve">บริษัท เอ-ลิ้งค์ เน็ตเวิร์คแอนด์คอนสตรัคชั่น จำกัด </v>
          </cell>
        </row>
      </sheetData>
      <sheetData sheetId="220">
        <row r="1">
          <cell r="C1">
            <v>0</v>
          </cell>
        </row>
      </sheetData>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ow r="1">
          <cell r="C1">
            <v>0</v>
          </cell>
        </row>
      </sheetData>
      <sheetData sheetId="243" refreshError="1"/>
      <sheetData sheetId="244" refreshError="1"/>
      <sheetData sheetId="245" refreshError="1"/>
      <sheetData sheetId="246" refreshError="1"/>
      <sheetData sheetId="247">
        <row r="1">
          <cell r="C1">
            <v>0</v>
          </cell>
        </row>
      </sheetData>
      <sheetData sheetId="248">
        <row r="1">
          <cell r="C1">
            <v>0</v>
          </cell>
        </row>
      </sheetData>
      <sheetData sheetId="249" refreshError="1"/>
      <sheetData sheetId="250">
        <row r="1">
          <cell r="C1">
            <v>0</v>
          </cell>
        </row>
      </sheetData>
      <sheetData sheetId="251">
        <row r="1">
          <cell r="C1">
            <v>0</v>
          </cell>
        </row>
      </sheetData>
      <sheetData sheetId="252">
        <row r="1">
          <cell r="C1">
            <v>0</v>
          </cell>
        </row>
      </sheetData>
      <sheetData sheetId="253">
        <row r="1">
          <cell r="C1">
            <v>0</v>
          </cell>
        </row>
      </sheetData>
      <sheetData sheetId="254">
        <row r="1">
          <cell r="C1">
            <v>0</v>
          </cell>
        </row>
      </sheetData>
      <sheetData sheetId="255">
        <row r="1">
          <cell r="C1">
            <v>0</v>
          </cell>
        </row>
      </sheetData>
      <sheetData sheetId="256">
        <row r="1">
          <cell r="C1">
            <v>0</v>
          </cell>
        </row>
      </sheetData>
      <sheetData sheetId="257">
        <row r="1">
          <cell r="C1">
            <v>0</v>
          </cell>
        </row>
      </sheetData>
      <sheetData sheetId="258">
        <row r="1">
          <cell r="C1">
            <v>0</v>
          </cell>
        </row>
      </sheetData>
      <sheetData sheetId="259">
        <row r="1">
          <cell r="C1">
            <v>0</v>
          </cell>
        </row>
      </sheetData>
      <sheetData sheetId="260">
        <row r="1">
          <cell r="C1">
            <v>0</v>
          </cell>
        </row>
      </sheetData>
      <sheetData sheetId="261">
        <row r="1">
          <cell r="C1">
            <v>0</v>
          </cell>
        </row>
      </sheetData>
      <sheetData sheetId="262">
        <row r="1">
          <cell r="C1">
            <v>0</v>
          </cell>
        </row>
      </sheetData>
      <sheetData sheetId="263">
        <row r="1">
          <cell r="C1">
            <v>0</v>
          </cell>
        </row>
      </sheetData>
      <sheetData sheetId="264">
        <row r="1">
          <cell r="C1">
            <v>0</v>
          </cell>
        </row>
      </sheetData>
      <sheetData sheetId="265">
        <row r="1">
          <cell r="C1">
            <v>0</v>
          </cell>
        </row>
      </sheetData>
      <sheetData sheetId="266">
        <row r="1">
          <cell r="C1">
            <v>0</v>
          </cell>
        </row>
      </sheetData>
      <sheetData sheetId="267">
        <row r="1">
          <cell r="C1">
            <v>0</v>
          </cell>
        </row>
      </sheetData>
      <sheetData sheetId="268">
        <row r="1">
          <cell r="C1">
            <v>0</v>
          </cell>
        </row>
      </sheetData>
      <sheetData sheetId="269">
        <row r="1">
          <cell r="C1">
            <v>0</v>
          </cell>
        </row>
      </sheetData>
      <sheetData sheetId="270">
        <row r="1">
          <cell r="C1">
            <v>0</v>
          </cell>
        </row>
      </sheetData>
      <sheetData sheetId="271">
        <row r="1">
          <cell r="C1">
            <v>0</v>
          </cell>
        </row>
      </sheetData>
      <sheetData sheetId="272">
        <row r="1">
          <cell r="C1">
            <v>0</v>
          </cell>
        </row>
      </sheetData>
      <sheetData sheetId="273">
        <row r="1">
          <cell r="C1">
            <v>0</v>
          </cell>
        </row>
      </sheetData>
      <sheetData sheetId="274">
        <row r="1">
          <cell r="C1">
            <v>0</v>
          </cell>
        </row>
      </sheetData>
      <sheetData sheetId="275">
        <row r="1">
          <cell r="C1">
            <v>0</v>
          </cell>
        </row>
      </sheetData>
      <sheetData sheetId="276">
        <row r="1">
          <cell r="C1">
            <v>0</v>
          </cell>
        </row>
      </sheetData>
      <sheetData sheetId="277">
        <row r="1">
          <cell r="C1">
            <v>0</v>
          </cell>
        </row>
      </sheetData>
      <sheetData sheetId="278">
        <row r="1">
          <cell r="C1">
            <v>0</v>
          </cell>
        </row>
      </sheetData>
      <sheetData sheetId="279">
        <row r="1">
          <cell r="C1" t="str">
            <v xml:space="preserve">บริษัท เอ-ลิ้งค์ เน็ตเวิร์คแอนด์คอนสตรัคชั่น จำกัด </v>
          </cell>
        </row>
      </sheetData>
      <sheetData sheetId="280">
        <row r="1">
          <cell r="C1">
            <v>0</v>
          </cell>
        </row>
      </sheetData>
      <sheetData sheetId="281">
        <row r="1">
          <cell r="C1">
            <v>0</v>
          </cell>
        </row>
      </sheetData>
      <sheetData sheetId="282">
        <row r="1">
          <cell r="C1">
            <v>0</v>
          </cell>
        </row>
      </sheetData>
      <sheetData sheetId="283">
        <row r="1">
          <cell r="C1">
            <v>0</v>
          </cell>
        </row>
      </sheetData>
      <sheetData sheetId="284">
        <row r="1">
          <cell r="C1">
            <v>0</v>
          </cell>
        </row>
      </sheetData>
      <sheetData sheetId="285">
        <row r="1">
          <cell r="C1">
            <v>0</v>
          </cell>
        </row>
      </sheetData>
      <sheetData sheetId="286">
        <row r="1">
          <cell r="C1">
            <v>0</v>
          </cell>
        </row>
      </sheetData>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ow r="1">
          <cell r="C1">
            <v>0</v>
          </cell>
        </row>
      </sheetData>
      <sheetData sheetId="301">
        <row r="1">
          <cell r="C1">
            <v>0</v>
          </cell>
        </row>
      </sheetData>
      <sheetData sheetId="302">
        <row r="1">
          <cell r="C1" t="str">
            <v xml:space="preserve">บริษัท เอ-ลิ้งค์ เน็ตเวิร์คแอนด์คอนสตรัคชั่น จำกัด </v>
          </cell>
        </row>
      </sheetData>
      <sheetData sheetId="303">
        <row r="1">
          <cell r="C1">
            <v>0</v>
          </cell>
        </row>
      </sheetData>
      <sheetData sheetId="304">
        <row r="1">
          <cell r="C1">
            <v>0</v>
          </cell>
        </row>
      </sheetData>
      <sheetData sheetId="305">
        <row r="1">
          <cell r="C1">
            <v>0</v>
          </cell>
        </row>
      </sheetData>
      <sheetData sheetId="306">
        <row r="1">
          <cell r="C1">
            <v>0</v>
          </cell>
        </row>
      </sheetData>
      <sheetData sheetId="307">
        <row r="1">
          <cell r="C1">
            <v>0</v>
          </cell>
        </row>
      </sheetData>
      <sheetData sheetId="308">
        <row r="1">
          <cell r="C1">
            <v>0</v>
          </cell>
        </row>
      </sheetData>
      <sheetData sheetId="309">
        <row r="1">
          <cell r="C1">
            <v>0</v>
          </cell>
        </row>
      </sheetData>
      <sheetData sheetId="310">
        <row r="1">
          <cell r="C1">
            <v>0</v>
          </cell>
        </row>
      </sheetData>
      <sheetData sheetId="311">
        <row r="1">
          <cell r="C1">
            <v>0</v>
          </cell>
        </row>
      </sheetData>
      <sheetData sheetId="312">
        <row r="1">
          <cell r="C1">
            <v>0</v>
          </cell>
        </row>
      </sheetData>
      <sheetData sheetId="313">
        <row r="1">
          <cell r="C1">
            <v>0</v>
          </cell>
        </row>
      </sheetData>
      <sheetData sheetId="314">
        <row r="1">
          <cell r="C1">
            <v>0</v>
          </cell>
        </row>
      </sheetData>
      <sheetData sheetId="315">
        <row r="1">
          <cell r="C1">
            <v>0</v>
          </cell>
        </row>
      </sheetData>
      <sheetData sheetId="316">
        <row r="1">
          <cell r="C1">
            <v>0</v>
          </cell>
        </row>
      </sheetData>
      <sheetData sheetId="317">
        <row r="1">
          <cell r="C1">
            <v>0</v>
          </cell>
        </row>
      </sheetData>
      <sheetData sheetId="318">
        <row r="1">
          <cell r="C1">
            <v>0</v>
          </cell>
        </row>
      </sheetData>
      <sheetData sheetId="319">
        <row r="1">
          <cell r="C1">
            <v>0</v>
          </cell>
        </row>
      </sheetData>
      <sheetData sheetId="320">
        <row r="1">
          <cell r="C1">
            <v>0</v>
          </cell>
        </row>
      </sheetData>
      <sheetData sheetId="321">
        <row r="1">
          <cell r="C1">
            <v>0</v>
          </cell>
        </row>
      </sheetData>
      <sheetData sheetId="322">
        <row r="1">
          <cell r="C1">
            <v>0</v>
          </cell>
        </row>
      </sheetData>
      <sheetData sheetId="323">
        <row r="1">
          <cell r="C1">
            <v>0</v>
          </cell>
        </row>
      </sheetData>
      <sheetData sheetId="324">
        <row r="1">
          <cell r="C1">
            <v>0</v>
          </cell>
        </row>
      </sheetData>
      <sheetData sheetId="325">
        <row r="1">
          <cell r="C1">
            <v>0</v>
          </cell>
        </row>
      </sheetData>
      <sheetData sheetId="326">
        <row r="1">
          <cell r="C1">
            <v>0</v>
          </cell>
        </row>
      </sheetData>
      <sheetData sheetId="327">
        <row r="1">
          <cell r="C1">
            <v>0</v>
          </cell>
        </row>
      </sheetData>
      <sheetData sheetId="328">
        <row r="1">
          <cell r="C1">
            <v>0</v>
          </cell>
        </row>
      </sheetData>
      <sheetData sheetId="329">
        <row r="1">
          <cell r="C1">
            <v>0</v>
          </cell>
        </row>
      </sheetData>
      <sheetData sheetId="330">
        <row r="1">
          <cell r="C1">
            <v>0</v>
          </cell>
        </row>
      </sheetData>
      <sheetData sheetId="331">
        <row r="1">
          <cell r="C1">
            <v>0</v>
          </cell>
        </row>
      </sheetData>
      <sheetData sheetId="332">
        <row r="1">
          <cell r="C1">
            <v>0</v>
          </cell>
        </row>
      </sheetData>
      <sheetData sheetId="333">
        <row r="1">
          <cell r="C1">
            <v>0</v>
          </cell>
        </row>
      </sheetData>
      <sheetData sheetId="334">
        <row r="1">
          <cell r="C1">
            <v>0</v>
          </cell>
        </row>
      </sheetData>
      <sheetData sheetId="335">
        <row r="1">
          <cell r="C1">
            <v>0</v>
          </cell>
        </row>
      </sheetData>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ow r="1">
          <cell r="C1">
            <v>0</v>
          </cell>
        </row>
      </sheetData>
      <sheetData sheetId="346" refreshError="1"/>
      <sheetData sheetId="347" refreshError="1"/>
      <sheetData sheetId="348" refreshError="1"/>
      <sheetData sheetId="349">
        <row r="1">
          <cell r="C1">
            <v>0</v>
          </cell>
        </row>
      </sheetData>
      <sheetData sheetId="350">
        <row r="1">
          <cell r="C1">
            <v>0</v>
          </cell>
        </row>
      </sheetData>
      <sheetData sheetId="351">
        <row r="1">
          <cell r="C1">
            <v>0</v>
          </cell>
        </row>
      </sheetData>
      <sheetData sheetId="352">
        <row r="1">
          <cell r="C1">
            <v>0</v>
          </cell>
        </row>
      </sheetData>
      <sheetData sheetId="353">
        <row r="1">
          <cell r="C1">
            <v>0</v>
          </cell>
        </row>
      </sheetData>
      <sheetData sheetId="354">
        <row r="1">
          <cell r="C1">
            <v>0</v>
          </cell>
        </row>
      </sheetData>
      <sheetData sheetId="355">
        <row r="1">
          <cell r="C1">
            <v>0</v>
          </cell>
        </row>
      </sheetData>
      <sheetData sheetId="356">
        <row r="1">
          <cell r="C1">
            <v>0</v>
          </cell>
        </row>
      </sheetData>
      <sheetData sheetId="357">
        <row r="1">
          <cell r="C1">
            <v>0</v>
          </cell>
        </row>
      </sheetData>
      <sheetData sheetId="358">
        <row r="1">
          <cell r="C1">
            <v>0</v>
          </cell>
        </row>
      </sheetData>
      <sheetData sheetId="359">
        <row r="1">
          <cell r="C1">
            <v>0</v>
          </cell>
        </row>
      </sheetData>
      <sheetData sheetId="360">
        <row r="1">
          <cell r="C1">
            <v>0</v>
          </cell>
        </row>
      </sheetData>
      <sheetData sheetId="361">
        <row r="1">
          <cell r="C1">
            <v>0</v>
          </cell>
        </row>
      </sheetData>
      <sheetData sheetId="362">
        <row r="1">
          <cell r="C1">
            <v>0</v>
          </cell>
        </row>
      </sheetData>
      <sheetData sheetId="363">
        <row r="1">
          <cell r="C1">
            <v>0</v>
          </cell>
        </row>
      </sheetData>
      <sheetData sheetId="364">
        <row r="1">
          <cell r="C1">
            <v>0</v>
          </cell>
        </row>
      </sheetData>
      <sheetData sheetId="365">
        <row r="1">
          <cell r="C1">
            <v>0</v>
          </cell>
        </row>
      </sheetData>
      <sheetData sheetId="366">
        <row r="1">
          <cell r="C1">
            <v>0</v>
          </cell>
        </row>
      </sheetData>
      <sheetData sheetId="367">
        <row r="1">
          <cell r="C1">
            <v>0</v>
          </cell>
        </row>
      </sheetData>
      <sheetData sheetId="368">
        <row r="1">
          <cell r="C1">
            <v>0</v>
          </cell>
        </row>
      </sheetData>
      <sheetData sheetId="369">
        <row r="1">
          <cell r="C1">
            <v>0</v>
          </cell>
        </row>
      </sheetData>
      <sheetData sheetId="370">
        <row r="1">
          <cell r="C1">
            <v>0</v>
          </cell>
        </row>
      </sheetData>
      <sheetData sheetId="371">
        <row r="1">
          <cell r="C1">
            <v>0</v>
          </cell>
        </row>
      </sheetData>
      <sheetData sheetId="372">
        <row r="1">
          <cell r="C1">
            <v>0</v>
          </cell>
        </row>
      </sheetData>
      <sheetData sheetId="373">
        <row r="1">
          <cell r="C1">
            <v>0</v>
          </cell>
        </row>
      </sheetData>
      <sheetData sheetId="374">
        <row r="1">
          <cell r="C1">
            <v>0</v>
          </cell>
        </row>
      </sheetData>
      <sheetData sheetId="375">
        <row r="1">
          <cell r="C1">
            <v>0</v>
          </cell>
        </row>
      </sheetData>
      <sheetData sheetId="376">
        <row r="1">
          <cell r="C1">
            <v>0</v>
          </cell>
        </row>
      </sheetData>
      <sheetData sheetId="377">
        <row r="1">
          <cell r="C1">
            <v>0</v>
          </cell>
        </row>
      </sheetData>
      <sheetData sheetId="378">
        <row r="1">
          <cell r="C1">
            <v>0</v>
          </cell>
        </row>
      </sheetData>
      <sheetData sheetId="379">
        <row r="1">
          <cell r="C1">
            <v>0</v>
          </cell>
        </row>
      </sheetData>
      <sheetData sheetId="380">
        <row r="1">
          <cell r="C1">
            <v>0</v>
          </cell>
        </row>
      </sheetData>
      <sheetData sheetId="381">
        <row r="1">
          <cell r="C1">
            <v>0</v>
          </cell>
        </row>
      </sheetData>
      <sheetData sheetId="382">
        <row r="1">
          <cell r="C1">
            <v>0</v>
          </cell>
        </row>
      </sheetData>
      <sheetData sheetId="383">
        <row r="1">
          <cell r="C1">
            <v>0</v>
          </cell>
        </row>
      </sheetData>
      <sheetData sheetId="384">
        <row r="1">
          <cell r="C1">
            <v>0</v>
          </cell>
        </row>
      </sheetData>
      <sheetData sheetId="385">
        <row r="1">
          <cell r="C1">
            <v>0</v>
          </cell>
        </row>
      </sheetData>
      <sheetData sheetId="386">
        <row r="1">
          <cell r="C1">
            <v>0</v>
          </cell>
        </row>
      </sheetData>
      <sheetData sheetId="387">
        <row r="1">
          <cell r="C1">
            <v>0</v>
          </cell>
        </row>
      </sheetData>
      <sheetData sheetId="388">
        <row r="1">
          <cell r="C1">
            <v>0</v>
          </cell>
        </row>
      </sheetData>
      <sheetData sheetId="389">
        <row r="1">
          <cell r="C1">
            <v>0</v>
          </cell>
        </row>
      </sheetData>
      <sheetData sheetId="390">
        <row r="1">
          <cell r="C1">
            <v>0</v>
          </cell>
        </row>
      </sheetData>
      <sheetData sheetId="391">
        <row r="1">
          <cell r="C1">
            <v>0</v>
          </cell>
        </row>
      </sheetData>
      <sheetData sheetId="392">
        <row r="1">
          <cell r="C1">
            <v>0</v>
          </cell>
        </row>
      </sheetData>
      <sheetData sheetId="393">
        <row r="1">
          <cell r="C1">
            <v>0</v>
          </cell>
        </row>
      </sheetData>
      <sheetData sheetId="394">
        <row r="1">
          <cell r="C1">
            <v>0</v>
          </cell>
        </row>
      </sheetData>
      <sheetData sheetId="395">
        <row r="1">
          <cell r="C1">
            <v>0</v>
          </cell>
        </row>
      </sheetData>
      <sheetData sheetId="396">
        <row r="1">
          <cell r="C1">
            <v>0</v>
          </cell>
        </row>
      </sheetData>
      <sheetData sheetId="397">
        <row r="1">
          <cell r="C1">
            <v>0</v>
          </cell>
        </row>
      </sheetData>
      <sheetData sheetId="398">
        <row r="1">
          <cell r="C1">
            <v>0</v>
          </cell>
        </row>
      </sheetData>
      <sheetData sheetId="399">
        <row r="1">
          <cell r="C1">
            <v>0</v>
          </cell>
        </row>
      </sheetData>
      <sheetData sheetId="400">
        <row r="1">
          <cell r="C1">
            <v>0</v>
          </cell>
        </row>
      </sheetData>
      <sheetData sheetId="401">
        <row r="1">
          <cell r="C1">
            <v>0</v>
          </cell>
        </row>
      </sheetData>
      <sheetData sheetId="402">
        <row r="1">
          <cell r="C1">
            <v>0</v>
          </cell>
        </row>
      </sheetData>
      <sheetData sheetId="403">
        <row r="1">
          <cell r="C1">
            <v>0</v>
          </cell>
        </row>
      </sheetData>
      <sheetData sheetId="404">
        <row r="1">
          <cell r="C1">
            <v>0</v>
          </cell>
        </row>
      </sheetData>
      <sheetData sheetId="405">
        <row r="1">
          <cell r="C1">
            <v>0</v>
          </cell>
        </row>
      </sheetData>
      <sheetData sheetId="406">
        <row r="1">
          <cell r="C1">
            <v>0</v>
          </cell>
        </row>
      </sheetData>
      <sheetData sheetId="407">
        <row r="1">
          <cell r="C1">
            <v>0</v>
          </cell>
        </row>
      </sheetData>
      <sheetData sheetId="408">
        <row r="1">
          <cell r="C1">
            <v>0</v>
          </cell>
        </row>
      </sheetData>
      <sheetData sheetId="409">
        <row r="1">
          <cell r="C1">
            <v>0</v>
          </cell>
        </row>
      </sheetData>
      <sheetData sheetId="410">
        <row r="1">
          <cell r="C1">
            <v>0</v>
          </cell>
        </row>
      </sheetData>
      <sheetData sheetId="411">
        <row r="1">
          <cell r="C1">
            <v>0</v>
          </cell>
        </row>
      </sheetData>
      <sheetData sheetId="412">
        <row r="1">
          <cell r="C1">
            <v>0</v>
          </cell>
        </row>
      </sheetData>
      <sheetData sheetId="413">
        <row r="1">
          <cell r="C1">
            <v>0</v>
          </cell>
        </row>
      </sheetData>
      <sheetData sheetId="414">
        <row r="1">
          <cell r="C1">
            <v>0</v>
          </cell>
        </row>
      </sheetData>
      <sheetData sheetId="415">
        <row r="1">
          <cell r="C1">
            <v>0</v>
          </cell>
        </row>
      </sheetData>
      <sheetData sheetId="416">
        <row r="1">
          <cell r="C1">
            <v>0</v>
          </cell>
        </row>
      </sheetData>
      <sheetData sheetId="417">
        <row r="1">
          <cell r="C1">
            <v>0</v>
          </cell>
        </row>
      </sheetData>
      <sheetData sheetId="418">
        <row r="1">
          <cell r="C1">
            <v>0</v>
          </cell>
        </row>
      </sheetData>
      <sheetData sheetId="419">
        <row r="1">
          <cell r="C1">
            <v>0</v>
          </cell>
        </row>
      </sheetData>
      <sheetData sheetId="420">
        <row r="1">
          <cell r="C1">
            <v>0</v>
          </cell>
        </row>
      </sheetData>
      <sheetData sheetId="421">
        <row r="1">
          <cell r="C1">
            <v>0</v>
          </cell>
        </row>
      </sheetData>
      <sheetData sheetId="422">
        <row r="1">
          <cell r="C1">
            <v>0</v>
          </cell>
        </row>
      </sheetData>
      <sheetData sheetId="423">
        <row r="1">
          <cell r="C1">
            <v>0</v>
          </cell>
        </row>
      </sheetData>
      <sheetData sheetId="424">
        <row r="1">
          <cell r="C1">
            <v>0</v>
          </cell>
        </row>
      </sheetData>
      <sheetData sheetId="425">
        <row r="1">
          <cell r="C1">
            <v>0</v>
          </cell>
        </row>
      </sheetData>
      <sheetData sheetId="426">
        <row r="1">
          <cell r="C1">
            <v>0</v>
          </cell>
        </row>
      </sheetData>
      <sheetData sheetId="427">
        <row r="1">
          <cell r="C1">
            <v>0</v>
          </cell>
        </row>
      </sheetData>
      <sheetData sheetId="428">
        <row r="1">
          <cell r="C1">
            <v>0</v>
          </cell>
        </row>
      </sheetData>
      <sheetData sheetId="429">
        <row r="1">
          <cell r="C1">
            <v>0</v>
          </cell>
        </row>
      </sheetData>
      <sheetData sheetId="430">
        <row r="1">
          <cell r="C1" t="str">
            <v xml:space="preserve">บริษัท เอ-ลิ้งค์ เน็ตเวิร์คแอนด์คอนสตรัคชั่น จำกัด </v>
          </cell>
        </row>
      </sheetData>
      <sheetData sheetId="431">
        <row r="1">
          <cell r="C1">
            <v>0</v>
          </cell>
        </row>
      </sheetData>
      <sheetData sheetId="432">
        <row r="1">
          <cell r="C1">
            <v>0</v>
          </cell>
        </row>
      </sheetData>
      <sheetData sheetId="433">
        <row r="1">
          <cell r="C1">
            <v>0</v>
          </cell>
        </row>
      </sheetData>
      <sheetData sheetId="434">
        <row r="1">
          <cell r="C1">
            <v>0</v>
          </cell>
        </row>
      </sheetData>
      <sheetData sheetId="435">
        <row r="1">
          <cell r="C1">
            <v>0</v>
          </cell>
        </row>
      </sheetData>
      <sheetData sheetId="436">
        <row r="1">
          <cell r="C1">
            <v>0</v>
          </cell>
        </row>
      </sheetData>
      <sheetData sheetId="437">
        <row r="1">
          <cell r="C1">
            <v>0</v>
          </cell>
        </row>
      </sheetData>
      <sheetData sheetId="438">
        <row r="1">
          <cell r="C1">
            <v>0</v>
          </cell>
        </row>
      </sheetData>
      <sheetData sheetId="439">
        <row r="1">
          <cell r="C1">
            <v>0</v>
          </cell>
        </row>
      </sheetData>
      <sheetData sheetId="440">
        <row r="1">
          <cell r="C1">
            <v>0</v>
          </cell>
        </row>
      </sheetData>
      <sheetData sheetId="441">
        <row r="1">
          <cell r="C1">
            <v>0</v>
          </cell>
        </row>
      </sheetData>
      <sheetData sheetId="442">
        <row r="1">
          <cell r="C1">
            <v>0</v>
          </cell>
        </row>
      </sheetData>
      <sheetData sheetId="443">
        <row r="1">
          <cell r="C1">
            <v>0</v>
          </cell>
        </row>
      </sheetData>
      <sheetData sheetId="444">
        <row r="1">
          <cell r="C1">
            <v>0</v>
          </cell>
        </row>
      </sheetData>
      <sheetData sheetId="445">
        <row r="1">
          <cell r="C1">
            <v>0</v>
          </cell>
        </row>
      </sheetData>
      <sheetData sheetId="446">
        <row r="1">
          <cell r="C1">
            <v>0</v>
          </cell>
        </row>
      </sheetData>
      <sheetData sheetId="447">
        <row r="1">
          <cell r="C1">
            <v>0</v>
          </cell>
        </row>
      </sheetData>
      <sheetData sheetId="448">
        <row r="1">
          <cell r="C1">
            <v>0</v>
          </cell>
        </row>
      </sheetData>
      <sheetData sheetId="449">
        <row r="1">
          <cell r="C1">
            <v>0</v>
          </cell>
        </row>
      </sheetData>
      <sheetData sheetId="450">
        <row r="1">
          <cell r="C1">
            <v>0</v>
          </cell>
        </row>
      </sheetData>
      <sheetData sheetId="451">
        <row r="1">
          <cell r="C1">
            <v>0</v>
          </cell>
        </row>
      </sheetData>
      <sheetData sheetId="452">
        <row r="1">
          <cell r="C1">
            <v>0</v>
          </cell>
        </row>
      </sheetData>
      <sheetData sheetId="453">
        <row r="1">
          <cell r="C1">
            <v>0</v>
          </cell>
        </row>
      </sheetData>
      <sheetData sheetId="454">
        <row r="1">
          <cell r="C1">
            <v>0</v>
          </cell>
        </row>
      </sheetData>
      <sheetData sheetId="455">
        <row r="1">
          <cell r="C1">
            <v>0</v>
          </cell>
        </row>
      </sheetData>
      <sheetData sheetId="456">
        <row r="1">
          <cell r="C1">
            <v>0</v>
          </cell>
        </row>
      </sheetData>
      <sheetData sheetId="457">
        <row r="1">
          <cell r="C1">
            <v>0</v>
          </cell>
        </row>
      </sheetData>
      <sheetData sheetId="458">
        <row r="1">
          <cell r="C1">
            <v>0</v>
          </cell>
        </row>
      </sheetData>
      <sheetData sheetId="459">
        <row r="1">
          <cell r="C1">
            <v>0</v>
          </cell>
        </row>
      </sheetData>
      <sheetData sheetId="460">
        <row r="1">
          <cell r="C1">
            <v>0</v>
          </cell>
        </row>
      </sheetData>
      <sheetData sheetId="461">
        <row r="1">
          <cell r="C1">
            <v>0</v>
          </cell>
        </row>
      </sheetData>
      <sheetData sheetId="462">
        <row r="1">
          <cell r="C1">
            <v>0</v>
          </cell>
        </row>
      </sheetData>
      <sheetData sheetId="463">
        <row r="1">
          <cell r="C1" t="str">
            <v xml:space="preserve">บริษัท เอ-ลิ้งค์ เน็ตเวิร์คแอนด์คอนสตรัคชั่น จำกัด </v>
          </cell>
        </row>
      </sheetData>
      <sheetData sheetId="464">
        <row r="1">
          <cell r="C1">
            <v>0</v>
          </cell>
        </row>
      </sheetData>
      <sheetData sheetId="465">
        <row r="1">
          <cell r="C1">
            <v>0</v>
          </cell>
        </row>
      </sheetData>
      <sheetData sheetId="466">
        <row r="1">
          <cell r="C1">
            <v>0</v>
          </cell>
        </row>
      </sheetData>
      <sheetData sheetId="467">
        <row r="1">
          <cell r="C1">
            <v>0</v>
          </cell>
        </row>
      </sheetData>
      <sheetData sheetId="468">
        <row r="1">
          <cell r="C1">
            <v>0</v>
          </cell>
        </row>
      </sheetData>
      <sheetData sheetId="469">
        <row r="1">
          <cell r="C1">
            <v>0</v>
          </cell>
        </row>
      </sheetData>
      <sheetData sheetId="470">
        <row r="1">
          <cell r="C1">
            <v>0</v>
          </cell>
        </row>
      </sheetData>
      <sheetData sheetId="471">
        <row r="1">
          <cell r="C1">
            <v>0</v>
          </cell>
        </row>
      </sheetData>
      <sheetData sheetId="472">
        <row r="1">
          <cell r="C1">
            <v>0</v>
          </cell>
        </row>
      </sheetData>
      <sheetData sheetId="473">
        <row r="1">
          <cell r="C1">
            <v>0</v>
          </cell>
        </row>
      </sheetData>
      <sheetData sheetId="474">
        <row r="1">
          <cell r="C1">
            <v>0</v>
          </cell>
        </row>
      </sheetData>
      <sheetData sheetId="475">
        <row r="1">
          <cell r="C1">
            <v>0</v>
          </cell>
        </row>
      </sheetData>
      <sheetData sheetId="476">
        <row r="1">
          <cell r="C1">
            <v>0</v>
          </cell>
        </row>
      </sheetData>
      <sheetData sheetId="477">
        <row r="1">
          <cell r="C1">
            <v>0</v>
          </cell>
        </row>
      </sheetData>
      <sheetData sheetId="478">
        <row r="1">
          <cell r="C1">
            <v>0</v>
          </cell>
        </row>
      </sheetData>
      <sheetData sheetId="479">
        <row r="1">
          <cell r="C1">
            <v>0</v>
          </cell>
        </row>
      </sheetData>
      <sheetData sheetId="480">
        <row r="1">
          <cell r="C1">
            <v>0</v>
          </cell>
        </row>
      </sheetData>
      <sheetData sheetId="481">
        <row r="1">
          <cell r="C1">
            <v>0</v>
          </cell>
        </row>
      </sheetData>
      <sheetData sheetId="482">
        <row r="1">
          <cell r="C1">
            <v>0</v>
          </cell>
        </row>
      </sheetData>
      <sheetData sheetId="483">
        <row r="1">
          <cell r="C1">
            <v>0</v>
          </cell>
        </row>
      </sheetData>
      <sheetData sheetId="484">
        <row r="1">
          <cell r="C1">
            <v>0</v>
          </cell>
        </row>
      </sheetData>
      <sheetData sheetId="485">
        <row r="1">
          <cell r="C1">
            <v>0</v>
          </cell>
        </row>
      </sheetData>
      <sheetData sheetId="486">
        <row r="1">
          <cell r="C1">
            <v>0</v>
          </cell>
        </row>
      </sheetData>
      <sheetData sheetId="487">
        <row r="1">
          <cell r="C1">
            <v>0</v>
          </cell>
        </row>
      </sheetData>
      <sheetData sheetId="488">
        <row r="1">
          <cell r="C1">
            <v>0</v>
          </cell>
        </row>
      </sheetData>
      <sheetData sheetId="489">
        <row r="1">
          <cell r="C1">
            <v>0</v>
          </cell>
        </row>
      </sheetData>
      <sheetData sheetId="490">
        <row r="1">
          <cell r="C1">
            <v>0</v>
          </cell>
        </row>
      </sheetData>
      <sheetData sheetId="491">
        <row r="1">
          <cell r="C1">
            <v>0</v>
          </cell>
        </row>
      </sheetData>
      <sheetData sheetId="492">
        <row r="1">
          <cell r="C1">
            <v>0</v>
          </cell>
        </row>
      </sheetData>
      <sheetData sheetId="493">
        <row r="1">
          <cell r="C1">
            <v>0</v>
          </cell>
        </row>
      </sheetData>
      <sheetData sheetId="494">
        <row r="1">
          <cell r="C1" t="str">
            <v xml:space="preserve">บริษัท เอ-ลิ้งค์ เน็ตเวิร์คแอนด์คอนสตรัคชั่น จำกัด </v>
          </cell>
        </row>
      </sheetData>
      <sheetData sheetId="495" refreshError="1"/>
      <sheetData sheetId="496" refreshError="1"/>
      <sheetData sheetId="497" refreshError="1"/>
      <sheetData sheetId="498" refreshError="1"/>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ow r="1">
          <cell r="C1">
            <v>0</v>
          </cell>
        </row>
      </sheetData>
      <sheetData sheetId="509">
        <row r="1">
          <cell r="C1">
            <v>0</v>
          </cell>
        </row>
      </sheetData>
      <sheetData sheetId="510">
        <row r="1">
          <cell r="C1">
            <v>0</v>
          </cell>
        </row>
      </sheetData>
      <sheetData sheetId="511" refreshError="1"/>
      <sheetData sheetId="512" refreshError="1"/>
      <sheetData sheetId="513" refreshError="1"/>
      <sheetData sheetId="514" refreshError="1"/>
      <sheetData sheetId="515" refreshError="1"/>
      <sheetData sheetId="516" refreshError="1"/>
      <sheetData sheetId="517">
        <row r="1">
          <cell r="C1">
            <v>0</v>
          </cell>
        </row>
      </sheetData>
      <sheetData sheetId="518">
        <row r="5">
          <cell r="C5" t="str">
            <v>Basement</v>
          </cell>
        </row>
      </sheetData>
      <sheetData sheetId="519">
        <row r="5">
          <cell r="C5" t="str">
            <v>Basement</v>
          </cell>
        </row>
      </sheetData>
      <sheetData sheetId="520">
        <row r="5">
          <cell r="C5" t="str">
            <v>Basement</v>
          </cell>
        </row>
      </sheetData>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refreshError="1"/>
      <sheetData sheetId="541" refreshError="1"/>
      <sheetData sheetId="542" refreshError="1"/>
      <sheetData sheetId="543">
        <row r="1">
          <cell r="C1">
            <v>0</v>
          </cell>
        </row>
      </sheetData>
      <sheetData sheetId="544"/>
      <sheetData sheetId="545" refreshError="1"/>
      <sheetData sheetId="546" refreshError="1"/>
      <sheetData sheetId="547" refreshError="1"/>
      <sheetData sheetId="548" refreshError="1"/>
      <sheetData sheetId="549"/>
      <sheetData sheetId="550"/>
      <sheetData sheetId="551">
        <row r="1">
          <cell r="C1">
            <v>0</v>
          </cell>
        </row>
      </sheetData>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sheetData sheetId="623"/>
      <sheetData sheetId="624"/>
      <sheetData sheetId="625" refreshError="1"/>
      <sheetData sheetId="62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รายงานระยะที่ 2 "/>
      <sheetName val="รายการติดต่อ"/>
      <sheetName val="รายงานประกอบการเบิกงวด"/>
      <sheetName val="รายการเคลียแบบ"/>
      <sheetName val="งานAlum. แอมโปรเทค "/>
      <sheetName val="ราคา KYS เพิ่มเติม 2 , 4  "/>
      <sheetName val="เสนอราคางานเพิ่มเติม 2  "/>
      <sheetName val="เสนอราคางานเพิ่มเติม 4 "/>
      <sheetName val="งานเพิ่มเติม งานไฟฟ้า ตกแต่ง "/>
      <sheetName val="งานเพิ่มเติมห้องคนขับรถ"/>
      <sheetName val=" รายการประตู หน้าต่าง"/>
      <sheetName val="รายการอุปกรณ์ประตู หน้าต่าง"/>
      <sheetName val="รายละเอียดประตู หน้าต่าง"/>
      <sheetName val="ปรับราคาประตูหน้าต่าง  2 "/>
      <sheetName val="ราคาประตูหน้าต่าง KYS "/>
      <sheetName val="ปรับราคาประตูหน้าต่าง  2  (2)"/>
      <sheetName val="ปรับราคาประตูหน้าต่าง"/>
      <sheetName val="งานมุ้งลวด"/>
      <sheetName val="เปรียบเทียบราคา D&amp;W 2"/>
      <sheetName val="เปรียบเทียบราคาประตูหน้าต่าง 1."/>
      <sheetName val="แผนงานปรับปรุง"/>
      <sheetName val="แผนงาน"/>
      <sheetName val="งวดงาน (3)"/>
      <sheetName val="สรุปราคา (3)"/>
      <sheetName val="เสนอราคา (3)"/>
      <sheetName val="ราคาโครงสร้าง"/>
      <sheetName val="ราคาสถาปัตย์"/>
      <sheetName val="ราคางานภายนอก"/>
      <sheetName val="ราคางานประปา"/>
      <sheetName val="ราคางานไฟฟ้า"/>
      <sheetName val="งานระบบปรับอากาศ "/>
      <sheetName val="งานระบบปรับอากาศ 2 "/>
      <sheetName val="ปรับราคา"/>
      <sheetName val="ประตู-หน้าต่าง"/>
      <sheetName val="ต่อรองราคา"/>
      <sheetName val="สารบัญ"/>
      <sheetName val="ประมาณการประตูหน้าต่าง "/>
      <sheetName val="เปรียบเทียบราคา"/>
      <sheetName val="ข้อวินิจฉัย"/>
      <sheetName val="9 ยิ่งสุข"/>
      <sheetName val="รปภ.1"/>
      <sheetName val="รปภ.2"/>
      <sheetName val="รปภ.3"/>
      <sheetName val="รปภ.3 (2)"/>
      <sheetName val="รปภ.3 (3)"/>
      <sheetName val="Sheet1"/>
      <sheetName val="ราคา KYS เพิ่มเติม 2  "/>
      <sheetName val="SH-A"/>
      <sheetName val="Store"/>
      <sheetName val="SH-D"/>
      <sheetName val="ประมาณการประต_หน_าต_าง "/>
      <sheetName val="รายงานระยะที่_2_"/>
      <sheetName val="งานAlum__แอมโปรเทค_"/>
      <sheetName val="ราคา_KYS_เพิ่มเติม_2_,_4__"/>
      <sheetName val="เสนอราคางานเพิ่มเติม_2__"/>
      <sheetName val="เสนอราคางานเพิ่มเติม_4_"/>
      <sheetName val="งานเพิ่มเติม_งานไฟฟ้า_ตกแต่ง_"/>
      <sheetName val="_รายการประตู_หน้าต่าง"/>
      <sheetName val="รายการอุปกรณ์ประตู_หน้าต่าง"/>
      <sheetName val="รายละเอียดประตู_หน้าต่าง"/>
      <sheetName val="ปรับราคาประตูหน้าต่าง__2_"/>
      <sheetName val="ราคาประตูหน้าต่าง_KYS_"/>
      <sheetName val="ปรับราคาประตูหน้าต่าง__2__(2)"/>
      <sheetName val="เปรียบเทียบราคา_D&amp;W_2"/>
      <sheetName val="เปรียบเทียบราคาประตูหน้าต่าง_1_"/>
      <sheetName val="งวดงาน_(3)"/>
      <sheetName val="สรุปราคา_(3)"/>
      <sheetName val="เสนอราคา_(3)"/>
      <sheetName val="งานระบบปรับอากาศ_"/>
      <sheetName val="งานระบบปรับอากาศ_2_"/>
      <sheetName val="ประมาณการประตูหน้าต่าง_"/>
      <sheetName val="9_ยิ่งสุข"/>
      <sheetName val="รปภ_1"/>
      <sheetName val="รปภ_2"/>
      <sheetName val="รปภ_3"/>
      <sheetName val="รปภ_3_(2)"/>
      <sheetName val="รปภ_3_(3)"/>
      <sheetName val="ราคา_KYS_เพิ่มเติม_2__"/>
      <sheetName val="Worksheet"/>
      <sheetName val="SH-F"/>
      <sheetName val="BOQ1 (2)"/>
      <sheetName val="รวมราคาทั้งสิ้น"/>
      <sheetName val="계수시트"/>
      <sheetName val="원가계산서"/>
      <sheetName val="Somchai15"/>
      <sheetName val="EST-FOOTING (G)"/>
      <sheetName val="DETAIL"/>
      <sheetName val="BUDGET"/>
      <sheetName val="QUANTITY COMPARISON"/>
      <sheetName val="Bill No. 2 - Carpark"/>
      <sheetName val="DETAIL "/>
      <sheetName val="splinkler"/>
      <sheetName val="S-5"/>
      <sheetName val="code"/>
      <sheetName val="LOTUS-EE1"/>
      <sheetName val="SAN REDUCED 1"/>
      <sheetName val="Sheet2"/>
      <sheetName val="ทด"/>
      <sheetName val="schedule "/>
      <sheetName val="ประมาณการประต_หน_าต_าง_"/>
      <sheetName val="SH-E"/>
      <sheetName val="แบบเดิม"/>
      <sheetName val="2_ID_Guestroom"/>
      <sheetName val="รายงานระยะที่_2_1"/>
      <sheetName val="งานAlum__แอมโปรเทค_1"/>
      <sheetName val="ราคา_KYS_เพิ่มเติม_2_,_4__1"/>
      <sheetName val="เสนอราคางานเพิ่มเติม_2__1"/>
      <sheetName val="เสนอราคางานเพิ่มเติม_4_1"/>
      <sheetName val="งานเพิ่มเติม_งานไฟฟ้า_ตกแต่ง_1"/>
      <sheetName val="_รายการประตู_หน้าต่าง1"/>
      <sheetName val="รายการอุปกรณ์ประตู_หน้าต่าง1"/>
      <sheetName val="รายละเอียดประตู_หน้าต่าง1"/>
      <sheetName val="ปรับราคาประตูหน้าต่าง__2_1"/>
      <sheetName val="ราคาประตูหน้าต่าง_KYS_1"/>
      <sheetName val="ปรับราคาประตูหน้าต่าง__2__(2)1"/>
      <sheetName val="เปรียบเทียบราคา_D&amp;W_21"/>
      <sheetName val="เปรียบเทียบราคาประตูหน้าต่าง_11"/>
      <sheetName val="งวดงาน_(3)1"/>
      <sheetName val="สรุปราคา_(3)1"/>
      <sheetName val="เสนอราคา_(3)1"/>
      <sheetName val="งานระบบปรับอากาศ_1"/>
      <sheetName val="งานระบบปรับอากาศ_2_1"/>
      <sheetName val="ประมาณการประตูหน้าต่าง_1"/>
      <sheetName val="9_ยิ่งสุข1"/>
      <sheetName val="รปภ_11"/>
      <sheetName val="รปภ_21"/>
      <sheetName val="รปภ_31"/>
      <sheetName val="รปภ_3_(2)1"/>
      <sheetName val="รปภ_3_(3)1"/>
      <sheetName val="ราคา_KYS_เพิ่มเติม_2__1"/>
      <sheetName val="SAN_REDUCED_1"/>
      <sheetName val="EST-FOOTING_(G)"/>
      <sheetName val="QUANTITY_COMPARISON"/>
      <sheetName val="Bill_No__2_-_Carpark"/>
      <sheetName val="DETAIL_"/>
      <sheetName val="BOQ1_(2)"/>
      <sheetName val="Table Name"/>
      <sheetName val="สรุปราคางานสถาปัตยกรรม"/>
      <sheetName val="Architectural works"/>
      <sheetName val="covere"/>
      <sheetName val="รายงานระยะที่_2_2"/>
      <sheetName val="งานAlum__แอมโปรเทค_2"/>
      <sheetName val="ราคา_KYS_เพิ่มเติม_2_,_4__2"/>
      <sheetName val="เสนอราคางานเพิ่มเติม_2__2"/>
      <sheetName val="เสนอราคางานเพิ่มเติม_4_2"/>
      <sheetName val="งานเพิ่มเติม_งานไฟฟ้า_ตกแต่ง_2"/>
      <sheetName val="_รายการประตู_หน้าต่าง2"/>
      <sheetName val="รายการอุปกรณ์ประตู_หน้าต่าง2"/>
      <sheetName val="รายละเอียดประตู_หน้าต่าง2"/>
      <sheetName val="ปรับราคาประตูหน้าต่าง__2_2"/>
      <sheetName val="ราคาประตูหน้าต่าง_KYS_2"/>
      <sheetName val="ปรับราคาประตูหน้าต่าง__2__(2)2"/>
      <sheetName val="เปรียบเทียบราคา_D&amp;W_22"/>
      <sheetName val="เปรียบเทียบราคาประตูหน้าต่าง_12"/>
      <sheetName val="งวดงาน_(3)2"/>
      <sheetName val="สรุปราคา_(3)2"/>
      <sheetName val="เสนอราคา_(3)2"/>
      <sheetName val="งานระบบปรับอากาศ_2"/>
      <sheetName val="งานระบบปรับอากาศ_2_2"/>
      <sheetName val="ประมาณการประตูหน้าต่าง_2"/>
      <sheetName val="9_ยิ่งสุข2"/>
      <sheetName val="รปภ_12"/>
      <sheetName val="รปภ_22"/>
      <sheetName val="รปภ_32"/>
      <sheetName val="รปภ_3_(2)2"/>
      <sheetName val="รปภ_3_(3)2"/>
      <sheetName val="ราคา_KYS_เพิ่มเติม_2__2"/>
      <sheetName val="ประมาณการประต_หน_าต_าง_1"/>
      <sheetName val="SAN_REDUCED_11"/>
      <sheetName val="BOQ1_(2)1"/>
      <sheetName val="EST-FOOTING_(G)1"/>
      <sheetName val="QUANTITY_COMPARISON1"/>
      <sheetName val="Bill_No__2_-_Carpark1"/>
      <sheetName val="DETAIL_1"/>
      <sheetName val="Table_Name"/>
      <sheetName val="ข้อมูล"/>
      <sheetName val="SITE OFFICE"/>
      <sheetName val="รายงานระยะที่_2_3"/>
      <sheetName val="งานAlum__แอมโปรเทค_3"/>
      <sheetName val="ราคา_KYS_เพิ่มเติม_2_,_4__3"/>
      <sheetName val="เสนอราคางานเพิ่มเติม_2__3"/>
      <sheetName val="เสนอราคางานเพิ่มเติม_4_3"/>
      <sheetName val="งานเพิ่มเติม_งานไฟฟ้า_ตกแต่ง_3"/>
      <sheetName val="_รายการประตู_หน้าต่าง3"/>
      <sheetName val="รายการอุปกรณ์ประตู_หน้าต่าง3"/>
      <sheetName val="รายละเอียดประตู_หน้าต่าง3"/>
      <sheetName val="ปรับราคาประตูหน้าต่าง__2_3"/>
      <sheetName val="ราคาประตูหน้าต่าง_KYS_3"/>
      <sheetName val="ปรับราคาประตูหน้าต่าง__2__(2)3"/>
      <sheetName val="เปรียบเทียบราคา_D&amp;W_23"/>
      <sheetName val="เปรียบเทียบราคาประตูหน้าต่าง_13"/>
      <sheetName val="งวดงาน_(3)3"/>
      <sheetName val="สรุปราคา_(3)3"/>
      <sheetName val="เสนอราคา_(3)3"/>
      <sheetName val="งานระบบปรับอากาศ_3"/>
      <sheetName val="งานระบบปรับอากาศ_2_3"/>
      <sheetName val="ประมาณการประตูหน้าต่าง_3"/>
      <sheetName val="9_ยิ่งสุข3"/>
      <sheetName val="รปภ_13"/>
      <sheetName val="รปภ_23"/>
      <sheetName val="รปภ_33"/>
      <sheetName val="รปภ_3_(2)3"/>
      <sheetName val="รปภ_3_(3)3"/>
      <sheetName val="ราคา_KYS_เพิ่มเติม_2__3"/>
      <sheetName val="ประมาณการประต_หน_าต_าง_2"/>
      <sheetName val="SAN_REDUCED_12"/>
      <sheetName val="EST-FOOTING_(G)2"/>
      <sheetName val="QUANTITY_COMPARISON2"/>
      <sheetName val="Bill_No__2_-_Carpark2"/>
      <sheetName val="DETAIL_2"/>
      <sheetName val="BOQ1_(2)2"/>
      <sheetName val="Table_Name1"/>
      <sheetName val="schedule_"/>
      <sheetName val="Architectural_works"/>
      <sheetName val="5C"/>
      <sheetName val="boq"/>
      <sheetName val="rate"/>
      <sheetName val="DEP12"/>
      <sheetName val="sheetNO"/>
      <sheetName val="bq"/>
      <sheetName val="รายงานระยะที่_2_4"/>
      <sheetName val="งานAlum__แอมโปรเทค_4"/>
      <sheetName val="ราคา_KYS_เพิ่มเติม_2_,_4__4"/>
      <sheetName val="เสนอราคางานเพิ่มเติม_2__4"/>
      <sheetName val="เสนอราคางานเพิ่มเติม_4_4"/>
      <sheetName val="งานเพิ่มเติม_งานไฟฟ้า_ตกแต่ง_4"/>
      <sheetName val="_รายการประตู_หน้าต่าง4"/>
      <sheetName val="รายการอุปกรณ์ประตู_หน้าต่าง4"/>
      <sheetName val="รายละเอียดประตู_หน้าต่าง4"/>
      <sheetName val="ปรับราคาประตูหน้าต่าง__2_4"/>
      <sheetName val="ราคาประตูหน้าต่าง_KYS_4"/>
      <sheetName val="ปรับราคาประตูหน้าต่าง__2__(2)4"/>
      <sheetName val="เปรียบเทียบราคา_D&amp;W_24"/>
      <sheetName val="เปรียบเทียบราคาประตูหน้าต่าง_14"/>
      <sheetName val="งวดงาน_(3)4"/>
      <sheetName val="สรุปราคา_(3)4"/>
      <sheetName val="เสนอราคา_(3)4"/>
      <sheetName val="งานระบบปรับอากาศ_4"/>
      <sheetName val="งานระบบปรับอากาศ_2_4"/>
      <sheetName val="ประมาณการประตูหน้าต่าง_4"/>
      <sheetName val="9_ยิ่งสุข4"/>
      <sheetName val="รปภ_14"/>
      <sheetName val="รปภ_24"/>
      <sheetName val="รปภ_34"/>
      <sheetName val="รปภ_3_(2)4"/>
      <sheetName val="รปภ_3_(3)4"/>
      <sheetName val="ราคา_KYS_เพิ่มเติม_2__4"/>
      <sheetName val="ประมาณการประต_หน_าต_าง_3"/>
      <sheetName val="SAN_REDUCED_13"/>
      <sheetName val="BOQ1_(2)3"/>
      <sheetName val="EST-FOOTING_(G)3"/>
      <sheetName val="QUANTITY_COMPARISON3"/>
      <sheetName val="Bill_No__2_-_Carpark3"/>
      <sheetName val="DETAIL_3"/>
      <sheetName val="Table_Name2"/>
      <sheetName val="schedule_1"/>
      <sheetName val="Architectural_works1"/>
      <sheetName val="calc_menu_déroulant"/>
      <sheetName val="LIST 2005"/>
      <sheetName val="หน้า ปมก"/>
      <sheetName val="Proc. Cont. Sheet"/>
      <sheetName val="Labor (2)"/>
      <sheetName val="Manpower"/>
      <sheetName val="A"/>
      <sheetName val="Sheet3"/>
      <sheetName val="RC.footing"/>
      <sheetName val="SH-C"/>
      <sheetName val="Ratios"/>
      <sheetName val="ราคาต่อหน่วย2-9"/>
      <sheetName val="เล็ก"/>
      <sheetName val="โครงสร้าง"/>
      <sheetName val="รายงานระยะที่_2_5"/>
      <sheetName val="งานAlum__แอมโปรเทค_5"/>
      <sheetName val="ราคา_KYS_เพิ่มเติม_2_,_4__5"/>
      <sheetName val="เสนอราคางานเพิ่มเติม_2__5"/>
      <sheetName val="เสนอราคางานเพิ่มเติม_4_5"/>
      <sheetName val="งานเพิ่มเติม_งานไฟฟ้า_ตกแต่ง_5"/>
      <sheetName val="_รายการประตู_หน้าต่าง5"/>
      <sheetName val="รายการอุปกรณ์ประตู_หน้าต่าง5"/>
      <sheetName val="รายละเอียดประตู_หน้าต่าง5"/>
      <sheetName val="ปรับราคาประตูหน้าต่าง__2_5"/>
      <sheetName val="ราคาประตูหน้าต่าง_KYS_5"/>
      <sheetName val="ปรับราคาประตูหน้าต่าง__2__(2)5"/>
      <sheetName val="เปรียบเทียบราคา_D&amp;W_25"/>
      <sheetName val="เปรียบเทียบราคาประตูหน้าต่าง_15"/>
      <sheetName val="งวดงาน_(3)5"/>
      <sheetName val="สรุปราคา_(3)5"/>
      <sheetName val="เสนอราคา_(3)5"/>
      <sheetName val="งานระบบปรับอากาศ_5"/>
      <sheetName val="งานระบบปรับอากาศ_2_5"/>
      <sheetName val="ประมาณการประตูหน้าต่าง_5"/>
      <sheetName val="9_ยิ่งสุข5"/>
      <sheetName val="รปภ_15"/>
      <sheetName val="รปภ_25"/>
      <sheetName val="รปภ_35"/>
      <sheetName val="รปภ_3_(2)5"/>
      <sheetName val="รปภ_3_(3)5"/>
      <sheetName val="ราคา_KYS_เพิ่มเติม_2__5"/>
      <sheetName val="ประมาณการประต_หน_าต_าง_4"/>
      <sheetName val="SAN_REDUCED_14"/>
      <sheetName val="BOQ1_(2)4"/>
      <sheetName val="EST-FOOTING_(G)4"/>
      <sheetName val="QUANTITY_COMPARISON4"/>
      <sheetName val="Bill_No__2_-_Carpark4"/>
      <sheetName val="DETAIL_4"/>
      <sheetName val="Table_Name3"/>
      <sheetName val="schedule_2"/>
      <sheetName val="Architectural_works2"/>
      <sheetName val="SITE_OFFICE"/>
      <sheetName val="FF_6"/>
      <sheetName val="รายงานระยะที่_2_6"/>
      <sheetName val="งานAlum__แอมโปรเทค_6"/>
      <sheetName val="ราคา_KYS_เพิ่มเติม_2_,_4__6"/>
      <sheetName val="เสนอราคางานเพิ่มเติม_2__6"/>
      <sheetName val="เสนอราคางานเพิ่มเติม_4_6"/>
      <sheetName val="งานเพิ่มเติม_งานไฟฟ้า_ตกแต่ง_6"/>
      <sheetName val="_รายการประตู_หน้าต่าง6"/>
      <sheetName val="รายการอุปกรณ์ประตู_หน้าต่าง6"/>
      <sheetName val="รายละเอียดประตู_หน้าต่าง6"/>
      <sheetName val="ปรับราคาประตูหน้าต่าง__2_6"/>
      <sheetName val="ราคาประตูหน้าต่าง_KYS_6"/>
      <sheetName val="ปรับราคาประตูหน้าต่าง__2__(2)6"/>
      <sheetName val="เปรียบเทียบราคา_D&amp;W_26"/>
      <sheetName val="เปรียบเทียบราคาประตูหน้าต่าง_16"/>
      <sheetName val="งวดงาน_(3)6"/>
      <sheetName val="สรุปราคา_(3)6"/>
      <sheetName val="เสนอราคา_(3)6"/>
      <sheetName val="งานระบบปรับอากาศ_6"/>
      <sheetName val="งานระบบปรับอากาศ_2_6"/>
      <sheetName val="ประมาณการประตูหน้าต่าง_6"/>
      <sheetName val="9_ยิ่งสุข6"/>
      <sheetName val="รปภ_16"/>
      <sheetName val="รปภ_26"/>
      <sheetName val="รปภ_36"/>
      <sheetName val="รปภ_3_(2)6"/>
      <sheetName val="รปภ_3_(3)6"/>
      <sheetName val="ราคา_KYS_เพิ่มเติม_2__6"/>
      <sheetName val="ประมาณการประต_หน_าต_าง_5"/>
      <sheetName val="SAN_REDUCED_15"/>
      <sheetName val="EST-FOOTING_(G)5"/>
      <sheetName val="QUANTITY_COMPARISON5"/>
      <sheetName val="Bill_No__2_-_Carpark5"/>
      <sheetName val="DETAIL_5"/>
      <sheetName val="BOQ1_(2)5"/>
      <sheetName val="Table_Name4"/>
      <sheetName val="schedule_3"/>
      <sheetName val="Architectural_works3"/>
      <sheetName val="SITE_OFFICE1"/>
      <sheetName val="Labor_(2)"/>
      <sheetName val="PRICE LIST"/>
      <sheetName val="schedule_4"/>
      <sheetName val="schedule_5"/>
      <sheetName val="รายงานระยะที่_2_7"/>
      <sheetName val="งานAlum__แอมโปรเทค_7"/>
      <sheetName val="ราคา_KYS_เพิ่มเติม_2_,_4__7"/>
      <sheetName val="เสนอราคางานเพิ่มเติม_2__7"/>
      <sheetName val="เสนอราคางานเพิ่มเติม_4_7"/>
      <sheetName val="งานเพิ่มเติม_งานไฟฟ้า_ตกแต่ง_7"/>
      <sheetName val="_รายการประตู_หน้าต่าง7"/>
      <sheetName val="รายการอุปกรณ์ประตู_หน้าต่าง7"/>
      <sheetName val="รายละเอียดประตู_หน้าต่าง7"/>
      <sheetName val="ปรับราคาประตูหน้าต่าง__2_7"/>
      <sheetName val="ราคาประตูหน้าต่าง_KYS_7"/>
      <sheetName val="ปรับราคาประตูหน้าต่าง__2__(2)7"/>
      <sheetName val="เปรียบเทียบราคา_D&amp;W_27"/>
      <sheetName val="เปรียบเทียบราคาประตูหน้าต่าง_17"/>
      <sheetName val="งวดงาน_(3)7"/>
      <sheetName val="สรุปราคา_(3)7"/>
      <sheetName val="เสนอราคา_(3)7"/>
      <sheetName val="งานระบบปรับอากาศ_7"/>
      <sheetName val="งานระบบปรับอากาศ_2_7"/>
      <sheetName val="ประมาณการประตูหน้าต่าง_7"/>
      <sheetName val="9_ยิ่งสุข7"/>
      <sheetName val="รปภ_17"/>
      <sheetName val="รปภ_27"/>
      <sheetName val="รปภ_37"/>
      <sheetName val="รปภ_3_(2)7"/>
      <sheetName val="รปภ_3_(3)7"/>
      <sheetName val="ราคา_KYS_เพิ่มเติม_2__7"/>
      <sheetName val="ประมาณการประต_หน_าต_าง_6"/>
      <sheetName val="EST-FOOTING_(G)6"/>
      <sheetName val="QUANTITY_COMPARISON6"/>
      <sheetName val="Bill_No__2_-_Carpark6"/>
      <sheetName val="DETAIL_6"/>
      <sheetName val="SAN_REDUCED_16"/>
      <sheetName val="BOQ1_(2)6"/>
      <sheetName val="schedule_6"/>
      <sheetName val="รายงานระยะที่_2_8"/>
      <sheetName val="งานAlum__แอมโปรเทค_8"/>
      <sheetName val="ราคา_KYS_เพิ่มเติม_2_,_4__8"/>
      <sheetName val="เสนอราคางานเพิ่มเติม_2__8"/>
      <sheetName val="เสนอราคางานเพิ่มเติม_4_8"/>
      <sheetName val="งานเพิ่มเติม_งานไฟฟ้า_ตกแต่ง_8"/>
      <sheetName val="_รายการประตู_หน้าต่าง8"/>
      <sheetName val="รายการอุปกรณ์ประตู_หน้าต่าง8"/>
      <sheetName val="รายละเอียดประตู_หน้าต่าง8"/>
      <sheetName val="ปรับราคาประตูหน้าต่าง__2_8"/>
      <sheetName val="ราคาประตูหน้าต่าง_KYS_8"/>
      <sheetName val="ปรับราคาประตูหน้าต่าง__2__(2)8"/>
      <sheetName val="เปรียบเทียบราคา_D&amp;W_28"/>
      <sheetName val="เปรียบเทียบราคาประตูหน้าต่าง_18"/>
      <sheetName val="งวดงาน_(3)8"/>
      <sheetName val="สรุปราคา_(3)8"/>
      <sheetName val="เสนอราคา_(3)8"/>
      <sheetName val="งานระบบปรับอากาศ_8"/>
      <sheetName val="งานระบบปรับอากาศ_2_8"/>
      <sheetName val="ประมาณการประตูหน้าต่าง_8"/>
      <sheetName val="9_ยิ่งสุข8"/>
      <sheetName val="รปภ_18"/>
      <sheetName val="รปภ_28"/>
      <sheetName val="รปภ_38"/>
      <sheetName val="รปภ_3_(2)8"/>
      <sheetName val="รปภ_3_(3)8"/>
      <sheetName val="ราคา_KYS_เพิ่มเติม_2__8"/>
      <sheetName val="ประมาณการประต_หน_าต_าง_7"/>
      <sheetName val="EST-FOOTING_(G)7"/>
      <sheetName val="QUANTITY_COMPARISON7"/>
      <sheetName val="Bill_No__2_-_Carpark7"/>
      <sheetName val="DETAIL_7"/>
      <sheetName val="SAN_REDUCED_17"/>
      <sheetName val="BOQ1_(2)7"/>
      <sheetName val="schedule_7"/>
      <sheetName val="รายงานระยะที่_2_9"/>
      <sheetName val="งานAlum__แอมโปรเทค_9"/>
      <sheetName val="ราคา_KYS_เพิ่มเติม_2_,_4__9"/>
      <sheetName val="เสนอราคางานเพิ่มเติม_2__9"/>
      <sheetName val="เสนอราคางานเพิ่มเติม_4_9"/>
      <sheetName val="งานเพิ่มเติม_งานไฟฟ้า_ตกแต่ง_9"/>
      <sheetName val="_รายการประตู_หน้าต่าง9"/>
      <sheetName val="รายการอุปกรณ์ประตู_หน้าต่าง9"/>
      <sheetName val="รายละเอียดประตู_หน้าต่าง9"/>
      <sheetName val="ปรับราคาประตูหน้าต่าง__2_9"/>
      <sheetName val="ราคาประตูหน้าต่าง_KYS_9"/>
      <sheetName val="ปรับราคาประตูหน้าต่าง__2__(2)9"/>
      <sheetName val="เปรียบเทียบราคา_D&amp;W_29"/>
      <sheetName val="เปรียบเทียบราคาประตูหน้าต่าง_19"/>
      <sheetName val="งวดงาน_(3)9"/>
      <sheetName val="สรุปราคา_(3)9"/>
      <sheetName val="เสนอราคา_(3)9"/>
      <sheetName val="งานระบบปรับอากาศ_9"/>
      <sheetName val="งานระบบปรับอากาศ_2_9"/>
      <sheetName val="ประมาณการประตูหน้าต่าง_9"/>
      <sheetName val="9_ยิ่งสุข9"/>
      <sheetName val="รปภ_19"/>
      <sheetName val="รปภ_29"/>
      <sheetName val="รปภ_39"/>
      <sheetName val="รปภ_3_(2)9"/>
      <sheetName val="รปภ_3_(3)9"/>
      <sheetName val="ราคา_KYS_เพิ่มเติม_2__9"/>
      <sheetName val="ประมาณการประต_หน_าต_าง_8"/>
      <sheetName val="EST-FOOTING_(G)8"/>
      <sheetName val="QUANTITY_COMPARISON8"/>
      <sheetName val="Bill_No__2_-_Carpark8"/>
      <sheetName val="DETAIL_8"/>
      <sheetName val="SAN_REDUCED_18"/>
      <sheetName val="BOQ1_(2)8"/>
      <sheetName val="schedule_8"/>
      <sheetName val="รายงานระยะที่_2_10"/>
      <sheetName val="งานAlum__แอมโปรเทค_10"/>
      <sheetName val="ราคา_KYS_เพิ่มเติม_2_,_4__10"/>
      <sheetName val="เสนอราคางานเพิ่มเติม_2__10"/>
      <sheetName val="เสนอราคางานเพิ่มเติม_4_10"/>
      <sheetName val="งานเพิ่มเติม_งานไฟฟ้า_ตกแต่ง_10"/>
      <sheetName val="_รายการประตู_หน้าต่าง10"/>
      <sheetName val="รายการอุปกรณ์ประตู_หน้าต่าง10"/>
      <sheetName val="รายละเอียดประตู_หน้าต่าง10"/>
      <sheetName val="ปรับราคาประตูหน้าต่าง__2_10"/>
      <sheetName val="ราคาประตูหน้าต่าง_KYS_10"/>
      <sheetName val="ปรับราคาประตูหน้าต่าง__2__(2)10"/>
      <sheetName val="เปรียบเทียบราคา_D&amp;W_210"/>
      <sheetName val="เปรียบเทียบราคาประตูหน้าต่าง_10"/>
      <sheetName val="งวดงาน_(3)10"/>
      <sheetName val="สรุปราคา_(3)10"/>
      <sheetName val="เสนอราคา_(3)10"/>
      <sheetName val="งานระบบปรับอากาศ_10"/>
      <sheetName val="งานระบบปรับอากาศ_2_10"/>
      <sheetName val="ประมาณการประตูหน้าต่าง_10"/>
      <sheetName val="9_ยิ่งสุข10"/>
      <sheetName val="รปภ_110"/>
      <sheetName val="รปภ_210"/>
      <sheetName val="รปภ_310"/>
      <sheetName val="รปภ_3_(2)10"/>
      <sheetName val="รปภ_3_(3)10"/>
      <sheetName val="ราคา_KYS_เพิ่มเติม_2__10"/>
      <sheetName val="ประมาณการประต_หน_าต_าง_9"/>
      <sheetName val="EST-FOOTING_(G)9"/>
      <sheetName val="QUANTITY_COMPARISON9"/>
      <sheetName val="Bill_No__2_-_Carpark9"/>
      <sheetName val="DETAIL_9"/>
      <sheetName val="SAN_REDUCED_19"/>
      <sheetName val="BOQ1_(2)9"/>
      <sheetName val="schedule_9"/>
      <sheetName val="รายงานระยะที่_2_11"/>
      <sheetName val="งานAlum__แอมโปรเทค_11"/>
      <sheetName val="ราคา_KYS_เพิ่มเติม_2_,_4__11"/>
      <sheetName val="เสนอราคางานเพิ่มเติม_2__11"/>
      <sheetName val="เสนอราคางานเพิ่มเติม_4_11"/>
      <sheetName val="งานเพิ่มเติม_งานไฟฟ้า_ตกแต่ง_11"/>
      <sheetName val="_รายการประตู_หน้าต่าง11"/>
      <sheetName val="รายการอุปกรณ์ประตู_หน้าต่าง11"/>
      <sheetName val="รายละเอียดประตู_หน้าต่าง11"/>
      <sheetName val="ปรับราคาประตูหน้าต่าง__2_11"/>
      <sheetName val="ราคาประตูหน้าต่าง_KYS_11"/>
      <sheetName val="ปรับราคาประตูหน้าต่าง__2__(2)11"/>
      <sheetName val="เปรียบเทียบราคา_D&amp;W_211"/>
      <sheetName val="เปรียบเทียบราคาประตูหน้าต่าง_20"/>
      <sheetName val="งวดงาน_(3)11"/>
      <sheetName val="สรุปราคา_(3)11"/>
      <sheetName val="เสนอราคา_(3)11"/>
      <sheetName val="งานระบบปรับอากาศ_11"/>
      <sheetName val="งานระบบปรับอากาศ_2_11"/>
      <sheetName val="ประมาณการประตูหน้าต่าง_11"/>
      <sheetName val="9_ยิ่งสุข11"/>
      <sheetName val="รปภ_111"/>
      <sheetName val="รปภ_211"/>
      <sheetName val="รปภ_311"/>
      <sheetName val="รปภ_3_(2)11"/>
      <sheetName val="รปภ_3_(3)11"/>
      <sheetName val="ราคา_KYS_เพิ่มเติม_2__11"/>
      <sheetName val="ประมาณการประต_หน_าต_าง_10"/>
      <sheetName val="EST-FOOTING_(G)10"/>
      <sheetName val="QUANTITY_COMPARISON10"/>
      <sheetName val="Bill_No__2_-_Carpark10"/>
      <sheetName val="DETAIL_10"/>
      <sheetName val="SAN_REDUCED_110"/>
      <sheetName val="BOQ1_(2)10"/>
      <sheetName val="schedule_10"/>
      <sheetName val="รายงานระยะที่_2_12"/>
      <sheetName val="งานAlum__แอมโปรเทค_12"/>
      <sheetName val="ราคา_KYS_เพิ่มเติม_2_,_4__12"/>
      <sheetName val="เสนอราคางานเพิ่มเติม_2__12"/>
      <sheetName val="เสนอราคางานเพิ่มเติม_4_12"/>
      <sheetName val="งานเพิ่มเติม_งานไฟฟ้า_ตกแต่ง_12"/>
      <sheetName val="_รายการประตู_หน้าต่าง12"/>
      <sheetName val="รายการอุปกรณ์ประตู_หน้าต่าง12"/>
      <sheetName val="รายละเอียดประตู_หน้าต่าง12"/>
      <sheetName val="ปรับราคาประตูหน้าต่าง__2_12"/>
      <sheetName val="ราคาประตูหน้าต่าง_KYS_12"/>
      <sheetName val="ปรับราคาประตูหน้าต่าง__2__(2)12"/>
      <sheetName val="เปรียบเทียบราคา_D&amp;W_212"/>
      <sheetName val="เปรียบเทียบราคาประตูหน้าต่าง_21"/>
      <sheetName val="งวดงาน_(3)12"/>
      <sheetName val="สรุปราคา_(3)12"/>
      <sheetName val="เสนอราคา_(3)12"/>
      <sheetName val="งานระบบปรับอากาศ_12"/>
      <sheetName val="งานระบบปรับอากาศ_2_12"/>
      <sheetName val="ประมาณการประตูหน้าต่าง_12"/>
      <sheetName val="9_ยิ่งสุข12"/>
      <sheetName val="รปภ_112"/>
      <sheetName val="รปภ_212"/>
      <sheetName val="รปภ_312"/>
      <sheetName val="รปภ_3_(2)12"/>
      <sheetName val="รปภ_3_(3)12"/>
      <sheetName val="ราคา_KYS_เพิ่มเติม_2__12"/>
      <sheetName val="ประมาณการประต_หน_าต_าง_11"/>
      <sheetName val="EST-FOOTING_(G)11"/>
      <sheetName val="QUANTITY_COMPARISON11"/>
      <sheetName val="Bill_No__2_-_Carpark11"/>
      <sheetName val="DETAIL_11"/>
      <sheetName val="SAN_REDUCED_111"/>
      <sheetName val="BOQ1_(2)11"/>
      <sheetName val="schedule_11"/>
      <sheetName val="รายงานระยะที่_2_13"/>
      <sheetName val="งานAlum__แอมโปรเทค_13"/>
      <sheetName val="ราคา_KYS_เพิ่มเติม_2_,_4__13"/>
      <sheetName val="เสนอราคางานเพิ่มเติม_2__13"/>
      <sheetName val="เสนอราคางานเพิ่มเติม_4_13"/>
      <sheetName val="งานเพิ่มเติม_งานไฟฟ้า_ตกแต่ง_13"/>
      <sheetName val="_รายการประตู_หน้าต่าง13"/>
      <sheetName val="รายการอุปกรณ์ประตู_หน้าต่าง13"/>
      <sheetName val="รายละเอียดประตู_หน้าต่าง13"/>
      <sheetName val="ปรับราคาประตูหน้าต่าง__2_13"/>
      <sheetName val="ราคาประตูหน้าต่าง_KYS_13"/>
      <sheetName val="ปรับราคาประตูหน้าต่าง__2__(2)13"/>
      <sheetName val="เปรียบเทียบราคา_D&amp;W_213"/>
      <sheetName val="เปรียบเทียบราคาประตูหน้าต่าง_22"/>
      <sheetName val="งวดงาน_(3)13"/>
      <sheetName val="สรุปราคา_(3)13"/>
      <sheetName val="เสนอราคา_(3)13"/>
      <sheetName val="งานระบบปรับอากาศ_13"/>
      <sheetName val="งานระบบปรับอากาศ_2_13"/>
      <sheetName val="ประมาณการประตูหน้าต่าง_13"/>
      <sheetName val="9_ยิ่งสุข13"/>
      <sheetName val="รปภ_113"/>
      <sheetName val="รปภ_213"/>
      <sheetName val="รปภ_313"/>
      <sheetName val="รปภ_3_(2)13"/>
      <sheetName val="รปภ_3_(3)13"/>
      <sheetName val="ราคา_KYS_เพิ่มเติม_2__13"/>
      <sheetName val="ประมาณการประต_หน_าต_าง_12"/>
      <sheetName val="EST-FOOTING_(G)12"/>
      <sheetName val="QUANTITY_COMPARISON12"/>
      <sheetName val="Bill_No__2_-_Carpark12"/>
      <sheetName val="DETAIL_12"/>
      <sheetName val="SAN_REDUCED_112"/>
      <sheetName val="BOQ1_(2)12"/>
      <sheetName val="schedule_12"/>
      <sheetName val="รายงานระยะที่_2_14"/>
      <sheetName val="งานAlum__แอมโปรเทค_14"/>
      <sheetName val="ราคา_KYS_เพิ่มเติม_2_,_4__14"/>
      <sheetName val="เสนอราคางานเพิ่มเติม_2__14"/>
      <sheetName val="เสนอราคางานเพิ่มเติม_4_14"/>
      <sheetName val="งานเพิ่มเติม_งานไฟฟ้า_ตกแต่ง_14"/>
      <sheetName val="_รายการประตู_หน้าต่าง14"/>
      <sheetName val="รายการอุปกรณ์ประตู_หน้าต่าง14"/>
      <sheetName val="รายละเอียดประตู_หน้าต่าง14"/>
      <sheetName val="ปรับราคาประตูหน้าต่าง__2_14"/>
      <sheetName val="ราคาประตูหน้าต่าง_KYS_14"/>
      <sheetName val="ปรับราคาประตูหน้าต่าง__2__(2)14"/>
      <sheetName val="เปรียบเทียบราคา_D&amp;W_214"/>
      <sheetName val="เปรียบเทียบราคาประตูหน้าต่าง_23"/>
      <sheetName val="งวดงาน_(3)14"/>
      <sheetName val="สรุปราคา_(3)14"/>
      <sheetName val="เสนอราคา_(3)14"/>
      <sheetName val="งานระบบปรับอากาศ_14"/>
      <sheetName val="งานระบบปรับอากาศ_2_14"/>
      <sheetName val="ประมาณการประตูหน้าต่าง_14"/>
      <sheetName val="9_ยิ่งสุข14"/>
      <sheetName val="รปภ_114"/>
      <sheetName val="รปภ_214"/>
      <sheetName val="รปภ_314"/>
      <sheetName val="รปภ_3_(2)14"/>
      <sheetName val="รปภ_3_(3)14"/>
      <sheetName val="ราคา_KYS_เพิ่มเติม_2__14"/>
      <sheetName val="ประมาณการประต_หน_าต_าง_13"/>
      <sheetName val="EST-FOOTING_(G)13"/>
      <sheetName val="QUANTITY_COMPARISON13"/>
      <sheetName val="Bill_No__2_-_Carpark13"/>
      <sheetName val="DETAIL_13"/>
      <sheetName val="SAN_REDUCED_113"/>
      <sheetName val="BOQ1_(2)13"/>
      <sheetName val="schedule_13"/>
      <sheetName val="รายงานระยะที่_2_15"/>
      <sheetName val="งานAlum__แอมโปรเทค_15"/>
      <sheetName val="ราคา_KYS_เพิ่มเติม_2_,_4__15"/>
      <sheetName val="เสนอราคางานเพิ่มเติม_2__15"/>
      <sheetName val="เสนอราคางานเพิ่มเติม_4_15"/>
      <sheetName val="งานเพิ่มเติม_งานไฟฟ้า_ตกแต่ง_15"/>
      <sheetName val="_รายการประตู_หน้าต่าง15"/>
      <sheetName val="รายการอุปกรณ์ประตู_หน้าต่าง15"/>
      <sheetName val="รายละเอียดประตู_หน้าต่าง15"/>
      <sheetName val="ปรับราคาประตูหน้าต่าง__2_15"/>
      <sheetName val="ราคาประตูหน้าต่าง_KYS_15"/>
      <sheetName val="ปรับราคาประตูหน้าต่าง__2__(2)15"/>
      <sheetName val="เปรียบเทียบราคา_D&amp;W_215"/>
      <sheetName val="เปรียบเทียบราคาประตูหน้าต่าง_24"/>
      <sheetName val="งวดงาน_(3)15"/>
      <sheetName val="สรุปราคา_(3)15"/>
      <sheetName val="เสนอราคา_(3)15"/>
      <sheetName val="งานระบบปรับอากาศ_15"/>
      <sheetName val="งานระบบปรับอากาศ_2_15"/>
      <sheetName val="ประมาณการประตูหน้าต่าง_15"/>
      <sheetName val="9_ยิ่งสุข15"/>
      <sheetName val="รปภ_115"/>
      <sheetName val="รปภ_215"/>
      <sheetName val="รปภ_315"/>
      <sheetName val="รปภ_3_(2)15"/>
      <sheetName val="รปภ_3_(3)15"/>
      <sheetName val="ราคา_KYS_เพิ่มเติม_2__15"/>
      <sheetName val="ประมาณการประต_หน_าต_าง_14"/>
      <sheetName val="EST-FOOTING_(G)14"/>
      <sheetName val="QUANTITY_COMPARISON14"/>
      <sheetName val="Bill_No__2_-_Carpark14"/>
      <sheetName val="DETAIL_14"/>
      <sheetName val="SAN_REDUCED_114"/>
      <sheetName val="BOQ1_(2)14"/>
      <sheetName val="schedule_14"/>
      <sheetName val="LITF"/>
      <sheetName val="ค่าใช้จ่าย"/>
      <sheetName val="หลักเกณฑ์"/>
      <sheetName val="BM"/>
      <sheetName val="ราคากลาง 2"/>
      <sheetName val="งานซ๋อมพื้นคอนกรีต 1"/>
      <sheetName val="ปร"/>
      <sheetName val="material_cost"/>
      <sheetName val="F2002-79"/>
      <sheetName val="BK Unit Rate"/>
      <sheetName val="Cavity Inputs"/>
      <sheetName val="ตารางราคา"/>
      <sheetName val="วัดใต้"/>
      <sheetName val="I-slab"/>
      <sheetName val="L-Fixer"/>
      <sheetName val="LpC"/>
      <sheetName val="H1.0"/>
      <sheetName val="Cert"/>
      <sheetName val="Profit_Budget"/>
      <sheetName val="Staff Sch"/>
      <sheetName val="Metrix"/>
      <sheetName val="UG Consl"/>
      <sheetName val="UKG All"/>
      <sheetName val="GR55-2650"/>
      <sheetName val="cover page"/>
      <sheetName val="Discount "/>
      <sheetName val="SHT1-CONS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refreshError="1"/>
      <sheetData sheetId="671" refreshError="1"/>
      <sheetData sheetId="672"/>
      <sheetData sheetId="673"/>
      <sheetData sheetId="674" refreshError="1"/>
      <sheetData sheetId="675" refreshError="1"/>
      <sheetData sheetId="676" refreshError="1"/>
      <sheetData sheetId="677" refreshError="1"/>
      <sheetData sheetId="678" refreshError="1"/>
      <sheetData sheetId="679"/>
      <sheetData sheetId="680"/>
      <sheetData sheetId="681"/>
      <sheetData sheetId="682"/>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
      <sheetName val="SH-B"/>
      <sheetName val="SH-C"/>
      <sheetName val="SH-D"/>
      <sheetName val="SH-E"/>
      <sheetName val="SH-F"/>
      <sheetName val="SH-G"/>
      <sheetName val="SH_F"/>
      <sheetName val="ประมาณการประตูหน้าต่าง "/>
      <sheetName val="Store"/>
      <sheetName val="รวมราคาทั้งสิ้น"/>
      <sheetName val="ประมาณการประตูหน้าต่าง_1"/>
      <sheetName val="ประมาณการประตูหน้าต่าง_"/>
      <sheetName val="BOQ1 (2)"/>
      <sheetName val="e4"/>
      <sheetName val="SH_A"/>
      <sheetName val="SH_G"/>
      <sheetName val="SH_B"/>
      <sheetName val="SH_C"/>
      <sheetName val="SH_D"/>
      <sheetName val="SH_E"/>
      <sheetName val="정부노임단가"/>
      <sheetName val="2000전체분"/>
      <sheetName val="2000년1차"/>
      <sheetName val="차액보증"/>
      <sheetName val="Equipment"/>
      <sheetName val="Book 1 Summary"/>
      <sheetName val="บทสรุปผู้บริหาร"/>
      <sheetName val="Bill No. 2 - Carpark"/>
      <sheetName val="EST-FOOTING (G)"/>
      <sheetName val="QUANTITY COMPARISON"/>
      <sheetName val="แบบเดิม"/>
      <sheetName val="งานระบบไฟฟ้าและสื่อสาร"/>
      <sheetName val="ประมาณการประตูหน้าต่าง_2"/>
      <sheetName val="Book_1_Summary"/>
      <sheetName val="PL"/>
      <sheetName val="Main Sum (Hotel &amp; Residences)"/>
      <sheetName val="ตารางวันหยุด"/>
      <sheetName val="Summary POL Equip"/>
      <sheetName val="Equipment Rental Price"/>
      <sheetName val="ราคาบ้านแต่ละไตรมาส"/>
      <sheetName val="電気設備表"/>
      <sheetName val="Doc"/>
      <sheetName val="EXF"/>
      <sheetName val="S-5"/>
      <sheetName val="ราคาต่ำสุด-721"/>
      <sheetName val="BK Unit Rate"/>
      <sheetName val="detail"/>
      <sheetName val="Sheet1"/>
      <sheetName val="Quotation"/>
      <sheetName val="ค่าวัสดุ"/>
      <sheetName val="boq"/>
      <sheetName val="Sum_EMC"/>
      <sheetName val="Replacement Cost "/>
      <sheetName val="Cavity Inputs"/>
      <sheetName val="ประม_x0000__x0000__x0001__x0000__x0001_ࠀЉ_x0000_쪊疒_xddef__x0000__xdd00__x0000_Ͽ_x0000_ï_x0000_孔I"/>
      <sheetName val="code"/>
      <sheetName val="ยานพาหนะ"/>
      <sheetName val="인원계획-미화"/>
      <sheetName val="AC"/>
      <sheetName val="ประม??_x0001_?_x0001_ࠀЉ?쪊疒_xddef_?_xdd00_?Ͽ?ï?孔I"/>
      <sheetName val="FAB별"/>
      <sheetName val="ประมาณการประตูหน้าต่าง_3"/>
      <sheetName val="Book_1_Summary1"/>
      <sheetName val="BOQ1_(2)"/>
      <sheetName val="EST-FOOTING_(G)"/>
      <sheetName val="QUANTITY_COMPARISON"/>
      <sheetName val="Bill_No__2_-_Carpark"/>
      <sheetName val="Main_Sum_(Hotel_&amp;_Residences)"/>
      <sheetName val="Summary_POL_Equip"/>
      <sheetName val="Equipment_Rental_Price"/>
      <sheetName val="LpC"/>
      <sheetName val="BK_Unit_Rate"/>
      <sheetName val="ประมาณการประตูหน้าต่าง_4"/>
      <sheetName val="Book_1_Summary2"/>
      <sheetName val="BOQ1_(2)1"/>
      <sheetName val="EST-FOOTING_(G)1"/>
      <sheetName val="QUANTITY_COMPARISON1"/>
      <sheetName val="Bill_No__2_-_Carpark1"/>
      <sheetName val="Main_Sum_(Hotel_&amp;_Residences)1"/>
      <sheetName val="Summary_POL_Equip1"/>
      <sheetName val="Equipment_Rental_Price1"/>
      <sheetName val="BK_Unit_Rate1"/>
      <sheetName val="ประมาณการประตูหน้าต่าง_5"/>
      <sheetName val="SAN REDUCED 1"/>
      <sheetName val="ราคาอ้างอิง"/>
      <sheetName val="Cavity_Inputs"/>
      <sheetName val="ประมࠀЉ쪊疒Ͽï孔I"/>
      <sheetName val="Present-ex"/>
      <sheetName val="SITE OFFICE"/>
      <sheetName val="ประม"/>
      <sheetName val="ประม___x0001___x0001_ࠀЉ_쪊疒_xddef___xdd00__Ͽ_ï_孔I"/>
      <sheetName val="Factor F Data"/>
      <sheetName val="สรุปราคา (EMC)"/>
      <sheetName val="DETAIL "/>
      <sheetName val="splinkler"/>
      <sheetName val="建築代価"/>
      <sheetName val="ประม___x0001___x0001_ࠀЉ_쪊疒�_�_Ͽ_ï_孔I"/>
      <sheetName val="เอกอุดร"/>
      <sheetName val="งานโครงสร้าง"/>
      <sheetName val="ประม_x0000__x0000__x0001__x0000__x0001_ࠀЉ_x0000_쪊疒�_x0000_�_x0000_Ͽ_x0000_ï_x0000_孔I"/>
      <sheetName val="Cavity_Inputs1"/>
      <sheetName val="Customize Your Purchase Order"/>
      <sheetName val="ประม??_x0001_?_x0001_ࠀЉ?쪊疒�?�?Ͽ?ï?孔I"/>
      <sheetName val="A"/>
      <sheetName val="schedule "/>
      <sheetName val="Replacement_Cost_"/>
      <sheetName val="Book_1_Summary3"/>
      <sheetName val="BOQ1_(2)2"/>
      <sheetName val="EST-FOOTING_(G)2"/>
      <sheetName val="QUANTITY_COMPARISON2"/>
      <sheetName val="Bill_No__2_-_Carpark2"/>
      <sheetName val="Main_Sum_(Hotel_&amp;_Residences)2"/>
      <sheetName val="Summary_POL_Equip2"/>
      <sheetName val="Equipment_Rental_Price2"/>
      <sheetName val="BK_Unit_Rate2"/>
      <sheetName val="s-curve"/>
      <sheetName val="ht"/>
      <sheetName val=" Cover 090EPY"/>
      <sheetName val="EPY Jan 60"/>
      <sheetName val="A-Sum"/>
      <sheetName val="D-สรุป Plaza"/>
      <sheetName val="E-Share Parking"/>
      <sheetName val="F-Landscape"/>
      <sheetName val="I-Soft Cost"/>
      <sheetName val="I-Detail Soft"/>
      <sheetName val="H-Share M&amp;E"/>
      <sheetName val="Cover"/>
      <sheetName val="ตารางส่วนลด EE."/>
      <sheetName val="ประม_x0000__x0000__x0001__x0000"/>
      <sheetName val="Exp"/>
      <sheetName val="โครงสร้าง"/>
      <sheetName val="ประม___x0001___x0001_ࠀЉ_쪊疒_xdde"/>
      <sheetName val="ประม___x0001___x0001_ࠀЉ_쪊疒�_�_Ͽ"/>
      <sheetName val="name"/>
      <sheetName val="RateAnalysis"/>
      <sheetName val="Final Summary - Base"/>
      <sheetName val="21"/>
      <sheetName val="สรุปราคาค่าก่อสร้าง_EMC"/>
      <sheetName val="covert (2)"/>
      <sheetName val="งานบริหารโครงสร้างและดำเนินการ"/>
      <sheetName val="SUM-AIR-Submit"/>
      <sheetName val="สรุป"/>
      <sheetName val="ประม??_x0001_?_x0001_ࠀЉ?쪊疒????Ͽ?ï?孔I"/>
      <sheetName val="ประม___x0001___x0001_ࠀЉ_쪊疒?_?_Ͽ_ï_孔I"/>
      <sheetName val="mapping"/>
      <sheetName val="vendor list"/>
      <sheetName val="SCHEDULE_6"/>
      <sheetName val="SCHEDULE_4"/>
      <sheetName val="ประม_x005f_x0000__x005f_x0000__x005f_x0001__x0000"/>
      <sheetName val="ประม??_x005f_x0001_?_x005f_x0001_ࠀЉ?쪊疒_xdde"/>
      <sheetName val="ประม___x005f_x0001___x005f_x0001_ࠀЉ_쪊疒_xdde"/>
      <sheetName val="ประม___x005f_x0001___x005f_x0001_ࠀЉ_쪊疒�_�_Ͽ"/>
      <sheetName val="calc_menu_déroulant"/>
      <sheetName val="P7 "/>
      <sheetName val="STMspry"/>
      <sheetName val="PsychroData"/>
      <sheetName val="วัดใต้"/>
      <sheetName val="rate"/>
      <sheetName val="ประม???ࠀЉ?쪊疒??Ͽ?ï?孔I"/>
      <sheetName val="Form"/>
      <sheetName val="Structure"/>
      <sheetName val="2.1.1Take pipe"/>
      <sheetName val="2.1.2Take Copper Pipe"/>
      <sheetName val="หน้า ปมก"/>
      <sheetName val="ประมาณการประตูหน้าต่าง_6"/>
      <sheetName val="SAN_REDUCED_1"/>
      <sheetName val="ประม___ࠀЉ_쪊疒__Ͽ_ï_孔I"/>
      <sheetName val="SITE_OFFICE"/>
      <sheetName val="Factor_F_Data"/>
      <sheetName val="สรุปราคา_(EMC)"/>
      <sheetName val="DETAIL_"/>
      <sheetName val="ประมาณการประตูหน้าต่าง_7"/>
      <sheetName val="BOQ1_(2)3"/>
      <sheetName val="Book_1_Summary4"/>
      <sheetName val="EST-FOOTING_(G)3"/>
      <sheetName val="QUANTITY_COMPARISON3"/>
      <sheetName val="Bill_No__2_-_Carpark3"/>
      <sheetName val="Main_Sum_(Hotel_&amp;_Residences)3"/>
      <sheetName val="Summary_POL_Equip3"/>
      <sheetName val="Equipment_Rental_Price3"/>
      <sheetName val="BK_Unit_Rate3"/>
      <sheetName val="Replacement_Cost_1"/>
      <sheetName val="Cavity_Inputs2"/>
      <sheetName val="SAN_REDUCED_11"/>
      <sheetName val="SITE_OFFICE1"/>
      <sheetName val="Factor_F_Data1"/>
      <sheetName val="สรุปราคา_(EMC)1"/>
      <sheetName val="DETAIL_1"/>
      <sheetName val="เงินกู้ธนชาติ"/>
      <sheetName val="เงินกู้ MGC"/>
      <sheetName val="สุขาภิบาล"/>
      <sheetName val="สรุป_EMC"/>
      <sheetName val="purchase order"/>
      <sheetName val="ส่วนลดระบบไฟฟ้า"/>
      <sheetName val="เตรียมการและบริหารโครงการ"/>
      <sheetName val="ประม??_x005f_x0001_?_x005f_x0001_ࠀЉ?쪊疒�?�?Ͽ"/>
      <sheetName val="外気負荷"/>
      <sheetName val="FSA"/>
      <sheetName val="QS-Payment"/>
      <sheetName val="Revised-ProformaSoi11"/>
      <sheetName val="Revised_ProformaSoi16"/>
      <sheetName val="Revised-ProformaSoi24"/>
      <sheetName val="Revised_ProformaSoi8"/>
      <sheetName val="Revised-ProformaSoi18"/>
      <sheetName val="DataSoi18"/>
      <sheetName val="dataSoi11"/>
      <sheetName val="dataSoi16"/>
      <sheetName val="dataSoi24"/>
      <sheetName val="dataSoi24P"/>
      <sheetName val="dataSoi8"/>
      <sheetName val="Revised-ProformaSoi24P"/>
      <sheetName val="SumP&amp;L current Sites"/>
      <sheetName val="List"/>
      <sheetName val="schedule_1"/>
      <sheetName val="SCHEDULE_3"/>
      <sheetName val="SCHEDULE_2"/>
      <sheetName val="cov-estimate"/>
      <sheetName val="ประม___x0001___x0001_ࠀЉ_쪊疒____Ͽ_ï_孔I"/>
      <sheetName val="Customize_Your_Purchase_Order"/>
      <sheetName val="schedule_"/>
      <sheetName val="_Cover_090EPY"/>
      <sheetName val="EPY_Jan_60"/>
      <sheetName val="D-สรุป_Plaza"/>
      <sheetName val="E-Share_Parking"/>
      <sheetName val="I-Soft_Cost"/>
      <sheetName val="I-Detail_Soft"/>
      <sheetName val="H-Share_M&amp;E"/>
      <sheetName val="ประมาณการประตูหน้าต่าง_8"/>
      <sheetName val="Book_1_Summary5"/>
      <sheetName val="BOQ1_(2)4"/>
      <sheetName val="EST-FOOTING_(G)4"/>
      <sheetName val="QUANTITY_COMPARISON4"/>
      <sheetName val="Bill_No__2_-_Carpark4"/>
      <sheetName val="Main_Sum_(Hotel_&amp;_Residences)4"/>
      <sheetName val="Summary_POL_Equip4"/>
      <sheetName val="Equipment_Rental_Price4"/>
      <sheetName val="BK_Unit_Rate4"/>
      <sheetName val="Replacement_Cost_2"/>
      <sheetName val="Cavity_Inputs3"/>
      <sheetName val="SAN_REDUCED_12"/>
      <sheetName val="SITE_OFFICE2"/>
      <sheetName val="Factor_F_Data2"/>
      <sheetName val="สรุปราคา_(EMC)2"/>
      <sheetName val="DETAIL_2"/>
      <sheetName val="Customize_Your_Purchase_Order1"/>
      <sheetName val="_Cover_090EPY1"/>
      <sheetName val="EPY_Jan_601"/>
      <sheetName val="D-สรุป_Plaza1"/>
      <sheetName val="E-Share_Parking1"/>
      <sheetName val="I-Soft_Cost1"/>
      <sheetName val="I-Detail_Soft1"/>
      <sheetName val="H-Share_M&amp;E1"/>
      <sheetName val="Manpower"/>
      <sheetName val="H1.0"/>
      <sheetName val="S3 Architectural"/>
      <sheetName val="KKC_Brkdwn"/>
      <sheetName val="l-fixer"/>
      <sheetName val="mat"/>
      <sheetName val="Unit rate Architecture"/>
      <sheetName val="ประม??_x0001__x0000"/>
      <sheetName val="ประม??_x005f_x0001_?_x005f_x0001_ࠀЉ?쪊疒????Ͽ"/>
      <sheetName val="ประม___x005f_x0001___x005f_x0001_ࠀЉ_쪊疒?_?_Ͽ"/>
      <sheetName val="ประม_x005f_x005f_x005f_x0000__x005f_x005f_x005f_x0000__"/>
      <sheetName val="ประม??_x005f_x005f_x005f_x0001_?_x005f_x005f_x000"/>
      <sheetName val="ประม___x005f_x005f_x005f_x0001___x005f_x005f_x000"/>
      <sheetName val="beam-reinft"/>
      <sheetName val="แบบ A"/>
      <sheetName val="แบบ B"/>
      <sheetName val="แบบ C"/>
      <sheetName val="แบบ D"/>
      <sheetName val="แบบ E"/>
      <sheetName val="แบบ G"/>
      <sheetName val="แบบ H"/>
      <sheetName val="แบบ L"/>
      <sheetName val="แบบ M"/>
      <sheetName val="แบบ N"/>
      <sheetName val="แบบ P"/>
      <sheetName val="แบบ S"/>
      <sheetName val="แบบ T"/>
      <sheetName val="แบบ TP"/>
      <sheetName val="แบบ V"/>
      <sheetName val="แบบ Y"/>
      <sheetName val="stair"/>
      <sheetName val="PRICE LIST"/>
      <sheetName val="ภูมิทัศน์"/>
      <sheetName val="footing"/>
      <sheetName val="summary1-3"/>
      <sheetName val="Cert-Rev1"/>
      <sheetName val="Bank Covenants"/>
      <sheetName val="Rates"/>
      <sheetName val="Hauling"/>
      <sheetName val="ใบปะหน้า"/>
      <sheetName val="งานก่อสร้าง"/>
      <sheetName val="งานไฟฟ้า"/>
      <sheetName val="งานปรับอากาศ"/>
      <sheetName val="งานสุขาภิบาล"/>
      <sheetName val="ค่าขนส่ง"/>
      <sheetName val="corring"/>
      <sheetName val="Material"/>
      <sheetName val="แว่น"/>
      <sheetName val="แสงใหม"/>
      <sheetName val="TrialBalance Q3-2002"/>
      <sheetName val="liste"/>
      <sheetName val="Reason of Difference"/>
      <sheetName val="Summary(1)"/>
      <sheetName val="Summary(2)"/>
      <sheetName val="Dwg list "/>
      <sheetName val="2.1Piling"/>
      <sheetName val="3.1 ST(basement)"/>
      <sheetName val="3.2Sky Villa"/>
      <sheetName val="3.2IL Condo1"/>
      <sheetName val="3.2IL Condo2"/>
      <sheetName val="3.2IL Condo3"/>
      <sheetName val="3.2HiCare"/>
      <sheetName val="3.2Clubhouse"/>
      <sheetName val="Footings- Working"/>
      <sheetName val="3.3basement(AR)"/>
      <sheetName val="3.3basement(ID)"/>
      <sheetName val="3.3SkyVilla(SUM AR,ID)"/>
      <sheetName val="3.3SkyVilla(AR)"/>
      <sheetName val="3.3SkyVilla(SUM ID)"/>
      <sheetName val="3.3SkyVilla (ID)"/>
      <sheetName val="3.3ILCondo (SUM AR,ID)"/>
      <sheetName val="3.3ILCondo(AR)"/>
      <sheetName val="3.3ILCondo ( SUM ID)"/>
      <sheetName val="3.3IL (ID Public)"/>
      <sheetName val="3.3ILCondo (ID Guest Room)"/>
      <sheetName val="3.3HiCare (AR)"/>
      <sheetName val="3.3HiCare (ID)"/>
      <sheetName val="3.3Clubhouse(AR)"/>
      <sheetName val="3.3Clubhouse(ID)"/>
      <sheetName val="3.4SkyVilla(Facade)"/>
      <sheetName val="3.4ILCondo(Facade)"/>
      <sheetName val="3.4HiCare(Facade)"/>
      <sheetName val="3.4Clubhouse(Facade)"/>
      <sheetName val="3.5 Ext"/>
      <sheetName val="3.6 Pro Sum"/>
      <sheetName val="Exclusion"/>
      <sheetName val="ILCondoFacade - Working"/>
      <sheetName val="Data"/>
      <sheetName val="?????????????????????? "/>
      <sheetName val="Scurve"/>
      <sheetName val="ประม_x005f_x0000__x005f_x0000__"/>
      <sheetName val="ประม??_x005f_x0001_?_x005f_x005f_x000"/>
      <sheetName val="ประม___x005f_x0001___x005f_x005f_x000"/>
      <sheetName val="XLR_NoRangeSheet"/>
      <sheetName val="Cert"/>
      <sheetName val="Staff Sch"/>
      <sheetName val="UG Consl"/>
      <sheetName val="UKG All"/>
      <sheetName val="Référentiel"/>
      <sheetName val="bp bill"/>
      <sheetName val="Pricing"/>
      <sheetName val="nsc"/>
      <sheetName val="110"/>
      <sheetName val="Boq.Arc. take จริง"/>
      <sheetName val="project status overview"/>
      <sheetName val="full pot"/>
      <sheetName val="cover page"/>
      <sheetName val="sheetNO"/>
      <sheetName val="bal"/>
      <sheetName val="ประมาณการประตูหน้าต่าง_9"/>
      <sheetName val="Book_1_Summary6"/>
      <sheetName val="BOQ1_(2)5"/>
      <sheetName val="EST-FOOTING_(G)5"/>
      <sheetName val="QUANTITY_COMPARISON5"/>
      <sheetName val="Bill_No__2_-_Carpark5"/>
      <sheetName val="Main_Sum_(Hotel_&amp;_Residences)5"/>
      <sheetName val="Summary_POL_Equip5"/>
      <sheetName val="Equipment_Rental_Price5"/>
      <sheetName val="BK_Unit_Rate5"/>
      <sheetName val="Replacement_Cost_3"/>
      <sheetName val="Cavity_Inputs4"/>
      <sheetName val="SAN_REDUCED_13"/>
      <sheetName val="SITE_OFFICE3"/>
      <sheetName val="Factor_F_Data3"/>
      <sheetName val="สรุปราคา_(EMC)3"/>
      <sheetName val="DETAIL_3"/>
      <sheetName val="Customize_Your_Purchase_Order2"/>
      <sheetName val="_Cover_090EPY2"/>
      <sheetName val="EPY_Jan_602"/>
      <sheetName val="D-สรุป_Plaza2"/>
      <sheetName val="E-Share_Parking2"/>
      <sheetName val="I-Soft_Cost2"/>
      <sheetName val="I-Detail_Soft2"/>
      <sheetName val="H-Share_M&amp;E2"/>
      <sheetName val="ตารางส่วนลด_EE_"/>
      <sheetName val="ประม_x0000"/>
      <sheetName val="ประม___ࠀЉ_쪊疒_xdde"/>
      <sheetName val="ประม___ࠀЉ_쪊疒�_�_Ͽ"/>
      <sheetName val="vendor_list"/>
      <sheetName val="covert_(2)"/>
      <sheetName val="Final_Summary_-_Base"/>
      <sheetName val="ประม???ࠀЉ?쪊疒????Ͽ?ï?孔I"/>
      <sheetName val="ประม___ࠀЉ_쪊疒?_?_Ͽ_ï_孔I"/>
      <sheetName val="P7_"/>
      <sheetName val="หน้า_ปมก"/>
      <sheetName val="SumP&amp;L_current_Sites"/>
      <sheetName val="เงินกู้_MGC"/>
      <sheetName val="2_1_1Take_pipe"/>
      <sheetName val="2_1_2Take_Copper_Pipe"/>
      <sheetName val="purchase_order"/>
      <sheetName val="H1_0"/>
      <sheetName val="S3_Architectural"/>
      <sheetName val="Unit_rate_Architecture"/>
      <sheetName val="ประม??_x0000"/>
      <sheetName val="ประมาณการประตูหน้าต่าง_10"/>
      <sheetName val="Book_1_Summary7"/>
      <sheetName val="BOQ1_(2)6"/>
      <sheetName val="EST-FOOTING_(G)6"/>
      <sheetName val="QUANTITY_COMPARISON6"/>
      <sheetName val="Bill_No__2_-_Carpark6"/>
      <sheetName val="Main_Sum_(Hotel_&amp;_Residences)6"/>
      <sheetName val="Summary_POL_Equip6"/>
      <sheetName val="Equipment_Rental_Price6"/>
      <sheetName val="BK_Unit_Rate6"/>
      <sheetName val="Cavity_Inputs5"/>
      <sheetName val="Replacement_Cost_4"/>
      <sheetName val="SAN_REDUCED_14"/>
      <sheetName val="SITE_OFFICE4"/>
      <sheetName val="Factor_F_Data4"/>
      <sheetName val="สรุปราคา_(EMC)4"/>
      <sheetName val="DETAIL_4"/>
      <sheetName val="Customize_Your_Purchase_Order3"/>
      <sheetName val="_Cover_090EPY3"/>
      <sheetName val="EPY_Jan_603"/>
      <sheetName val="D-สรุป_Plaza3"/>
      <sheetName val="E-Share_Parking3"/>
      <sheetName val="I-Soft_Cost3"/>
      <sheetName val="I-Detail_Soft3"/>
      <sheetName val="H-Share_M&amp;E3"/>
      <sheetName val="Final_Summary_-_Base1"/>
      <sheetName val="ตารางส่วนลด_EE_1"/>
      <sheetName val="covert_(2)1"/>
      <sheetName val="vendor_list1"/>
      <sheetName val="P7_1"/>
      <sheetName val="หน้า_ปมก1"/>
      <sheetName val="SumP&amp;L_current_Sites1"/>
      <sheetName val="เงินกู้_MGC1"/>
      <sheetName val="2_1_1Take_pipe1"/>
      <sheetName val="2_1_2Take_Copper_Pipe1"/>
      <sheetName val="ประม___ࠀЉ_쪊疒____Ͽ_ï_孔I"/>
      <sheetName val="H1_01"/>
      <sheetName val="S3_Architectural1"/>
      <sheetName val="Unit_rate_Architecture1"/>
      <sheetName val="purchase_order1"/>
      <sheetName val="F2002-79"/>
      <sheetName val="UKG  Consl"/>
      <sheetName val="UKG (KG)"/>
      <sheetName val="Boq(1)"/>
      <sheetName val="data3"/>
      <sheetName val="Auto Monthly Inputs "/>
      <sheetName val="BU Item  1.1 to 1.2"/>
      <sheetName val="코드관리"/>
      <sheetName val="Schedule"/>
      <sheetName val="Arch"/>
      <sheetName val="D.MAKAN"/>
      <sheetName val="corbeldatail"/>
      <sheetName val="schedule 10_build management"/>
      <sheetName val="Factor F งาน DB."/>
      <sheetName val="วิเคราะห์ (2)"/>
      <sheetName val="5.อุบัติเหตุประจำสัปดาห์"/>
      <sheetName val="คอนกรีต SW"/>
      <sheetName val="ตารางส่วนลด_EE_2"/>
      <sheetName val="Discounted Cash Flow"/>
      <sheetName val="data-Hilton"/>
      <sheetName val="Lookups"/>
      <sheetName val="factors"/>
      <sheetName val="ประม___x0001__x0000"/>
      <sheetName val="2"/>
      <sheetName val="ค่าดำเนินการ+ค่าเสื่อมราคา"/>
      <sheetName val="สรุปค่าขนส่ง"/>
      <sheetName val="Database"/>
      <sheetName val="Output"/>
      <sheetName val="exec summary"/>
      <sheetName val="sensitivities"/>
      <sheetName val="Final_Summary_-_Base2"/>
      <sheetName val="covert_(2)2"/>
      <sheetName val="vendor_list2"/>
      <sheetName val="P7_2"/>
      <sheetName val="หน้า_ปมก2"/>
      <sheetName val="เงินกู้_MGC2"/>
      <sheetName val="SumP&amp;L_current_Sites2"/>
      <sheetName val="Sheet2"/>
      <sheetName val="Sheet3"/>
      <sheetName val="Header"/>
      <sheetName val="หน้า 1"/>
      <sheetName val="6"/>
      <sheetName val="ประม_x0001__x0001_ࠀЉ쪊疒_xddef__xdd00_Ͽï孔I"/>
      <sheetName val="ประม_x0001__x0001_ࠀЉ쪊疒��Ͽï孔I"/>
      <sheetName val="ประม_x0001__x0000"/>
      <sheetName val="SV-supporting info"/>
      <sheetName val="EXHIBIT_B"/>
      <sheetName val="ROOMS_ST"/>
      <sheetName val="factor (%)"/>
      <sheetName val="PhaDoMong"/>
      <sheetName val="CashFlow"/>
      <sheetName val="Prod-1"/>
      <sheetName val="ประมาณการประตูหน้าต่าง_11"/>
      <sheetName val="Book_1_Summary8"/>
      <sheetName val="BOQ1_(2)7"/>
      <sheetName val="EST-FOOTING_(G)7"/>
      <sheetName val="QUANTITY_COMPARISON7"/>
      <sheetName val="Bill_No__2_-_Carpark7"/>
      <sheetName val="Main_Sum_(Hotel_&amp;_Residences)7"/>
      <sheetName val="Summary_POL_Equip7"/>
      <sheetName val="Equipment_Rental_Price7"/>
      <sheetName val="BK_Unit_Rate7"/>
      <sheetName val="Replacement_Cost_5"/>
      <sheetName val="Cavity_Inputs6"/>
      <sheetName val="SAN_REDUCED_15"/>
      <sheetName val="SITE_OFFICE5"/>
      <sheetName val="Factor_F_Data5"/>
      <sheetName val="สรุปราคา_(EMC)5"/>
      <sheetName val="DETAIL_5"/>
      <sheetName val="Customize_Your_Purchase_Order4"/>
      <sheetName val="_Cover_090EPY4"/>
      <sheetName val="EPY_Jan_604"/>
      <sheetName val="D-สรุป_Plaza4"/>
      <sheetName val="E-Share_Parking4"/>
      <sheetName val="I-Soft_Cost4"/>
      <sheetName val="I-Detail_Soft4"/>
      <sheetName val="H-Share_M&amp;E4"/>
      <sheetName val="Unit_rate_Architecture2"/>
      <sheetName val="2_1_1Take_pipe2"/>
      <sheetName val="2_1_2Take_Copper_Pipe2"/>
      <sheetName val="purchase_order2"/>
      <sheetName val="S3_Architectural2"/>
      <sheetName val="Bank_Covenants"/>
      <sheetName val="H1_02"/>
      <sheetName val="Reason_of_Difference"/>
      <sheetName val="Dwg_list_"/>
      <sheetName val="2_1Piling"/>
      <sheetName val="3_1_ST(basement)"/>
      <sheetName val="3_2Sky_Villa"/>
      <sheetName val="3_2IL_Condo1"/>
      <sheetName val="3_2IL_Condo2"/>
      <sheetName val="3_2IL_Condo3"/>
      <sheetName val="3_2HiCare"/>
      <sheetName val="3_2Clubhouse"/>
      <sheetName val="Footings-_Working"/>
      <sheetName val="3_3basement(AR)"/>
      <sheetName val="3_3basement(ID)"/>
      <sheetName val="3_3SkyVilla(SUM_AR,ID)"/>
      <sheetName val="3_3SkyVilla(AR)"/>
      <sheetName val="3_3SkyVilla(SUM_ID)"/>
      <sheetName val="3_3SkyVilla_(ID)"/>
      <sheetName val="3_3ILCondo_(SUM_AR,ID)"/>
      <sheetName val="3_3ILCondo(AR)"/>
      <sheetName val="3_3ILCondo_(_SUM_ID)"/>
      <sheetName val="3_3IL_(ID_Public)"/>
      <sheetName val="3_3ILCondo_(ID_Guest_Room)"/>
      <sheetName val="3_3HiCare_(AR)"/>
      <sheetName val="3_3HiCare_(ID)"/>
      <sheetName val="3_3Clubhouse(AR)"/>
      <sheetName val="3_3Clubhouse(ID)"/>
      <sheetName val="3_4SkyVilla(Facade)"/>
      <sheetName val="3_4ILCondo(Facade)"/>
      <sheetName val="3_4HiCare(Facade)"/>
      <sheetName val="3_4Clubhouse(Facade)"/>
      <sheetName val="3_5_Ext"/>
      <sheetName val="3_6_Pro_Sum"/>
      <sheetName val="ILCondoFacade_-_Working"/>
      <sheetName val="Staff_Sch"/>
      <sheetName val="UG_Consl"/>
      <sheetName val="UKG_All"/>
      <sheetName val="แบบ_A"/>
      <sheetName val="แบบ_B"/>
      <sheetName val="แบบ_C"/>
      <sheetName val="แบบ_D"/>
      <sheetName val="แบบ_E"/>
      <sheetName val="แบบ_G"/>
      <sheetName val="แบบ_H"/>
      <sheetName val="แบบ_L"/>
      <sheetName val="แบบ_M"/>
      <sheetName val="แบบ_N"/>
      <sheetName val="แบบ_P"/>
      <sheetName val="แบบ_S"/>
      <sheetName val="แบบ_T"/>
      <sheetName val="แบบ_TP"/>
      <sheetName val="แบบ_V"/>
      <sheetName val="แบบ_Y"/>
      <sheetName val="PRICE_LIST"/>
      <sheetName val="TrialBalance_Q3-2002"/>
      <sheetName val="bp_bill"/>
      <sheetName val="project_status_overview"/>
      <sheetName val="full_pot"/>
      <sheetName val="cover_page"/>
      <sheetName val="UKG__Consl"/>
      <sheetName val="UKG_(KG)"/>
      <sheetName val="Auto_Monthly_Inputs_"/>
      <sheetName val="ประมาณการประตูหน้าต่าง_12"/>
      <sheetName val="Book_1_Summary9"/>
      <sheetName val="BOQ1_(2)8"/>
      <sheetName val="EST-FOOTING_(G)8"/>
      <sheetName val="QUANTITY_COMPARISON8"/>
      <sheetName val="Bill_No__2_-_Carpark8"/>
      <sheetName val="Main_Sum_(Hotel_&amp;_Residences)8"/>
      <sheetName val="Summary_POL_Equip8"/>
      <sheetName val="Equipment_Rental_Price8"/>
      <sheetName val="BK_Unit_Rate8"/>
      <sheetName val="Replacement_Cost_6"/>
      <sheetName val="Cavity_Inputs7"/>
      <sheetName val="SAN_REDUCED_16"/>
      <sheetName val="SITE_OFFICE6"/>
      <sheetName val="Factor_F_Data6"/>
      <sheetName val="สรุปราคา_(EMC)6"/>
      <sheetName val="DETAIL_6"/>
      <sheetName val="Customize_Your_Purchase_Order5"/>
      <sheetName val="_Cover_090EPY5"/>
      <sheetName val="EPY_Jan_605"/>
      <sheetName val="D-สรุป_Plaza5"/>
      <sheetName val="E-Share_Parking5"/>
      <sheetName val="I-Soft_Cost5"/>
      <sheetName val="I-Detail_Soft5"/>
      <sheetName val="H-Share_M&amp;E5"/>
      <sheetName val="Final_Summary_-_Base3"/>
      <sheetName val="ตารางส่วนลด_EE_3"/>
      <sheetName val="covert_(2)3"/>
      <sheetName val="SumP&amp;L_current_Sites3"/>
      <sheetName val="vendor_list3"/>
      <sheetName val="P7_3"/>
      <sheetName val="หน้า_ปมก3"/>
      <sheetName val="Unit_rate_Architecture3"/>
      <sheetName val="เงินกู้_MGC3"/>
      <sheetName val="2_1_1Take_pipe3"/>
      <sheetName val="2_1_2Take_Copper_Pipe3"/>
      <sheetName val="purchase_order3"/>
      <sheetName val="S3_Architectural3"/>
      <sheetName val="Bank_Covenants1"/>
      <sheetName val="H1_03"/>
      <sheetName val="Reason_of_Difference1"/>
      <sheetName val="Dwg_list_1"/>
      <sheetName val="2_1Piling1"/>
      <sheetName val="3_1_ST(basement)1"/>
      <sheetName val="3_2Sky_Villa1"/>
      <sheetName val="3_2IL_Condo11"/>
      <sheetName val="3_2IL_Condo21"/>
      <sheetName val="3_2IL_Condo31"/>
      <sheetName val="3_2HiCare1"/>
      <sheetName val="3_2Clubhouse1"/>
      <sheetName val="Footings-_Working1"/>
      <sheetName val="3_3basement(AR)1"/>
      <sheetName val="3_3basement(ID)1"/>
      <sheetName val="3_3SkyVilla(SUM_AR,ID)1"/>
      <sheetName val="3_3SkyVilla(AR)1"/>
      <sheetName val="3_3SkyVilla(SUM_ID)1"/>
      <sheetName val="3_3SkyVilla_(ID)1"/>
      <sheetName val="3_3ILCondo_(SUM_AR,ID)1"/>
      <sheetName val="3_3ILCondo(AR)1"/>
      <sheetName val="3_3ILCondo_(_SUM_ID)1"/>
      <sheetName val="3_3IL_(ID_Public)1"/>
      <sheetName val="3_3ILCondo_(ID_Guest_Room)1"/>
      <sheetName val="3_3HiCare_(AR)1"/>
      <sheetName val="3_3HiCare_(ID)1"/>
      <sheetName val="3_3Clubhouse(AR)1"/>
      <sheetName val="3_3Clubhouse(ID)1"/>
      <sheetName val="3_4SkyVilla(Facade)1"/>
      <sheetName val="3_4ILCondo(Facade)1"/>
      <sheetName val="3_4HiCare(Facade)1"/>
      <sheetName val="3_4Clubhouse(Facade)1"/>
      <sheetName val="3_5_Ext1"/>
      <sheetName val="3_6_Pro_Sum1"/>
      <sheetName val="ILCondoFacade_-_Working1"/>
      <sheetName val="Staff_Sch1"/>
      <sheetName val="UG_Consl1"/>
      <sheetName val="UKG_All1"/>
      <sheetName val="แบบ_A1"/>
      <sheetName val="แบบ_B1"/>
      <sheetName val="แบบ_C1"/>
      <sheetName val="แบบ_D1"/>
      <sheetName val="แบบ_E1"/>
      <sheetName val="แบบ_G1"/>
      <sheetName val="แบบ_H1"/>
      <sheetName val="แบบ_L1"/>
      <sheetName val="แบบ_M1"/>
      <sheetName val="แบบ_N1"/>
      <sheetName val="แบบ_P1"/>
      <sheetName val="แบบ_S1"/>
      <sheetName val="แบบ_T1"/>
      <sheetName val="แบบ_TP1"/>
      <sheetName val="แบบ_V1"/>
      <sheetName val="แบบ_Y1"/>
      <sheetName val="PRICE_LIST1"/>
      <sheetName val="TrialBalance_Q3-20021"/>
      <sheetName val="bp_bill1"/>
      <sheetName val="project_status_overview1"/>
      <sheetName val="full_pot1"/>
      <sheetName val="cover_page1"/>
      <sheetName val="UKG__Consl1"/>
      <sheetName val="UKG_(KG)1"/>
      <sheetName val="Auto_Monthly_Inputs_1"/>
      <sheetName val="ประมาณการประตูหน้าต่าง_14"/>
      <sheetName val="Book_1_Summary11"/>
      <sheetName val="BOQ1_(2)10"/>
      <sheetName val="EST-FOOTING_(G)10"/>
      <sheetName val="QUANTITY_COMPARISON10"/>
      <sheetName val="Bill_No__2_-_Carpark10"/>
      <sheetName val="Main_Sum_(Hotel_&amp;_Residences)10"/>
      <sheetName val="Summary_POL_Equip10"/>
      <sheetName val="Equipment_Rental_Price10"/>
      <sheetName val="BK_Unit_Rate10"/>
      <sheetName val="Replacement_Cost_8"/>
      <sheetName val="Cavity_Inputs9"/>
      <sheetName val="SAN_REDUCED_18"/>
      <sheetName val="SITE_OFFICE8"/>
      <sheetName val="Factor_F_Data8"/>
      <sheetName val="สรุปราคา_(EMC)8"/>
      <sheetName val="DETAIL_8"/>
      <sheetName val="Customize_Your_Purchase_Order7"/>
      <sheetName val="_Cover_090EPY7"/>
      <sheetName val="EPY_Jan_607"/>
      <sheetName val="D-สรุป_Plaza7"/>
      <sheetName val="E-Share_Parking7"/>
      <sheetName val="I-Soft_Cost7"/>
      <sheetName val="I-Detail_Soft7"/>
      <sheetName val="H-Share_M&amp;E7"/>
      <sheetName val="Final_Summary_-_Base5"/>
      <sheetName val="ตารางส่วนลด_EE_5"/>
      <sheetName val="covert_(2)5"/>
      <sheetName val="SumP&amp;L_current_Sites5"/>
      <sheetName val="vendor_list5"/>
      <sheetName val="P7_5"/>
      <sheetName val="หน้า_ปมก5"/>
      <sheetName val="Unit_rate_Architecture5"/>
      <sheetName val="เงินกู้_MGC5"/>
      <sheetName val="2_1_1Take_pipe5"/>
      <sheetName val="2_1_2Take_Copper_Pipe5"/>
      <sheetName val="purchase_order5"/>
      <sheetName val="S3_Architectural5"/>
      <sheetName val="Bank_Covenants3"/>
      <sheetName val="H1_05"/>
      <sheetName val="Reason_of_Difference3"/>
      <sheetName val="Dwg_list_3"/>
      <sheetName val="2_1Piling3"/>
      <sheetName val="3_1_ST(basement)3"/>
      <sheetName val="3_2Sky_Villa3"/>
      <sheetName val="3_2IL_Condo13"/>
      <sheetName val="3_2IL_Condo23"/>
      <sheetName val="3_2IL_Condo33"/>
      <sheetName val="3_2HiCare3"/>
      <sheetName val="3_2Clubhouse3"/>
      <sheetName val="Footings-_Working3"/>
      <sheetName val="3_3basement(AR)3"/>
      <sheetName val="3_3basement(ID)3"/>
      <sheetName val="3_3SkyVilla(SUM_AR,ID)3"/>
      <sheetName val="3_3SkyVilla(AR)3"/>
      <sheetName val="3_3SkyVilla(SUM_ID)3"/>
      <sheetName val="3_3SkyVilla_(ID)3"/>
      <sheetName val="3_3ILCondo_(SUM_AR,ID)3"/>
      <sheetName val="3_3ILCondo(AR)3"/>
      <sheetName val="3_3ILCondo_(_SUM_ID)3"/>
      <sheetName val="3_3IL_(ID_Public)3"/>
      <sheetName val="3_3ILCondo_(ID_Guest_Room)3"/>
      <sheetName val="3_3HiCare_(AR)3"/>
      <sheetName val="3_3HiCare_(ID)3"/>
      <sheetName val="3_3Clubhouse(AR)3"/>
      <sheetName val="3_3Clubhouse(ID)3"/>
      <sheetName val="3_4SkyVilla(Facade)3"/>
      <sheetName val="3_4ILCondo(Facade)3"/>
      <sheetName val="3_4HiCare(Facade)3"/>
      <sheetName val="3_4Clubhouse(Facade)3"/>
      <sheetName val="3_5_Ext3"/>
      <sheetName val="3_6_Pro_Sum3"/>
      <sheetName val="ILCondoFacade_-_Working3"/>
      <sheetName val="Staff_Sch3"/>
      <sheetName val="UG_Consl3"/>
      <sheetName val="UKG_All3"/>
      <sheetName val="แบบ_A3"/>
      <sheetName val="แบบ_B3"/>
      <sheetName val="แบบ_C3"/>
      <sheetName val="แบบ_D3"/>
      <sheetName val="แบบ_E3"/>
      <sheetName val="แบบ_G3"/>
      <sheetName val="แบบ_H3"/>
      <sheetName val="แบบ_L3"/>
      <sheetName val="แบบ_M3"/>
      <sheetName val="แบบ_N3"/>
      <sheetName val="แบบ_P3"/>
      <sheetName val="แบบ_S3"/>
      <sheetName val="แบบ_T3"/>
      <sheetName val="แบบ_TP3"/>
      <sheetName val="แบบ_V3"/>
      <sheetName val="แบบ_Y3"/>
      <sheetName val="PRICE_LIST3"/>
      <sheetName val="TrialBalance_Q3-20023"/>
      <sheetName val="bp_bill3"/>
      <sheetName val="project_status_overview3"/>
      <sheetName val="full_pot3"/>
      <sheetName val="cover_page3"/>
      <sheetName val="UKG__Consl3"/>
      <sheetName val="UKG_(KG)3"/>
      <sheetName val="Auto_Monthly_Inputs_3"/>
      <sheetName val="??????????????????????_1"/>
      <sheetName val="ประมาณการประตูหน้าต่าง_13"/>
      <sheetName val="Book_1_Summary10"/>
      <sheetName val="BOQ1_(2)9"/>
      <sheetName val="EST-FOOTING_(G)9"/>
      <sheetName val="QUANTITY_COMPARISON9"/>
      <sheetName val="Bill_No__2_-_Carpark9"/>
      <sheetName val="Main_Sum_(Hotel_&amp;_Residences)9"/>
      <sheetName val="Summary_POL_Equip9"/>
      <sheetName val="Equipment_Rental_Price9"/>
      <sheetName val="BK_Unit_Rate9"/>
      <sheetName val="Replacement_Cost_7"/>
      <sheetName val="Cavity_Inputs8"/>
      <sheetName val="SAN_REDUCED_17"/>
      <sheetName val="SITE_OFFICE7"/>
      <sheetName val="Factor_F_Data7"/>
      <sheetName val="สรุปราคา_(EMC)7"/>
      <sheetName val="DETAIL_7"/>
      <sheetName val="Customize_Your_Purchase_Order6"/>
      <sheetName val="_Cover_090EPY6"/>
      <sheetName val="EPY_Jan_606"/>
      <sheetName val="D-สรุป_Plaza6"/>
      <sheetName val="E-Share_Parking6"/>
      <sheetName val="I-Soft_Cost6"/>
      <sheetName val="I-Detail_Soft6"/>
      <sheetName val="H-Share_M&amp;E6"/>
      <sheetName val="Final_Summary_-_Base4"/>
      <sheetName val="ตารางส่วนลด_EE_4"/>
      <sheetName val="covert_(2)4"/>
      <sheetName val="SumP&amp;L_current_Sites4"/>
      <sheetName val="vendor_list4"/>
      <sheetName val="P7_4"/>
      <sheetName val="หน้า_ปมก4"/>
      <sheetName val="Unit_rate_Architecture4"/>
      <sheetName val="เงินกู้_MGC4"/>
      <sheetName val="2_1_1Take_pipe4"/>
      <sheetName val="2_1_2Take_Copper_Pipe4"/>
      <sheetName val="purchase_order4"/>
      <sheetName val="S3_Architectural4"/>
      <sheetName val="Bank_Covenants2"/>
      <sheetName val="H1_04"/>
      <sheetName val="Reason_of_Difference2"/>
      <sheetName val="Dwg_list_2"/>
      <sheetName val="2_1Piling2"/>
      <sheetName val="3_1_ST(basement)2"/>
      <sheetName val="3_2Sky_Villa2"/>
      <sheetName val="3_2IL_Condo12"/>
      <sheetName val="3_2IL_Condo22"/>
      <sheetName val="3_2IL_Condo32"/>
      <sheetName val="3_2HiCare2"/>
      <sheetName val="3_2Clubhouse2"/>
      <sheetName val="Footings-_Working2"/>
      <sheetName val="3_3basement(AR)2"/>
      <sheetName val="3_3basement(ID)2"/>
      <sheetName val="3_3SkyVilla(SUM_AR,ID)2"/>
      <sheetName val="3_3SkyVilla(AR)2"/>
      <sheetName val="3_3SkyVilla(SUM_ID)2"/>
      <sheetName val="3_3SkyVilla_(ID)2"/>
      <sheetName val="3_3ILCondo_(SUM_AR,ID)2"/>
      <sheetName val="3_3ILCondo(AR)2"/>
      <sheetName val="3_3ILCondo_(_SUM_ID)2"/>
      <sheetName val="3_3IL_(ID_Public)2"/>
      <sheetName val="3_3ILCondo_(ID_Guest_Room)2"/>
      <sheetName val="3_3HiCare_(AR)2"/>
      <sheetName val="3_3HiCare_(ID)2"/>
      <sheetName val="3_3Clubhouse(AR)2"/>
      <sheetName val="3_3Clubhouse(ID)2"/>
      <sheetName val="3_4SkyVilla(Facade)2"/>
      <sheetName val="3_4ILCondo(Facade)2"/>
      <sheetName val="3_4HiCare(Facade)2"/>
      <sheetName val="3_4Clubhouse(Facade)2"/>
      <sheetName val="3_5_Ext2"/>
      <sheetName val="3_6_Pro_Sum2"/>
      <sheetName val="ILCondoFacade_-_Working2"/>
      <sheetName val="Staff_Sch2"/>
      <sheetName val="UG_Consl2"/>
      <sheetName val="UKG_All2"/>
      <sheetName val="แบบ_A2"/>
      <sheetName val="แบบ_B2"/>
      <sheetName val="แบบ_C2"/>
      <sheetName val="แบบ_D2"/>
      <sheetName val="แบบ_E2"/>
      <sheetName val="แบบ_G2"/>
      <sheetName val="แบบ_H2"/>
      <sheetName val="แบบ_L2"/>
      <sheetName val="แบบ_M2"/>
      <sheetName val="แบบ_N2"/>
      <sheetName val="แบบ_P2"/>
      <sheetName val="แบบ_S2"/>
      <sheetName val="แบบ_T2"/>
      <sheetName val="แบบ_TP2"/>
      <sheetName val="แบบ_V2"/>
      <sheetName val="แบบ_Y2"/>
      <sheetName val="PRICE_LIST2"/>
      <sheetName val="TrialBalance_Q3-20022"/>
      <sheetName val="bp_bill2"/>
      <sheetName val="project_status_overview2"/>
      <sheetName val="full_pot2"/>
      <sheetName val="cover_page2"/>
      <sheetName val="UKG__Consl2"/>
      <sheetName val="UKG_(KG)2"/>
      <sheetName val="Auto_Monthly_Inputs_2"/>
      <sheetName val="??????????????????????_"/>
      <sheetName val="GB1"/>
      <sheetName val="磨煤加压"/>
      <sheetName val="Data Input-A"/>
      <sheetName val="BQ"/>
      <sheetName val="#REF!"/>
      <sheetName val="Invoice"/>
      <sheetName val="Profit_Budget"/>
      <sheetName val="Definition"/>
      <sheetName val="depre"/>
      <sheetName val="OLD PRICES"/>
      <sheetName val="Project Information"/>
      <sheetName val="Soi 08"/>
      <sheetName val="MAD BOH AC VRV + Multi"/>
      <sheetName val="MAD Guest Villa AC"/>
      <sheetName val="ค่างานต้นทุนถนน"/>
      <sheetName val="ประม___x005f_x0001___x005f_x0001_ࠀЉ_쪊疒____Ͽ"/>
      <sheetName val="schedule_10_build_management"/>
      <sheetName val="Factor_F_งาน_DB_"/>
      <sheetName val="SOV"/>
      <sheetName val="standard structure"/>
      <sheetName val="สรุปรวม (2)"/>
      <sheetName val="CABLE"/>
      <sheetName val="DO"/>
      <sheetName val="Liste Référentiel"/>
      <sheetName val="Listes Caractéristiques"/>
      <sheetName val="status"/>
      <sheetName val="Master"/>
      <sheetName val="Discounted_Cash_Flow"/>
      <sheetName val="exec_summary"/>
      <sheetName val="furniture"/>
      <sheetName val="งานบริหารโครงการ"/>
      <sheetName val="labour_unit_rates"/>
      <sheetName val="summary_level-2"/>
      <sheetName val="CFA"/>
      <sheetName val="Material Price"/>
      <sheetName val="Main Summary"/>
      <sheetName val="PH 5"/>
      <sheetName val="strl type wf-1"/>
      <sheetName val="一発シート"/>
      <sheetName val="TT35"/>
      <sheetName val="Property Description"/>
      <sheetName val="Worksheet"/>
      <sheetName val="FR"/>
      <sheetName val="LOTUS-EE1"/>
      <sheetName val="D"/>
      <sheetName val="Interior L1_L3"/>
      <sheetName val="PC, G.Slab"/>
      <sheetName val="CPA33-34"/>
      <sheetName val="หน้าปก"/>
      <sheetName val="สารบัญ"/>
      <sheetName val="1 คำนำ"/>
      <sheetName val="2 บทสรุปของผู้บริหาร  "/>
      <sheetName val="2.1 การว่าจ้างที่ปรึกษา"/>
      <sheetName val="3 สถานะการออกแบบ"/>
      <sheetName val="3.1 สถานะการออกแบบ AR "/>
      <sheetName val="3.2 สถานะการออกแบบ ST "/>
      <sheetName val="3.3 สถานะการออกแบบ MES "/>
      <sheetName val="3.4 สถานะการออกแบบ LS "/>
      <sheetName val="3.5 สถานะการออกแบบ IN "/>
      <sheetName val="4 EIA"/>
      <sheetName val="สถานะ EIA "/>
      <sheetName val="5.การยื่นขอใบอนุญาตราชการ"/>
      <sheetName val="6 การประกันภัย&amp;หลักประกัน"/>
      <sheetName val="3. สถานะงานก่อสร้าง"/>
      <sheetName val="Demolish work "/>
      <sheetName val="Work_SO Fl.1"/>
      <sheetName val="MOCK UP(AR)_Fl.2"/>
      <sheetName val="3.1 งานโครงสร้าง+ระบบ "/>
      <sheetName val="3.2 งานโครงสร้าง."/>
      <sheetName val="3.3 งานสถาปัตย์"/>
      <sheetName val="L PILE"/>
      <sheetName val="Retaining Wall"/>
      <sheetName val="Plumbing-SN1."/>
      <sheetName val="Plumbing-SN2"/>
      <sheetName val="Electrical system-(1st)"/>
      <sheetName val="Electrical system-(2nd)"/>
      <sheetName val="Air condition system-1ST-1"/>
      <sheetName val="Air condition system-1ST-2"/>
      <sheetName val="Air condition system-2ND"/>
      <sheetName val="Air condition system-(Mockup)"/>
      <sheetName val="Site Drainage system-part 1"/>
      <sheetName val="Site Drainage system-part 2"/>
      <sheetName val="3.4 งานระบบ"/>
      <sheetName val="4. สรุปการเงินโครงการ"/>
      <sheetName val="4.1 สรุปการเงินโครงการ"/>
      <sheetName val="5.แผนการทำงาน"/>
      <sheetName val="9.1 แผนงานการพัฒนาโครงการ"/>
      <sheetName val="5.1 Schedule มีไฟล์แนบ"/>
      <sheetName val="9.2 แผนการทำงานเดือนถัดไป "/>
      <sheetName val="5.2 S-Curve มีไฟล์แนบ"/>
      <sheetName val="6. ภาพถ่ายความก้าวหน้าโครงการ"/>
      <sheetName val="6.1 Photo"/>
      <sheetName val="7. แผนภาพสภาวะอากาศ"/>
      <sheetName val="7.1 แผนภาพสภาวะอากาศ "/>
      <sheetName val="12 Site Instruction Log"/>
      <sheetName val="8. รายการอนุมัติวัสดุ&amp;แบบแปลน"/>
      <sheetName val="8.1 Shop Drawing (ST)"/>
      <sheetName val="8.1 Shop Drawing  (AR)"/>
      <sheetName val="8.2 Shop Drawing (AR)"/>
      <sheetName val="8.3 Material (ST) "/>
      <sheetName val="14 รายการเอกสารติดต่อประสานงาน"/>
      <sheetName val="หนังสือเข้า"/>
      <sheetName val="หนังสือออก"/>
      <sheetName val="8.2 Material (SN)"/>
      <sheetName val="8.2 Material (EE)"/>
      <sheetName val="8.4 Material (AR)"/>
      <sheetName val="8.5 Shop Drawing (ระบบ)"/>
      <sheetName val="8.6 Material (ระบบ)"/>
      <sheetName val="9. ผังโครงสร้างบุคลากร"/>
      <sheetName val="9.1 JTK มีไฟล์แนบ"/>
      <sheetName val="15.2 MM"/>
      <sheetName val="Architect"/>
      <sheetName val="Wall"/>
      <sheetName val="costs"/>
      <sheetName val="opstat"/>
      <sheetName val="ค่าใช้จ่าย"/>
      <sheetName val="Mat_Source"/>
      <sheetName val="Unit_Div6"/>
      <sheetName val="#REF"/>
      <sheetName val="เครื่องตกแต่ง"/>
      <sheetName val="เครื่องมือ"/>
      <sheetName val="อาคาร"/>
      <sheetName val="切替情報"/>
      <sheetName val="POV"/>
      <sheetName val="5_อุบัติเหตุประจำสัปดาห์"/>
      <sheetName val="วิเคราะห์_(2)"/>
      <sheetName val="D_MAKAN"/>
      <sheetName val="5_อุบัติเหตุประจำสัปดาห์2"/>
      <sheetName val="D_MAKAN2"/>
      <sheetName val="Discounted_Cash_Flow2"/>
      <sheetName val="วิเคราะห์_(2)2"/>
      <sheetName val="5_อุบัติเหตุประจำสัปดาห์1"/>
      <sheetName val="D_MAKAN1"/>
      <sheetName val="Discounted_Cash_Flow1"/>
      <sheetName val="วิเคราะห์_(2)1"/>
      <sheetName val="Boiler Curves"/>
      <sheetName val="ประม___x0000"/>
      <sheetName val="______________________ "/>
      <sheetName val="_______________________1"/>
      <sheetName val="_______________________"/>
      <sheetName val="electrical reference"/>
      <sheetName val="FS"/>
      <sheetName val="Summary"/>
      <sheetName val="2a-Consol-RVOs"/>
      <sheetName val="3-CAPARS Log"/>
      <sheetName val="Cctmst"/>
      <sheetName val="งานประปา"/>
      <sheetName val="Lookup data"/>
      <sheetName val="Capital Expenditure"/>
      <sheetName val="Price per model"/>
      <sheetName val="คอนกรีต_SW2"/>
      <sheetName val="คอนกรีต_SW"/>
      <sheetName val="คอนกรีต_SW1"/>
      <sheetName val="คอนกรีต_SW3"/>
      <sheetName val="วิเคราะห์_(2)3"/>
      <sheetName val="D_MAKAN3"/>
      <sheetName val="Assumptions"/>
      <sheetName val="_quotation_2008"/>
      <sheetName val="Cost"/>
      <sheetName val="Cost_Categories"/>
      <sheetName val="I-slab"/>
      <sheetName val="5-2"/>
      <sheetName val="REMOVAL"/>
      <sheetName val="Unit Cost"/>
      <sheetName val="TTL"/>
    </sheetNames>
    <sheetDataSet>
      <sheetData sheetId="0" refreshError="1"/>
      <sheetData sheetId="1" refreshError="1"/>
      <sheetData sheetId="2" refreshError="1"/>
      <sheetData sheetId="3" refreshError="1"/>
      <sheetData sheetId="4" refreshError="1"/>
      <sheetData sheetId="5" refreshError="1">
        <row r="3">
          <cell r="C3" t="str">
            <v>N0.</v>
          </cell>
          <cell r="D3" t="str">
            <v>DESCRIPTION</v>
          </cell>
          <cell r="E3" t="str">
            <v xml:space="preserve">UNIT  </v>
          </cell>
          <cell r="F3" t="str">
            <v xml:space="preserve">LABOUR </v>
          </cell>
          <cell r="G3" t="str">
            <v>UNIT</v>
          </cell>
        </row>
        <row r="4">
          <cell r="E4" t="str">
            <v>COST</v>
          </cell>
          <cell r="F4" t="str">
            <v>COST</v>
          </cell>
        </row>
        <row r="5">
          <cell r="C5">
            <v>0</v>
          </cell>
          <cell r="D5" t="str">
            <v>TELEPHONE, TELECOMMUNICATION AND</v>
          </cell>
        </row>
        <row r="6">
          <cell r="C6">
            <v>1</v>
          </cell>
          <cell r="D6" t="str">
            <v>FIRE ALARM SYSTEM</v>
          </cell>
        </row>
        <row r="7">
          <cell r="C7">
            <v>101</v>
          </cell>
          <cell r="D7" t="str">
            <v>TELEPHONE</v>
          </cell>
          <cell r="E7">
            <v>2</v>
          </cell>
          <cell r="F7">
            <v>0.5</v>
          </cell>
          <cell r="G7" t="str">
            <v>M.</v>
          </cell>
        </row>
        <row r="8">
          <cell r="C8">
            <v>1</v>
          </cell>
          <cell r="D8" t="str">
            <v>TELEPHONE WIRE</v>
          </cell>
          <cell r="E8">
            <v>3</v>
          </cell>
          <cell r="F8">
            <v>0.5</v>
          </cell>
          <cell r="G8" t="str">
            <v>M.</v>
          </cell>
        </row>
        <row r="9">
          <cell r="C9">
            <v>101</v>
          </cell>
          <cell r="D9" t="str">
            <v>-  2/C - 0.5 MM. TIEV</v>
          </cell>
          <cell r="E9">
            <v>4.7</v>
          </cell>
          <cell r="F9">
            <v>1</v>
          </cell>
          <cell r="G9" t="str">
            <v>M.</v>
          </cell>
        </row>
        <row r="10">
          <cell r="C10">
            <v>102</v>
          </cell>
          <cell r="D10" t="str">
            <v>-  3/C - 0.5 MM. TIEV</v>
          </cell>
          <cell r="E10">
            <v>5.4</v>
          </cell>
          <cell r="F10">
            <v>1</v>
          </cell>
          <cell r="G10" t="str">
            <v>M.</v>
          </cell>
        </row>
        <row r="11">
          <cell r="C11">
            <v>103</v>
          </cell>
          <cell r="D11" t="str">
            <v>-  4/C - 0.5 MM. TIEV</v>
          </cell>
          <cell r="E11">
            <v>6.4</v>
          </cell>
          <cell r="F11">
            <v>1</v>
          </cell>
          <cell r="G11" t="str">
            <v>M.</v>
          </cell>
        </row>
        <row r="12">
          <cell r="C12">
            <v>104</v>
          </cell>
          <cell r="D12" t="str">
            <v>-  5/C - 0.5 MM. TIEV</v>
          </cell>
          <cell r="E12">
            <v>7.9</v>
          </cell>
          <cell r="F12">
            <v>1</v>
          </cell>
          <cell r="G12" t="str">
            <v>M.</v>
          </cell>
        </row>
        <row r="13">
          <cell r="C13">
            <v>105</v>
          </cell>
          <cell r="D13" t="str">
            <v>-  6/C - 0.5 MM. TIEV</v>
          </cell>
          <cell r="E13">
            <v>8.5</v>
          </cell>
          <cell r="F13">
            <v>1</v>
          </cell>
          <cell r="G13" t="str">
            <v>M.</v>
          </cell>
        </row>
        <row r="14">
          <cell r="C14">
            <v>106</v>
          </cell>
          <cell r="D14" t="str">
            <v>-  2/C - 0.65 MM. TIEV</v>
          </cell>
          <cell r="E14">
            <v>6.15</v>
          </cell>
          <cell r="F14">
            <v>1</v>
          </cell>
          <cell r="G14" t="str">
            <v>M.</v>
          </cell>
        </row>
        <row r="15">
          <cell r="C15">
            <v>107</v>
          </cell>
          <cell r="D15" t="str">
            <v>-  3/C - 0.65 MM. TIEV</v>
          </cell>
          <cell r="E15">
            <v>7.35</v>
          </cell>
          <cell r="F15">
            <v>1</v>
          </cell>
          <cell r="G15" t="str">
            <v>M.</v>
          </cell>
        </row>
        <row r="16">
          <cell r="C16">
            <v>108</v>
          </cell>
          <cell r="D16" t="str">
            <v>-  4/C - 0.65 MM. TIEV</v>
          </cell>
          <cell r="E16">
            <v>8.8000000000000007</v>
          </cell>
          <cell r="F16">
            <v>1</v>
          </cell>
          <cell r="G16" t="str">
            <v>M.</v>
          </cell>
        </row>
        <row r="17">
          <cell r="C17">
            <v>109</v>
          </cell>
          <cell r="D17" t="str">
            <v>-  5/C - 0.65 MM. TIEV</v>
          </cell>
          <cell r="E17">
            <v>10.4</v>
          </cell>
          <cell r="F17">
            <v>1</v>
          </cell>
          <cell r="G17" t="str">
            <v>M.</v>
          </cell>
        </row>
        <row r="18">
          <cell r="C18">
            <v>110</v>
          </cell>
          <cell r="D18" t="str">
            <v>-  6/C - 0.65 MM. TIEV</v>
          </cell>
          <cell r="E18">
            <v>12.2</v>
          </cell>
          <cell r="F18">
            <v>1</v>
          </cell>
          <cell r="G18" t="str">
            <v>M.</v>
          </cell>
        </row>
        <row r="19">
          <cell r="C19">
            <v>111</v>
          </cell>
          <cell r="D19" t="str">
            <v>-  4 PRS. - 0.5 MM. TPEV</v>
          </cell>
          <cell r="E19">
            <v>23</v>
          </cell>
          <cell r="F19">
            <v>1</v>
          </cell>
          <cell r="G19" t="str">
            <v>M.</v>
          </cell>
        </row>
        <row r="20">
          <cell r="C20">
            <v>112</v>
          </cell>
          <cell r="D20" t="str">
            <v>-  5 PRS. - 0.5 MM. TPEV</v>
          </cell>
          <cell r="E20">
            <v>30</v>
          </cell>
          <cell r="F20">
            <v>2</v>
          </cell>
          <cell r="G20" t="str">
            <v>M.</v>
          </cell>
        </row>
        <row r="21">
          <cell r="C21">
            <v>113</v>
          </cell>
          <cell r="D21" t="str">
            <v>-  6 PRS. - 0.5 MM. TPEV</v>
          </cell>
          <cell r="E21">
            <v>31</v>
          </cell>
          <cell r="F21">
            <v>2</v>
          </cell>
          <cell r="G21" t="str">
            <v>M.</v>
          </cell>
        </row>
        <row r="22">
          <cell r="C22">
            <v>114</v>
          </cell>
          <cell r="D22" t="str">
            <v>-  8 PRS. - 0.5 MM. TPEV</v>
          </cell>
          <cell r="E22">
            <v>34</v>
          </cell>
          <cell r="F22">
            <v>4</v>
          </cell>
          <cell r="G22" t="str">
            <v>M.</v>
          </cell>
        </row>
        <row r="23">
          <cell r="C23">
            <v>115</v>
          </cell>
          <cell r="D23" t="str">
            <v>-  10 PRS. - 0.5 MM. TPEV</v>
          </cell>
          <cell r="E23">
            <v>40</v>
          </cell>
          <cell r="F23">
            <v>6</v>
          </cell>
          <cell r="G23" t="str">
            <v>M.</v>
          </cell>
        </row>
        <row r="24">
          <cell r="C24">
            <v>116</v>
          </cell>
          <cell r="D24" t="str">
            <v>-  12 PRS. - 0.5 MM. TPEV</v>
          </cell>
          <cell r="E24">
            <v>45</v>
          </cell>
          <cell r="F24">
            <v>7</v>
          </cell>
          <cell r="G24" t="str">
            <v>M.</v>
          </cell>
        </row>
        <row r="25">
          <cell r="C25">
            <v>117</v>
          </cell>
          <cell r="D25" t="str">
            <v>-  15 PRS. - 0.5 MM. TPEV</v>
          </cell>
          <cell r="E25">
            <v>50</v>
          </cell>
          <cell r="F25">
            <v>9</v>
          </cell>
          <cell r="G25" t="str">
            <v>M.</v>
          </cell>
        </row>
        <row r="26">
          <cell r="C26">
            <v>118</v>
          </cell>
          <cell r="D26" t="str">
            <v>-  20 PRS. - 0.5 MM. TPEV</v>
          </cell>
          <cell r="E26">
            <v>60</v>
          </cell>
          <cell r="F26">
            <v>11</v>
          </cell>
          <cell r="G26" t="str">
            <v>M.</v>
          </cell>
        </row>
        <row r="27">
          <cell r="C27">
            <v>119</v>
          </cell>
          <cell r="D27" t="str">
            <v>-  25 PRS. - 0.5 MM. TPEV</v>
          </cell>
          <cell r="E27">
            <v>71</v>
          </cell>
          <cell r="F27">
            <v>13</v>
          </cell>
          <cell r="G27" t="str">
            <v>M.</v>
          </cell>
        </row>
        <row r="28">
          <cell r="C28">
            <v>120</v>
          </cell>
          <cell r="D28" t="str">
            <v>-  30 PRS. - 0.5 MM. TPEV</v>
          </cell>
          <cell r="E28">
            <v>85</v>
          </cell>
          <cell r="F28">
            <v>15</v>
          </cell>
          <cell r="G28" t="str">
            <v>M.</v>
          </cell>
        </row>
        <row r="29">
          <cell r="C29">
            <v>121</v>
          </cell>
          <cell r="D29" t="str">
            <v>-  40 PRS. - 0.5 MM. TPEV</v>
          </cell>
          <cell r="E29">
            <v>103</v>
          </cell>
          <cell r="F29">
            <v>17</v>
          </cell>
          <cell r="G29" t="str">
            <v>M.</v>
          </cell>
        </row>
        <row r="30">
          <cell r="C30">
            <v>122</v>
          </cell>
          <cell r="D30" t="str">
            <v>-  50 PRS. - 0.5 MM. TPEV</v>
          </cell>
          <cell r="E30">
            <v>120</v>
          </cell>
          <cell r="F30">
            <v>20</v>
          </cell>
          <cell r="G30" t="str">
            <v>M.</v>
          </cell>
        </row>
        <row r="31">
          <cell r="C31">
            <v>125</v>
          </cell>
          <cell r="D31" t="str">
            <v>SPACE</v>
          </cell>
          <cell r="E31">
            <v>22.5</v>
          </cell>
          <cell r="F31">
            <v>18</v>
          </cell>
          <cell r="G31" t="str">
            <v>M.</v>
          </cell>
        </row>
        <row r="32">
          <cell r="C32">
            <v>127</v>
          </cell>
          <cell r="D32" t="str">
            <v>-  4 PRS. - 0.65 MM. TPEV</v>
          </cell>
          <cell r="E32">
            <v>34</v>
          </cell>
          <cell r="F32">
            <v>1</v>
          </cell>
          <cell r="G32" t="str">
            <v>M.</v>
          </cell>
        </row>
        <row r="33">
          <cell r="C33">
            <v>128</v>
          </cell>
          <cell r="D33" t="str">
            <v>-  5 PRS. - 0.65 MM. TPEV</v>
          </cell>
          <cell r="E33">
            <v>38</v>
          </cell>
          <cell r="F33">
            <v>2</v>
          </cell>
          <cell r="G33" t="str">
            <v>M.</v>
          </cell>
        </row>
        <row r="34">
          <cell r="C34">
            <v>129</v>
          </cell>
          <cell r="D34" t="str">
            <v>-  6 PRS. - 0.65 MM. TPEV</v>
          </cell>
          <cell r="E34">
            <v>41</v>
          </cell>
          <cell r="F34">
            <v>2</v>
          </cell>
          <cell r="G34" t="str">
            <v>M.</v>
          </cell>
        </row>
        <row r="35">
          <cell r="C35">
            <v>130</v>
          </cell>
          <cell r="D35" t="str">
            <v>-  8 PRS. - 0.65 MM. TPEV</v>
          </cell>
          <cell r="E35">
            <v>47</v>
          </cell>
          <cell r="F35">
            <v>4</v>
          </cell>
          <cell r="G35" t="str">
            <v>M.</v>
          </cell>
        </row>
        <row r="36">
          <cell r="C36">
            <v>131</v>
          </cell>
          <cell r="D36" t="str">
            <v>-  10 PRS. - 0.65 MM. TPEV</v>
          </cell>
          <cell r="E36">
            <v>55</v>
          </cell>
          <cell r="F36">
            <v>6</v>
          </cell>
          <cell r="G36" t="str">
            <v>M.</v>
          </cell>
        </row>
        <row r="37">
          <cell r="C37">
            <v>132</v>
          </cell>
          <cell r="D37" t="str">
            <v>-  12 PRS. - 0.65 MM. TPEV</v>
          </cell>
          <cell r="E37">
            <v>62</v>
          </cell>
          <cell r="F37">
            <v>7</v>
          </cell>
          <cell r="G37" t="str">
            <v>M.</v>
          </cell>
        </row>
        <row r="38">
          <cell r="C38">
            <v>133</v>
          </cell>
          <cell r="D38" t="str">
            <v>-  15 PRS. - 0.65 MM. TPEV</v>
          </cell>
          <cell r="E38">
            <v>70</v>
          </cell>
          <cell r="F38">
            <v>9</v>
          </cell>
          <cell r="G38" t="str">
            <v>M.</v>
          </cell>
        </row>
        <row r="39">
          <cell r="C39">
            <v>134</v>
          </cell>
          <cell r="D39" t="str">
            <v>-  20 PRS. - 0.65 MM. TPEV</v>
          </cell>
          <cell r="E39">
            <v>85</v>
          </cell>
          <cell r="F39">
            <v>11</v>
          </cell>
          <cell r="G39" t="str">
            <v>M.</v>
          </cell>
        </row>
        <row r="40">
          <cell r="C40">
            <v>135</v>
          </cell>
          <cell r="D40" t="str">
            <v>-  25 PRS. - 0.65 MM. TPEV</v>
          </cell>
          <cell r="E40">
            <v>100</v>
          </cell>
          <cell r="F40">
            <v>13</v>
          </cell>
          <cell r="G40" t="str">
            <v>M.</v>
          </cell>
        </row>
        <row r="41">
          <cell r="C41">
            <v>136</v>
          </cell>
          <cell r="D41" t="str">
            <v>-  30 PRS. - 0.65 MM. TPEV</v>
          </cell>
          <cell r="E41">
            <v>116</v>
          </cell>
          <cell r="F41">
            <v>15</v>
          </cell>
          <cell r="G41" t="str">
            <v>M.</v>
          </cell>
        </row>
        <row r="42">
          <cell r="C42">
            <v>137</v>
          </cell>
          <cell r="D42" t="str">
            <v>-  40 PRS. - 0.65 MM. TPEV</v>
          </cell>
          <cell r="E42">
            <v>145</v>
          </cell>
          <cell r="F42">
            <v>17</v>
          </cell>
          <cell r="G42" t="str">
            <v>M.</v>
          </cell>
        </row>
        <row r="43">
          <cell r="C43">
            <v>138</v>
          </cell>
          <cell r="D43" t="str">
            <v>-  50 PRS. - 0.65 MM. TPEV</v>
          </cell>
          <cell r="E43">
            <v>175</v>
          </cell>
          <cell r="F43">
            <v>20</v>
          </cell>
          <cell r="G43" t="str">
            <v>M.</v>
          </cell>
        </row>
        <row r="44">
          <cell r="C44">
            <v>139</v>
          </cell>
          <cell r="D44" t="str">
            <v>-  4 PRS. - 0.5 MM. AP</v>
          </cell>
          <cell r="E44">
            <v>82</v>
          </cell>
          <cell r="F44">
            <v>6</v>
          </cell>
          <cell r="G44" t="str">
            <v>M.</v>
          </cell>
        </row>
        <row r="45">
          <cell r="C45">
            <v>140</v>
          </cell>
          <cell r="D45" t="str">
            <v>-  5 PRS. - 0.5 MM. AP</v>
          </cell>
          <cell r="E45">
            <v>84</v>
          </cell>
          <cell r="F45">
            <v>7</v>
          </cell>
          <cell r="G45" t="str">
            <v>M.</v>
          </cell>
        </row>
        <row r="46">
          <cell r="C46">
            <v>141</v>
          </cell>
          <cell r="D46" t="str">
            <v>-  6 PRS. - 0.5 MM. AP</v>
          </cell>
          <cell r="E46">
            <v>86</v>
          </cell>
          <cell r="F46">
            <v>8</v>
          </cell>
          <cell r="G46" t="str">
            <v>M.</v>
          </cell>
        </row>
        <row r="47">
          <cell r="C47">
            <v>142</v>
          </cell>
          <cell r="D47" t="str">
            <v>-  8 PRS. - 0.5 MM. AP</v>
          </cell>
          <cell r="E47">
            <v>0</v>
          </cell>
          <cell r="F47">
            <v>0</v>
          </cell>
          <cell r="G47" t="str">
            <v>M.</v>
          </cell>
        </row>
        <row r="48">
          <cell r="C48">
            <v>143</v>
          </cell>
          <cell r="D48" t="str">
            <v>-  10 PRS. - 0.5 MM. AP</v>
          </cell>
          <cell r="E48">
            <v>95</v>
          </cell>
          <cell r="F48">
            <v>9</v>
          </cell>
          <cell r="G48" t="str">
            <v>M.</v>
          </cell>
        </row>
        <row r="49">
          <cell r="C49">
            <v>144</v>
          </cell>
          <cell r="D49" t="str">
            <v>-  12 PRS. - 0.5 MM. AP</v>
          </cell>
          <cell r="E49">
            <v>100</v>
          </cell>
          <cell r="F49">
            <v>10</v>
          </cell>
          <cell r="G49" t="str">
            <v>M.</v>
          </cell>
        </row>
        <row r="50">
          <cell r="C50">
            <v>145</v>
          </cell>
          <cell r="D50" t="str">
            <v>-  15 PRS. - 0.5 MM. AP</v>
          </cell>
          <cell r="E50">
            <v>107</v>
          </cell>
          <cell r="F50">
            <v>11</v>
          </cell>
          <cell r="G50" t="str">
            <v>M.</v>
          </cell>
        </row>
        <row r="51">
          <cell r="C51">
            <v>146</v>
          </cell>
          <cell r="D51" t="str">
            <v>-  20 PRS. - 0.5 MM. AP</v>
          </cell>
          <cell r="E51">
            <v>122</v>
          </cell>
          <cell r="F51">
            <v>13</v>
          </cell>
          <cell r="G51" t="str">
            <v>M.</v>
          </cell>
        </row>
        <row r="52">
          <cell r="C52">
            <v>147</v>
          </cell>
          <cell r="D52" t="str">
            <v>-  25 PRS. - 0.5 MM. AP</v>
          </cell>
          <cell r="E52">
            <v>126</v>
          </cell>
          <cell r="F52">
            <v>19</v>
          </cell>
          <cell r="G52" t="str">
            <v>M.</v>
          </cell>
        </row>
        <row r="53">
          <cell r="C53">
            <v>148</v>
          </cell>
          <cell r="D53" t="str">
            <v>-  30 PRS. - 0.5 MM. AP</v>
          </cell>
          <cell r="E53">
            <v>139</v>
          </cell>
          <cell r="F53">
            <v>18</v>
          </cell>
          <cell r="G53" t="str">
            <v>M.</v>
          </cell>
        </row>
        <row r="54">
          <cell r="C54">
            <v>149</v>
          </cell>
          <cell r="D54" t="str">
            <v>-  40 PRS. - 0.5 MM. AP</v>
          </cell>
          <cell r="E54">
            <v>0</v>
          </cell>
          <cell r="F54">
            <v>0</v>
          </cell>
          <cell r="G54" t="str">
            <v>M.</v>
          </cell>
        </row>
        <row r="55">
          <cell r="C55">
            <v>150</v>
          </cell>
          <cell r="D55" t="str">
            <v>-  50 PRS. - 0.5 MM. AP</v>
          </cell>
          <cell r="E55">
            <v>186</v>
          </cell>
          <cell r="F55">
            <v>20</v>
          </cell>
          <cell r="G55" t="str">
            <v>M.</v>
          </cell>
        </row>
        <row r="56">
          <cell r="C56">
            <v>151</v>
          </cell>
          <cell r="D56" t="str">
            <v>-  75 PRS. - 0.5 MM. AP</v>
          </cell>
          <cell r="E56">
            <v>246</v>
          </cell>
          <cell r="F56">
            <v>30</v>
          </cell>
          <cell r="G56" t="str">
            <v>M.</v>
          </cell>
        </row>
        <row r="57">
          <cell r="C57">
            <v>152</v>
          </cell>
          <cell r="D57" t="str">
            <v>-  100 PRS. - 0.5 MM. AP</v>
          </cell>
          <cell r="E57">
            <v>293</v>
          </cell>
          <cell r="F57">
            <v>35</v>
          </cell>
          <cell r="G57" t="str">
            <v>M.</v>
          </cell>
        </row>
        <row r="58">
          <cell r="C58">
            <v>153</v>
          </cell>
          <cell r="D58" t="str">
            <v>-  150 PRS. - 0.5 MM. AP</v>
          </cell>
          <cell r="E58">
            <v>420</v>
          </cell>
          <cell r="F58">
            <v>40</v>
          </cell>
          <cell r="G58" t="str">
            <v>M.</v>
          </cell>
        </row>
        <row r="59">
          <cell r="C59">
            <v>154</v>
          </cell>
          <cell r="D59" t="str">
            <v>-  200 PRS. - 0.5 MM. AP</v>
          </cell>
          <cell r="E59">
            <v>530</v>
          </cell>
          <cell r="F59">
            <v>60</v>
          </cell>
          <cell r="G59" t="str">
            <v>M.</v>
          </cell>
        </row>
        <row r="60">
          <cell r="C60">
            <v>155</v>
          </cell>
          <cell r="D60" t="str">
            <v>-  4 PRS. - 0.65 MM. AP</v>
          </cell>
          <cell r="E60">
            <v>88</v>
          </cell>
          <cell r="F60">
            <v>6</v>
          </cell>
          <cell r="G60" t="str">
            <v>M.</v>
          </cell>
        </row>
        <row r="61">
          <cell r="C61">
            <v>156</v>
          </cell>
          <cell r="D61" t="str">
            <v>-  5 PRS. - 0.65 MM. AP</v>
          </cell>
          <cell r="E61">
            <v>92</v>
          </cell>
          <cell r="F61">
            <v>7</v>
          </cell>
          <cell r="G61" t="str">
            <v>M.</v>
          </cell>
        </row>
        <row r="62">
          <cell r="C62">
            <v>157</v>
          </cell>
          <cell r="D62" t="str">
            <v>-  6 PRS. - 0.65 MM. AP</v>
          </cell>
          <cell r="E62">
            <v>95</v>
          </cell>
          <cell r="F62">
            <v>8</v>
          </cell>
          <cell r="G62" t="str">
            <v>M.</v>
          </cell>
        </row>
        <row r="63">
          <cell r="C63">
            <v>158</v>
          </cell>
          <cell r="D63" t="str">
            <v>-  8 PRS. - 0.65 MM. AP</v>
          </cell>
          <cell r="E63">
            <v>0</v>
          </cell>
          <cell r="F63">
            <v>0</v>
          </cell>
          <cell r="G63" t="str">
            <v>M.</v>
          </cell>
        </row>
        <row r="64">
          <cell r="C64">
            <v>159</v>
          </cell>
          <cell r="D64" t="str">
            <v>-  10 PRS. - 0.65 MM. AP</v>
          </cell>
          <cell r="E64">
            <v>109</v>
          </cell>
          <cell r="F64">
            <v>9</v>
          </cell>
          <cell r="G64" t="str">
            <v>M.</v>
          </cell>
        </row>
        <row r="65">
          <cell r="C65">
            <v>160</v>
          </cell>
          <cell r="D65" t="str">
            <v>-  12 PRS. - 0.65 MM. AP</v>
          </cell>
          <cell r="E65">
            <v>119</v>
          </cell>
          <cell r="F65">
            <v>10</v>
          </cell>
          <cell r="G65" t="str">
            <v>M.</v>
          </cell>
        </row>
        <row r="66">
          <cell r="C66">
            <v>161</v>
          </cell>
          <cell r="D66" t="str">
            <v>-  15 PRS. - 0.65 MM. AP</v>
          </cell>
          <cell r="E66">
            <v>130</v>
          </cell>
          <cell r="F66">
            <v>11</v>
          </cell>
          <cell r="G66" t="str">
            <v>M.</v>
          </cell>
        </row>
        <row r="67">
          <cell r="C67">
            <v>162</v>
          </cell>
          <cell r="D67" t="str">
            <v>-  20 PRS. - 0.65 MM. AP</v>
          </cell>
          <cell r="E67">
            <v>147</v>
          </cell>
          <cell r="F67">
            <v>13</v>
          </cell>
          <cell r="G67" t="str">
            <v>M.</v>
          </cell>
        </row>
        <row r="68">
          <cell r="C68">
            <v>163</v>
          </cell>
          <cell r="D68" t="str">
            <v>-  25 PRS. - 0.65 MM. AP</v>
          </cell>
          <cell r="E68">
            <v>156</v>
          </cell>
          <cell r="F68">
            <v>15</v>
          </cell>
          <cell r="G68" t="str">
            <v>M.</v>
          </cell>
        </row>
        <row r="69">
          <cell r="C69">
            <v>164</v>
          </cell>
          <cell r="D69" t="str">
            <v>-  30 PRS. - 0.65 MM. AP</v>
          </cell>
          <cell r="E69">
            <v>180</v>
          </cell>
          <cell r="F69">
            <v>18</v>
          </cell>
          <cell r="G69" t="str">
            <v>M.</v>
          </cell>
        </row>
        <row r="70">
          <cell r="C70">
            <v>165</v>
          </cell>
          <cell r="D70" t="str">
            <v>-  40 PRS. - 0.65 MM. AP</v>
          </cell>
          <cell r="E70">
            <v>0</v>
          </cell>
          <cell r="F70">
            <v>0</v>
          </cell>
          <cell r="G70" t="str">
            <v>M.</v>
          </cell>
        </row>
        <row r="71">
          <cell r="C71">
            <v>166</v>
          </cell>
          <cell r="D71" t="str">
            <v>-  50 PRS. - 0.65 MM. AP</v>
          </cell>
          <cell r="E71">
            <v>254</v>
          </cell>
          <cell r="F71">
            <v>20</v>
          </cell>
          <cell r="G71" t="str">
            <v>M.</v>
          </cell>
        </row>
        <row r="72">
          <cell r="C72">
            <v>167</v>
          </cell>
          <cell r="D72" t="str">
            <v>-  75 PRS. - 0.65 MM. AP</v>
          </cell>
          <cell r="E72">
            <v>330</v>
          </cell>
          <cell r="F72">
            <v>30</v>
          </cell>
          <cell r="G72" t="str">
            <v>M.</v>
          </cell>
        </row>
        <row r="73">
          <cell r="C73">
            <v>168</v>
          </cell>
          <cell r="D73" t="str">
            <v>-  100 PRS. - 0.65 MM. AP</v>
          </cell>
          <cell r="E73">
            <v>405</v>
          </cell>
          <cell r="F73">
            <v>35</v>
          </cell>
          <cell r="G73" t="str">
            <v>M.</v>
          </cell>
        </row>
        <row r="74">
          <cell r="C74">
            <v>169</v>
          </cell>
          <cell r="D74" t="str">
            <v>-  150 PRS. - 0.65 MM. AP</v>
          </cell>
          <cell r="E74">
            <v>590</v>
          </cell>
          <cell r="F74">
            <v>40</v>
          </cell>
          <cell r="G74" t="str">
            <v>M.</v>
          </cell>
        </row>
        <row r="75">
          <cell r="C75">
            <v>170</v>
          </cell>
          <cell r="D75" t="str">
            <v>-  200 PRS. - 0.65 MM. AP</v>
          </cell>
          <cell r="E75">
            <v>790</v>
          </cell>
          <cell r="F75">
            <v>60</v>
          </cell>
          <cell r="G75" t="str">
            <v>M.</v>
          </cell>
        </row>
        <row r="76">
          <cell r="C76">
            <v>170</v>
          </cell>
          <cell r="D76" t="str">
            <v>SPACE</v>
          </cell>
          <cell r="E76">
            <v>1512</v>
          </cell>
          <cell r="F76">
            <v>90</v>
          </cell>
          <cell r="G76" t="str">
            <v>M.</v>
          </cell>
        </row>
        <row r="77">
          <cell r="C77">
            <v>171</v>
          </cell>
          <cell r="D77" t="str">
            <v>FIRE RESISTANT CABLE</v>
          </cell>
          <cell r="E77">
            <v>1861</v>
          </cell>
          <cell r="F77">
            <v>100</v>
          </cell>
          <cell r="G77" t="str">
            <v>M.</v>
          </cell>
        </row>
        <row r="78">
          <cell r="C78">
            <v>171</v>
          </cell>
          <cell r="D78" t="str">
            <v>-  2 PRS. - 1.75 MM. FR TELEPHONE CABLE</v>
          </cell>
          <cell r="E78">
            <v>0</v>
          </cell>
          <cell r="F78">
            <v>3</v>
          </cell>
          <cell r="G78" t="str">
            <v>M.</v>
          </cell>
        </row>
        <row r="79">
          <cell r="C79">
            <v>172</v>
          </cell>
          <cell r="D79" t="str">
            <v>-  3 PRS. - 1.75 MM. FR TELEPHONE CABLE</v>
          </cell>
          <cell r="E79">
            <v>0</v>
          </cell>
          <cell r="F79">
            <v>3</v>
          </cell>
          <cell r="G79" t="str">
            <v>M.</v>
          </cell>
        </row>
        <row r="80">
          <cell r="C80">
            <v>173</v>
          </cell>
          <cell r="D80" t="str">
            <v>-  4 PRS. - 1.75 MM. FR TELEPHONE CABLE</v>
          </cell>
          <cell r="E80">
            <v>0</v>
          </cell>
          <cell r="F80">
            <v>3</v>
          </cell>
          <cell r="G80" t="str">
            <v>M.</v>
          </cell>
        </row>
        <row r="81">
          <cell r="C81">
            <v>174</v>
          </cell>
          <cell r="D81" t="str">
            <v>-  5 PRS. - 1.75 MM. FR TELEPHONE CABLE</v>
          </cell>
          <cell r="E81">
            <v>0</v>
          </cell>
          <cell r="F81">
            <v>3</v>
          </cell>
          <cell r="G81" t="str">
            <v>M.</v>
          </cell>
        </row>
        <row r="82">
          <cell r="C82">
            <v>175</v>
          </cell>
          <cell r="D82" t="str">
            <v>-  6 PRS. - 1.75 MM. FR TELEPHONE CABLE</v>
          </cell>
          <cell r="E82">
            <v>0</v>
          </cell>
          <cell r="F82">
            <v>5</v>
          </cell>
          <cell r="G82" t="str">
            <v>M.</v>
          </cell>
        </row>
        <row r="83">
          <cell r="C83">
            <v>176</v>
          </cell>
          <cell r="D83" t="str">
            <v>-  10 PRS. - 1.75 MM. FR TELEPHONE CABLE</v>
          </cell>
          <cell r="E83">
            <v>0</v>
          </cell>
          <cell r="F83">
            <v>5</v>
          </cell>
          <cell r="G83" t="str">
            <v>M.</v>
          </cell>
        </row>
        <row r="84">
          <cell r="C84">
            <v>177</v>
          </cell>
          <cell r="D84" t="str">
            <v>-  15 PRS. - 1.75 MM. FR TELEPHONE CABLE</v>
          </cell>
          <cell r="E84">
            <v>0</v>
          </cell>
          <cell r="F84">
            <v>5</v>
          </cell>
          <cell r="G84" t="str">
            <v>M.</v>
          </cell>
        </row>
        <row r="85">
          <cell r="C85">
            <v>178</v>
          </cell>
          <cell r="D85" t="str">
            <v>-  20 PRS. - 1.75 MM. FR TELEPHONE CABLE</v>
          </cell>
          <cell r="E85">
            <v>0</v>
          </cell>
          <cell r="F85">
            <v>6</v>
          </cell>
          <cell r="G85" t="str">
            <v>M.</v>
          </cell>
        </row>
        <row r="86">
          <cell r="C86">
            <v>179</v>
          </cell>
          <cell r="D86" t="str">
            <v>-  25 PRS. - 1.75 MM. FR TELEPHONE CABLE</v>
          </cell>
          <cell r="E86">
            <v>0</v>
          </cell>
          <cell r="F86">
            <v>6</v>
          </cell>
          <cell r="G86" t="str">
            <v>M.</v>
          </cell>
        </row>
        <row r="87">
          <cell r="C87">
            <v>180</v>
          </cell>
          <cell r="D87" t="str">
            <v>-  35 PRS. - 1.75 MM. FR TELEPHONE CABLE</v>
          </cell>
          <cell r="E87">
            <v>0</v>
          </cell>
          <cell r="F87">
            <v>7</v>
          </cell>
          <cell r="G87" t="str">
            <v>M.</v>
          </cell>
        </row>
        <row r="88">
          <cell r="C88">
            <v>181</v>
          </cell>
          <cell r="D88" t="str">
            <v>-  50 PRS. - 1.75 MM. FR TELEPHONE CABLE</v>
          </cell>
          <cell r="E88">
            <v>0</v>
          </cell>
          <cell r="F88">
            <v>7</v>
          </cell>
          <cell r="G88" t="str">
            <v>M.</v>
          </cell>
        </row>
        <row r="89">
          <cell r="C89">
            <v>182</v>
          </cell>
          <cell r="D89" t="str">
            <v>-  100 PRS. - 1.75 MM. FR TELEPHONE CABLE</v>
          </cell>
          <cell r="E89">
            <v>0</v>
          </cell>
          <cell r="F89">
            <v>7</v>
          </cell>
          <cell r="G89" t="str">
            <v>M.</v>
          </cell>
        </row>
        <row r="90">
          <cell r="C90">
            <v>184</v>
          </cell>
          <cell r="D90" t="str">
            <v>SPACE</v>
          </cell>
          <cell r="E90">
            <v>1012</v>
          </cell>
          <cell r="F90">
            <v>85</v>
          </cell>
          <cell r="G90" t="str">
            <v>M.</v>
          </cell>
        </row>
        <row r="91">
          <cell r="C91">
            <v>2</v>
          </cell>
          <cell r="D91" t="str">
            <v>TC, MDF, PABX AND ACCESSORIES</v>
          </cell>
          <cell r="E91">
            <v>1233</v>
          </cell>
          <cell r="F91">
            <v>90</v>
          </cell>
          <cell r="G91" t="str">
            <v>M.</v>
          </cell>
        </row>
        <row r="92">
          <cell r="C92">
            <v>201</v>
          </cell>
          <cell r="D92" t="str">
            <v>-  TC 10 PRS.</v>
          </cell>
          <cell r="E92">
            <v>655</v>
          </cell>
          <cell r="F92">
            <v>50</v>
          </cell>
          <cell r="G92" t="str">
            <v>M.</v>
          </cell>
        </row>
        <row r="93">
          <cell r="C93">
            <v>202</v>
          </cell>
          <cell r="D93" t="str">
            <v>-  TC 20 PRS.</v>
          </cell>
          <cell r="E93">
            <v>985</v>
          </cell>
          <cell r="F93">
            <v>70</v>
          </cell>
          <cell r="G93" t="str">
            <v>M.</v>
          </cell>
        </row>
        <row r="94">
          <cell r="C94">
            <v>203</v>
          </cell>
          <cell r="D94" t="str">
            <v>-  TC 30 PRS.</v>
          </cell>
          <cell r="E94">
            <v>1300</v>
          </cell>
          <cell r="F94">
            <v>100</v>
          </cell>
          <cell r="G94" t="str">
            <v>M.</v>
          </cell>
        </row>
        <row r="95">
          <cell r="C95">
            <v>204</v>
          </cell>
          <cell r="D95" t="str">
            <v>-  TC 40 PRS.</v>
          </cell>
          <cell r="E95">
            <v>1750</v>
          </cell>
          <cell r="F95">
            <v>125</v>
          </cell>
          <cell r="G95" t="str">
            <v>SET</v>
          </cell>
        </row>
        <row r="96">
          <cell r="C96">
            <v>205</v>
          </cell>
          <cell r="D96" t="str">
            <v>-  TC 50 PRS.</v>
          </cell>
          <cell r="E96">
            <v>2100</v>
          </cell>
          <cell r="F96">
            <v>150</v>
          </cell>
          <cell r="G96" t="str">
            <v>SET</v>
          </cell>
        </row>
        <row r="97">
          <cell r="C97">
            <v>206</v>
          </cell>
          <cell r="D97" t="str">
            <v>-  TC 60 PRS.</v>
          </cell>
          <cell r="E97">
            <v>2400</v>
          </cell>
          <cell r="F97">
            <v>200</v>
          </cell>
          <cell r="G97" t="str">
            <v>M.</v>
          </cell>
        </row>
        <row r="98">
          <cell r="C98">
            <v>207</v>
          </cell>
          <cell r="D98" t="str">
            <v>-  TC 70 PRS.</v>
          </cell>
          <cell r="E98">
            <v>2700</v>
          </cell>
          <cell r="F98">
            <v>250</v>
          </cell>
          <cell r="G98" t="str">
            <v>M.</v>
          </cell>
        </row>
        <row r="99">
          <cell r="C99">
            <v>208</v>
          </cell>
          <cell r="D99" t="str">
            <v>-  TC 80 PRS.</v>
          </cell>
          <cell r="E99">
            <v>3200</v>
          </cell>
          <cell r="F99">
            <v>250</v>
          </cell>
          <cell r="G99" t="str">
            <v>M.</v>
          </cell>
        </row>
        <row r="100">
          <cell r="C100">
            <v>209</v>
          </cell>
          <cell r="D100" t="str">
            <v>-  TC 90 PRS.</v>
          </cell>
          <cell r="E100">
            <v>3500</v>
          </cell>
          <cell r="F100">
            <v>300</v>
          </cell>
          <cell r="G100" t="str">
            <v>M.</v>
          </cell>
        </row>
        <row r="101">
          <cell r="C101">
            <v>210</v>
          </cell>
          <cell r="D101" t="str">
            <v>-  TC 100 PRS.</v>
          </cell>
          <cell r="E101">
            <v>3800</v>
          </cell>
          <cell r="F101">
            <v>300</v>
          </cell>
          <cell r="G101" t="str">
            <v>M.</v>
          </cell>
        </row>
        <row r="102">
          <cell r="C102">
            <v>211</v>
          </cell>
          <cell r="D102" t="str">
            <v>-  MDF 50 PRS.</v>
          </cell>
          <cell r="E102">
            <v>2600</v>
          </cell>
          <cell r="F102">
            <v>500</v>
          </cell>
          <cell r="G102" t="str">
            <v>M.</v>
          </cell>
        </row>
        <row r="103">
          <cell r="C103">
            <v>212</v>
          </cell>
          <cell r="D103" t="str">
            <v>-  MDF 100 PRS.</v>
          </cell>
          <cell r="E103">
            <v>4700</v>
          </cell>
          <cell r="F103">
            <v>900</v>
          </cell>
          <cell r="G103" t="str">
            <v>M.</v>
          </cell>
        </row>
        <row r="104">
          <cell r="C104">
            <v>213</v>
          </cell>
          <cell r="D104" t="str">
            <v>-  MDF 200 PRS.</v>
          </cell>
          <cell r="E104">
            <v>8000</v>
          </cell>
          <cell r="F104">
            <v>1600</v>
          </cell>
          <cell r="G104" t="str">
            <v>M.</v>
          </cell>
        </row>
        <row r="105">
          <cell r="C105">
            <v>214</v>
          </cell>
          <cell r="D105" t="str">
            <v>-  MDF 300 PRS.</v>
          </cell>
          <cell r="E105">
            <v>12500</v>
          </cell>
          <cell r="F105">
            <v>2500</v>
          </cell>
          <cell r="G105" t="str">
            <v>M.</v>
          </cell>
        </row>
        <row r="106">
          <cell r="C106">
            <v>215</v>
          </cell>
          <cell r="D106" t="str">
            <v>-  MDF 400 PRS.</v>
          </cell>
          <cell r="E106">
            <v>16000</v>
          </cell>
          <cell r="F106">
            <v>3200</v>
          </cell>
          <cell r="G106" t="str">
            <v>M.</v>
          </cell>
        </row>
        <row r="107">
          <cell r="C107">
            <v>216</v>
          </cell>
          <cell r="D107" t="str">
            <v>-  MDF 500 PRS.</v>
          </cell>
          <cell r="E107">
            <v>20000</v>
          </cell>
          <cell r="F107">
            <v>4200</v>
          </cell>
          <cell r="G107" t="str">
            <v>M.</v>
          </cell>
        </row>
        <row r="108">
          <cell r="C108">
            <v>217</v>
          </cell>
          <cell r="D108" t="str">
            <v>-  MDF 600 PRS.</v>
          </cell>
          <cell r="E108">
            <v>25000</v>
          </cell>
          <cell r="F108">
            <v>5100</v>
          </cell>
          <cell r="G108" t="str">
            <v>M.</v>
          </cell>
        </row>
        <row r="109">
          <cell r="C109">
            <v>218</v>
          </cell>
          <cell r="D109" t="str">
            <v>-  MDF 700 PRS.</v>
          </cell>
          <cell r="E109">
            <v>28500</v>
          </cell>
          <cell r="F109">
            <v>5800</v>
          </cell>
          <cell r="G109" t="str">
            <v>M.</v>
          </cell>
        </row>
        <row r="110">
          <cell r="C110">
            <v>219</v>
          </cell>
          <cell r="D110" t="str">
            <v>-  MDF 800 PRS.</v>
          </cell>
          <cell r="E110">
            <v>32000</v>
          </cell>
          <cell r="F110">
            <v>6400</v>
          </cell>
          <cell r="G110" t="str">
            <v>M.</v>
          </cell>
        </row>
        <row r="111">
          <cell r="C111">
            <v>220</v>
          </cell>
          <cell r="D111" t="str">
            <v>-  MDF 900 PRS.</v>
          </cell>
          <cell r="E111">
            <v>36000</v>
          </cell>
          <cell r="F111">
            <v>7400</v>
          </cell>
          <cell r="G111" t="str">
            <v>M.</v>
          </cell>
        </row>
        <row r="112">
          <cell r="C112">
            <v>221</v>
          </cell>
          <cell r="D112" t="str">
            <v>-  MDF 1,000 PRS.</v>
          </cell>
          <cell r="E112">
            <v>40000</v>
          </cell>
          <cell r="F112">
            <v>8400</v>
          </cell>
          <cell r="G112" t="str">
            <v>M.</v>
          </cell>
        </row>
        <row r="113">
          <cell r="C113">
            <v>222</v>
          </cell>
          <cell r="D113" t="str">
            <v>-  MDF 1,200 PRS.</v>
          </cell>
          <cell r="E113">
            <v>50000</v>
          </cell>
          <cell r="F113">
            <v>10000</v>
          </cell>
          <cell r="G113" t="str">
            <v>M.</v>
          </cell>
        </row>
        <row r="114">
          <cell r="C114">
            <v>223</v>
          </cell>
          <cell r="D114" t="str">
            <v>-  MDF 1,500 PRS.</v>
          </cell>
          <cell r="E114">
            <v>60500</v>
          </cell>
          <cell r="F114">
            <v>12000</v>
          </cell>
          <cell r="G114" t="str">
            <v>M.</v>
          </cell>
        </row>
        <row r="115">
          <cell r="C115">
            <v>224</v>
          </cell>
          <cell r="D115" t="str">
            <v>-  MDF 2,000 PRS.</v>
          </cell>
          <cell r="E115">
            <v>80000</v>
          </cell>
          <cell r="F115">
            <v>16000</v>
          </cell>
          <cell r="G115" t="str">
            <v>M.</v>
          </cell>
        </row>
        <row r="116">
          <cell r="C116">
            <v>225</v>
          </cell>
          <cell r="D116" t="str">
            <v>-  MDF 2,500 PRS.</v>
          </cell>
          <cell r="E116">
            <v>100000</v>
          </cell>
          <cell r="F116">
            <v>20000</v>
          </cell>
          <cell r="G116" t="str">
            <v>M.</v>
          </cell>
        </row>
        <row r="117">
          <cell r="C117">
            <v>226</v>
          </cell>
          <cell r="D117" t="str">
            <v>-  MDF 3,000 PRS.</v>
          </cell>
          <cell r="E117">
            <v>120000</v>
          </cell>
          <cell r="F117">
            <v>24000</v>
          </cell>
          <cell r="G117" t="str">
            <v>M.</v>
          </cell>
        </row>
        <row r="118">
          <cell r="C118">
            <v>227</v>
          </cell>
          <cell r="D118" t="str">
            <v>-  MDF 3,500 PRS.</v>
          </cell>
          <cell r="E118">
            <v>140000</v>
          </cell>
          <cell r="F118">
            <v>28000</v>
          </cell>
          <cell r="G118" t="str">
            <v>M.</v>
          </cell>
        </row>
        <row r="119">
          <cell r="C119">
            <v>228</v>
          </cell>
          <cell r="D119" t="str">
            <v>-  MDF 4,000 PRS.</v>
          </cell>
          <cell r="E119">
            <v>160000</v>
          </cell>
          <cell r="F119">
            <v>32000</v>
          </cell>
          <cell r="G119" t="str">
            <v>M.</v>
          </cell>
        </row>
        <row r="120">
          <cell r="C120">
            <v>229</v>
          </cell>
          <cell r="D120" t="str">
            <v>-  MDF 4,500 PRS.</v>
          </cell>
          <cell r="E120">
            <v>180000</v>
          </cell>
          <cell r="F120">
            <v>36000</v>
          </cell>
          <cell r="G120" t="str">
            <v>M.</v>
          </cell>
        </row>
        <row r="121">
          <cell r="C121">
            <v>230</v>
          </cell>
          <cell r="D121" t="str">
            <v>-  MDF 5,000 PRS.</v>
          </cell>
          <cell r="E121">
            <v>200000</v>
          </cell>
          <cell r="F121">
            <v>40000</v>
          </cell>
          <cell r="G121" t="str">
            <v>M.</v>
          </cell>
        </row>
        <row r="122">
          <cell r="C122">
            <v>216</v>
          </cell>
          <cell r="D122" t="str">
            <v>PABX</v>
          </cell>
          <cell r="E122">
            <v>2221</v>
          </cell>
          <cell r="F122">
            <v>120</v>
          </cell>
          <cell r="G122" t="str">
            <v>M.</v>
          </cell>
        </row>
        <row r="123">
          <cell r="C123">
            <v>231</v>
          </cell>
          <cell r="D123" t="str">
            <v>-  10/40 LINE PABX</v>
          </cell>
          <cell r="E123">
            <v>450000</v>
          </cell>
          <cell r="F123">
            <v>0</v>
          </cell>
          <cell r="G123" t="str">
            <v>M.</v>
          </cell>
        </row>
        <row r="124">
          <cell r="C124">
            <v>232</v>
          </cell>
          <cell r="D124" t="str">
            <v>-  20/80 LINE PABX</v>
          </cell>
          <cell r="E124">
            <v>800000</v>
          </cell>
          <cell r="F124">
            <v>0</v>
          </cell>
          <cell r="G124" t="str">
            <v>M.</v>
          </cell>
        </row>
        <row r="125">
          <cell r="C125">
            <v>233</v>
          </cell>
          <cell r="D125" t="str">
            <v>-  30/120 LINE PABX</v>
          </cell>
          <cell r="E125">
            <v>950000</v>
          </cell>
          <cell r="F125">
            <v>0</v>
          </cell>
          <cell r="G125" t="str">
            <v>M.</v>
          </cell>
        </row>
        <row r="126">
          <cell r="C126">
            <v>234</v>
          </cell>
          <cell r="D126" t="str">
            <v>-  40/1600 LINE PABX</v>
          </cell>
          <cell r="E126">
            <v>1050000</v>
          </cell>
          <cell r="F126">
            <v>0</v>
          </cell>
          <cell r="G126" t="str">
            <v>M.</v>
          </cell>
        </row>
        <row r="127">
          <cell r="C127">
            <v>235</v>
          </cell>
          <cell r="D127" t="str">
            <v>-  50/200 LINE PABX</v>
          </cell>
          <cell r="E127">
            <v>1200000</v>
          </cell>
          <cell r="F127">
            <v>0</v>
          </cell>
          <cell r="G127" t="str">
            <v>M.</v>
          </cell>
        </row>
        <row r="128">
          <cell r="C128">
            <v>236</v>
          </cell>
          <cell r="D128" t="str">
            <v>-  60/240 LINE PABX</v>
          </cell>
          <cell r="E128">
            <v>1250000</v>
          </cell>
          <cell r="F128">
            <v>0</v>
          </cell>
          <cell r="G128" t="str">
            <v>M.</v>
          </cell>
        </row>
        <row r="129">
          <cell r="C129">
            <v>237</v>
          </cell>
          <cell r="D129" t="str">
            <v>-  70/280 LINE PABX</v>
          </cell>
          <cell r="E129">
            <v>1300000</v>
          </cell>
          <cell r="F129">
            <v>0</v>
          </cell>
          <cell r="G129" t="str">
            <v>M.</v>
          </cell>
        </row>
        <row r="130">
          <cell r="C130">
            <v>238</v>
          </cell>
          <cell r="D130" t="str">
            <v>-  80/320 LINE PABX</v>
          </cell>
          <cell r="E130">
            <v>1500000</v>
          </cell>
          <cell r="F130">
            <v>0</v>
          </cell>
          <cell r="G130" t="str">
            <v>M.</v>
          </cell>
        </row>
        <row r="131">
          <cell r="C131">
            <v>239</v>
          </cell>
          <cell r="D131" t="str">
            <v>-  90/360 LINE PABX</v>
          </cell>
          <cell r="E131">
            <v>1700000</v>
          </cell>
          <cell r="F131">
            <v>0</v>
          </cell>
          <cell r="G131" t="str">
            <v>M.</v>
          </cell>
        </row>
        <row r="132">
          <cell r="C132">
            <v>240</v>
          </cell>
          <cell r="D132" t="str">
            <v>-  100/400 LINE PABX</v>
          </cell>
          <cell r="E132">
            <v>1900000</v>
          </cell>
          <cell r="F132">
            <v>0</v>
          </cell>
          <cell r="G132" t="str">
            <v>M.</v>
          </cell>
        </row>
        <row r="133">
          <cell r="C133">
            <v>227</v>
          </cell>
          <cell r="D133" t="str">
            <v>SPACE</v>
          </cell>
          <cell r="E133">
            <v>1564</v>
          </cell>
          <cell r="F133">
            <v>120</v>
          </cell>
          <cell r="G133" t="str">
            <v>M.</v>
          </cell>
        </row>
        <row r="134">
          <cell r="C134">
            <v>246</v>
          </cell>
          <cell r="D134" t="str">
            <v>-  10/100 LINE PABX</v>
          </cell>
          <cell r="E134">
            <v>600000</v>
          </cell>
          <cell r="F134">
            <v>0</v>
          </cell>
          <cell r="G134" t="str">
            <v>M.</v>
          </cell>
        </row>
        <row r="135">
          <cell r="C135">
            <v>247</v>
          </cell>
          <cell r="D135" t="str">
            <v>-  20/200 LINE PABX</v>
          </cell>
          <cell r="E135">
            <v>1000000</v>
          </cell>
          <cell r="F135">
            <v>0</v>
          </cell>
          <cell r="G135" t="str">
            <v>M.</v>
          </cell>
        </row>
        <row r="136">
          <cell r="C136">
            <v>248</v>
          </cell>
          <cell r="D136" t="str">
            <v>-  30/300 LINE PABX</v>
          </cell>
          <cell r="E136">
            <v>1250000</v>
          </cell>
          <cell r="F136">
            <v>0</v>
          </cell>
          <cell r="G136" t="str">
            <v>M.</v>
          </cell>
        </row>
        <row r="137">
          <cell r="C137">
            <v>249</v>
          </cell>
          <cell r="D137" t="str">
            <v>-  40/400 LINE PABX</v>
          </cell>
          <cell r="E137">
            <v>1650000</v>
          </cell>
          <cell r="F137">
            <v>0</v>
          </cell>
          <cell r="G137" t="str">
            <v>M.</v>
          </cell>
        </row>
        <row r="138">
          <cell r="C138">
            <v>250</v>
          </cell>
          <cell r="D138" t="str">
            <v>-  50/500 LINE PABX</v>
          </cell>
          <cell r="E138">
            <v>1900000</v>
          </cell>
          <cell r="F138">
            <v>0</v>
          </cell>
          <cell r="G138" t="str">
            <v>M.</v>
          </cell>
        </row>
        <row r="139">
          <cell r="C139">
            <v>251</v>
          </cell>
          <cell r="D139" t="str">
            <v>-  60/600 LINE PABX</v>
          </cell>
          <cell r="E139">
            <v>2100000</v>
          </cell>
          <cell r="F139">
            <v>0</v>
          </cell>
          <cell r="G139" t="str">
            <v>M.</v>
          </cell>
        </row>
        <row r="140">
          <cell r="C140">
            <v>252</v>
          </cell>
          <cell r="D140" t="str">
            <v>-  70/700 LINE PABX</v>
          </cell>
          <cell r="E140">
            <v>2400000</v>
          </cell>
          <cell r="F140">
            <v>0</v>
          </cell>
          <cell r="G140" t="str">
            <v>M.</v>
          </cell>
        </row>
        <row r="141">
          <cell r="C141">
            <v>253</v>
          </cell>
          <cell r="D141" t="str">
            <v>-  80/800 LINE PABX</v>
          </cell>
          <cell r="E141">
            <v>0</v>
          </cell>
          <cell r="F141">
            <v>0</v>
          </cell>
          <cell r="G141" t="str">
            <v>M.</v>
          </cell>
        </row>
        <row r="142">
          <cell r="C142">
            <v>254</v>
          </cell>
          <cell r="D142" t="str">
            <v>-  90/900 LINE PABX</v>
          </cell>
          <cell r="E142">
            <v>0</v>
          </cell>
          <cell r="F142">
            <v>0</v>
          </cell>
          <cell r="G142" t="str">
            <v>M.</v>
          </cell>
        </row>
        <row r="143">
          <cell r="C143">
            <v>255</v>
          </cell>
          <cell r="D143" t="str">
            <v>-  100/1,000 LINE PABX</v>
          </cell>
          <cell r="E143">
            <v>0</v>
          </cell>
          <cell r="F143">
            <v>0</v>
          </cell>
          <cell r="G143" t="str">
            <v>M.</v>
          </cell>
        </row>
        <row r="144">
          <cell r="C144">
            <v>238</v>
          </cell>
          <cell r="D144" t="str">
            <v>SPACE</v>
          </cell>
          <cell r="E144">
            <v>77</v>
          </cell>
          <cell r="F144">
            <v>18</v>
          </cell>
          <cell r="G144" t="str">
            <v>M.</v>
          </cell>
        </row>
        <row r="145">
          <cell r="C145">
            <v>239</v>
          </cell>
          <cell r="D145" t="str">
            <v>ACCESSORIES</v>
          </cell>
          <cell r="E145">
            <v>103</v>
          </cell>
          <cell r="F145">
            <v>20</v>
          </cell>
          <cell r="G145" t="str">
            <v>M.</v>
          </cell>
        </row>
        <row r="146">
          <cell r="C146">
            <v>261</v>
          </cell>
          <cell r="D146" t="str">
            <v>-  LIGHTNING ARRESTER</v>
          </cell>
          <cell r="E146">
            <v>105</v>
          </cell>
          <cell r="F146">
            <v>20</v>
          </cell>
          <cell r="G146" t="str">
            <v>SET</v>
          </cell>
        </row>
        <row r="147">
          <cell r="C147">
            <v>262</v>
          </cell>
          <cell r="D147" t="str">
            <v>-  OPERATER CONSOLE</v>
          </cell>
          <cell r="E147">
            <v>28000</v>
          </cell>
          <cell r="F147">
            <v>0</v>
          </cell>
          <cell r="G147" t="str">
            <v>SET</v>
          </cell>
        </row>
        <row r="148">
          <cell r="C148">
            <v>263</v>
          </cell>
          <cell r="D148" t="str">
            <v>-  TELEPHONE OUTLET (PLASTIC PLATE)</v>
          </cell>
          <cell r="E148">
            <v>160</v>
          </cell>
          <cell r="F148">
            <v>50</v>
          </cell>
          <cell r="G148" t="str">
            <v>SET</v>
          </cell>
        </row>
        <row r="149">
          <cell r="C149">
            <v>264</v>
          </cell>
          <cell r="D149" t="str">
            <v>-  TELEPHONE OUTLET (ALUMINIUM PLATE)</v>
          </cell>
          <cell r="E149">
            <v>190</v>
          </cell>
          <cell r="F149">
            <v>50</v>
          </cell>
          <cell r="G149" t="str">
            <v>SET</v>
          </cell>
        </row>
        <row r="150">
          <cell r="C150">
            <v>265</v>
          </cell>
          <cell r="D150" t="str">
            <v>-  TELEPHONE OUTLET (STAINLESS PLATE)</v>
          </cell>
          <cell r="E150">
            <v>210</v>
          </cell>
          <cell r="F150">
            <v>50</v>
          </cell>
          <cell r="G150" t="str">
            <v>SET</v>
          </cell>
        </row>
        <row r="151">
          <cell r="C151">
            <v>266</v>
          </cell>
          <cell r="D151" t="str">
            <v>-  TELEPHONE OUTLET (ALUMINIUM PLATE, LIVING STYLE)</v>
          </cell>
          <cell r="E151">
            <v>600</v>
          </cell>
          <cell r="F151">
            <v>100</v>
          </cell>
          <cell r="G151" t="str">
            <v>SET</v>
          </cell>
        </row>
        <row r="152">
          <cell r="C152">
            <v>267</v>
          </cell>
          <cell r="D152" t="str">
            <v>-  TELEPHONE OUTLET (CHROMIUM PLATE PLATE, LIVING STYLE)</v>
          </cell>
          <cell r="E152">
            <v>870</v>
          </cell>
          <cell r="F152">
            <v>100</v>
          </cell>
          <cell r="G152" t="str">
            <v>SET</v>
          </cell>
        </row>
        <row r="153">
          <cell r="C153">
            <v>247</v>
          </cell>
          <cell r="D153" t="str">
            <v xml:space="preserve">   SPACE</v>
          </cell>
          <cell r="E153">
            <v>753</v>
          </cell>
          <cell r="F153">
            <v>80</v>
          </cell>
          <cell r="G153" t="str">
            <v>M.</v>
          </cell>
        </row>
        <row r="154">
          <cell r="C154">
            <v>3</v>
          </cell>
          <cell r="D154" t="str">
            <v>TELECOMMUNICATION</v>
          </cell>
          <cell r="E154">
            <v>30</v>
          </cell>
          <cell r="F154">
            <v>8</v>
          </cell>
          <cell r="G154" t="str">
            <v>M.</v>
          </cell>
        </row>
        <row r="155">
          <cell r="C155">
            <v>249</v>
          </cell>
          <cell r="D155" t="str">
            <v>MODULE &amp; ACCESSORIES</v>
          </cell>
          <cell r="E155">
            <v>36</v>
          </cell>
          <cell r="F155">
            <v>10</v>
          </cell>
          <cell r="G155" t="str">
            <v>M.</v>
          </cell>
        </row>
        <row r="156">
          <cell r="C156">
            <v>301</v>
          </cell>
          <cell r="D156" t="str">
            <v>-  24 PORTS-CAT5 PATCH PANEL</v>
          </cell>
          <cell r="E156">
            <v>5500</v>
          </cell>
          <cell r="F156">
            <v>300</v>
          </cell>
          <cell r="G156" t="str">
            <v>LOT</v>
          </cell>
        </row>
        <row r="157">
          <cell r="C157">
            <v>302</v>
          </cell>
          <cell r="D157" t="str">
            <v>-  32 PORTS-CAT5 PATCH PANEL</v>
          </cell>
          <cell r="E157">
            <v>8500</v>
          </cell>
          <cell r="F157">
            <v>450</v>
          </cell>
          <cell r="G157" t="str">
            <v>LOT</v>
          </cell>
        </row>
        <row r="158">
          <cell r="C158">
            <v>303</v>
          </cell>
          <cell r="D158" t="str">
            <v>-  48 PORTS-CAT5 PATCH PANEL</v>
          </cell>
          <cell r="E158">
            <v>11000</v>
          </cell>
          <cell r="F158">
            <v>600</v>
          </cell>
          <cell r="G158" t="str">
            <v>LOT</v>
          </cell>
        </row>
        <row r="159">
          <cell r="C159">
            <v>304</v>
          </cell>
          <cell r="D159" t="str">
            <v>-  64 PORTS-CAT5 PATCH PANEL</v>
          </cell>
          <cell r="E159">
            <v>16500</v>
          </cell>
          <cell r="F159">
            <v>900</v>
          </cell>
          <cell r="G159" t="str">
            <v>LOT</v>
          </cell>
        </row>
        <row r="160">
          <cell r="C160">
            <v>305</v>
          </cell>
          <cell r="D160" t="str">
            <v>-  96 PORTS-CAT5 PATCH PANEL</v>
          </cell>
          <cell r="E160">
            <v>21000</v>
          </cell>
          <cell r="F160">
            <v>1000</v>
          </cell>
          <cell r="G160" t="str">
            <v>LOT</v>
          </cell>
        </row>
        <row r="161">
          <cell r="C161">
            <v>255</v>
          </cell>
          <cell r="D161" t="str">
            <v>SPACE</v>
          </cell>
          <cell r="E161">
            <v>228</v>
          </cell>
          <cell r="F161">
            <v>35</v>
          </cell>
          <cell r="G161" t="str">
            <v>M.</v>
          </cell>
        </row>
        <row r="162">
          <cell r="C162">
            <v>311</v>
          </cell>
          <cell r="D162" t="str">
            <v>-  1xRJ45 MODULAR JACK</v>
          </cell>
          <cell r="E162">
            <v>280</v>
          </cell>
          <cell r="F162">
            <v>70</v>
          </cell>
          <cell r="G162" t="str">
            <v>SET</v>
          </cell>
        </row>
        <row r="163">
          <cell r="C163">
            <v>312</v>
          </cell>
          <cell r="D163" t="str">
            <v>-  2xRJ45 MODULAR JACK</v>
          </cell>
          <cell r="E163">
            <v>440</v>
          </cell>
          <cell r="F163">
            <v>100</v>
          </cell>
          <cell r="G163" t="str">
            <v>SET</v>
          </cell>
        </row>
        <row r="164">
          <cell r="C164">
            <v>313</v>
          </cell>
          <cell r="D164" t="str">
            <v>-  1xRJ45+1xRJ11 MODULAR JACK</v>
          </cell>
          <cell r="E164">
            <v>350</v>
          </cell>
          <cell r="F164">
            <v>100</v>
          </cell>
          <cell r="G164" t="str">
            <v>SET</v>
          </cell>
        </row>
        <row r="165">
          <cell r="C165">
            <v>314</v>
          </cell>
          <cell r="D165" t="str">
            <v>-  4xRJ45 MODULAR JACK</v>
          </cell>
          <cell r="E165">
            <v>760</v>
          </cell>
          <cell r="F165">
            <v>200</v>
          </cell>
          <cell r="G165" t="str">
            <v>SET</v>
          </cell>
        </row>
        <row r="166">
          <cell r="C166">
            <v>315</v>
          </cell>
          <cell r="D166" t="str">
            <v>-  3xRJ45+1xRJ11 MODULAR JACK</v>
          </cell>
          <cell r="E166">
            <v>670</v>
          </cell>
          <cell r="F166">
            <v>200</v>
          </cell>
          <cell r="G166" t="str">
            <v>SET</v>
          </cell>
        </row>
        <row r="167">
          <cell r="C167">
            <v>316</v>
          </cell>
          <cell r="D167" t="str">
            <v>-  2xRJ45+1xRJ11 MODULAR JACK</v>
          </cell>
          <cell r="E167">
            <v>580</v>
          </cell>
          <cell r="F167">
            <v>200</v>
          </cell>
          <cell r="G167" t="str">
            <v>SET</v>
          </cell>
        </row>
        <row r="168">
          <cell r="C168">
            <v>317</v>
          </cell>
          <cell r="D168" t="str">
            <v>-  6xRJ45 MODULAR JACK</v>
          </cell>
          <cell r="E168">
            <v>1140</v>
          </cell>
          <cell r="F168">
            <v>300</v>
          </cell>
          <cell r="G168" t="str">
            <v>SET</v>
          </cell>
        </row>
        <row r="169">
          <cell r="C169">
            <v>318</v>
          </cell>
          <cell r="D169" t="str">
            <v>-  5xRJ45+1xRJ11 MODULAR JACK</v>
          </cell>
          <cell r="E169">
            <v>1050</v>
          </cell>
          <cell r="F169">
            <v>300</v>
          </cell>
          <cell r="G169" t="str">
            <v>SET</v>
          </cell>
        </row>
        <row r="170">
          <cell r="C170">
            <v>319</v>
          </cell>
          <cell r="D170" t="str">
            <v>-  4xRJ45+2xRJ11 MODULAR JACK</v>
          </cell>
          <cell r="E170">
            <v>960</v>
          </cell>
          <cell r="F170">
            <v>300</v>
          </cell>
          <cell r="G170" t="str">
            <v>SET</v>
          </cell>
        </row>
        <row r="171">
          <cell r="C171">
            <v>320</v>
          </cell>
          <cell r="D171" t="str">
            <v>-  3xRJ45+3xRJ11 MODULAR JACK</v>
          </cell>
          <cell r="E171">
            <v>870</v>
          </cell>
          <cell r="F171">
            <v>300</v>
          </cell>
          <cell r="G171" t="str">
            <v>SET</v>
          </cell>
        </row>
        <row r="172">
          <cell r="C172">
            <v>321</v>
          </cell>
          <cell r="D172" t="str">
            <v>-  2xRJ45+4xRJ11 MODULAR JACK</v>
          </cell>
          <cell r="E172">
            <v>780</v>
          </cell>
          <cell r="F172">
            <v>300</v>
          </cell>
          <cell r="G172" t="str">
            <v>SET</v>
          </cell>
        </row>
        <row r="173">
          <cell r="C173">
            <v>267</v>
          </cell>
          <cell r="D173" t="str">
            <v>SPACE</v>
          </cell>
          <cell r="E173">
            <v>106</v>
          </cell>
          <cell r="F173">
            <v>40</v>
          </cell>
          <cell r="G173" t="str">
            <v>M.</v>
          </cell>
        </row>
        <row r="174">
          <cell r="C174">
            <v>268</v>
          </cell>
          <cell r="D174" t="str">
            <v>COMMUNICATION CABLE</v>
          </cell>
          <cell r="E174">
            <v>155</v>
          </cell>
          <cell r="F174">
            <v>60</v>
          </cell>
          <cell r="G174" t="str">
            <v>M.</v>
          </cell>
        </row>
        <row r="175">
          <cell r="C175">
            <v>326</v>
          </cell>
          <cell r="D175" t="str">
            <v>-  3 PRS-CAT3 UTP</v>
          </cell>
          <cell r="E175">
            <v>9</v>
          </cell>
          <cell r="F175">
            <v>2</v>
          </cell>
          <cell r="G175" t="str">
            <v>M.</v>
          </cell>
        </row>
        <row r="176">
          <cell r="C176">
            <v>327</v>
          </cell>
          <cell r="D176" t="str">
            <v>-  4 PRS-CAT3 UTP</v>
          </cell>
          <cell r="E176">
            <v>10</v>
          </cell>
          <cell r="F176">
            <v>2</v>
          </cell>
          <cell r="G176" t="str">
            <v>M.</v>
          </cell>
        </row>
        <row r="177">
          <cell r="C177">
            <v>328</v>
          </cell>
          <cell r="D177" t="str">
            <v>-  25 PRS-CAT3 UTP</v>
          </cell>
          <cell r="E177">
            <v>55</v>
          </cell>
          <cell r="F177">
            <v>5</v>
          </cell>
          <cell r="G177" t="str">
            <v>M.</v>
          </cell>
        </row>
        <row r="178">
          <cell r="C178">
            <v>329</v>
          </cell>
          <cell r="D178" t="str">
            <v>-  4 PRS-CAT5 UTP</v>
          </cell>
          <cell r="E178">
            <v>20</v>
          </cell>
          <cell r="F178">
            <v>2</v>
          </cell>
          <cell r="G178" t="str">
            <v>M.</v>
          </cell>
        </row>
        <row r="179">
          <cell r="C179">
            <v>330</v>
          </cell>
          <cell r="D179" t="str">
            <v>-  4 PRS-CAT4 STP</v>
          </cell>
          <cell r="E179">
            <v>25</v>
          </cell>
          <cell r="F179">
            <v>2</v>
          </cell>
          <cell r="G179" t="str">
            <v>M.</v>
          </cell>
        </row>
        <row r="180">
          <cell r="C180">
            <v>331</v>
          </cell>
          <cell r="D180" t="str">
            <v>-  15 PRS-CAT5 STP</v>
          </cell>
          <cell r="E180">
            <v>30</v>
          </cell>
          <cell r="F180">
            <v>4</v>
          </cell>
          <cell r="G180" t="str">
            <v>M.</v>
          </cell>
        </row>
        <row r="181">
          <cell r="C181">
            <v>332</v>
          </cell>
          <cell r="D181" t="str">
            <v>-  1/C - 62.5/125 FIBER OPTIC</v>
          </cell>
          <cell r="E181">
            <v>25</v>
          </cell>
          <cell r="F181">
            <v>3</v>
          </cell>
          <cell r="G181" t="str">
            <v>M.</v>
          </cell>
        </row>
        <row r="182">
          <cell r="C182">
            <v>333</v>
          </cell>
          <cell r="D182" t="str">
            <v>-  2/C - 62.5/125 FIBER OPTIC</v>
          </cell>
          <cell r="E182">
            <v>50</v>
          </cell>
          <cell r="F182">
            <v>4</v>
          </cell>
          <cell r="G182" t="str">
            <v>M.</v>
          </cell>
        </row>
        <row r="183">
          <cell r="C183">
            <v>334</v>
          </cell>
          <cell r="D183" t="str">
            <v>-  2/C - 62.5/125 FIBER OPTIC, TIGHT BUFFER</v>
          </cell>
          <cell r="E183">
            <v>61</v>
          </cell>
          <cell r="F183">
            <v>4</v>
          </cell>
          <cell r="G183" t="str">
            <v>M.</v>
          </cell>
        </row>
        <row r="184">
          <cell r="C184">
            <v>335</v>
          </cell>
          <cell r="D184" t="str">
            <v>-  4/C - 62.5/125 FIBER OPTIC, TIGHT BUFFER</v>
          </cell>
          <cell r="E184">
            <v>100</v>
          </cell>
          <cell r="F184">
            <v>6</v>
          </cell>
          <cell r="G184" t="str">
            <v>M.</v>
          </cell>
        </row>
        <row r="185">
          <cell r="C185">
            <v>336</v>
          </cell>
          <cell r="D185" t="str">
            <v>-  6/C - 62.5/125 FIBER OPTIC, TIGHT BUFFER</v>
          </cell>
          <cell r="E185">
            <v>140</v>
          </cell>
          <cell r="F185">
            <v>8</v>
          </cell>
          <cell r="G185" t="str">
            <v>M.</v>
          </cell>
        </row>
        <row r="186">
          <cell r="C186">
            <v>337</v>
          </cell>
          <cell r="D186" t="str">
            <v>-  8/C - 62.5/125 FIBER OPTIC, TIGHT BUFFER</v>
          </cell>
          <cell r="E186">
            <v>186</v>
          </cell>
          <cell r="F186">
            <v>10</v>
          </cell>
          <cell r="G186" t="str">
            <v>M.</v>
          </cell>
        </row>
        <row r="187">
          <cell r="C187">
            <v>338</v>
          </cell>
          <cell r="D187" t="str">
            <v>-  12/C - 62.5/125 FIBER OPTIC, TIGHT BUFFER</v>
          </cell>
          <cell r="E187">
            <v>259</v>
          </cell>
          <cell r="F187">
            <v>15</v>
          </cell>
          <cell r="G187" t="str">
            <v>M.</v>
          </cell>
        </row>
        <row r="188">
          <cell r="C188">
            <v>339</v>
          </cell>
          <cell r="D188" t="str">
            <v>-  18/C - 62.5/125 FIBER OPTIC, TIGHT BUFFER</v>
          </cell>
          <cell r="E188">
            <v>478</v>
          </cell>
          <cell r="F188">
            <v>20</v>
          </cell>
          <cell r="G188" t="str">
            <v>M.</v>
          </cell>
        </row>
        <row r="189">
          <cell r="C189">
            <v>340</v>
          </cell>
          <cell r="D189" t="str">
            <v>-  24/C - 62.5/125 FIBER OPTIC, TIGHT BUFFER</v>
          </cell>
          <cell r="E189">
            <v>637</v>
          </cell>
          <cell r="F189">
            <v>25</v>
          </cell>
          <cell r="G189" t="str">
            <v>M.</v>
          </cell>
        </row>
        <row r="190">
          <cell r="C190">
            <v>341</v>
          </cell>
          <cell r="D190" t="str">
            <v>-  36/C - 62.5/125 FIBER OPTIC, TIGHT BUFFER</v>
          </cell>
          <cell r="E190">
            <v>960</v>
          </cell>
          <cell r="F190">
            <v>30</v>
          </cell>
          <cell r="G190" t="str">
            <v>M.</v>
          </cell>
        </row>
        <row r="191">
          <cell r="C191">
            <v>342</v>
          </cell>
          <cell r="D191" t="str">
            <v>-  2/C - 62.5/125 FIBER OPTIC, LOOSE BUFFER, SINGLE JACKET</v>
          </cell>
          <cell r="E191">
            <v>100</v>
          </cell>
          <cell r="F191">
            <v>10</v>
          </cell>
          <cell r="G191" t="str">
            <v>M.</v>
          </cell>
        </row>
        <row r="192">
          <cell r="C192">
            <v>343</v>
          </cell>
          <cell r="D192" t="str">
            <v>-  4/C - 62.5/125 FIBER OPTIC, LOOSE BUFFER, SINGLE JACKET</v>
          </cell>
          <cell r="E192">
            <v>130</v>
          </cell>
          <cell r="F192">
            <v>13</v>
          </cell>
          <cell r="G192" t="str">
            <v>M.</v>
          </cell>
        </row>
        <row r="193">
          <cell r="C193">
            <v>344</v>
          </cell>
          <cell r="D193" t="str">
            <v>-  6/C - 62.5/125 FIBER OPTIC, LOOSE BUFFER, SINGLE JACKET</v>
          </cell>
          <cell r="E193">
            <v>165</v>
          </cell>
          <cell r="F193">
            <v>16</v>
          </cell>
          <cell r="G193" t="str">
            <v>M.</v>
          </cell>
        </row>
        <row r="194">
          <cell r="C194">
            <v>345</v>
          </cell>
          <cell r="D194" t="str">
            <v>-  8/C - 62.5/125 FIBER OPTIC, LOOSE BUFFER, SINGLE JACKET</v>
          </cell>
          <cell r="E194">
            <v>203</v>
          </cell>
          <cell r="F194">
            <v>20</v>
          </cell>
          <cell r="G194" t="str">
            <v>M.</v>
          </cell>
        </row>
        <row r="195">
          <cell r="C195">
            <v>346</v>
          </cell>
          <cell r="D195" t="str">
            <v>-  10/C - 62.5/125 FIBER OPTIC, LOOSE BUFFER, SINGLE JACKET</v>
          </cell>
          <cell r="E195">
            <v>250</v>
          </cell>
          <cell r="F195">
            <v>25</v>
          </cell>
          <cell r="G195" t="str">
            <v>M.</v>
          </cell>
        </row>
        <row r="196">
          <cell r="C196">
            <v>347</v>
          </cell>
          <cell r="D196" t="str">
            <v>-  12/C - 62.5/125 FIBER OPTIC, LOOSE BUFFER, SINGLE JACKET</v>
          </cell>
          <cell r="E196">
            <v>273</v>
          </cell>
          <cell r="F196">
            <v>27</v>
          </cell>
          <cell r="G196" t="str">
            <v>M.</v>
          </cell>
        </row>
        <row r="197">
          <cell r="C197">
            <v>348</v>
          </cell>
          <cell r="D197" t="str">
            <v>-  18/C - 62.5/125 FIBER OPTIC, LOOSE BUFFER, SINGLE JACKET</v>
          </cell>
          <cell r="E197">
            <v>390</v>
          </cell>
          <cell r="F197">
            <v>35</v>
          </cell>
          <cell r="G197" t="str">
            <v>M.</v>
          </cell>
        </row>
        <row r="198">
          <cell r="C198">
            <v>349</v>
          </cell>
          <cell r="D198" t="str">
            <v>-  24/C - 62.5/125 FIBER OPTIC, LOOSE BUFFER, SINGLE JACKET</v>
          </cell>
          <cell r="E198">
            <v>500</v>
          </cell>
          <cell r="F198">
            <v>40</v>
          </cell>
          <cell r="G198" t="str">
            <v>M.</v>
          </cell>
        </row>
        <row r="199">
          <cell r="C199">
            <v>350</v>
          </cell>
          <cell r="D199" t="str">
            <v>-  36/C - 62.5/125 FIBER OPTIC, LOOSE BUFFER, SINGLE JACKET</v>
          </cell>
          <cell r="E199">
            <v>760</v>
          </cell>
          <cell r="F199">
            <v>55</v>
          </cell>
          <cell r="G199" t="str">
            <v>M.</v>
          </cell>
        </row>
        <row r="200">
          <cell r="C200">
            <v>351</v>
          </cell>
          <cell r="D200" t="str">
            <v>-  48/C - 62.5/125 FIBER OPTIC, LOOSE BUFFER, SINGLE JACKET</v>
          </cell>
          <cell r="E200">
            <v>1005</v>
          </cell>
          <cell r="F200">
            <v>70</v>
          </cell>
          <cell r="G200" t="str">
            <v>M.</v>
          </cell>
        </row>
        <row r="201">
          <cell r="C201">
            <v>352</v>
          </cell>
          <cell r="D201" t="str">
            <v>-  60/C - 62.5/125 FIBER OPTIC, LOOSE BUFFER, SINGLE JACKET</v>
          </cell>
          <cell r="E201">
            <v>1256</v>
          </cell>
          <cell r="F201">
            <v>80</v>
          </cell>
          <cell r="G201" t="str">
            <v>M.</v>
          </cell>
        </row>
        <row r="202">
          <cell r="C202">
            <v>353</v>
          </cell>
          <cell r="D202" t="str">
            <v>-  72/C - 62.5/125 FIBER OPTIC, LOOSE BUFFER, SINGLE JACKET</v>
          </cell>
          <cell r="E202">
            <v>1503</v>
          </cell>
          <cell r="F202">
            <v>90</v>
          </cell>
          <cell r="G202" t="str">
            <v>M.</v>
          </cell>
        </row>
        <row r="203">
          <cell r="C203">
            <v>354</v>
          </cell>
          <cell r="D203" t="str">
            <v>-  2/C - 62.5/125 FIBER OPTIC, LOOSE BUFFER, DOUBLE JACKET</v>
          </cell>
          <cell r="E203">
            <v>105</v>
          </cell>
          <cell r="F203">
            <v>12</v>
          </cell>
          <cell r="G203" t="str">
            <v>M.</v>
          </cell>
        </row>
        <row r="204">
          <cell r="C204">
            <v>355</v>
          </cell>
          <cell r="D204" t="str">
            <v>-  4/C - 62.5/125 FIBER OPTIC, LOOSE BUFFER, DOUBLE JACKET</v>
          </cell>
          <cell r="E204">
            <v>145</v>
          </cell>
          <cell r="F204">
            <v>15</v>
          </cell>
          <cell r="G204" t="str">
            <v>M.</v>
          </cell>
        </row>
        <row r="205">
          <cell r="C205">
            <v>356</v>
          </cell>
          <cell r="D205" t="str">
            <v>-  6/C - 62.5/125 FIBER OPTIC, LOOSE BUFFER, DOUBLE JACKET</v>
          </cell>
          <cell r="E205">
            <v>225</v>
          </cell>
          <cell r="F205">
            <v>18</v>
          </cell>
          <cell r="G205" t="str">
            <v>M.</v>
          </cell>
        </row>
        <row r="206">
          <cell r="C206">
            <v>357</v>
          </cell>
          <cell r="D206" t="str">
            <v>-  8/C - 62.5/125 FIBER OPTIC, LOOSE BUFFER, DOUBLE JACKET</v>
          </cell>
          <cell r="E206">
            <v>230</v>
          </cell>
          <cell r="F206">
            <v>22</v>
          </cell>
          <cell r="G206" t="str">
            <v>M.</v>
          </cell>
        </row>
        <row r="207">
          <cell r="C207">
            <v>358</v>
          </cell>
          <cell r="D207" t="str">
            <v>-  10/C - 62.5/125 FIBER OPTIC, LOOSE BUFFER, DOUBLE JACKET</v>
          </cell>
          <cell r="E207">
            <v>261</v>
          </cell>
          <cell r="F207">
            <v>27</v>
          </cell>
          <cell r="G207" t="str">
            <v>M.</v>
          </cell>
        </row>
        <row r="208">
          <cell r="C208">
            <v>359</v>
          </cell>
          <cell r="D208" t="str">
            <v>-  12/C - 62.5/125 FIBER OPTIC, LOOSE BUFFER, DOUBLE JACKET</v>
          </cell>
          <cell r="E208">
            <v>290</v>
          </cell>
          <cell r="F208">
            <v>30</v>
          </cell>
          <cell r="G208" t="str">
            <v>M.</v>
          </cell>
        </row>
        <row r="209">
          <cell r="C209">
            <v>360</v>
          </cell>
          <cell r="D209" t="str">
            <v>-  18/C - 62.5/125 FIBER OPTIC, LOOSE BUFFER, DOUBLE JACKET</v>
          </cell>
          <cell r="E209">
            <v>402</v>
          </cell>
          <cell r="F209">
            <v>38</v>
          </cell>
          <cell r="G209" t="str">
            <v>M.</v>
          </cell>
        </row>
        <row r="210">
          <cell r="C210">
            <v>361</v>
          </cell>
          <cell r="D210" t="str">
            <v>-  24/C - 62.5/125 FIBER OPTIC, LOOSE BUFFER, DOUBLE JACKET</v>
          </cell>
          <cell r="E210">
            <v>511</v>
          </cell>
          <cell r="F210">
            <v>43</v>
          </cell>
          <cell r="G210" t="str">
            <v>M.</v>
          </cell>
        </row>
        <row r="211">
          <cell r="C211">
            <v>362</v>
          </cell>
          <cell r="D211" t="str">
            <v>-  36/C - 62.5/125 FIBER OPTIC, LOOSE BUFFER, DOUBLE JACKET</v>
          </cell>
          <cell r="E211">
            <v>771</v>
          </cell>
          <cell r="F211">
            <v>58</v>
          </cell>
          <cell r="G211" t="str">
            <v>M.</v>
          </cell>
        </row>
        <row r="212">
          <cell r="C212">
            <v>363</v>
          </cell>
          <cell r="D212" t="str">
            <v>-  48/C - 62.5/125 FIBER OPTIC, LOOSE BUFFER, DOUBLE JACKET</v>
          </cell>
          <cell r="E212">
            <v>1032</v>
          </cell>
          <cell r="F212">
            <v>75</v>
          </cell>
          <cell r="G212" t="str">
            <v>M.</v>
          </cell>
        </row>
        <row r="213">
          <cell r="C213">
            <v>364</v>
          </cell>
          <cell r="D213" t="str">
            <v>-  60/C - 62.5/125 FIBER OPTIC, LOOSE BUFFER, DOUBLE JACKET</v>
          </cell>
          <cell r="E213">
            <v>1312</v>
          </cell>
          <cell r="F213">
            <v>85</v>
          </cell>
          <cell r="G213" t="str">
            <v>M.</v>
          </cell>
        </row>
        <row r="214">
          <cell r="C214">
            <v>365</v>
          </cell>
          <cell r="D214" t="str">
            <v>-  72/C - 62.5/125 FIBER OPTIC, LOOSE BUFFER, DOUBLE JACKET</v>
          </cell>
          <cell r="E214">
            <v>1526</v>
          </cell>
          <cell r="F214">
            <v>95</v>
          </cell>
          <cell r="G214" t="str">
            <v>M.</v>
          </cell>
        </row>
        <row r="215">
          <cell r="C215">
            <v>366</v>
          </cell>
          <cell r="D215" t="str">
            <v>-  2/C - 62.5/125 FIBER OPTIC, LOOSE BUFFER, ARMORED</v>
          </cell>
          <cell r="E215">
            <v>154</v>
          </cell>
          <cell r="F215">
            <v>15</v>
          </cell>
          <cell r="G215" t="str">
            <v>M.</v>
          </cell>
        </row>
        <row r="216">
          <cell r="C216">
            <v>367</v>
          </cell>
          <cell r="D216" t="str">
            <v>-  4/C - 62.5/125 FIBER OPTIC, LOOSE BUFFER, ARMORED</v>
          </cell>
          <cell r="E216">
            <v>187</v>
          </cell>
          <cell r="F216">
            <v>18</v>
          </cell>
          <cell r="G216" t="str">
            <v>M.</v>
          </cell>
        </row>
        <row r="217">
          <cell r="C217">
            <v>368</v>
          </cell>
          <cell r="D217" t="str">
            <v>-  6/C - 62.5/125 FIBER OPTIC, LOOSE BUFFER, ARMORED</v>
          </cell>
          <cell r="E217">
            <v>218</v>
          </cell>
          <cell r="F217">
            <v>21</v>
          </cell>
          <cell r="G217" t="str">
            <v>M.</v>
          </cell>
        </row>
        <row r="218">
          <cell r="C218">
            <v>369</v>
          </cell>
          <cell r="D218" t="str">
            <v>-  8/C - 62.5/125 FIBER OPTIC, LOOSE BUFFER, ARMORED</v>
          </cell>
          <cell r="E218">
            <v>330</v>
          </cell>
          <cell r="F218">
            <v>25</v>
          </cell>
          <cell r="G218" t="str">
            <v>M.</v>
          </cell>
        </row>
        <row r="219">
          <cell r="C219">
            <v>370</v>
          </cell>
          <cell r="D219" t="str">
            <v>-  10/C - 62.5/125 FIBER OPTIC, LOOSE BUFFER, ARMORED</v>
          </cell>
          <cell r="E219">
            <v>414</v>
          </cell>
          <cell r="F219">
            <v>30</v>
          </cell>
          <cell r="G219" t="str">
            <v>M.</v>
          </cell>
        </row>
        <row r="220">
          <cell r="C220">
            <v>371</v>
          </cell>
          <cell r="D220" t="str">
            <v>-  12/C - 62.5/125 FIBER OPTIC, LOOSE BUFFER, ARMORED</v>
          </cell>
          <cell r="E220">
            <v>457</v>
          </cell>
          <cell r="F220">
            <v>33</v>
          </cell>
          <cell r="G220" t="str">
            <v>M.</v>
          </cell>
        </row>
        <row r="221">
          <cell r="C221">
            <v>372</v>
          </cell>
          <cell r="D221" t="str">
            <v>-  18/C - 62.5/125 FIBER OPTIC, LOOSE BUFFER, ARMORED</v>
          </cell>
          <cell r="E221">
            <v>600</v>
          </cell>
          <cell r="F221">
            <v>41</v>
          </cell>
          <cell r="G221" t="str">
            <v>M.</v>
          </cell>
        </row>
        <row r="222">
          <cell r="C222">
            <v>373</v>
          </cell>
          <cell r="D222" t="str">
            <v>-  24/C - 62.5/125 FIBER OPTIC, LOOSE BUFFER, ARMORED</v>
          </cell>
          <cell r="E222">
            <v>716</v>
          </cell>
          <cell r="F222">
            <v>46</v>
          </cell>
          <cell r="G222" t="str">
            <v>M.</v>
          </cell>
        </row>
        <row r="223">
          <cell r="C223">
            <v>374</v>
          </cell>
          <cell r="D223" t="str">
            <v>-  36/C - 62.5/125 FIBER OPTIC, LOOSE BUFFER, ARMORED</v>
          </cell>
          <cell r="E223">
            <v>991</v>
          </cell>
          <cell r="F223">
            <v>51</v>
          </cell>
          <cell r="G223" t="str">
            <v>M.</v>
          </cell>
        </row>
        <row r="224">
          <cell r="C224">
            <v>375</v>
          </cell>
          <cell r="D224" t="str">
            <v>-  48/C - 62.5/125 FIBER OPTIC, LOOSE BUFFER, ARMORED</v>
          </cell>
          <cell r="E224">
            <v>1210</v>
          </cell>
          <cell r="F224">
            <v>80</v>
          </cell>
          <cell r="G224" t="str">
            <v>M.</v>
          </cell>
        </row>
        <row r="225">
          <cell r="C225">
            <v>376</v>
          </cell>
          <cell r="D225" t="str">
            <v>-  60/C - 62.5/125 FIBER OPTIC, LOOSE BUFFER, ARMORED</v>
          </cell>
          <cell r="E225">
            <v>1513</v>
          </cell>
          <cell r="F225">
            <v>90</v>
          </cell>
          <cell r="G225" t="str">
            <v>M.</v>
          </cell>
        </row>
        <row r="226">
          <cell r="C226">
            <v>377</v>
          </cell>
          <cell r="D226" t="str">
            <v>-  72/C - 62.5/125 FIBER OPTIC, LOOSE BUFFER, ARMORED</v>
          </cell>
          <cell r="E226">
            <v>1745</v>
          </cell>
          <cell r="F226">
            <v>100</v>
          </cell>
          <cell r="G226" t="str">
            <v>M.</v>
          </cell>
        </row>
        <row r="227">
          <cell r="C227">
            <v>326</v>
          </cell>
          <cell r="D227" t="str">
            <v>SPACE</v>
          </cell>
          <cell r="E227">
            <v>1832</v>
          </cell>
          <cell r="F227">
            <v>130</v>
          </cell>
          <cell r="G227" t="str">
            <v>M.</v>
          </cell>
        </row>
        <row r="228">
          <cell r="C228">
            <v>4</v>
          </cell>
          <cell r="D228" t="str">
            <v>FIRE ALARM SYSTEM</v>
          </cell>
          <cell r="E228">
            <v>2131</v>
          </cell>
          <cell r="F228">
            <v>140</v>
          </cell>
          <cell r="G228" t="str">
            <v>M.</v>
          </cell>
        </row>
        <row r="229">
          <cell r="C229">
            <v>401</v>
          </cell>
          <cell r="D229" t="str">
            <v>-  COMBINATION DETECTOR</v>
          </cell>
          <cell r="E229">
            <v>1200</v>
          </cell>
          <cell r="F229">
            <v>100</v>
          </cell>
          <cell r="G229" t="str">
            <v>EA.</v>
          </cell>
        </row>
        <row r="230">
          <cell r="C230">
            <v>402</v>
          </cell>
          <cell r="D230" t="str">
            <v>-  RATE OR RISE DETECTOR</v>
          </cell>
          <cell r="E230">
            <v>700</v>
          </cell>
          <cell r="F230">
            <v>100</v>
          </cell>
          <cell r="G230" t="str">
            <v>EA.</v>
          </cell>
        </row>
        <row r="231">
          <cell r="C231">
            <v>403</v>
          </cell>
          <cell r="D231" t="str">
            <v>-  FIXED TEMP DETECTOR</v>
          </cell>
          <cell r="E231">
            <v>700</v>
          </cell>
          <cell r="F231">
            <v>100</v>
          </cell>
          <cell r="G231" t="str">
            <v>EA.</v>
          </cell>
        </row>
        <row r="232">
          <cell r="C232">
            <v>404</v>
          </cell>
          <cell r="D232" t="str">
            <v>-  IONIZATION SMOKE DETECTOR</v>
          </cell>
          <cell r="E232">
            <v>2000</v>
          </cell>
          <cell r="F232">
            <v>100</v>
          </cell>
          <cell r="G232" t="str">
            <v>EA.</v>
          </cell>
        </row>
        <row r="233">
          <cell r="C233">
            <v>405</v>
          </cell>
          <cell r="D233" t="str">
            <v>-  PHOTO ELECTRIC SMOKE DETECTOR</v>
          </cell>
          <cell r="E233">
            <v>2500</v>
          </cell>
          <cell r="F233">
            <v>100</v>
          </cell>
          <cell r="G233" t="str">
            <v>EA.</v>
          </cell>
        </row>
        <row r="234">
          <cell r="C234">
            <v>406</v>
          </cell>
          <cell r="D234" t="str">
            <v>-  BEAM SMOKE DETECTOR</v>
          </cell>
          <cell r="E234">
            <v>30000</v>
          </cell>
          <cell r="F234">
            <v>500</v>
          </cell>
          <cell r="G234" t="str">
            <v>EA.</v>
          </cell>
        </row>
        <row r="235">
          <cell r="C235">
            <v>407</v>
          </cell>
          <cell r="D235" t="str">
            <v>-  MANUAL STATION</v>
          </cell>
          <cell r="E235">
            <v>2000</v>
          </cell>
          <cell r="F235">
            <v>100</v>
          </cell>
          <cell r="G235" t="str">
            <v>EA.</v>
          </cell>
        </row>
        <row r="236">
          <cell r="C236">
            <v>408</v>
          </cell>
          <cell r="D236" t="str">
            <v>-  MANUAL STATION W./KEY OPERATE</v>
          </cell>
          <cell r="E236">
            <v>2500</v>
          </cell>
          <cell r="F236">
            <v>100</v>
          </cell>
          <cell r="G236" t="str">
            <v>EA.</v>
          </cell>
        </row>
        <row r="237">
          <cell r="C237">
            <v>409</v>
          </cell>
          <cell r="D237" t="str">
            <v>-  TELEPHONE STATION</v>
          </cell>
          <cell r="E237">
            <v>400</v>
          </cell>
          <cell r="F237">
            <v>100</v>
          </cell>
          <cell r="G237" t="str">
            <v>EA.</v>
          </cell>
        </row>
        <row r="238">
          <cell r="C238">
            <v>410</v>
          </cell>
          <cell r="D238" t="str">
            <v>-  6" ELECTRIC BELL</v>
          </cell>
          <cell r="E238">
            <v>2200</v>
          </cell>
          <cell r="F238">
            <v>100</v>
          </cell>
          <cell r="G238" t="str">
            <v>EA.</v>
          </cell>
        </row>
        <row r="239">
          <cell r="C239">
            <v>411</v>
          </cell>
          <cell r="D239" t="str">
            <v>-  STROBE LIGHT</v>
          </cell>
          <cell r="E239">
            <v>3000</v>
          </cell>
          <cell r="F239">
            <v>100</v>
          </cell>
          <cell r="G239" t="str">
            <v>EA.</v>
          </cell>
        </row>
        <row r="240">
          <cell r="C240">
            <v>412</v>
          </cell>
          <cell r="D240" t="str">
            <v>-  STROBE LIGHT W./SPEAKER</v>
          </cell>
          <cell r="E240">
            <v>5500</v>
          </cell>
          <cell r="F240">
            <v>100</v>
          </cell>
          <cell r="G240" t="str">
            <v>EA.</v>
          </cell>
        </row>
        <row r="241">
          <cell r="C241">
            <v>340</v>
          </cell>
          <cell r="D241" t="str">
            <v>SPACE</v>
          </cell>
          <cell r="E241">
            <v>1158</v>
          </cell>
          <cell r="F241">
            <v>150</v>
          </cell>
          <cell r="G241" t="str">
            <v>M.</v>
          </cell>
        </row>
        <row r="242">
          <cell r="C242">
            <v>421</v>
          </cell>
          <cell r="D242" t="str">
            <v>-  16 ZONE TELEPHONE MODULE</v>
          </cell>
          <cell r="E242">
            <v>100000</v>
          </cell>
          <cell r="F242">
            <v>5000</v>
          </cell>
          <cell r="G242" t="str">
            <v>SET</v>
          </cell>
        </row>
        <row r="243">
          <cell r="C243">
            <v>422</v>
          </cell>
          <cell r="D243" t="str">
            <v>-  2 LOOP MULTIPLEX FCP</v>
          </cell>
          <cell r="E243">
            <v>150000</v>
          </cell>
          <cell r="F243">
            <v>20000</v>
          </cell>
          <cell r="G243" t="str">
            <v>SET</v>
          </cell>
        </row>
        <row r="244">
          <cell r="C244">
            <v>423</v>
          </cell>
          <cell r="D244" t="str">
            <v>-  10 LOOP MULTIPLEX FCP</v>
          </cell>
          <cell r="E244">
            <v>400000</v>
          </cell>
          <cell r="F244">
            <v>40000</v>
          </cell>
          <cell r="G244" t="str">
            <v>SET</v>
          </cell>
        </row>
        <row r="245">
          <cell r="C245">
            <v>424</v>
          </cell>
          <cell r="D245" t="str">
            <v>-  8 ZONE HARD-WIRE FCP</v>
          </cell>
          <cell r="E245">
            <v>50000</v>
          </cell>
          <cell r="F245">
            <v>5000</v>
          </cell>
          <cell r="G245" t="str">
            <v>SET</v>
          </cell>
        </row>
        <row r="246">
          <cell r="C246">
            <v>425</v>
          </cell>
          <cell r="D246" t="str">
            <v>-  12 ZONE HARD-WIRE FCP</v>
          </cell>
          <cell r="E246">
            <v>70000</v>
          </cell>
          <cell r="F246">
            <v>8000</v>
          </cell>
          <cell r="G246" t="str">
            <v>SET</v>
          </cell>
        </row>
        <row r="247">
          <cell r="C247">
            <v>426</v>
          </cell>
          <cell r="D247" t="str">
            <v>-  36 ZONE HARD-WIRE FCP</v>
          </cell>
          <cell r="E247">
            <v>105000</v>
          </cell>
          <cell r="F247">
            <v>15000</v>
          </cell>
          <cell r="G247" t="str">
            <v>SET</v>
          </cell>
        </row>
        <row r="248">
          <cell r="C248">
            <v>427</v>
          </cell>
          <cell r="D248" t="str">
            <v>-  52 ZONE HARD-WIRE FCP</v>
          </cell>
          <cell r="E248">
            <v>300000</v>
          </cell>
          <cell r="F248">
            <v>30000</v>
          </cell>
          <cell r="G248" t="str">
            <v>SET</v>
          </cell>
        </row>
        <row r="249">
          <cell r="C249">
            <v>348</v>
          </cell>
          <cell r="D249" t="str">
            <v>SPACE</v>
          </cell>
          <cell r="E249">
            <v>3166</v>
          </cell>
          <cell r="F249">
            <v>220</v>
          </cell>
          <cell r="G249" t="str">
            <v>M.</v>
          </cell>
        </row>
        <row r="250">
          <cell r="C250">
            <v>5</v>
          </cell>
          <cell r="D250" t="str">
            <v>BURGLAR ALARM</v>
          </cell>
          <cell r="E250">
            <v>3709</v>
          </cell>
          <cell r="F250">
            <v>240</v>
          </cell>
          <cell r="G250" t="str">
            <v>M.</v>
          </cell>
        </row>
        <row r="251">
          <cell r="C251">
            <v>501</v>
          </cell>
          <cell r="D251" t="str">
            <v>-  16 ZONE BURGLAR ALARM CONTROL CENTER</v>
          </cell>
          <cell r="E251">
            <v>23000</v>
          </cell>
          <cell r="F251">
            <v>2000</v>
          </cell>
          <cell r="G251" t="str">
            <v>SET</v>
          </cell>
        </row>
        <row r="252">
          <cell r="C252">
            <v>502</v>
          </cell>
          <cell r="D252" t="str">
            <v>-  32 ZONE BURGLAR ALARM CONTROL CENTER</v>
          </cell>
          <cell r="E252">
            <v>32000</v>
          </cell>
          <cell r="F252">
            <v>3000</v>
          </cell>
          <cell r="G252" t="str">
            <v>SET</v>
          </cell>
        </row>
        <row r="253">
          <cell r="C253">
            <v>503</v>
          </cell>
          <cell r="D253" t="str">
            <v>-  6  ZONE BURGLAR ALARM</v>
          </cell>
          <cell r="E253">
            <v>12600</v>
          </cell>
          <cell r="F253">
            <v>1000</v>
          </cell>
          <cell r="G253" t="str">
            <v>SET</v>
          </cell>
        </row>
        <row r="254">
          <cell r="C254">
            <v>504</v>
          </cell>
          <cell r="D254" t="str">
            <v>-  16 ZONE BURGLAR ALARM</v>
          </cell>
          <cell r="E254">
            <v>17000</v>
          </cell>
          <cell r="F254">
            <v>1500</v>
          </cell>
          <cell r="G254" t="str">
            <v>SET</v>
          </cell>
        </row>
        <row r="255">
          <cell r="C255">
            <v>505</v>
          </cell>
          <cell r="D255" t="str">
            <v>-  INFRARED MOTION DETECTOR</v>
          </cell>
          <cell r="E255">
            <v>4250</v>
          </cell>
          <cell r="F255">
            <v>200</v>
          </cell>
          <cell r="G255" t="str">
            <v>EA.</v>
          </cell>
        </row>
        <row r="256">
          <cell r="C256">
            <v>506</v>
          </cell>
          <cell r="D256" t="str">
            <v>-  DUAL MODE MOTION DETECTOR</v>
          </cell>
          <cell r="E256">
            <v>9500</v>
          </cell>
          <cell r="F256">
            <v>500</v>
          </cell>
          <cell r="G256" t="str">
            <v>EA.</v>
          </cell>
        </row>
        <row r="257">
          <cell r="C257">
            <v>507</v>
          </cell>
          <cell r="D257" t="str">
            <v>-  DUAL BEAM MOTION DETECTOR</v>
          </cell>
          <cell r="E257">
            <v>35000</v>
          </cell>
          <cell r="F257">
            <v>500</v>
          </cell>
          <cell r="G257" t="str">
            <v>EA.</v>
          </cell>
        </row>
        <row r="258">
          <cell r="C258">
            <v>508</v>
          </cell>
          <cell r="D258" t="str">
            <v>-  DUAL BEAM MOTION DETECTOR</v>
          </cell>
          <cell r="E258">
            <v>23000</v>
          </cell>
          <cell r="F258">
            <v>500</v>
          </cell>
          <cell r="G258" t="str">
            <v>EA.</v>
          </cell>
        </row>
        <row r="259">
          <cell r="C259">
            <v>509</v>
          </cell>
          <cell r="D259" t="str">
            <v>-  BRAKE GLASS DETECTOR</v>
          </cell>
          <cell r="E259">
            <v>7200</v>
          </cell>
          <cell r="F259">
            <v>200</v>
          </cell>
          <cell r="G259" t="str">
            <v>EA.</v>
          </cell>
        </row>
        <row r="260">
          <cell r="C260">
            <v>510</v>
          </cell>
          <cell r="D260" t="str">
            <v>-  MAGNETIC CONTACTOR</v>
          </cell>
          <cell r="E260">
            <v>580</v>
          </cell>
          <cell r="F260">
            <v>300</v>
          </cell>
          <cell r="G260" t="str">
            <v>EA.</v>
          </cell>
        </row>
        <row r="261">
          <cell r="C261">
            <v>511</v>
          </cell>
          <cell r="D261" t="str">
            <v>-  INITIATING PUSH DUTION</v>
          </cell>
          <cell r="E261">
            <v>710</v>
          </cell>
          <cell r="F261">
            <v>100</v>
          </cell>
          <cell r="G261" t="str">
            <v>EA.</v>
          </cell>
        </row>
        <row r="262">
          <cell r="C262">
            <v>512</v>
          </cell>
          <cell r="D262" t="str">
            <v>-  KEY PAD 8 ZONE</v>
          </cell>
          <cell r="E262">
            <v>4500</v>
          </cell>
          <cell r="F262">
            <v>100</v>
          </cell>
          <cell r="G262" t="str">
            <v>EA.</v>
          </cell>
        </row>
        <row r="263">
          <cell r="C263">
            <v>513</v>
          </cell>
          <cell r="D263" t="str">
            <v>-  KEY PAD 16 ZONE</v>
          </cell>
          <cell r="E263">
            <v>6200</v>
          </cell>
          <cell r="F263">
            <v>200</v>
          </cell>
          <cell r="G263" t="str">
            <v>EA.</v>
          </cell>
        </row>
        <row r="264">
          <cell r="C264">
            <v>514</v>
          </cell>
          <cell r="D264" t="str">
            <v>-  KEY PAD 16 ZONE</v>
          </cell>
          <cell r="E264">
            <v>19000</v>
          </cell>
          <cell r="F264">
            <v>200</v>
          </cell>
          <cell r="G264" t="str">
            <v>EA.</v>
          </cell>
        </row>
        <row r="265">
          <cell r="C265">
            <v>515</v>
          </cell>
          <cell r="D265" t="str">
            <v>-  KEY CARD ACCESS</v>
          </cell>
          <cell r="E265">
            <v>15000</v>
          </cell>
          <cell r="F265">
            <v>200</v>
          </cell>
          <cell r="G265" t="str">
            <v>EA.</v>
          </cell>
        </row>
        <row r="266">
          <cell r="C266">
            <v>365</v>
          </cell>
          <cell r="D266" t="str">
            <v>-  1/C - 150 SQ.MM. 35 KV.XLPE</v>
          </cell>
          <cell r="E266">
            <v>0</v>
          </cell>
          <cell r="F266">
            <v>90</v>
          </cell>
          <cell r="G266" t="str">
            <v>M.</v>
          </cell>
        </row>
        <row r="267">
          <cell r="C267">
            <v>366</v>
          </cell>
          <cell r="D267" t="str">
            <v>-  1/C - 185 SQ.MM. 35 KV.XLPE</v>
          </cell>
          <cell r="E267">
            <v>0</v>
          </cell>
          <cell r="F267">
            <v>100</v>
          </cell>
          <cell r="G267" t="str">
            <v>M.</v>
          </cell>
        </row>
        <row r="268">
          <cell r="C268">
            <v>367</v>
          </cell>
          <cell r="D268" t="str">
            <v>-  1/C - 240 SQ.MM. 35 KV.XLPE</v>
          </cell>
          <cell r="E268">
            <v>0</v>
          </cell>
          <cell r="F268">
            <v>110</v>
          </cell>
          <cell r="G268" t="str">
            <v>M.</v>
          </cell>
        </row>
        <row r="269">
          <cell r="D269" t="str">
            <v>SPACE</v>
          </cell>
        </row>
        <row r="270">
          <cell r="C270">
            <v>369</v>
          </cell>
          <cell r="D270" t="str">
            <v>-  1/C - 35 SQ.MM. 25 KV.PIC</v>
          </cell>
          <cell r="E270">
            <v>108</v>
          </cell>
          <cell r="F270">
            <v>20</v>
          </cell>
          <cell r="G270" t="str">
            <v>M.</v>
          </cell>
        </row>
        <row r="271">
          <cell r="C271">
            <v>370</v>
          </cell>
          <cell r="D271" t="str">
            <v>-  1/C - 50 SQ.MM. 25 KV.PIC</v>
          </cell>
          <cell r="E271">
            <v>128</v>
          </cell>
          <cell r="F271">
            <v>25</v>
          </cell>
          <cell r="G271" t="str">
            <v>M.</v>
          </cell>
        </row>
        <row r="272">
          <cell r="C272">
            <v>371</v>
          </cell>
          <cell r="D272" t="str">
            <v>-  1/C - 70 SQ.MM. 25 KV.PIC</v>
          </cell>
          <cell r="E272">
            <v>148</v>
          </cell>
          <cell r="F272">
            <v>30</v>
          </cell>
          <cell r="G272" t="str">
            <v>M.</v>
          </cell>
        </row>
        <row r="273">
          <cell r="C273">
            <v>372</v>
          </cell>
          <cell r="D273" t="str">
            <v>-  1/C - 95 SQ.MM. 25 KV.PIC</v>
          </cell>
          <cell r="E273">
            <v>178</v>
          </cell>
          <cell r="F273">
            <v>35</v>
          </cell>
          <cell r="G273" t="str">
            <v>M.</v>
          </cell>
        </row>
        <row r="274">
          <cell r="C274">
            <v>373</v>
          </cell>
          <cell r="D274" t="str">
            <v>-  1/C - 120 SQ.MM. 25 KV.PIC</v>
          </cell>
          <cell r="E274">
            <v>208</v>
          </cell>
          <cell r="F274">
            <v>40</v>
          </cell>
          <cell r="G274" t="str">
            <v>M.</v>
          </cell>
        </row>
        <row r="275">
          <cell r="C275">
            <v>374</v>
          </cell>
          <cell r="D275" t="str">
            <v>-  1/C - 150 SQ.MM. 25 KV.PIC</v>
          </cell>
          <cell r="E275">
            <v>248</v>
          </cell>
          <cell r="F275">
            <v>60</v>
          </cell>
          <cell r="G275" t="str">
            <v>M.</v>
          </cell>
        </row>
        <row r="276">
          <cell r="C276">
            <v>375</v>
          </cell>
          <cell r="D276" t="str">
            <v>-  1/C - 185 SQ.MM. 25 KV.PIC</v>
          </cell>
          <cell r="E276">
            <v>288</v>
          </cell>
          <cell r="F276">
            <v>70</v>
          </cell>
          <cell r="G276" t="str">
            <v>M.</v>
          </cell>
        </row>
        <row r="277">
          <cell r="C277">
            <v>376</v>
          </cell>
          <cell r="D277" t="str">
            <v>-  1/C - 240 SQ.MM. 25 KV.PIC</v>
          </cell>
          <cell r="E277">
            <v>348</v>
          </cell>
          <cell r="F277">
            <v>75</v>
          </cell>
          <cell r="G277" t="str">
            <v>M.</v>
          </cell>
        </row>
        <row r="278">
          <cell r="C278">
            <v>377</v>
          </cell>
          <cell r="D278" t="str">
            <v>-  1/C - 35 SQ.MM. 35 KV.PIC</v>
          </cell>
          <cell r="E278">
            <v>0</v>
          </cell>
          <cell r="F278">
            <v>30</v>
          </cell>
          <cell r="G278" t="str">
            <v>M.</v>
          </cell>
        </row>
        <row r="279">
          <cell r="C279">
            <v>378</v>
          </cell>
          <cell r="D279" t="str">
            <v>-  1/C - 50 SQ.MM. 35 KV.PIC</v>
          </cell>
          <cell r="E279">
            <v>0</v>
          </cell>
          <cell r="F279">
            <v>35</v>
          </cell>
          <cell r="G279" t="str">
            <v>M.</v>
          </cell>
        </row>
        <row r="280">
          <cell r="C280">
            <v>379</v>
          </cell>
          <cell r="D280" t="str">
            <v>-  1/C - 70 SQ.MM. 35 KV.PIC</v>
          </cell>
          <cell r="E280">
            <v>0</v>
          </cell>
          <cell r="F280">
            <v>40</v>
          </cell>
          <cell r="G280" t="str">
            <v>M.</v>
          </cell>
        </row>
        <row r="281">
          <cell r="C281">
            <v>380</v>
          </cell>
          <cell r="D281" t="str">
            <v>-  1/C - 95 SQ.MM. 35 KV.PIC</v>
          </cell>
          <cell r="E281">
            <v>0</v>
          </cell>
          <cell r="F281">
            <v>60</v>
          </cell>
          <cell r="G281" t="str">
            <v>M.</v>
          </cell>
        </row>
        <row r="282">
          <cell r="C282">
            <v>381</v>
          </cell>
          <cell r="D282" t="str">
            <v>-  1/C - 120 SQ.MM. 35 KV.PIC</v>
          </cell>
          <cell r="E282">
            <v>0</v>
          </cell>
          <cell r="F282">
            <v>70</v>
          </cell>
          <cell r="G282" t="str">
            <v>M.</v>
          </cell>
        </row>
        <row r="283">
          <cell r="C283">
            <v>382</v>
          </cell>
          <cell r="D283" t="str">
            <v>-  1/C - 150 SQ.MM. 35 KV.PIC</v>
          </cell>
          <cell r="E283">
            <v>0</v>
          </cell>
          <cell r="F283">
            <v>75</v>
          </cell>
          <cell r="G283" t="str">
            <v>M.</v>
          </cell>
        </row>
        <row r="284">
          <cell r="C284">
            <v>383</v>
          </cell>
          <cell r="D284" t="str">
            <v>-  1/C - 185 SQ.MM. 35 KV.PIC</v>
          </cell>
          <cell r="E284">
            <v>0</v>
          </cell>
          <cell r="F284">
            <v>80</v>
          </cell>
          <cell r="G284" t="str">
            <v>M.</v>
          </cell>
        </row>
        <row r="285">
          <cell r="C285">
            <v>384</v>
          </cell>
          <cell r="D285" t="str">
            <v>-  1/C - 240 SQ.MM. 35 KV.PIC</v>
          </cell>
          <cell r="E285">
            <v>0</v>
          </cell>
          <cell r="F285">
            <v>85</v>
          </cell>
          <cell r="G285" t="str">
            <v>M.</v>
          </cell>
        </row>
        <row r="286">
          <cell r="D286" t="str">
            <v>SPACE</v>
          </cell>
        </row>
        <row r="287">
          <cell r="C287">
            <v>386</v>
          </cell>
          <cell r="D287" t="str">
            <v>-  1/C - 35 SQ.MM. 25 KV.SPACED AERIAL</v>
          </cell>
          <cell r="E287">
            <v>160</v>
          </cell>
          <cell r="F287">
            <v>25</v>
          </cell>
          <cell r="G287" t="str">
            <v>M.</v>
          </cell>
        </row>
        <row r="288">
          <cell r="C288">
            <v>387</v>
          </cell>
          <cell r="D288" t="str">
            <v>-  1/C - 50 SQ.MM. 25 KV.SPACED AERIAL</v>
          </cell>
          <cell r="E288">
            <v>190</v>
          </cell>
          <cell r="F288">
            <v>30</v>
          </cell>
          <cell r="G288" t="str">
            <v>M.</v>
          </cell>
        </row>
        <row r="289">
          <cell r="C289">
            <v>388</v>
          </cell>
          <cell r="D289" t="str">
            <v>-  1/C - 70 SQ.MM. 25 KV.SPACED AERIAL</v>
          </cell>
          <cell r="E289">
            <v>220</v>
          </cell>
          <cell r="F289">
            <v>35</v>
          </cell>
          <cell r="G289" t="str">
            <v>M.</v>
          </cell>
        </row>
        <row r="290">
          <cell r="C290">
            <v>389</v>
          </cell>
          <cell r="D290" t="str">
            <v>-  1/C - 95 SQ.MM. 25 KV.SPACED AERIAL</v>
          </cell>
          <cell r="E290">
            <v>260</v>
          </cell>
          <cell r="F290">
            <v>40</v>
          </cell>
          <cell r="G290" t="str">
            <v>M.</v>
          </cell>
        </row>
        <row r="291">
          <cell r="C291">
            <v>390</v>
          </cell>
          <cell r="D291" t="str">
            <v>-  1/C - 120 SQ.MM. 25 KV.SPACED AERIAL</v>
          </cell>
          <cell r="E291">
            <v>300</v>
          </cell>
          <cell r="F291">
            <v>60</v>
          </cell>
          <cell r="G291" t="str">
            <v>M.</v>
          </cell>
        </row>
        <row r="292">
          <cell r="C292">
            <v>391</v>
          </cell>
          <cell r="D292" t="str">
            <v>-  1/C - 150 SQ.MM. 25 KV.SPACED AERIAL</v>
          </cell>
          <cell r="E292">
            <v>340</v>
          </cell>
          <cell r="F292">
            <v>70</v>
          </cell>
          <cell r="G292" t="str">
            <v>M.</v>
          </cell>
        </row>
        <row r="293">
          <cell r="C293">
            <v>392</v>
          </cell>
          <cell r="D293" t="str">
            <v>-  1/C - 185 SQ.MM. 25 KV.SPACED AERIAL</v>
          </cell>
          <cell r="E293">
            <v>390</v>
          </cell>
          <cell r="F293">
            <v>75</v>
          </cell>
          <cell r="G293" t="str">
            <v>M.</v>
          </cell>
        </row>
        <row r="294">
          <cell r="C294">
            <v>393</v>
          </cell>
          <cell r="D294" t="str">
            <v>-  1/C - 240 SQ.MM. 25 KV.SPACED AERIAL</v>
          </cell>
          <cell r="E294">
            <v>470</v>
          </cell>
          <cell r="F294">
            <v>80</v>
          </cell>
          <cell r="G294" t="str">
            <v>M.</v>
          </cell>
        </row>
        <row r="295">
          <cell r="C295">
            <v>394</v>
          </cell>
          <cell r="D295" t="str">
            <v>-  1/C - 35 SQ.MM. 35 KV.SPACED AERIAL</v>
          </cell>
          <cell r="E295">
            <v>0</v>
          </cell>
          <cell r="F295">
            <v>75</v>
          </cell>
          <cell r="G295" t="str">
            <v>M.</v>
          </cell>
        </row>
        <row r="296">
          <cell r="C296">
            <v>395</v>
          </cell>
          <cell r="D296" t="str">
            <v>-  1/C - 50 SQ.MM. 35 KV.SPACED AERIAL</v>
          </cell>
          <cell r="E296">
            <v>0</v>
          </cell>
          <cell r="F296">
            <v>89</v>
          </cell>
          <cell r="G296" t="str">
            <v>M.</v>
          </cell>
        </row>
        <row r="297">
          <cell r="C297">
            <v>396</v>
          </cell>
          <cell r="D297" t="str">
            <v>-  1/C - 70 SQ.MM. 35 KV.SPACED AERIAL</v>
          </cell>
          <cell r="E297">
            <v>0</v>
          </cell>
          <cell r="F297">
            <v>85</v>
          </cell>
          <cell r="G297" t="str">
            <v>M.</v>
          </cell>
        </row>
        <row r="298">
          <cell r="C298">
            <v>397</v>
          </cell>
          <cell r="D298" t="str">
            <v>-  1/C - 95 SQ.MM. 35 KV.SPACED AERIAL</v>
          </cell>
          <cell r="E298">
            <v>0</v>
          </cell>
          <cell r="F298">
            <v>90</v>
          </cell>
          <cell r="G298" t="str">
            <v>M.</v>
          </cell>
        </row>
        <row r="299">
          <cell r="C299">
            <v>398</v>
          </cell>
          <cell r="D299" t="str">
            <v>-  1/C - 120 SQ.MM. 35 KV.SPACED AERIAL</v>
          </cell>
          <cell r="E299">
            <v>0</v>
          </cell>
          <cell r="F299">
            <v>100</v>
          </cell>
          <cell r="G299" t="str">
            <v>M.</v>
          </cell>
        </row>
        <row r="300">
          <cell r="C300">
            <v>399</v>
          </cell>
          <cell r="D300" t="str">
            <v>-  1/C - 150 SQ.MM. 35 KV.SPACED AERIAL</v>
          </cell>
          <cell r="E300">
            <v>0</v>
          </cell>
          <cell r="F300">
            <v>110</v>
          </cell>
          <cell r="G300" t="str">
            <v>M.</v>
          </cell>
        </row>
        <row r="301">
          <cell r="C301">
            <v>400</v>
          </cell>
          <cell r="D301" t="str">
            <v>-  1/C - 185 SQ.MM. 35 KV.SPACED AERIAL</v>
          </cell>
          <cell r="E301">
            <v>0</v>
          </cell>
          <cell r="F301">
            <v>120</v>
          </cell>
          <cell r="G301" t="str">
            <v>M.</v>
          </cell>
        </row>
        <row r="302">
          <cell r="C302">
            <v>401</v>
          </cell>
          <cell r="D302" t="str">
            <v>-  1/C - 240 SQ.MM. 35 KV.SPACED AERIAL</v>
          </cell>
          <cell r="E302">
            <v>0</v>
          </cell>
          <cell r="F302">
            <v>140</v>
          </cell>
          <cell r="G302" t="str">
            <v>M.</v>
          </cell>
        </row>
        <row r="303">
          <cell r="C303">
            <v>402</v>
          </cell>
          <cell r="D303" t="str">
            <v>-  25 SQ.MM. ALL ALUMINIUM CABLE</v>
          </cell>
          <cell r="E303">
            <v>9</v>
          </cell>
          <cell r="F303">
            <v>5</v>
          </cell>
          <cell r="G303" t="str">
            <v>M.</v>
          </cell>
        </row>
        <row r="304">
          <cell r="C304">
            <v>403</v>
          </cell>
          <cell r="D304" t="str">
            <v>-  35 SQ.MM. ALL ALUMINIUM CABLE</v>
          </cell>
          <cell r="E304">
            <v>13</v>
          </cell>
          <cell r="F304">
            <v>6</v>
          </cell>
          <cell r="G304" t="str">
            <v>M.</v>
          </cell>
        </row>
        <row r="305">
          <cell r="C305">
            <v>404</v>
          </cell>
          <cell r="D305" t="str">
            <v>-  50 SQ.MM. ALL ALUMINIUM CABLE</v>
          </cell>
          <cell r="E305">
            <v>18</v>
          </cell>
          <cell r="F305">
            <v>8</v>
          </cell>
          <cell r="G305" t="str">
            <v>M.</v>
          </cell>
        </row>
        <row r="306">
          <cell r="C306">
            <v>405</v>
          </cell>
          <cell r="D306" t="str">
            <v>-  70 SQ.MM. ALL ALUMINIUM CABLE</v>
          </cell>
          <cell r="E306">
            <v>26</v>
          </cell>
          <cell r="F306">
            <v>11</v>
          </cell>
          <cell r="G306" t="str">
            <v>M.</v>
          </cell>
        </row>
        <row r="307">
          <cell r="C307">
            <v>406</v>
          </cell>
          <cell r="D307" t="str">
            <v>-  95 SQ.MM. ALL ALUMINIUM CABLE</v>
          </cell>
          <cell r="E307">
            <v>36</v>
          </cell>
          <cell r="F307">
            <v>16</v>
          </cell>
          <cell r="G307" t="str">
            <v>M.</v>
          </cell>
        </row>
        <row r="308">
          <cell r="C308">
            <v>407</v>
          </cell>
          <cell r="D308" t="str">
            <v>-  120 SQ.MM. ALL ALUMINIUM CABLE</v>
          </cell>
          <cell r="E308">
            <v>46</v>
          </cell>
          <cell r="F308">
            <v>20</v>
          </cell>
          <cell r="G308" t="str">
            <v>M.</v>
          </cell>
        </row>
        <row r="309">
          <cell r="C309">
            <v>408</v>
          </cell>
          <cell r="D309" t="str">
            <v>-  150 SQ.MM. ALL ALUMINIUM CABLE</v>
          </cell>
          <cell r="E309">
            <v>56</v>
          </cell>
          <cell r="F309">
            <v>25</v>
          </cell>
          <cell r="G309" t="str">
            <v>M.</v>
          </cell>
        </row>
        <row r="310">
          <cell r="C310">
            <v>409</v>
          </cell>
          <cell r="D310" t="str">
            <v>-  185 SQ.MM. ALL ALUMINIUM CABLE</v>
          </cell>
          <cell r="E310">
            <v>64</v>
          </cell>
          <cell r="F310">
            <v>30</v>
          </cell>
          <cell r="G310" t="str">
            <v>M.</v>
          </cell>
        </row>
        <row r="311">
          <cell r="C311">
            <v>410</v>
          </cell>
          <cell r="D311" t="str">
            <v>-  25 SQ.MM. ACSR</v>
          </cell>
          <cell r="E311">
            <v>11</v>
          </cell>
          <cell r="F311">
            <v>5</v>
          </cell>
          <cell r="G311" t="str">
            <v>M.</v>
          </cell>
        </row>
        <row r="312">
          <cell r="C312">
            <v>411</v>
          </cell>
          <cell r="D312" t="str">
            <v>-  35 SQ.MM. ACSR</v>
          </cell>
          <cell r="E312">
            <v>15</v>
          </cell>
          <cell r="F312">
            <v>6</v>
          </cell>
          <cell r="G312" t="str">
            <v>M.</v>
          </cell>
        </row>
        <row r="313">
          <cell r="C313">
            <v>412</v>
          </cell>
          <cell r="D313" t="str">
            <v>-  50 SQ.MM. ACSR</v>
          </cell>
          <cell r="E313">
            <v>21</v>
          </cell>
          <cell r="F313">
            <v>8</v>
          </cell>
          <cell r="G313" t="str">
            <v>M.</v>
          </cell>
        </row>
        <row r="314">
          <cell r="C314">
            <v>413</v>
          </cell>
          <cell r="D314" t="str">
            <v>-  70 SQ.MM. ACSR</v>
          </cell>
          <cell r="E314">
            <v>30</v>
          </cell>
          <cell r="F314">
            <v>11</v>
          </cell>
          <cell r="G314" t="str">
            <v>M.</v>
          </cell>
        </row>
        <row r="315">
          <cell r="C315">
            <v>414</v>
          </cell>
          <cell r="D315" t="str">
            <v>-  95 SQ.MM. ACSR</v>
          </cell>
          <cell r="E315">
            <v>42</v>
          </cell>
          <cell r="F315">
            <v>16</v>
          </cell>
          <cell r="G315" t="str">
            <v>M.</v>
          </cell>
        </row>
        <row r="316">
          <cell r="C316">
            <v>415</v>
          </cell>
          <cell r="D316" t="str">
            <v>-  120 SQ.MM. ACSR</v>
          </cell>
          <cell r="E316">
            <v>54</v>
          </cell>
          <cell r="F316">
            <v>20</v>
          </cell>
          <cell r="G316" t="str">
            <v>M.</v>
          </cell>
        </row>
        <row r="317">
          <cell r="C317">
            <v>416</v>
          </cell>
          <cell r="D317" t="str">
            <v>-  150 SQ.MM. ACSR</v>
          </cell>
          <cell r="E317">
            <v>83</v>
          </cell>
          <cell r="F317">
            <v>25</v>
          </cell>
          <cell r="G317" t="str">
            <v>M.</v>
          </cell>
        </row>
        <row r="318">
          <cell r="C318">
            <v>417</v>
          </cell>
          <cell r="D318" t="str">
            <v>-  185 SQ.MM. ACSR</v>
          </cell>
          <cell r="E318">
            <v>0</v>
          </cell>
          <cell r="F318">
            <v>0</v>
          </cell>
          <cell r="G318" t="str">
            <v>M.</v>
          </cell>
        </row>
        <row r="319">
          <cell r="D319" t="str">
            <v>SPACE</v>
          </cell>
        </row>
        <row r="320">
          <cell r="C320">
            <v>45</v>
          </cell>
          <cell r="D320" t="str">
            <v>FIRE - RESISTANT CABLE</v>
          </cell>
        </row>
        <row r="321">
          <cell r="C321">
            <v>451</v>
          </cell>
          <cell r="D321" t="str">
            <v>-  1/C - 0.75 SQ.MM. FR.</v>
          </cell>
          <cell r="E321">
            <v>17</v>
          </cell>
          <cell r="F321">
            <v>1</v>
          </cell>
          <cell r="G321" t="str">
            <v>M.</v>
          </cell>
        </row>
        <row r="322">
          <cell r="C322">
            <v>452</v>
          </cell>
          <cell r="D322" t="str">
            <v>-  1/C - 1.0 SQ.MM. FR.</v>
          </cell>
          <cell r="E322">
            <v>19</v>
          </cell>
          <cell r="F322">
            <v>1</v>
          </cell>
          <cell r="G322" t="str">
            <v>M.</v>
          </cell>
        </row>
        <row r="323">
          <cell r="C323">
            <v>453</v>
          </cell>
          <cell r="D323" t="str">
            <v>-  1/C - 1.5 SQ.MM. FR.</v>
          </cell>
          <cell r="E323">
            <v>20</v>
          </cell>
          <cell r="F323">
            <v>1</v>
          </cell>
          <cell r="G323" t="str">
            <v>M.</v>
          </cell>
        </row>
        <row r="324">
          <cell r="C324">
            <v>454</v>
          </cell>
          <cell r="D324" t="str">
            <v>-  1/C - 2.5 SQ.MM. FR.</v>
          </cell>
          <cell r="E324">
            <v>26</v>
          </cell>
          <cell r="F324">
            <v>2</v>
          </cell>
          <cell r="G324" t="str">
            <v>M.</v>
          </cell>
        </row>
        <row r="325">
          <cell r="C325">
            <v>455</v>
          </cell>
          <cell r="D325" t="str">
            <v>-  1/C - 4 SQ.MM. FR.</v>
          </cell>
          <cell r="E325">
            <v>36</v>
          </cell>
          <cell r="F325">
            <v>2</v>
          </cell>
          <cell r="G325" t="str">
            <v>M.</v>
          </cell>
        </row>
        <row r="326">
          <cell r="C326">
            <v>456</v>
          </cell>
          <cell r="D326" t="str">
            <v>-  1/C - 6 SQ.MM. FR.</v>
          </cell>
          <cell r="E326">
            <v>60</v>
          </cell>
          <cell r="F326">
            <v>3</v>
          </cell>
          <cell r="G326" t="str">
            <v>M.</v>
          </cell>
        </row>
        <row r="327">
          <cell r="C327">
            <v>457</v>
          </cell>
          <cell r="D327" t="str">
            <v>-  1/C - 10 SQ.MM. FR.</v>
          </cell>
          <cell r="E327">
            <v>82</v>
          </cell>
          <cell r="F327">
            <v>5</v>
          </cell>
          <cell r="G327" t="str">
            <v>M.</v>
          </cell>
        </row>
        <row r="328">
          <cell r="C328">
            <v>458</v>
          </cell>
          <cell r="D328" t="str">
            <v>-  1/C - 16 SQ.MM. FR.</v>
          </cell>
          <cell r="E328">
            <v>96</v>
          </cell>
          <cell r="F328">
            <v>6</v>
          </cell>
          <cell r="G328" t="str">
            <v>M.</v>
          </cell>
        </row>
        <row r="329">
          <cell r="C329">
            <v>459</v>
          </cell>
          <cell r="D329" t="str">
            <v>-  1/C - 25 SQ.MM. FR.</v>
          </cell>
          <cell r="E329">
            <v>130</v>
          </cell>
          <cell r="F329">
            <v>8</v>
          </cell>
          <cell r="G329" t="str">
            <v>M.</v>
          </cell>
        </row>
        <row r="330">
          <cell r="C330">
            <v>460</v>
          </cell>
          <cell r="D330" t="str">
            <v>-  1/C - 35 SQ.MM. FR.</v>
          </cell>
          <cell r="E330">
            <v>184</v>
          </cell>
          <cell r="F330">
            <v>11</v>
          </cell>
          <cell r="G330" t="str">
            <v>M.</v>
          </cell>
        </row>
        <row r="331">
          <cell r="C331">
            <v>461</v>
          </cell>
          <cell r="D331" t="str">
            <v>-  1/C - 50 SQ.MM. FR.</v>
          </cell>
          <cell r="E331">
            <v>264</v>
          </cell>
          <cell r="F331">
            <v>16</v>
          </cell>
          <cell r="G331" t="str">
            <v>M.</v>
          </cell>
        </row>
        <row r="332">
          <cell r="C332">
            <v>462</v>
          </cell>
          <cell r="D332" t="str">
            <v>-  1/C - 70 SQ.MM. FR.</v>
          </cell>
          <cell r="E332">
            <v>330</v>
          </cell>
          <cell r="F332">
            <v>20</v>
          </cell>
          <cell r="G332" t="str">
            <v>M.</v>
          </cell>
        </row>
        <row r="333">
          <cell r="C333">
            <v>463</v>
          </cell>
          <cell r="D333" t="str">
            <v>-  1/C - 95 SQ.MM. FR.</v>
          </cell>
          <cell r="E333">
            <v>396</v>
          </cell>
          <cell r="F333">
            <v>25</v>
          </cell>
          <cell r="G333" t="str">
            <v>M.</v>
          </cell>
        </row>
        <row r="334">
          <cell r="C334">
            <v>464</v>
          </cell>
          <cell r="D334" t="str">
            <v>-  1/C - 120 SQ.MM. FR.</v>
          </cell>
          <cell r="E334">
            <v>488</v>
          </cell>
          <cell r="F334">
            <v>30</v>
          </cell>
          <cell r="G334" t="str">
            <v>M.</v>
          </cell>
        </row>
        <row r="335">
          <cell r="C335">
            <v>465</v>
          </cell>
          <cell r="D335" t="str">
            <v>-  1/C - 150 SQ.MM. FR.</v>
          </cell>
          <cell r="E335">
            <v>589</v>
          </cell>
          <cell r="F335">
            <v>35</v>
          </cell>
          <cell r="G335" t="str">
            <v>M.</v>
          </cell>
        </row>
        <row r="336">
          <cell r="C336">
            <v>466</v>
          </cell>
          <cell r="D336" t="str">
            <v>-  1/C - 185 SQ.MM. FR.</v>
          </cell>
          <cell r="E336">
            <v>688</v>
          </cell>
          <cell r="F336">
            <v>40</v>
          </cell>
          <cell r="G336" t="str">
            <v>M.</v>
          </cell>
        </row>
        <row r="337">
          <cell r="C337">
            <v>467</v>
          </cell>
          <cell r="D337" t="str">
            <v>-  1/C - 240 SQ.MM. FR.</v>
          </cell>
          <cell r="E337">
            <v>852</v>
          </cell>
          <cell r="F337">
            <v>50</v>
          </cell>
          <cell r="G337" t="str">
            <v>M.</v>
          </cell>
        </row>
        <row r="338">
          <cell r="C338">
            <v>468</v>
          </cell>
          <cell r="D338" t="str">
            <v>-  1/C - 300 SQ.MM. FR.</v>
          </cell>
          <cell r="E338">
            <v>1088</v>
          </cell>
          <cell r="F338">
            <v>60</v>
          </cell>
          <cell r="G338" t="str">
            <v>M.</v>
          </cell>
        </row>
        <row r="339">
          <cell r="C339">
            <v>469</v>
          </cell>
          <cell r="D339" t="str">
            <v>-  1/C - 400 SQ.MM. FR.</v>
          </cell>
          <cell r="E339">
            <v>1308</v>
          </cell>
          <cell r="F339">
            <v>70</v>
          </cell>
          <cell r="G339" t="str">
            <v>M.</v>
          </cell>
        </row>
        <row r="340">
          <cell r="C340">
            <v>470</v>
          </cell>
          <cell r="D340" t="str">
            <v>-  1/C - 500 SQ.MM. FR.</v>
          </cell>
          <cell r="E340">
            <v>1548</v>
          </cell>
          <cell r="F340">
            <v>90</v>
          </cell>
          <cell r="G340" t="str">
            <v>M.</v>
          </cell>
        </row>
        <row r="341">
          <cell r="C341">
            <v>471</v>
          </cell>
          <cell r="D341" t="str">
            <v>-  1/C - 630 SQ.MM. FR.</v>
          </cell>
          <cell r="E341">
            <v>1904</v>
          </cell>
          <cell r="F341">
            <v>105</v>
          </cell>
          <cell r="G341" t="str">
            <v>M.</v>
          </cell>
        </row>
        <row r="342">
          <cell r="C342">
            <v>472</v>
          </cell>
          <cell r="D342" t="str">
            <v>-  1/C - 2.5 SQ.MM. FR. W./SHEET</v>
          </cell>
          <cell r="E342">
            <v>44</v>
          </cell>
          <cell r="F342">
            <v>2</v>
          </cell>
          <cell r="G342" t="str">
            <v>M.</v>
          </cell>
        </row>
        <row r="343">
          <cell r="C343">
            <v>473</v>
          </cell>
          <cell r="D343" t="str">
            <v>-  1/C - 4 SQ.MM. FR. W./SHEET</v>
          </cell>
          <cell r="E343">
            <v>58</v>
          </cell>
          <cell r="F343">
            <v>3</v>
          </cell>
          <cell r="G343" t="str">
            <v>M.</v>
          </cell>
        </row>
        <row r="344">
          <cell r="C344">
            <v>474</v>
          </cell>
          <cell r="D344" t="str">
            <v>-  1/C - 6 SQ.MM. FR. W./SHEET</v>
          </cell>
          <cell r="E344">
            <v>71</v>
          </cell>
          <cell r="F344">
            <v>5</v>
          </cell>
          <cell r="G344" t="str">
            <v>M.</v>
          </cell>
        </row>
        <row r="345">
          <cell r="C345">
            <v>475</v>
          </cell>
          <cell r="D345" t="str">
            <v>-  1/C - 10 SQ.MM. FR. W./SHEET</v>
          </cell>
          <cell r="E345">
            <v>97</v>
          </cell>
          <cell r="F345">
            <v>6</v>
          </cell>
          <cell r="G345" t="str">
            <v>M.</v>
          </cell>
        </row>
        <row r="346">
          <cell r="C346">
            <v>476</v>
          </cell>
          <cell r="D346" t="str">
            <v>-  1/C - 16 SQ.MM. FR. W./SHEET</v>
          </cell>
          <cell r="E346">
            <v>112</v>
          </cell>
          <cell r="F346">
            <v>8</v>
          </cell>
          <cell r="G346" t="str">
            <v>M.</v>
          </cell>
        </row>
        <row r="347">
          <cell r="C347">
            <v>477</v>
          </cell>
          <cell r="D347" t="str">
            <v>-  1/C - 25 SQ.MM. FR. W./SHEET</v>
          </cell>
          <cell r="E347">
            <v>154</v>
          </cell>
          <cell r="F347">
            <v>11</v>
          </cell>
          <cell r="G347" t="str">
            <v>M.</v>
          </cell>
        </row>
        <row r="348">
          <cell r="C348">
            <v>478</v>
          </cell>
          <cell r="D348" t="str">
            <v>-  1/C - 35 SQ.MM. FR. W./SHEET</v>
          </cell>
          <cell r="E348">
            <v>211</v>
          </cell>
          <cell r="F348">
            <v>16</v>
          </cell>
          <cell r="G348" t="str">
            <v>M.</v>
          </cell>
        </row>
        <row r="349">
          <cell r="C349">
            <v>479</v>
          </cell>
          <cell r="D349" t="str">
            <v>-  1/C - 50 SQ.MM. FR. W./SHEET</v>
          </cell>
          <cell r="E349">
            <v>303</v>
          </cell>
          <cell r="F349">
            <v>20</v>
          </cell>
          <cell r="G349" t="str">
            <v>M.</v>
          </cell>
        </row>
        <row r="350">
          <cell r="C350">
            <v>480</v>
          </cell>
          <cell r="D350" t="str">
            <v>-  1/C - 70 SQ.MM. FR. W./SHEET</v>
          </cell>
          <cell r="E350">
            <v>389</v>
          </cell>
          <cell r="F350">
            <v>25</v>
          </cell>
          <cell r="G350" t="str">
            <v>M.</v>
          </cell>
        </row>
        <row r="351">
          <cell r="C351">
            <v>481</v>
          </cell>
          <cell r="D351" t="str">
            <v>-  1/C - 95 SQ.MM. FR. W./SHEET</v>
          </cell>
          <cell r="E351">
            <v>470</v>
          </cell>
          <cell r="F351">
            <v>30</v>
          </cell>
          <cell r="G351" t="str">
            <v>M.</v>
          </cell>
        </row>
        <row r="352">
          <cell r="C352">
            <v>482</v>
          </cell>
          <cell r="D352" t="str">
            <v>-  1/C - 120 SQ.MM. FR. W./SHEET</v>
          </cell>
          <cell r="E352">
            <v>570</v>
          </cell>
          <cell r="F352">
            <v>35</v>
          </cell>
          <cell r="G352" t="str">
            <v>M.</v>
          </cell>
        </row>
        <row r="353">
          <cell r="C353">
            <v>483</v>
          </cell>
          <cell r="D353" t="str">
            <v>-  1/C - 150 SQ.MM. FR. W./SHEET</v>
          </cell>
          <cell r="E353">
            <v>716</v>
          </cell>
          <cell r="F353">
            <v>40</v>
          </cell>
          <cell r="G353" t="str">
            <v>M.</v>
          </cell>
        </row>
        <row r="354">
          <cell r="C354">
            <v>484</v>
          </cell>
          <cell r="D354" t="str">
            <v>-  1/C - 185 SQ.MM. FR. W./SHEET</v>
          </cell>
          <cell r="E354">
            <v>835</v>
          </cell>
          <cell r="F354">
            <v>50</v>
          </cell>
          <cell r="G354" t="str">
            <v>M.</v>
          </cell>
        </row>
        <row r="355">
          <cell r="C355">
            <v>485</v>
          </cell>
          <cell r="D355" t="str">
            <v>-  1/C - 240 SQ.MM. FR. W./SHEET</v>
          </cell>
          <cell r="E355">
            <v>1051</v>
          </cell>
          <cell r="F355">
            <v>60</v>
          </cell>
          <cell r="G355" t="str">
            <v>M.</v>
          </cell>
        </row>
        <row r="356">
          <cell r="C356">
            <v>486</v>
          </cell>
          <cell r="D356" t="str">
            <v>-  1/C - 300 SQ.MM. FR. W./SHEET</v>
          </cell>
          <cell r="E356">
            <v>1390</v>
          </cell>
          <cell r="F356">
            <v>70</v>
          </cell>
          <cell r="G356" t="str">
            <v>M.</v>
          </cell>
        </row>
        <row r="357">
          <cell r="C357">
            <v>487</v>
          </cell>
          <cell r="D357" t="str">
            <v>-  1/C - 400 SQ.MM. FR. W./SHEET</v>
          </cell>
          <cell r="E357">
            <v>1679</v>
          </cell>
          <cell r="F357">
            <v>90</v>
          </cell>
          <cell r="G357" t="str">
            <v>M.</v>
          </cell>
        </row>
        <row r="358">
          <cell r="C358">
            <v>488</v>
          </cell>
          <cell r="D358" t="str">
            <v>-  1/C - 500 SQ.MM. FR. W./SHEET</v>
          </cell>
          <cell r="E358">
            <v>1818</v>
          </cell>
          <cell r="F358">
            <v>105</v>
          </cell>
          <cell r="G358" t="str">
            <v>M.</v>
          </cell>
        </row>
        <row r="359">
          <cell r="C359">
            <v>489</v>
          </cell>
          <cell r="D359" t="str">
            <v>-  1/C - 630 SQ.MM. FR. W./SHEET</v>
          </cell>
          <cell r="E359">
            <v>2183</v>
          </cell>
          <cell r="F359">
            <v>120</v>
          </cell>
          <cell r="G359" t="str">
            <v>M.</v>
          </cell>
        </row>
        <row r="360">
          <cell r="C360">
            <v>5</v>
          </cell>
          <cell r="D360" t="str">
            <v>CABLE RACEWAY</v>
          </cell>
        </row>
        <row r="361">
          <cell r="C361">
            <v>501</v>
          </cell>
          <cell r="D361" t="str">
            <v>-  DIA. 1/2" EMT</v>
          </cell>
          <cell r="E361">
            <v>23</v>
          </cell>
          <cell r="F361">
            <v>10</v>
          </cell>
          <cell r="G361" t="str">
            <v>M.</v>
          </cell>
        </row>
        <row r="362">
          <cell r="C362">
            <v>502</v>
          </cell>
          <cell r="D362" t="str">
            <v>-  DIA. 3/4" EMT</v>
          </cell>
          <cell r="E362">
            <v>34</v>
          </cell>
          <cell r="F362">
            <v>15</v>
          </cell>
          <cell r="G362" t="str">
            <v>M.</v>
          </cell>
        </row>
        <row r="363">
          <cell r="C363">
            <v>503</v>
          </cell>
          <cell r="D363" t="str">
            <v>-  DIA. 1" EMT</v>
          </cell>
          <cell r="E363">
            <v>48</v>
          </cell>
          <cell r="F363">
            <v>18</v>
          </cell>
          <cell r="G363" t="str">
            <v>M.</v>
          </cell>
        </row>
        <row r="364">
          <cell r="C364">
            <v>504</v>
          </cell>
          <cell r="D364" t="str">
            <v>-  DIA. 1 1/4" EMT</v>
          </cell>
          <cell r="E364">
            <v>79</v>
          </cell>
          <cell r="F364">
            <v>25</v>
          </cell>
          <cell r="G364" t="str">
            <v>M.</v>
          </cell>
        </row>
        <row r="365">
          <cell r="C365">
            <v>505</v>
          </cell>
          <cell r="D365" t="str">
            <v>-  DIA. 1 1/2" EMT</v>
          </cell>
          <cell r="E365">
            <v>92</v>
          </cell>
          <cell r="F365">
            <v>30</v>
          </cell>
          <cell r="G365" t="str">
            <v>M.</v>
          </cell>
        </row>
        <row r="366">
          <cell r="C366">
            <v>506</v>
          </cell>
          <cell r="D366" t="str">
            <v>-  DIA. 2" EMT</v>
          </cell>
          <cell r="E366">
            <v>114</v>
          </cell>
          <cell r="F366">
            <v>40</v>
          </cell>
          <cell r="G366" t="str">
            <v>M.</v>
          </cell>
        </row>
        <row r="367">
          <cell r="C367">
            <v>507</v>
          </cell>
          <cell r="D367" t="str">
            <v>-  DIA. 1/2" IMC</v>
          </cell>
          <cell r="E367">
            <v>45</v>
          </cell>
          <cell r="F367">
            <v>13</v>
          </cell>
          <cell r="G367" t="str">
            <v>M.</v>
          </cell>
        </row>
        <row r="368">
          <cell r="C368">
            <v>508</v>
          </cell>
          <cell r="D368" t="str">
            <v>-  DIA. 3/4" IMC</v>
          </cell>
          <cell r="E368">
            <v>61</v>
          </cell>
          <cell r="F368">
            <v>15</v>
          </cell>
          <cell r="G368" t="str">
            <v>M.</v>
          </cell>
        </row>
        <row r="369">
          <cell r="C369">
            <v>509</v>
          </cell>
          <cell r="D369" t="str">
            <v>-  DIA. 1" IMC</v>
          </cell>
          <cell r="E369">
            <v>82</v>
          </cell>
          <cell r="F369">
            <v>20</v>
          </cell>
          <cell r="G369" t="str">
            <v>M.</v>
          </cell>
        </row>
        <row r="370">
          <cell r="C370">
            <v>510</v>
          </cell>
          <cell r="D370" t="str">
            <v>-  DIA. 1 1/4" IMC</v>
          </cell>
          <cell r="E370">
            <v>105</v>
          </cell>
          <cell r="F370">
            <v>25</v>
          </cell>
          <cell r="G370" t="str">
            <v>M.</v>
          </cell>
        </row>
        <row r="371">
          <cell r="C371">
            <v>511</v>
          </cell>
          <cell r="D371" t="str">
            <v>-  DIA. 1 1/2" IMC</v>
          </cell>
          <cell r="E371">
            <v>130</v>
          </cell>
          <cell r="F371">
            <v>30</v>
          </cell>
          <cell r="G371" t="str">
            <v>M.</v>
          </cell>
        </row>
        <row r="372">
          <cell r="C372">
            <v>512</v>
          </cell>
          <cell r="D372" t="str">
            <v>-  DIA. 2" IMC</v>
          </cell>
          <cell r="E372">
            <v>174</v>
          </cell>
          <cell r="F372">
            <v>35</v>
          </cell>
          <cell r="G372" t="str">
            <v>M.</v>
          </cell>
        </row>
        <row r="373">
          <cell r="C373">
            <v>513</v>
          </cell>
          <cell r="D373" t="str">
            <v>-  DIA. 2 1/2" IMC</v>
          </cell>
          <cell r="E373">
            <v>282</v>
          </cell>
          <cell r="F373">
            <v>45</v>
          </cell>
          <cell r="G373" t="str">
            <v>M.</v>
          </cell>
        </row>
        <row r="374">
          <cell r="C374">
            <v>514</v>
          </cell>
          <cell r="D374" t="str">
            <v>-  DIA. 3" IMC</v>
          </cell>
          <cell r="E374">
            <v>342</v>
          </cell>
          <cell r="F374">
            <v>50</v>
          </cell>
          <cell r="G374" t="str">
            <v>M.</v>
          </cell>
        </row>
        <row r="375">
          <cell r="C375">
            <v>515</v>
          </cell>
          <cell r="D375" t="str">
            <v>-  DIA. 3 1/2" IMC</v>
          </cell>
          <cell r="E375">
            <v>397</v>
          </cell>
          <cell r="F375">
            <v>55</v>
          </cell>
          <cell r="G375" t="str">
            <v>M.</v>
          </cell>
        </row>
        <row r="376">
          <cell r="C376">
            <v>516</v>
          </cell>
          <cell r="D376" t="str">
            <v>-  DIA. 4" IMC</v>
          </cell>
          <cell r="E376">
            <v>433</v>
          </cell>
          <cell r="F376">
            <v>60</v>
          </cell>
          <cell r="G376" t="str">
            <v>M.</v>
          </cell>
        </row>
        <row r="377">
          <cell r="C377">
            <v>517</v>
          </cell>
          <cell r="D377" t="str">
            <v>-  DIA. 5" IMC</v>
          </cell>
          <cell r="E377">
            <v>747</v>
          </cell>
          <cell r="F377">
            <v>70</v>
          </cell>
          <cell r="G377" t="str">
            <v>M.</v>
          </cell>
        </row>
        <row r="378">
          <cell r="C378">
            <v>518</v>
          </cell>
          <cell r="D378" t="str">
            <v>-  DIA. 1/2" RSC</v>
          </cell>
          <cell r="E378">
            <v>64</v>
          </cell>
          <cell r="F378">
            <v>15</v>
          </cell>
          <cell r="G378" t="str">
            <v>M.</v>
          </cell>
        </row>
        <row r="379">
          <cell r="C379">
            <v>519</v>
          </cell>
          <cell r="D379" t="str">
            <v>-  DIA. 3/4" RSC</v>
          </cell>
          <cell r="E379">
            <v>82</v>
          </cell>
          <cell r="F379">
            <v>20</v>
          </cell>
          <cell r="G379" t="str">
            <v>M.</v>
          </cell>
        </row>
        <row r="380">
          <cell r="C380">
            <v>520</v>
          </cell>
          <cell r="D380" t="str">
            <v>-  DIA. 1" RSC</v>
          </cell>
          <cell r="E380">
            <v>120</v>
          </cell>
          <cell r="F380">
            <v>25</v>
          </cell>
          <cell r="G380" t="str">
            <v>M.</v>
          </cell>
        </row>
        <row r="381">
          <cell r="C381">
            <v>521</v>
          </cell>
          <cell r="D381" t="str">
            <v>-  DIA. 1 1/4" RSC</v>
          </cell>
          <cell r="E381">
            <v>153</v>
          </cell>
          <cell r="F381">
            <v>35</v>
          </cell>
          <cell r="G381" t="str">
            <v>M.</v>
          </cell>
        </row>
        <row r="382">
          <cell r="C382">
            <v>522</v>
          </cell>
          <cell r="D382" t="str">
            <v>-  DIA. 1 1/2" RSC</v>
          </cell>
          <cell r="E382">
            <v>182</v>
          </cell>
          <cell r="F382">
            <v>45</v>
          </cell>
          <cell r="G382" t="str">
            <v>M.</v>
          </cell>
        </row>
        <row r="383">
          <cell r="C383">
            <v>523</v>
          </cell>
          <cell r="D383" t="str">
            <v>-  DIA. 2" RSC</v>
          </cell>
          <cell r="E383">
            <v>243</v>
          </cell>
          <cell r="F383">
            <v>55</v>
          </cell>
          <cell r="G383" t="str">
            <v>M.</v>
          </cell>
        </row>
        <row r="384">
          <cell r="C384">
            <v>524</v>
          </cell>
          <cell r="D384" t="str">
            <v>-  DIA. 2 1/2" RSC</v>
          </cell>
          <cell r="E384">
            <v>373</v>
          </cell>
          <cell r="F384">
            <v>80</v>
          </cell>
          <cell r="G384" t="str">
            <v>M.</v>
          </cell>
        </row>
        <row r="385">
          <cell r="C385">
            <v>525</v>
          </cell>
          <cell r="D385" t="str">
            <v>-  DIA. 3" RSC</v>
          </cell>
          <cell r="E385">
            <v>480</v>
          </cell>
          <cell r="F385">
            <v>90</v>
          </cell>
          <cell r="G385" t="str">
            <v>M.</v>
          </cell>
        </row>
        <row r="386">
          <cell r="C386">
            <v>526</v>
          </cell>
          <cell r="D386" t="str">
            <v>-  DIA. 3 1/2" RSC</v>
          </cell>
          <cell r="E386">
            <v>606</v>
          </cell>
          <cell r="F386">
            <v>100</v>
          </cell>
          <cell r="G386" t="str">
            <v>M.</v>
          </cell>
        </row>
        <row r="387">
          <cell r="C387">
            <v>527</v>
          </cell>
          <cell r="D387" t="str">
            <v>-  DIA. 4" RSC</v>
          </cell>
          <cell r="E387">
            <v>706</v>
          </cell>
          <cell r="F387">
            <v>125</v>
          </cell>
          <cell r="G387" t="str">
            <v>M.</v>
          </cell>
        </row>
        <row r="388">
          <cell r="C388">
            <v>528</v>
          </cell>
          <cell r="D388" t="str">
            <v>-  DIA. 5" RSC</v>
          </cell>
          <cell r="E388">
            <v>1016</v>
          </cell>
          <cell r="F388">
            <v>140</v>
          </cell>
          <cell r="G388" t="str">
            <v>M.</v>
          </cell>
        </row>
        <row r="389">
          <cell r="D389" t="str">
            <v>SPACE</v>
          </cell>
        </row>
        <row r="390">
          <cell r="C390">
            <v>530</v>
          </cell>
          <cell r="D390" t="str">
            <v>-  DIA. 25 MM. HDPE-PN4</v>
          </cell>
          <cell r="E390">
            <v>20</v>
          </cell>
          <cell r="F390">
            <v>10</v>
          </cell>
          <cell r="G390" t="str">
            <v>M.</v>
          </cell>
        </row>
        <row r="391">
          <cell r="C391">
            <v>531</v>
          </cell>
          <cell r="D391" t="str">
            <v>-  DIA. 32 MM. HDPE-PN4</v>
          </cell>
          <cell r="E391">
            <v>25</v>
          </cell>
          <cell r="F391">
            <v>15</v>
          </cell>
          <cell r="G391" t="str">
            <v>M.</v>
          </cell>
        </row>
        <row r="392">
          <cell r="C392">
            <v>532</v>
          </cell>
          <cell r="D392" t="str">
            <v>-  DIA. 40 MM. HDPE-PN4</v>
          </cell>
          <cell r="E392">
            <v>34</v>
          </cell>
          <cell r="F392">
            <v>18</v>
          </cell>
          <cell r="G392" t="str">
            <v>M.</v>
          </cell>
        </row>
        <row r="393">
          <cell r="C393">
            <v>533</v>
          </cell>
          <cell r="D393" t="str">
            <v>-  DIA. 50 MM. HDPE-PN4</v>
          </cell>
          <cell r="E393">
            <v>38</v>
          </cell>
          <cell r="F393">
            <v>25</v>
          </cell>
          <cell r="G393" t="str">
            <v>M.</v>
          </cell>
        </row>
        <row r="394">
          <cell r="C394">
            <v>534</v>
          </cell>
          <cell r="D394" t="str">
            <v>-  DIA. 63 MM. HDPE-PN4</v>
          </cell>
          <cell r="E394">
            <v>56</v>
          </cell>
          <cell r="F394">
            <v>30</v>
          </cell>
          <cell r="G394" t="str">
            <v>M.</v>
          </cell>
        </row>
        <row r="395">
          <cell r="C395">
            <v>535</v>
          </cell>
          <cell r="D395" t="str">
            <v>-  DIA. 75 MM. HDPE-PN4</v>
          </cell>
          <cell r="E395">
            <v>81</v>
          </cell>
          <cell r="F395">
            <v>40</v>
          </cell>
          <cell r="G395" t="str">
            <v>M.</v>
          </cell>
        </row>
        <row r="396">
          <cell r="C396">
            <v>536</v>
          </cell>
          <cell r="D396" t="str">
            <v>-  DIA. 90 MM. HDPE-PN4</v>
          </cell>
          <cell r="E396">
            <v>116</v>
          </cell>
          <cell r="F396">
            <v>47</v>
          </cell>
          <cell r="G396" t="str">
            <v>M.</v>
          </cell>
        </row>
        <row r="397">
          <cell r="C397">
            <v>537</v>
          </cell>
          <cell r="D397" t="str">
            <v>-  DIA. 110 MM. HDPE-PN4</v>
          </cell>
          <cell r="E397">
            <v>170</v>
          </cell>
          <cell r="F397">
            <v>55</v>
          </cell>
          <cell r="G397" t="str">
            <v>M.</v>
          </cell>
        </row>
        <row r="398">
          <cell r="C398">
            <v>538</v>
          </cell>
          <cell r="D398" t="str">
            <v>-  DIA. 125 MM. HDPE-PN4</v>
          </cell>
          <cell r="E398">
            <v>220</v>
          </cell>
          <cell r="F398">
            <v>65</v>
          </cell>
          <cell r="G398" t="str">
            <v>M.</v>
          </cell>
        </row>
        <row r="399">
          <cell r="C399">
            <v>539</v>
          </cell>
          <cell r="D399" t="str">
            <v>-  DIA. 140 MM. HDPE-PN4</v>
          </cell>
          <cell r="E399">
            <v>278</v>
          </cell>
          <cell r="F399">
            <v>70</v>
          </cell>
          <cell r="G399" t="str">
            <v>M.</v>
          </cell>
        </row>
        <row r="400">
          <cell r="C400">
            <v>540</v>
          </cell>
          <cell r="D400" t="str">
            <v>-  DIA. 160 MM. HDPE-PN4</v>
          </cell>
          <cell r="E400">
            <v>363</v>
          </cell>
          <cell r="F400">
            <v>75</v>
          </cell>
          <cell r="G400" t="str">
            <v>M.</v>
          </cell>
        </row>
        <row r="401">
          <cell r="C401">
            <v>541</v>
          </cell>
          <cell r="D401" t="str">
            <v>-  DIA. 180 MM. HDPE-PN4</v>
          </cell>
          <cell r="E401">
            <v>462</v>
          </cell>
          <cell r="F401">
            <v>80</v>
          </cell>
          <cell r="G401" t="str">
            <v>M.</v>
          </cell>
        </row>
        <row r="402">
          <cell r="D402" t="str">
            <v>SPACE</v>
          </cell>
        </row>
        <row r="403">
          <cell r="C403">
            <v>546</v>
          </cell>
          <cell r="D403" t="str">
            <v>-  DIA. 25 MM. HDPE-PN6</v>
          </cell>
          <cell r="E403">
            <v>20</v>
          </cell>
          <cell r="F403">
            <v>10</v>
          </cell>
          <cell r="G403" t="str">
            <v>M.</v>
          </cell>
        </row>
        <row r="404">
          <cell r="C404">
            <v>547</v>
          </cell>
          <cell r="D404" t="str">
            <v>-  DIA. 32 MM. HDPE-PN6</v>
          </cell>
          <cell r="E404">
            <v>25</v>
          </cell>
          <cell r="F404">
            <v>15</v>
          </cell>
          <cell r="G404" t="str">
            <v>M.</v>
          </cell>
        </row>
        <row r="405">
          <cell r="C405">
            <v>548</v>
          </cell>
          <cell r="D405" t="str">
            <v>-  DIA. 40 MM. HDPE-PN6</v>
          </cell>
          <cell r="E405">
            <v>34</v>
          </cell>
          <cell r="F405">
            <v>18</v>
          </cell>
          <cell r="G405" t="str">
            <v>M.</v>
          </cell>
        </row>
        <row r="406">
          <cell r="C406">
            <v>549</v>
          </cell>
          <cell r="D406" t="str">
            <v>-  DIA. 50 MM. HDPE-PN6</v>
          </cell>
          <cell r="E406">
            <v>53</v>
          </cell>
          <cell r="F406">
            <v>25</v>
          </cell>
          <cell r="G406" t="str">
            <v>M.</v>
          </cell>
        </row>
        <row r="407">
          <cell r="C407">
            <v>550</v>
          </cell>
          <cell r="D407" t="str">
            <v>-  DIA. 63 MM. HDPE-PN6</v>
          </cell>
          <cell r="E407">
            <v>83</v>
          </cell>
          <cell r="F407">
            <v>30</v>
          </cell>
          <cell r="G407" t="str">
            <v>M.</v>
          </cell>
        </row>
        <row r="408">
          <cell r="C408">
            <v>551</v>
          </cell>
          <cell r="D408" t="str">
            <v>-  DIA. 75 MM. HDPE-PN6</v>
          </cell>
          <cell r="E408">
            <v>116</v>
          </cell>
          <cell r="F408">
            <v>40</v>
          </cell>
          <cell r="G408" t="str">
            <v>M.</v>
          </cell>
        </row>
        <row r="409">
          <cell r="C409">
            <v>552</v>
          </cell>
          <cell r="D409" t="str">
            <v>-  DIA. 90 MM. HDPE-PN6</v>
          </cell>
          <cell r="E409">
            <v>166</v>
          </cell>
          <cell r="F409">
            <v>47</v>
          </cell>
          <cell r="G409" t="str">
            <v>M.</v>
          </cell>
        </row>
        <row r="410">
          <cell r="C410">
            <v>553</v>
          </cell>
          <cell r="D410" t="str">
            <v>-  DIA. 110 MM. HDPE-PN6</v>
          </cell>
          <cell r="E410">
            <v>248</v>
          </cell>
          <cell r="F410">
            <v>55</v>
          </cell>
          <cell r="G410" t="str">
            <v>M.</v>
          </cell>
        </row>
        <row r="411">
          <cell r="C411">
            <v>554</v>
          </cell>
          <cell r="D411" t="str">
            <v>-  DIA. 125 MM. HDPE-PN6</v>
          </cell>
          <cell r="E411">
            <v>318</v>
          </cell>
          <cell r="F411">
            <v>65</v>
          </cell>
          <cell r="G411" t="str">
            <v>M.</v>
          </cell>
        </row>
        <row r="412">
          <cell r="C412">
            <v>555</v>
          </cell>
          <cell r="D412" t="str">
            <v>-  DIA. 140 MM. HDPE-PN6</v>
          </cell>
          <cell r="E412">
            <v>399</v>
          </cell>
          <cell r="F412">
            <v>70</v>
          </cell>
          <cell r="G412" t="str">
            <v>M.</v>
          </cell>
        </row>
        <row r="413">
          <cell r="C413">
            <v>556</v>
          </cell>
          <cell r="D413" t="str">
            <v>-  DIA. 160 MM. HDPE-PN6</v>
          </cell>
          <cell r="E413">
            <v>520</v>
          </cell>
          <cell r="F413">
            <v>75</v>
          </cell>
          <cell r="G413" t="str">
            <v>M.</v>
          </cell>
        </row>
        <row r="414">
          <cell r="C414">
            <v>557</v>
          </cell>
          <cell r="D414" t="str">
            <v>-  DIA. 180 MM. HDPE-PN6</v>
          </cell>
          <cell r="E414">
            <v>655</v>
          </cell>
          <cell r="F414">
            <v>80</v>
          </cell>
          <cell r="G414" t="str">
            <v>M.</v>
          </cell>
        </row>
        <row r="415">
          <cell r="D415" t="str">
            <v>SPACE</v>
          </cell>
        </row>
        <row r="416">
          <cell r="C416">
            <v>561</v>
          </cell>
          <cell r="D416" t="str">
            <v>-  DIA. 2" FRE</v>
          </cell>
          <cell r="E416">
            <v>380</v>
          </cell>
          <cell r="F416">
            <v>50</v>
          </cell>
          <cell r="G416" t="str">
            <v>M.</v>
          </cell>
        </row>
        <row r="417">
          <cell r="C417">
            <v>562</v>
          </cell>
          <cell r="D417" t="str">
            <v>-  DIA. 2 1/2" FRE</v>
          </cell>
          <cell r="E417">
            <v>430</v>
          </cell>
          <cell r="F417">
            <v>60</v>
          </cell>
          <cell r="G417" t="str">
            <v>M.</v>
          </cell>
        </row>
        <row r="418">
          <cell r="C418">
            <v>563</v>
          </cell>
          <cell r="D418" t="str">
            <v>-  DIA. 3" FRE</v>
          </cell>
          <cell r="E418">
            <v>490</v>
          </cell>
          <cell r="F418">
            <v>70</v>
          </cell>
          <cell r="G418" t="str">
            <v>M.</v>
          </cell>
        </row>
        <row r="419">
          <cell r="C419">
            <v>564</v>
          </cell>
          <cell r="D419" t="str">
            <v>-  DIA. 4" FRE</v>
          </cell>
          <cell r="E419">
            <v>550</v>
          </cell>
          <cell r="F419">
            <v>70</v>
          </cell>
          <cell r="G419" t="str">
            <v>M.</v>
          </cell>
        </row>
        <row r="420">
          <cell r="C420">
            <v>565</v>
          </cell>
          <cell r="D420" t="str">
            <v>-  DIA. 5" FRE</v>
          </cell>
          <cell r="E420">
            <v>830</v>
          </cell>
          <cell r="F420">
            <v>100</v>
          </cell>
          <cell r="G420" t="str">
            <v>M.</v>
          </cell>
        </row>
        <row r="421">
          <cell r="C421">
            <v>566</v>
          </cell>
          <cell r="D421" t="str">
            <v>-  DIA. 6" FRE</v>
          </cell>
          <cell r="E421">
            <v>1330</v>
          </cell>
          <cell r="F421">
            <v>150</v>
          </cell>
          <cell r="G421" t="str">
            <v>M.</v>
          </cell>
        </row>
        <row r="422">
          <cell r="D422" t="str">
            <v>SPACE</v>
          </cell>
        </row>
        <row r="423">
          <cell r="D423" t="str">
            <v>5"CONDUIT IN DUCT BANK</v>
          </cell>
        </row>
        <row r="424">
          <cell r="C424">
            <v>571</v>
          </cell>
          <cell r="D424" t="str">
            <v xml:space="preserve">-  DIA. 125 MM. HDPE-PN6 (2x1) DUCT BANK </v>
          </cell>
          <cell r="E424">
            <v>1480</v>
          </cell>
          <cell r="F424">
            <v>600</v>
          </cell>
          <cell r="G424" t="str">
            <v>M.</v>
          </cell>
        </row>
        <row r="425">
          <cell r="C425">
            <v>572</v>
          </cell>
          <cell r="D425" t="str">
            <v xml:space="preserve">-  DIA. 125 MM. HDPE-PN6 (2x2) DUCT BANK </v>
          </cell>
          <cell r="E425">
            <v>2420</v>
          </cell>
          <cell r="F425">
            <v>800</v>
          </cell>
          <cell r="G425" t="str">
            <v>M.</v>
          </cell>
        </row>
        <row r="426">
          <cell r="C426">
            <v>573</v>
          </cell>
          <cell r="D426" t="str">
            <v xml:space="preserve">-  DIA. 125 MM. HDPE-PN6 (2x3) DUCT BANK </v>
          </cell>
          <cell r="E426">
            <v>3400</v>
          </cell>
          <cell r="F426">
            <v>1000</v>
          </cell>
          <cell r="G426" t="str">
            <v>M.</v>
          </cell>
        </row>
        <row r="427">
          <cell r="D427" t="str">
            <v>SPACE</v>
          </cell>
        </row>
        <row r="428">
          <cell r="C428">
            <v>576</v>
          </cell>
          <cell r="D428" t="str">
            <v xml:space="preserve">-  DIA. 5" FRE (2x1) CONDUIT </v>
          </cell>
          <cell r="E428">
            <v>1480</v>
          </cell>
          <cell r="F428">
            <v>300</v>
          </cell>
          <cell r="G428" t="str">
            <v>M.</v>
          </cell>
        </row>
        <row r="429">
          <cell r="C429">
            <v>577</v>
          </cell>
          <cell r="D429" t="str">
            <v xml:space="preserve">-  DIA. 5" FRE (2x2) CONDUIT </v>
          </cell>
          <cell r="E429">
            <v>2830</v>
          </cell>
          <cell r="F429">
            <v>400</v>
          </cell>
          <cell r="G429" t="str">
            <v>M.</v>
          </cell>
        </row>
        <row r="430">
          <cell r="C430">
            <v>578</v>
          </cell>
          <cell r="D430" t="str">
            <v xml:space="preserve">-  DIA. 5" FRE (2x3) CONDUIT </v>
          </cell>
          <cell r="E430">
            <v>3970</v>
          </cell>
          <cell r="F430">
            <v>600</v>
          </cell>
          <cell r="G430" t="str">
            <v>M.</v>
          </cell>
        </row>
        <row r="431">
          <cell r="D431" t="str">
            <v>SPACE</v>
          </cell>
        </row>
        <row r="432">
          <cell r="C432">
            <v>591</v>
          </cell>
          <cell r="D432" t="str">
            <v>-  DIA. 1/2" PVC-CLASS2</v>
          </cell>
          <cell r="E432">
            <v>11</v>
          </cell>
          <cell r="F432">
            <v>5</v>
          </cell>
          <cell r="G432" t="str">
            <v>M.</v>
          </cell>
        </row>
        <row r="433">
          <cell r="C433">
            <v>592</v>
          </cell>
          <cell r="D433" t="str">
            <v>-  DIA. 3/4" PVC-CLASS2</v>
          </cell>
          <cell r="E433">
            <v>13</v>
          </cell>
          <cell r="F433">
            <v>8</v>
          </cell>
          <cell r="G433" t="str">
            <v>M.</v>
          </cell>
        </row>
        <row r="434">
          <cell r="C434">
            <v>593</v>
          </cell>
          <cell r="D434" t="str">
            <v>-  DIA. 1" PVC-CLASS2</v>
          </cell>
          <cell r="E434">
            <v>24</v>
          </cell>
          <cell r="F434">
            <v>12</v>
          </cell>
          <cell r="G434" t="str">
            <v>M.</v>
          </cell>
        </row>
        <row r="435">
          <cell r="C435">
            <v>594</v>
          </cell>
          <cell r="D435" t="str">
            <v>-  DIA. 1 1/4" PVC-CLASS2</v>
          </cell>
          <cell r="E435">
            <v>34</v>
          </cell>
          <cell r="F435">
            <v>18</v>
          </cell>
          <cell r="G435" t="str">
            <v>M.</v>
          </cell>
        </row>
        <row r="436">
          <cell r="C436">
            <v>595</v>
          </cell>
          <cell r="D436" t="str">
            <v>-  DIA. 1 1/2" PVC-CLASS2</v>
          </cell>
          <cell r="E436">
            <v>44</v>
          </cell>
          <cell r="F436">
            <v>20</v>
          </cell>
          <cell r="G436" t="str">
            <v>M.</v>
          </cell>
        </row>
        <row r="437">
          <cell r="C437">
            <v>596</v>
          </cell>
          <cell r="D437" t="str">
            <v>-  DIA. 2" PVC-CLASS2</v>
          </cell>
          <cell r="E437">
            <v>62</v>
          </cell>
          <cell r="F437">
            <v>24</v>
          </cell>
          <cell r="G437" t="str">
            <v>M.</v>
          </cell>
        </row>
        <row r="438">
          <cell r="C438">
            <v>597</v>
          </cell>
          <cell r="D438" t="str">
            <v>-  DIA. 2 1/2" PVC-CLASS3</v>
          </cell>
          <cell r="E438">
            <v>80</v>
          </cell>
          <cell r="F438">
            <v>30</v>
          </cell>
          <cell r="G438" t="str">
            <v>M.</v>
          </cell>
        </row>
        <row r="439">
          <cell r="C439">
            <v>598</v>
          </cell>
          <cell r="D439" t="str">
            <v>-  DIA. 3" PVC-CLASS2</v>
          </cell>
          <cell r="E439">
            <v>126</v>
          </cell>
          <cell r="F439">
            <v>35</v>
          </cell>
          <cell r="G439" t="str">
            <v>M.</v>
          </cell>
        </row>
        <row r="440">
          <cell r="C440">
            <v>599</v>
          </cell>
          <cell r="D440" t="str">
            <v>-  DIA. 4" PVC-CLASS2</v>
          </cell>
          <cell r="E440">
            <v>192</v>
          </cell>
          <cell r="F440">
            <v>40</v>
          </cell>
          <cell r="G440" t="str">
            <v>M.</v>
          </cell>
        </row>
        <row r="441">
          <cell r="D441" t="str">
            <v>SPACE</v>
          </cell>
        </row>
        <row r="442">
          <cell r="C442">
            <v>6</v>
          </cell>
          <cell r="D442" t="str">
            <v>WIRE WAY (1.6 mm.THICK)</v>
          </cell>
        </row>
        <row r="443">
          <cell r="C443">
            <v>601</v>
          </cell>
          <cell r="D443" t="str">
            <v>-  50 mm.x50 mm. WIRE WAY</v>
          </cell>
          <cell r="E443">
            <v>192</v>
          </cell>
          <cell r="F443">
            <v>11</v>
          </cell>
          <cell r="G443" t="str">
            <v>M.</v>
          </cell>
        </row>
        <row r="444">
          <cell r="C444">
            <v>602</v>
          </cell>
          <cell r="D444" t="str">
            <v>-  50 mm.x75 mm. WIRE WAY</v>
          </cell>
          <cell r="E444">
            <v>230</v>
          </cell>
          <cell r="F444">
            <v>14</v>
          </cell>
          <cell r="G444" t="str">
            <v>M.</v>
          </cell>
        </row>
        <row r="445">
          <cell r="C445">
            <v>603</v>
          </cell>
          <cell r="D445" t="str">
            <v>-  50 mm.x100 mm. WIRE WAY</v>
          </cell>
          <cell r="E445">
            <v>263</v>
          </cell>
          <cell r="F445">
            <v>17</v>
          </cell>
          <cell r="G445" t="str">
            <v>M.</v>
          </cell>
        </row>
        <row r="446">
          <cell r="C446">
            <v>604</v>
          </cell>
          <cell r="D446" t="str">
            <v>-  50 mm.x125 mm. WIRE WAY</v>
          </cell>
          <cell r="E446">
            <v>300</v>
          </cell>
          <cell r="F446">
            <v>20</v>
          </cell>
          <cell r="G446" t="str">
            <v>M.</v>
          </cell>
        </row>
        <row r="447">
          <cell r="C447">
            <v>605</v>
          </cell>
          <cell r="D447" t="str">
            <v>-  50 mm.x150 mm. WIRE WAY</v>
          </cell>
          <cell r="E447">
            <v>340</v>
          </cell>
          <cell r="F447">
            <v>23</v>
          </cell>
          <cell r="G447" t="str">
            <v>M.</v>
          </cell>
        </row>
        <row r="448">
          <cell r="C448">
            <v>606</v>
          </cell>
          <cell r="D448" t="str">
            <v>-  50 mm.x200 mm. WIRE WAY</v>
          </cell>
          <cell r="E448">
            <v>400</v>
          </cell>
          <cell r="F448">
            <v>26</v>
          </cell>
          <cell r="G448" t="str">
            <v>M.</v>
          </cell>
        </row>
        <row r="449">
          <cell r="C449">
            <v>607</v>
          </cell>
          <cell r="D449" t="str">
            <v>-  50 mm.x250 mm. WIRE WAY</v>
          </cell>
          <cell r="E449">
            <v>483</v>
          </cell>
          <cell r="F449">
            <v>29</v>
          </cell>
          <cell r="G449" t="str">
            <v>M.</v>
          </cell>
        </row>
        <row r="450">
          <cell r="C450">
            <v>608</v>
          </cell>
          <cell r="D450" t="str">
            <v>-  75 mm.x100 mm. WIRE WAY</v>
          </cell>
          <cell r="E450">
            <v>300</v>
          </cell>
          <cell r="F450">
            <v>20</v>
          </cell>
          <cell r="G450" t="str">
            <v>M.</v>
          </cell>
        </row>
        <row r="451">
          <cell r="C451">
            <v>609</v>
          </cell>
          <cell r="D451" t="str">
            <v>-  75 mm.x150 mm. WIRE WAY</v>
          </cell>
          <cell r="E451">
            <v>375</v>
          </cell>
          <cell r="F451">
            <v>25</v>
          </cell>
          <cell r="G451" t="str">
            <v>M.</v>
          </cell>
        </row>
        <row r="452">
          <cell r="C452">
            <v>610</v>
          </cell>
          <cell r="D452" t="str">
            <v>-  75 mm.x200 mm. WIRE WAY</v>
          </cell>
          <cell r="E452">
            <v>446</v>
          </cell>
          <cell r="F452">
            <v>28</v>
          </cell>
          <cell r="G452" t="str">
            <v>M.</v>
          </cell>
        </row>
        <row r="453">
          <cell r="C453">
            <v>611</v>
          </cell>
          <cell r="D453" t="str">
            <v>-  75 mm.x250 mm. WIRE WAY</v>
          </cell>
          <cell r="E453">
            <v>520</v>
          </cell>
          <cell r="F453">
            <v>32</v>
          </cell>
          <cell r="G453" t="str">
            <v>M.</v>
          </cell>
        </row>
        <row r="454">
          <cell r="C454">
            <v>612</v>
          </cell>
          <cell r="D454" t="str">
            <v>-  75 mm.x300 mm. WIRE WAY</v>
          </cell>
          <cell r="E454">
            <v>590</v>
          </cell>
          <cell r="F454">
            <v>35</v>
          </cell>
          <cell r="G454" t="str">
            <v>M.</v>
          </cell>
        </row>
        <row r="455">
          <cell r="C455">
            <v>613</v>
          </cell>
          <cell r="D455" t="str">
            <v>-  100 mm.x100 mm. WIRE WAY</v>
          </cell>
          <cell r="E455">
            <v>340</v>
          </cell>
          <cell r="F455">
            <v>23</v>
          </cell>
          <cell r="G455" t="str">
            <v>M.</v>
          </cell>
        </row>
        <row r="456">
          <cell r="C456">
            <v>614</v>
          </cell>
          <cell r="D456" t="str">
            <v>-  100 mm.x150 mm. WIRE WAY</v>
          </cell>
          <cell r="E456">
            <v>400</v>
          </cell>
          <cell r="F456">
            <v>26</v>
          </cell>
          <cell r="G456" t="str">
            <v>M.</v>
          </cell>
        </row>
        <row r="457">
          <cell r="C457">
            <v>615</v>
          </cell>
          <cell r="D457" t="str">
            <v>-  100 mm.x200 mm. WIRE WAY</v>
          </cell>
          <cell r="E457">
            <v>483</v>
          </cell>
          <cell r="F457">
            <v>29</v>
          </cell>
          <cell r="G457" t="str">
            <v>M.</v>
          </cell>
        </row>
        <row r="458">
          <cell r="C458">
            <v>616</v>
          </cell>
          <cell r="D458" t="str">
            <v>-  100 mm.x250 mm. WIRE WAY</v>
          </cell>
          <cell r="E458">
            <v>550</v>
          </cell>
          <cell r="F458">
            <v>34</v>
          </cell>
          <cell r="G458" t="str">
            <v>M.</v>
          </cell>
        </row>
        <row r="459">
          <cell r="C459">
            <v>617</v>
          </cell>
          <cell r="D459" t="str">
            <v>-  100 mm.x300 mm. WIRE WAY</v>
          </cell>
          <cell r="E459">
            <v>630</v>
          </cell>
          <cell r="F459">
            <v>37</v>
          </cell>
          <cell r="G459" t="str">
            <v>M.</v>
          </cell>
        </row>
        <row r="460">
          <cell r="C460">
            <v>618</v>
          </cell>
          <cell r="D460" t="str">
            <v>-  100 mm.x350 mm. WIRE WAY</v>
          </cell>
          <cell r="E460">
            <v>700</v>
          </cell>
          <cell r="F460">
            <v>40</v>
          </cell>
          <cell r="G460" t="str">
            <v>M.</v>
          </cell>
        </row>
        <row r="461">
          <cell r="C461">
            <v>619</v>
          </cell>
          <cell r="D461" t="str">
            <v>-  150 mm.x150 mm. WIRE WAY</v>
          </cell>
          <cell r="E461">
            <v>483</v>
          </cell>
          <cell r="F461">
            <v>29</v>
          </cell>
          <cell r="G461" t="str">
            <v>M.</v>
          </cell>
        </row>
        <row r="462">
          <cell r="C462">
            <v>620</v>
          </cell>
          <cell r="D462" t="str">
            <v>-  150 mm.x200 mm. WIRE WAY</v>
          </cell>
          <cell r="E462">
            <v>550</v>
          </cell>
          <cell r="F462">
            <v>34</v>
          </cell>
          <cell r="G462" t="str">
            <v>M.</v>
          </cell>
        </row>
        <row r="463">
          <cell r="C463">
            <v>621</v>
          </cell>
          <cell r="D463" t="str">
            <v>-  150 mm.x250 mm. WIRE WAY</v>
          </cell>
          <cell r="E463">
            <v>630</v>
          </cell>
          <cell r="F463">
            <v>37</v>
          </cell>
          <cell r="G463" t="str">
            <v>M.</v>
          </cell>
        </row>
        <row r="464">
          <cell r="C464">
            <v>622</v>
          </cell>
          <cell r="D464" t="str">
            <v>-  150 mm.x300 mm. WIRE WAY</v>
          </cell>
          <cell r="E464">
            <v>700</v>
          </cell>
          <cell r="F464">
            <v>40</v>
          </cell>
          <cell r="G464" t="str">
            <v>M.</v>
          </cell>
        </row>
        <row r="465">
          <cell r="C465">
            <v>623</v>
          </cell>
          <cell r="D465" t="str">
            <v>-  150 mm.x350 mm. WIRE WAY</v>
          </cell>
          <cell r="E465">
            <v>775</v>
          </cell>
          <cell r="F465">
            <v>45</v>
          </cell>
          <cell r="G465" t="str">
            <v>M.</v>
          </cell>
        </row>
        <row r="466">
          <cell r="C466">
            <v>624</v>
          </cell>
          <cell r="D466" t="str">
            <v>-  150 mm.x400 mm. WIRE WAY</v>
          </cell>
          <cell r="E466">
            <v>846</v>
          </cell>
          <cell r="F466">
            <v>48</v>
          </cell>
          <cell r="G466" t="str">
            <v>M.</v>
          </cell>
        </row>
        <row r="467">
          <cell r="C467">
            <v>625</v>
          </cell>
          <cell r="D467" t="str">
            <v>-  200 mm.x200 mm. WIRE WAY</v>
          </cell>
          <cell r="E467">
            <v>500</v>
          </cell>
          <cell r="F467">
            <v>31</v>
          </cell>
          <cell r="G467" t="str">
            <v>M.</v>
          </cell>
        </row>
        <row r="468">
          <cell r="C468">
            <v>626</v>
          </cell>
          <cell r="D468" t="str">
            <v>-  200 mm.x250 mm. WIRE WAY</v>
          </cell>
          <cell r="E468">
            <v>575</v>
          </cell>
          <cell r="F468">
            <v>35</v>
          </cell>
          <cell r="G468" t="str">
            <v>M.</v>
          </cell>
        </row>
        <row r="469">
          <cell r="C469">
            <v>627</v>
          </cell>
          <cell r="D469" t="str">
            <v>-  200 mm.x300 mm. WIRE WAY</v>
          </cell>
          <cell r="E469">
            <v>775</v>
          </cell>
          <cell r="F469">
            <v>45</v>
          </cell>
          <cell r="G469" t="str">
            <v>M.</v>
          </cell>
        </row>
        <row r="470">
          <cell r="C470">
            <v>628</v>
          </cell>
          <cell r="D470" t="str">
            <v>-  200 mm.x350 mm. WIRE WAY</v>
          </cell>
          <cell r="E470">
            <v>846</v>
          </cell>
          <cell r="F470">
            <v>48</v>
          </cell>
          <cell r="G470" t="str">
            <v>M.</v>
          </cell>
        </row>
        <row r="471">
          <cell r="C471">
            <v>629</v>
          </cell>
          <cell r="D471" t="str">
            <v>-  200 mm.x400 mm. WIRE WAY</v>
          </cell>
          <cell r="E471">
            <v>920</v>
          </cell>
          <cell r="F471">
            <v>53</v>
          </cell>
          <cell r="G471" t="str">
            <v>M.</v>
          </cell>
        </row>
        <row r="472">
          <cell r="C472">
            <v>630</v>
          </cell>
          <cell r="D472" t="str">
            <v>-  200 mm.x450 mm. WIRE WAY</v>
          </cell>
          <cell r="E472">
            <v>990</v>
          </cell>
          <cell r="F472">
            <v>56</v>
          </cell>
          <cell r="G472" t="str">
            <v>M.</v>
          </cell>
        </row>
        <row r="473">
          <cell r="C473">
            <v>631</v>
          </cell>
          <cell r="D473" t="str">
            <v>-  250 mm.x250 mm. WIRE WAY</v>
          </cell>
          <cell r="E473">
            <v>775</v>
          </cell>
          <cell r="F473">
            <v>45</v>
          </cell>
          <cell r="G473" t="str">
            <v>M.</v>
          </cell>
        </row>
        <row r="474">
          <cell r="C474">
            <v>632</v>
          </cell>
          <cell r="D474" t="str">
            <v>-  250 mm.x300 mm. WIRE WAY</v>
          </cell>
          <cell r="E474">
            <v>846</v>
          </cell>
          <cell r="F474">
            <v>48</v>
          </cell>
          <cell r="G474" t="str">
            <v>M.</v>
          </cell>
        </row>
        <row r="475">
          <cell r="C475">
            <v>633</v>
          </cell>
          <cell r="D475" t="str">
            <v>-  250 mm.x350 mm. WIRE WAY</v>
          </cell>
          <cell r="E475">
            <v>920</v>
          </cell>
          <cell r="F475">
            <v>53</v>
          </cell>
          <cell r="G475" t="str">
            <v>M.</v>
          </cell>
        </row>
        <row r="476">
          <cell r="C476">
            <v>634</v>
          </cell>
          <cell r="D476" t="str">
            <v>-  250 mm.x400 mm. WIRE WAY</v>
          </cell>
          <cell r="E476">
            <v>990</v>
          </cell>
          <cell r="F476">
            <v>56</v>
          </cell>
          <cell r="G476" t="str">
            <v>M.</v>
          </cell>
        </row>
        <row r="477">
          <cell r="C477">
            <v>635</v>
          </cell>
          <cell r="D477" t="str">
            <v>-  250 mm.x450 mm. WIRE WAY</v>
          </cell>
          <cell r="E477">
            <v>1066</v>
          </cell>
          <cell r="F477">
            <v>60</v>
          </cell>
          <cell r="G477" t="str">
            <v>M.</v>
          </cell>
        </row>
        <row r="478">
          <cell r="C478">
            <v>636</v>
          </cell>
          <cell r="D478" t="str">
            <v>-  250 mm.x500 mm. WIRE WAY</v>
          </cell>
          <cell r="E478">
            <v>1138</v>
          </cell>
          <cell r="F478">
            <v>64</v>
          </cell>
          <cell r="G478" t="str">
            <v>M.</v>
          </cell>
        </row>
        <row r="479">
          <cell r="C479">
            <v>637</v>
          </cell>
          <cell r="D479" t="str">
            <v>-  250 mm.x550 mm. WIRE WAY</v>
          </cell>
          <cell r="E479">
            <v>1213</v>
          </cell>
          <cell r="F479">
            <v>70</v>
          </cell>
          <cell r="G479" t="str">
            <v>M.</v>
          </cell>
        </row>
        <row r="480">
          <cell r="D480">
            <v>0</v>
          </cell>
        </row>
        <row r="481">
          <cell r="C481">
            <v>64</v>
          </cell>
          <cell r="D481" t="str">
            <v>CABLE TRAY ; ( 2.0 mm. THICK)</v>
          </cell>
        </row>
        <row r="482">
          <cell r="C482">
            <v>641</v>
          </cell>
          <cell r="D482" t="str">
            <v>-  100 mm. CABLE TRAY</v>
          </cell>
          <cell r="E482">
            <v>423</v>
          </cell>
          <cell r="F482">
            <v>29</v>
          </cell>
          <cell r="G482" t="str">
            <v>M.</v>
          </cell>
        </row>
        <row r="483">
          <cell r="C483">
            <v>642</v>
          </cell>
          <cell r="D483" t="str">
            <v>-  200 mm. CABLE TRAY</v>
          </cell>
          <cell r="E483">
            <v>533</v>
          </cell>
          <cell r="F483">
            <v>32</v>
          </cell>
          <cell r="G483" t="str">
            <v>M.</v>
          </cell>
        </row>
        <row r="484">
          <cell r="C484">
            <v>643</v>
          </cell>
          <cell r="D484" t="str">
            <v>-  300 mm. CABLE TRAY</v>
          </cell>
          <cell r="E484">
            <v>640</v>
          </cell>
          <cell r="F484">
            <v>35</v>
          </cell>
          <cell r="G484" t="str">
            <v>M.</v>
          </cell>
        </row>
        <row r="485">
          <cell r="C485">
            <v>644</v>
          </cell>
          <cell r="D485" t="str">
            <v>-  400 mm. CABLE TRAY</v>
          </cell>
          <cell r="E485">
            <v>747</v>
          </cell>
          <cell r="F485">
            <v>42</v>
          </cell>
          <cell r="G485" t="str">
            <v>M.</v>
          </cell>
        </row>
        <row r="486">
          <cell r="C486">
            <v>645</v>
          </cell>
          <cell r="D486" t="str">
            <v>-  500 mm. CABLE TRAY</v>
          </cell>
          <cell r="E486">
            <v>877</v>
          </cell>
          <cell r="F486">
            <v>50</v>
          </cell>
          <cell r="G486" t="str">
            <v>M.</v>
          </cell>
        </row>
        <row r="487">
          <cell r="C487">
            <v>646</v>
          </cell>
          <cell r="D487" t="str">
            <v>-  600 mm. CABLE TRAY</v>
          </cell>
          <cell r="E487">
            <v>986</v>
          </cell>
          <cell r="F487">
            <v>55</v>
          </cell>
          <cell r="G487" t="str">
            <v>M.</v>
          </cell>
        </row>
        <row r="488">
          <cell r="C488">
            <v>647</v>
          </cell>
          <cell r="D488" t="str">
            <v>-  700 mm. CABLE TRAY</v>
          </cell>
          <cell r="E488">
            <v>1094</v>
          </cell>
          <cell r="F488">
            <v>61</v>
          </cell>
          <cell r="G488" t="str">
            <v>M.</v>
          </cell>
        </row>
        <row r="489">
          <cell r="C489">
            <v>648</v>
          </cell>
          <cell r="D489" t="str">
            <v>-  800 mm. CABLE TRAY</v>
          </cell>
          <cell r="E489">
            <v>1200</v>
          </cell>
          <cell r="F489">
            <v>70</v>
          </cell>
          <cell r="G489" t="str">
            <v>M.</v>
          </cell>
        </row>
        <row r="490">
          <cell r="C490">
            <v>649</v>
          </cell>
          <cell r="D490" t="str">
            <v>-  900 mm. CABLE TRAY</v>
          </cell>
          <cell r="E490">
            <v>1320</v>
          </cell>
          <cell r="F490">
            <v>78</v>
          </cell>
          <cell r="G490" t="str">
            <v>M.</v>
          </cell>
        </row>
        <row r="491">
          <cell r="C491">
            <v>650</v>
          </cell>
          <cell r="D491" t="str">
            <v>-  1,000 mm. CABLE TRAY</v>
          </cell>
          <cell r="E491">
            <v>1440</v>
          </cell>
          <cell r="F491">
            <v>82</v>
          </cell>
          <cell r="G491" t="str">
            <v>M.</v>
          </cell>
        </row>
        <row r="492">
          <cell r="C492">
            <v>65</v>
          </cell>
          <cell r="D492" t="str">
            <v>CABLE LADDER ; ( 2.0 mm. THICK)</v>
          </cell>
        </row>
        <row r="493">
          <cell r="C493">
            <v>651</v>
          </cell>
          <cell r="D493" t="str">
            <v>-  100 mm. CABLE LADDER</v>
          </cell>
          <cell r="E493">
            <v>563</v>
          </cell>
          <cell r="F493">
            <v>34</v>
          </cell>
          <cell r="G493" t="str">
            <v>M.</v>
          </cell>
        </row>
        <row r="494">
          <cell r="C494">
            <v>652</v>
          </cell>
          <cell r="D494" t="str">
            <v>-  200 mm. CABLE LADDER</v>
          </cell>
          <cell r="E494">
            <v>600</v>
          </cell>
          <cell r="F494">
            <v>36</v>
          </cell>
          <cell r="G494" t="str">
            <v>M.</v>
          </cell>
        </row>
        <row r="495">
          <cell r="C495">
            <v>653</v>
          </cell>
          <cell r="D495" t="str">
            <v>-  300 mm. CABLE LADDER</v>
          </cell>
          <cell r="E495">
            <v>650</v>
          </cell>
          <cell r="F495">
            <v>39</v>
          </cell>
          <cell r="G495" t="str">
            <v>M.</v>
          </cell>
        </row>
        <row r="496">
          <cell r="C496">
            <v>654</v>
          </cell>
          <cell r="D496" t="str">
            <v>-  400 mm. CABLE LADDER</v>
          </cell>
          <cell r="E496">
            <v>690</v>
          </cell>
          <cell r="F496">
            <v>41</v>
          </cell>
          <cell r="G496" t="str">
            <v>M.</v>
          </cell>
        </row>
        <row r="497">
          <cell r="C497">
            <v>655</v>
          </cell>
          <cell r="D497" t="str">
            <v>-  500 mm. CABLE LADDER</v>
          </cell>
          <cell r="E497">
            <v>740</v>
          </cell>
          <cell r="F497">
            <v>43</v>
          </cell>
          <cell r="G497" t="str">
            <v>M.</v>
          </cell>
        </row>
        <row r="498">
          <cell r="C498">
            <v>656</v>
          </cell>
          <cell r="D498" t="str">
            <v>-  600 mm. CABLE LADDER</v>
          </cell>
          <cell r="E498">
            <v>785</v>
          </cell>
          <cell r="F498">
            <v>45</v>
          </cell>
          <cell r="G498" t="str">
            <v>M.</v>
          </cell>
        </row>
        <row r="499">
          <cell r="C499">
            <v>657</v>
          </cell>
          <cell r="D499" t="str">
            <v>-  700 mm. CABLE LADDER</v>
          </cell>
          <cell r="E499">
            <v>830</v>
          </cell>
          <cell r="F499">
            <v>48</v>
          </cell>
          <cell r="G499" t="str">
            <v>M.</v>
          </cell>
        </row>
        <row r="500">
          <cell r="C500">
            <v>658</v>
          </cell>
          <cell r="D500" t="str">
            <v>-  800 mm. CABLE LADDER</v>
          </cell>
          <cell r="E500">
            <v>877</v>
          </cell>
          <cell r="F500">
            <v>50</v>
          </cell>
          <cell r="G500" t="str">
            <v>M.</v>
          </cell>
        </row>
        <row r="501">
          <cell r="C501">
            <v>659</v>
          </cell>
          <cell r="D501" t="str">
            <v>-  900 mm. CABLE LADDER</v>
          </cell>
          <cell r="E501">
            <v>920</v>
          </cell>
          <cell r="F501">
            <v>53</v>
          </cell>
          <cell r="G501" t="str">
            <v>M.</v>
          </cell>
        </row>
        <row r="502">
          <cell r="C502">
            <v>660</v>
          </cell>
          <cell r="D502" t="str">
            <v>-  1,000 mm. CABLE LADDER</v>
          </cell>
          <cell r="E502">
            <v>963</v>
          </cell>
          <cell r="F502">
            <v>56</v>
          </cell>
          <cell r="G502" t="str">
            <v>M.</v>
          </cell>
        </row>
      </sheetData>
      <sheetData sheetId="6" refreshError="1"/>
      <sheetData sheetId="7">
        <row r="3">
          <cell r="C3" t="str">
            <v>N0.</v>
          </cell>
        </row>
      </sheetData>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sheetData sheetId="163"/>
      <sheetData sheetId="164"/>
      <sheetData sheetId="165">
        <row r="5">
          <cell r="C5" t="str">
            <v>Basement</v>
          </cell>
        </row>
      </sheetData>
      <sheetData sheetId="166">
        <row r="5">
          <cell r="C5" t="str">
            <v>Basement</v>
          </cell>
        </row>
      </sheetData>
      <sheetData sheetId="167">
        <row r="5">
          <cell r="C5" t="str">
            <v>Basement</v>
          </cell>
        </row>
      </sheetData>
      <sheetData sheetId="168">
        <row r="5">
          <cell r="C5" t="str">
            <v>Basement</v>
          </cell>
        </row>
      </sheetData>
      <sheetData sheetId="169">
        <row r="5">
          <cell r="C5" t="str">
            <v>Basement</v>
          </cell>
        </row>
      </sheetData>
      <sheetData sheetId="170"/>
      <sheetData sheetId="171">
        <row r="5">
          <cell r="C5" t="str">
            <v>Basement</v>
          </cell>
        </row>
      </sheetData>
      <sheetData sheetId="172"/>
      <sheetData sheetId="173"/>
      <sheetData sheetId="174">
        <row r="5">
          <cell r="C5" t="str">
            <v>Basement</v>
          </cell>
        </row>
      </sheetData>
      <sheetData sheetId="175">
        <row r="5">
          <cell r="C5" t="str">
            <v>Basement</v>
          </cell>
        </row>
      </sheetData>
      <sheetData sheetId="176">
        <row r="5">
          <cell r="C5" t="str">
            <v>Basement</v>
          </cell>
        </row>
      </sheetData>
      <sheetData sheetId="177"/>
      <sheetData sheetId="178"/>
      <sheetData sheetId="179"/>
      <sheetData sheetId="180">
        <row r="5">
          <cell r="C5" t="str">
            <v>Basement</v>
          </cell>
        </row>
      </sheetData>
      <sheetData sheetId="181"/>
      <sheetData sheetId="182">
        <row r="5">
          <cell r="C5" t="str">
            <v>Basement</v>
          </cell>
        </row>
      </sheetData>
      <sheetData sheetId="183"/>
      <sheetData sheetId="184"/>
      <sheetData sheetId="185"/>
      <sheetData sheetId="186" refreshError="1"/>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refreshError="1"/>
      <sheetData sheetId="289" refreshError="1"/>
      <sheetData sheetId="290" refreshError="1"/>
      <sheetData sheetId="291" refreshError="1"/>
      <sheetData sheetId="292" refreshError="1"/>
      <sheetData sheetId="293" refreshError="1"/>
      <sheetData sheetId="294">
        <row r="5">
          <cell r="C5" t="str">
            <v>Basement</v>
          </cell>
        </row>
      </sheetData>
      <sheetData sheetId="295">
        <row r="5">
          <cell r="C5" t="str">
            <v>Basement</v>
          </cell>
        </row>
      </sheetData>
      <sheetData sheetId="296">
        <row r="5">
          <cell r="C5" t="str">
            <v>Basement</v>
          </cell>
        </row>
      </sheetData>
      <sheetData sheetId="297">
        <row r="5">
          <cell r="C5" t="str">
            <v>Basement</v>
          </cell>
        </row>
      </sheetData>
      <sheetData sheetId="298">
        <row r="5">
          <cell r="C5" t="str">
            <v>Basement</v>
          </cell>
        </row>
      </sheetData>
      <sheetData sheetId="299">
        <row r="5">
          <cell r="C5" t="str">
            <v>Basement</v>
          </cell>
        </row>
      </sheetData>
      <sheetData sheetId="300">
        <row r="5">
          <cell r="C5" t="str">
            <v>Basement</v>
          </cell>
        </row>
      </sheetData>
      <sheetData sheetId="301">
        <row r="5">
          <cell r="C5" t="str">
            <v>Basement</v>
          </cell>
        </row>
      </sheetData>
      <sheetData sheetId="302"/>
      <sheetData sheetId="303" refreshError="1"/>
      <sheetData sheetId="304">
        <row r="5">
          <cell r="C5" t="str">
            <v>Basement</v>
          </cell>
        </row>
      </sheetData>
      <sheetData sheetId="305">
        <row r="5">
          <cell r="C5" t="str">
            <v>Basement</v>
          </cell>
        </row>
      </sheetData>
      <sheetData sheetId="306">
        <row r="5">
          <cell r="C5" t="str">
            <v>Basement</v>
          </cell>
        </row>
      </sheetData>
      <sheetData sheetId="307">
        <row r="5">
          <cell r="C5" t="str">
            <v>Basement</v>
          </cell>
        </row>
      </sheetData>
      <sheetData sheetId="308">
        <row r="5">
          <cell r="C5" t="str">
            <v>Basement</v>
          </cell>
        </row>
      </sheetData>
      <sheetData sheetId="309">
        <row r="5">
          <cell r="C5" t="str">
            <v>Basement</v>
          </cell>
        </row>
      </sheetData>
      <sheetData sheetId="310">
        <row r="5">
          <cell r="C5" t="str">
            <v>Basement</v>
          </cell>
        </row>
      </sheetData>
      <sheetData sheetId="311">
        <row r="5">
          <cell r="C5" t="str">
            <v>Basement</v>
          </cell>
        </row>
      </sheetData>
      <sheetData sheetId="312">
        <row r="5">
          <cell r="C5" t="str">
            <v>Basement</v>
          </cell>
        </row>
      </sheetData>
      <sheetData sheetId="313">
        <row r="5">
          <cell r="C5" t="str">
            <v>Basement</v>
          </cell>
        </row>
      </sheetData>
      <sheetData sheetId="314">
        <row r="5">
          <cell r="C5" t="str">
            <v>Basement</v>
          </cell>
        </row>
      </sheetData>
      <sheetData sheetId="315">
        <row r="5">
          <cell r="C5" t="str">
            <v>Basement</v>
          </cell>
        </row>
      </sheetData>
      <sheetData sheetId="316">
        <row r="5">
          <cell r="C5" t="str">
            <v>Basement</v>
          </cell>
        </row>
      </sheetData>
      <sheetData sheetId="317">
        <row r="5">
          <cell r="C5" t="str">
            <v>Basement</v>
          </cell>
        </row>
      </sheetData>
      <sheetData sheetId="318">
        <row r="5">
          <cell r="C5" t="str">
            <v>Basement</v>
          </cell>
        </row>
      </sheetData>
      <sheetData sheetId="319">
        <row r="5">
          <cell r="C5" t="str">
            <v>Basement</v>
          </cell>
        </row>
      </sheetData>
      <sheetData sheetId="320">
        <row r="5">
          <cell r="C5" t="str">
            <v>Basement</v>
          </cell>
        </row>
      </sheetData>
      <sheetData sheetId="321">
        <row r="5">
          <cell r="C5" t="str">
            <v>Basement</v>
          </cell>
        </row>
      </sheetData>
      <sheetData sheetId="322">
        <row r="5">
          <cell r="C5" t="str">
            <v>Basement</v>
          </cell>
        </row>
      </sheetData>
      <sheetData sheetId="323">
        <row r="5">
          <cell r="C5" t="str">
            <v>Basement</v>
          </cell>
        </row>
      </sheetData>
      <sheetData sheetId="324">
        <row r="5">
          <cell r="C5" t="str">
            <v>Basement</v>
          </cell>
        </row>
      </sheetData>
      <sheetData sheetId="325">
        <row r="5">
          <cell r="C5" t="str">
            <v>Basement</v>
          </cell>
        </row>
      </sheetData>
      <sheetData sheetId="326">
        <row r="5">
          <cell r="C5" t="str">
            <v>Basement</v>
          </cell>
        </row>
      </sheetData>
      <sheetData sheetId="327">
        <row r="5">
          <cell r="C5" t="str">
            <v>Basement</v>
          </cell>
        </row>
      </sheetData>
      <sheetData sheetId="328">
        <row r="5">
          <cell r="C5" t="str">
            <v>Basement</v>
          </cell>
        </row>
      </sheetData>
      <sheetData sheetId="329">
        <row r="5">
          <cell r="C5" t="str">
            <v>Basement</v>
          </cell>
        </row>
      </sheetData>
      <sheetData sheetId="330">
        <row r="5">
          <cell r="C5" t="str">
            <v>Basement</v>
          </cell>
        </row>
      </sheetData>
      <sheetData sheetId="331">
        <row r="5">
          <cell r="C5" t="str">
            <v>Basement</v>
          </cell>
        </row>
      </sheetData>
      <sheetData sheetId="332">
        <row r="5">
          <cell r="C5" t="str">
            <v>Basement</v>
          </cell>
        </row>
      </sheetData>
      <sheetData sheetId="333">
        <row r="5">
          <cell r="C5" t="str">
            <v>Basement</v>
          </cell>
        </row>
      </sheetData>
      <sheetData sheetId="334">
        <row r="5">
          <cell r="C5" t="str">
            <v>Basement</v>
          </cell>
        </row>
      </sheetData>
      <sheetData sheetId="335">
        <row r="5">
          <cell r="C5" t="str">
            <v>Basement</v>
          </cell>
        </row>
      </sheetData>
      <sheetData sheetId="336">
        <row r="5">
          <cell r="C5" t="str">
            <v>Basement</v>
          </cell>
        </row>
      </sheetData>
      <sheetData sheetId="337">
        <row r="5">
          <cell r="C5" t="str">
            <v>Basement</v>
          </cell>
        </row>
      </sheetData>
      <sheetData sheetId="338">
        <row r="5">
          <cell r="C5" t="str">
            <v>Basement</v>
          </cell>
        </row>
      </sheetData>
      <sheetData sheetId="339">
        <row r="5">
          <cell r="C5" t="str">
            <v>Basement</v>
          </cell>
        </row>
      </sheetData>
      <sheetData sheetId="340" refreshError="1"/>
      <sheetData sheetId="341" refreshError="1"/>
      <sheetData sheetId="342" refreshError="1"/>
      <sheetData sheetId="343">
        <row r="5">
          <cell r="C5" t="str">
            <v>Basement</v>
          </cell>
        </row>
      </sheetData>
      <sheetData sheetId="344">
        <row r="5">
          <cell r="C5" t="str">
            <v>Basement</v>
          </cell>
        </row>
      </sheetData>
      <sheetData sheetId="345">
        <row r="5">
          <cell r="C5" t="str">
            <v>Basement</v>
          </cell>
        </row>
      </sheetData>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ow r="5">
          <cell r="C5" t="str">
            <v>Basement</v>
          </cell>
        </row>
      </sheetData>
      <sheetData sheetId="363">
        <row r="5">
          <cell r="C5" t="str">
            <v>Basement</v>
          </cell>
        </row>
      </sheetData>
      <sheetData sheetId="364">
        <row r="5">
          <cell r="C5" t="str">
            <v>Basement</v>
          </cell>
        </row>
      </sheetData>
      <sheetData sheetId="365">
        <row r="5">
          <cell r="C5" t="str">
            <v>Basement</v>
          </cell>
        </row>
      </sheetData>
      <sheetData sheetId="366">
        <row r="5">
          <cell r="C5" t="str">
            <v>Basement</v>
          </cell>
        </row>
      </sheetData>
      <sheetData sheetId="367">
        <row r="5">
          <cell r="C5" t="str">
            <v>Basement</v>
          </cell>
        </row>
      </sheetData>
      <sheetData sheetId="368">
        <row r="5">
          <cell r="C5" t="str">
            <v>Basement</v>
          </cell>
        </row>
      </sheetData>
      <sheetData sheetId="369">
        <row r="5">
          <cell r="C5" t="str">
            <v>Basement</v>
          </cell>
        </row>
      </sheetData>
      <sheetData sheetId="370">
        <row r="5">
          <cell r="C5" t="str">
            <v>Basement</v>
          </cell>
        </row>
      </sheetData>
      <sheetData sheetId="371">
        <row r="5">
          <cell r="C5" t="str">
            <v>Basement</v>
          </cell>
        </row>
      </sheetData>
      <sheetData sheetId="372">
        <row r="5">
          <cell r="C5" t="str">
            <v>Basement</v>
          </cell>
        </row>
      </sheetData>
      <sheetData sheetId="373">
        <row r="5">
          <cell r="C5" t="str">
            <v>Basement</v>
          </cell>
        </row>
      </sheetData>
      <sheetData sheetId="374">
        <row r="5">
          <cell r="C5" t="str">
            <v>Basement</v>
          </cell>
        </row>
      </sheetData>
      <sheetData sheetId="375">
        <row r="5">
          <cell r="C5" t="str">
            <v>Basement</v>
          </cell>
        </row>
      </sheetData>
      <sheetData sheetId="376">
        <row r="5">
          <cell r="C5" t="str">
            <v>Basement</v>
          </cell>
        </row>
      </sheetData>
      <sheetData sheetId="377">
        <row r="5">
          <cell r="C5" t="str">
            <v>Basement</v>
          </cell>
        </row>
      </sheetData>
      <sheetData sheetId="378">
        <row r="5">
          <cell r="C5" t="str">
            <v>Basement</v>
          </cell>
        </row>
      </sheetData>
      <sheetData sheetId="379">
        <row r="5">
          <cell r="C5" t="str">
            <v>Basement</v>
          </cell>
        </row>
      </sheetData>
      <sheetData sheetId="380">
        <row r="5">
          <cell r="C5" t="str">
            <v>Basement</v>
          </cell>
        </row>
      </sheetData>
      <sheetData sheetId="381">
        <row r="5">
          <cell r="C5" t="str">
            <v>Basement</v>
          </cell>
        </row>
      </sheetData>
      <sheetData sheetId="382">
        <row r="5">
          <cell r="C5" t="str">
            <v>Basement</v>
          </cell>
        </row>
      </sheetData>
      <sheetData sheetId="383">
        <row r="5">
          <cell r="C5" t="str">
            <v>Basement</v>
          </cell>
        </row>
      </sheetData>
      <sheetData sheetId="384">
        <row r="5">
          <cell r="C5" t="str">
            <v>Basement</v>
          </cell>
        </row>
      </sheetData>
      <sheetData sheetId="385">
        <row r="5">
          <cell r="C5" t="str">
            <v>Basement</v>
          </cell>
        </row>
      </sheetData>
      <sheetData sheetId="386">
        <row r="5">
          <cell r="C5" t="str">
            <v>Basement</v>
          </cell>
        </row>
      </sheetData>
      <sheetData sheetId="387">
        <row r="5">
          <cell r="C5" t="str">
            <v>Basement</v>
          </cell>
        </row>
      </sheetData>
      <sheetData sheetId="388">
        <row r="5">
          <cell r="C5" t="str">
            <v>Basement</v>
          </cell>
        </row>
      </sheetData>
      <sheetData sheetId="389">
        <row r="5">
          <cell r="C5" t="str">
            <v>Basement</v>
          </cell>
        </row>
      </sheetData>
      <sheetData sheetId="390">
        <row r="5">
          <cell r="C5" t="str">
            <v>Basement</v>
          </cell>
        </row>
      </sheetData>
      <sheetData sheetId="391">
        <row r="5">
          <cell r="C5" t="str">
            <v>Basement</v>
          </cell>
        </row>
      </sheetData>
      <sheetData sheetId="392">
        <row r="5">
          <cell r="C5" t="str">
            <v>Basement</v>
          </cell>
        </row>
      </sheetData>
      <sheetData sheetId="393">
        <row r="5">
          <cell r="C5" t="str">
            <v>Basement</v>
          </cell>
        </row>
      </sheetData>
      <sheetData sheetId="394">
        <row r="5">
          <cell r="C5" t="str">
            <v>Basement</v>
          </cell>
        </row>
      </sheetData>
      <sheetData sheetId="395">
        <row r="5">
          <cell r="C5" t="str">
            <v>Basement</v>
          </cell>
        </row>
      </sheetData>
      <sheetData sheetId="396">
        <row r="5">
          <cell r="C5" t="str">
            <v>Basement</v>
          </cell>
        </row>
      </sheetData>
      <sheetData sheetId="397">
        <row r="5">
          <cell r="C5" t="str">
            <v>Basement</v>
          </cell>
        </row>
      </sheetData>
      <sheetData sheetId="398">
        <row r="5">
          <cell r="C5" t="str">
            <v>Basement</v>
          </cell>
        </row>
      </sheetData>
      <sheetData sheetId="399">
        <row r="5">
          <cell r="C5" t="str">
            <v>Basement</v>
          </cell>
        </row>
      </sheetData>
      <sheetData sheetId="400">
        <row r="5">
          <cell r="C5" t="str">
            <v>Basement</v>
          </cell>
        </row>
      </sheetData>
      <sheetData sheetId="401">
        <row r="5">
          <cell r="C5" t="str">
            <v>Basement</v>
          </cell>
        </row>
      </sheetData>
      <sheetData sheetId="402">
        <row r="5">
          <cell r="C5" t="str">
            <v>Basement</v>
          </cell>
        </row>
      </sheetData>
      <sheetData sheetId="403">
        <row r="5">
          <cell r="C5" t="str">
            <v>Basement</v>
          </cell>
        </row>
      </sheetData>
      <sheetData sheetId="404">
        <row r="5">
          <cell r="C5" t="str">
            <v>Basement</v>
          </cell>
        </row>
      </sheetData>
      <sheetData sheetId="405">
        <row r="5">
          <cell r="C5" t="str">
            <v>Basement</v>
          </cell>
        </row>
      </sheetData>
      <sheetData sheetId="406">
        <row r="5">
          <cell r="C5" t="str">
            <v>Basement</v>
          </cell>
        </row>
      </sheetData>
      <sheetData sheetId="407">
        <row r="5">
          <cell r="C5" t="str">
            <v>Basement</v>
          </cell>
        </row>
      </sheetData>
      <sheetData sheetId="408">
        <row r="5">
          <cell r="C5" t="str">
            <v>Basement</v>
          </cell>
        </row>
      </sheetData>
      <sheetData sheetId="409">
        <row r="5">
          <cell r="C5" t="str">
            <v>Basement</v>
          </cell>
        </row>
      </sheetData>
      <sheetData sheetId="410">
        <row r="5">
          <cell r="C5" t="str">
            <v>Basement</v>
          </cell>
        </row>
      </sheetData>
      <sheetData sheetId="411">
        <row r="5">
          <cell r="C5" t="str">
            <v>Basement</v>
          </cell>
        </row>
      </sheetData>
      <sheetData sheetId="412">
        <row r="5">
          <cell r="C5" t="str">
            <v>Basement</v>
          </cell>
        </row>
      </sheetData>
      <sheetData sheetId="413">
        <row r="5">
          <cell r="C5" t="str">
            <v>Basement</v>
          </cell>
        </row>
      </sheetData>
      <sheetData sheetId="414">
        <row r="5">
          <cell r="C5" t="str">
            <v>Basement</v>
          </cell>
        </row>
      </sheetData>
      <sheetData sheetId="415">
        <row r="5">
          <cell r="C5" t="str">
            <v>Basement</v>
          </cell>
        </row>
      </sheetData>
      <sheetData sheetId="416">
        <row r="5">
          <cell r="C5" t="str">
            <v>Basement</v>
          </cell>
        </row>
      </sheetData>
      <sheetData sheetId="417">
        <row r="5">
          <cell r="C5" t="str">
            <v>Basement</v>
          </cell>
        </row>
      </sheetData>
      <sheetData sheetId="418">
        <row r="5">
          <cell r="C5" t="str">
            <v>Basement</v>
          </cell>
        </row>
      </sheetData>
      <sheetData sheetId="419">
        <row r="5">
          <cell r="C5" t="str">
            <v>Basement</v>
          </cell>
        </row>
      </sheetData>
      <sheetData sheetId="420">
        <row r="5">
          <cell r="C5" t="str">
            <v>Basement</v>
          </cell>
        </row>
      </sheetData>
      <sheetData sheetId="421">
        <row r="5">
          <cell r="C5" t="str">
            <v>Basement</v>
          </cell>
        </row>
      </sheetData>
      <sheetData sheetId="422">
        <row r="5">
          <cell r="C5" t="str">
            <v>Basement</v>
          </cell>
        </row>
      </sheetData>
      <sheetData sheetId="423">
        <row r="5">
          <cell r="C5" t="str">
            <v>Basement</v>
          </cell>
        </row>
      </sheetData>
      <sheetData sheetId="424">
        <row r="5">
          <cell r="C5" t="str">
            <v>Basement</v>
          </cell>
        </row>
      </sheetData>
      <sheetData sheetId="425">
        <row r="5">
          <cell r="C5" t="str">
            <v>Basement</v>
          </cell>
        </row>
      </sheetData>
      <sheetData sheetId="426">
        <row r="5">
          <cell r="C5" t="str">
            <v>Basement</v>
          </cell>
        </row>
      </sheetData>
      <sheetData sheetId="427">
        <row r="5">
          <cell r="C5" t="str">
            <v>Basement</v>
          </cell>
        </row>
      </sheetData>
      <sheetData sheetId="428">
        <row r="5">
          <cell r="C5" t="str">
            <v>Basement</v>
          </cell>
        </row>
      </sheetData>
      <sheetData sheetId="429">
        <row r="5">
          <cell r="C5" t="str">
            <v>Basement</v>
          </cell>
        </row>
      </sheetData>
      <sheetData sheetId="430">
        <row r="5">
          <cell r="C5" t="str">
            <v>Basement</v>
          </cell>
        </row>
      </sheetData>
      <sheetData sheetId="431">
        <row r="5">
          <cell r="C5" t="str">
            <v>Basement</v>
          </cell>
        </row>
      </sheetData>
      <sheetData sheetId="432">
        <row r="5">
          <cell r="C5" t="str">
            <v>Basement</v>
          </cell>
        </row>
      </sheetData>
      <sheetData sheetId="433">
        <row r="5">
          <cell r="C5" t="str">
            <v>Basement</v>
          </cell>
        </row>
      </sheetData>
      <sheetData sheetId="434">
        <row r="5">
          <cell r="C5" t="str">
            <v>Basement</v>
          </cell>
        </row>
      </sheetData>
      <sheetData sheetId="435">
        <row r="5">
          <cell r="C5" t="str">
            <v>Basement</v>
          </cell>
        </row>
      </sheetData>
      <sheetData sheetId="436">
        <row r="5">
          <cell r="C5" t="str">
            <v>Basement</v>
          </cell>
        </row>
      </sheetData>
      <sheetData sheetId="437">
        <row r="5">
          <cell r="C5" t="str">
            <v>Basement</v>
          </cell>
        </row>
      </sheetData>
      <sheetData sheetId="438">
        <row r="5">
          <cell r="C5" t="str">
            <v>Basement</v>
          </cell>
        </row>
      </sheetData>
      <sheetData sheetId="439">
        <row r="5">
          <cell r="C5" t="str">
            <v>Basement</v>
          </cell>
        </row>
      </sheetData>
      <sheetData sheetId="440">
        <row r="5">
          <cell r="C5" t="str">
            <v>Basement</v>
          </cell>
        </row>
      </sheetData>
      <sheetData sheetId="441">
        <row r="5">
          <cell r="C5" t="str">
            <v>Basement</v>
          </cell>
        </row>
      </sheetData>
      <sheetData sheetId="442">
        <row r="5">
          <cell r="C5" t="str">
            <v>Basement</v>
          </cell>
        </row>
      </sheetData>
      <sheetData sheetId="443">
        <row r="5">
          <cell r="C5" t="str">
            <v>Basement</v>
          </cell>
        </row>
      </sheetData>
      <sheetData sheetId="444">
        <row r="5">
          <cell r="C5" t="str">
            <v>Basement</v>
          </cell>
        </row>
      </sheetData>
      <sheetData sheetId="445">
        <row r="5">
          <cell r="C5" t="str">
            <v>Basement</v>
          </cell>
        </row>
      </sheetData>
      <sheetData sheetId="446">
        <row r="5">
          <cell r="C5" t="str">
            <v>Basement</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ow r="5">
          <cell r="C5" t="str">
            <v>Basement</v>
          </cell>
        </row>
      </sheetData>
      <sheetData sheetId="463">
        <row r="5">
          <cell r="C5" t="str">
            <v>Basement</v>
          </cell>
        </row>
      </sheetData>
      <sheetData sheetId="464">
        <row r="5">
          <cell r="C5" t="str">
            <v>Basement</v>
          </cell>
        </row>
      </sheetData>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ow r="5">
          <cell r="C5" t="str">
            <v>Basement</v>
          </cell>
        </row>
      </sheetData>
      <sheetData sheetId="478">
        <row r="5">
          <cell r="C5" t="str">
            <v>Basement</v>
          </cell>
        </row>
      </sheetData>
      <sheetData sheetId="479">
        <row r="5">
          <cell r="C5" t="str">
            <v>Basement</v>
          </cell>
        </row>
      </sheetData>
      <sheetData sheetId="480">
        <row r="5">
          <cell r="C5" t="str">
            <v>Basement</v>
          </cell>
        </row>
      </sheetData>
      <sheetData sheetId="481">
        <row r="5">
          <cell r="C5" t="str">
            <v>Basement</v>
          </cell>
        </row>
      </sheetData>
      <sheetData sheetId="482">
        <row r="5">
          <cell r="C5" t="str">
            <v>Basement</v>
          </cell>
        </row>
      </sheetData>
      <sheetData sheetId="483">
        <row r="5">
          <cell r="C5" t="str">
            <v>Basement</v>
          </cell>
        </row>
      </sheetData>
      <sheetData sheetId="484">
        <row r="5">
          <cell r="C5" t="str">
            <v>Basement</v>
          </cell>
        </row>
      </sheetData>
      <sheetData sheetId="485">
        <row r="5">
          <cell r="C5" t="str">
            <v>Basement</v>
          </cell>
        </row>
      </sheetData>
      <sheetData sheetId="486" refreshError="1"/>
      <sheetData sheetId="487" refreshError="1"/>
      <sheetData sheetId="488" refreshError="1"/>
      <sheetData sheetId="489" refreshError="1"/>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ow r="5">
          <cell r="C5" t="str">
            <v>Basement</v>
          </cell>
        </row>
      </sheetData>
      <sheetData sheetId="499">
        <row r="5">
          <cell r="C5" t="str">
            <v>Basement</v>
          </cell>
        </row>
      </sheetData>
      <sheetData sheetId="500">
        <row r="5">
          <cell r="C5" t="str">
            <v>Basement</v>
          </cell>
        </row>
      </sheetData>
      <sheetData sheetId="501">
        <row r="5">
          <cell r="C5" t="str">
            <v>Basement</v>
          </cell>
        </row>
      </sheetData>
      <sheetData sheetId="502">
        <row r="5">
          <cell r="C5" t="str">
            <v>Basement</v>
          </cell>
        </row>
      </sheetData>
      <sheetData sheetId="503">
        <row r="5">
          <cell r="C5" t="str">
            <v>Basement</v>
          </cell>
        </row>
      </sheetData>
      <sheetData sheetId="504">
        <row r="5">
          <cell r="C5" t="str">
            <v>Basement</v>
          </cell>
        </row>
      </sheetData>
      <sheetData sheetId="505">
        <row r="5">
          <cell r="C5" t="str">
            <v>Basement</v>
          </cell>
        </row>
      </sheetData>
      <sheetData sheetId="506">
        <row r="5">
          <cell r="C5" t="str">
            <v>Basement</v>
          </cell>
        </row>
      </sheetData>
      <sheetData sheetId="507">
        <row r="5">
          <cell r="C5" t="str">
            <v>Basement</v>
          </cell>
        </row>
      </sheetData>
      <sheetData sheetId="508">
        <row r="5">
          <cell r="C5" t="str">
            <v>Basement</v>
          </cell>
        </row>
      </sheetData>
      <sheetData sheetId="509">
        <row r="5">
          <cell r="C5" t="str">
            <v>Basement</v>
          </cell>
        </row>
      </sheetData>
      <sheetData sheetId="510">
        <row r="5">
          <cell r="C5" t="str">
            <v>Basement</v>
          </cell>
        </row>
      </sheetData>
      <sheetData sheetId="511">
        <row r="5">
          <cell r="C5" t="str">
            <v>Basement</v>
          </cell>
        </row>
      </sheetData>
      <sheetData sheetId="512">
        <row r="5">
          <cell r="C5" t="str">
            <v>Basement</v>
          </cell>
        </row>
      </sheetData>
      <sheetData sheetId="513">
        <row r="5">
          <cell r="C5" t="str">
            <v>Basement</v>
          </cell>
        </row>
      </sheetData>
      <sheetData sheetId="514">
        <row r="5">
          <cell r="C5" t="str">
            <v>Basement</v>
          </cell>
        </row>
      </sheetData>
      <sheetData sheetId="515">
        <row r="5">
          <cell r="C5" t="str">
            <v>Basement</v>
          </cell>
        </row>
      </sheetData>
      <sheetData sheetId="516">
        <row r="5">
          <cell r="C5" t="str">
            <v>Basement</v>
          </cell>
        </row>
      </sheetData>
      <sheetData sheetId="517">
        <row r="5">
          <cell r="C5" t="str">
            <v>Basement</v>
          </cell>
        </row>
      </sheetData>
      <sheetData sheetId="518">
        <row r="5">
          <cell r="C5" t="str">
            <v>Basement</v>
          </cell>
        </row>
      </sheetData>
      <sheetData sheetId="519">
        <row r="5">
          <cell r="C5" t="str">
            <v>Basement</v>
          </cell>
        </row>
      </sheetData>
      <sheetData sheetId="520">
        <row r="5">
          <cell r="C5" t="str">
            <v>Basement</v>
          </cell>
        </row>
      </sheetData>
      <sheetData sheetId="521">
        <row r="5">
          <cell r="C5" t="str">
            <v>Basement</v>
          </cell>
        </row>
      </sheetData>
      <sheetData sheetId="522">
        <row r="5">
          <cell r="C5" t="str">
            <v>Basement</v>
          </cell>
        </row>
      </sheetData>
      <sheetData sheetId="523">
        <row r="5">
          <cell r="C5" t="str">
            <v>Basement</v>
          </cell>
        </row>
      </sheetData>
      <sheetData sheetId="524">
        <row r="5">
          <cell r="C5" t="str">
            <v>Basement</v>
          </cell>
        </row>
      </sheetData>
      <sheetData sheetId="525">
        <row r="5">
          <cell r="C5" t="str">
            <v>Basement</v>
          </cell>
        </row>
      </sheetData>
      <sheetData sheetId="526">
        <row r="5">
          <cell r="C5" t="str">
            <v>Basement</v>
          </cell>
        </row>
      </sheetData>
      <sheetData sheetId="527">
        <row r="5">
          <cell r="C5" t="str">
            <v>Basement</v>
          </cell>
        </row>
      </sheetData>
      <sheetData sheetId="528">
        <row r="5">
          <cell r="C5" t="str">
            <v>Basement</v>
          </cell>
        </row>
      </sheetData>
      <sheetData sheetId="529">
        <row r="5">
          <cell r="C5" t="str">
            <v>Basement</v>
          </cell>
        </row>
      </sheetData>
      <sheetData sheetId="530">
        <row r="5">
          <cell r="C5" t="str">
            <v>Basement</v>
          </cell>
        </row>
      </sheetData>
      <sheetData sheetId="531">
        <row r="5">
          <cell r="C5" t="str">
            <v>Basement</v>
          </cell>
        </row>
      </sheetData>
      <sheetData sheetId="532">
        <row r="5">
          <cell r="C5" t="str">
            <v>Basement</v>
          </cell>
        </row>
      </sheetData>
      <sheetData sheetId="533">
        <row r="5">
          <cell r="C5" t="str">
            <v>Basement</v>
          </cell>
        </row>
      </sheetData>
      <sheetData sheetId="534">
        <row r="5">
          <cell r="C5" t="str">
            <v>Basement</v>
          </cell>
        </row>
      </sheetData>
      <sheetData sheetId="535">
        <row r="5">
          <cell r="C5" t="str">
            <v>Basement</v>
          </cell>
        </row>
      </sheetData>
      <sheetData sheetId="536">
        <row r="5">
          <cell r="C5" t="str">
            <v>Basement</v>
          </cell>
        </row>
      </sheetData>
      <sheetData sheetId="537">
        <row r="5">
          <cell r="C5" t="str">
            <v>Basement</v>
          </cell>
        </row>
      </sheetData>
      <sheetData sheetId="538">
        <row r="5">
          <cell r="C5" t="str">
            <v>Basement</v>
          </cell>
        </row>
      </sheetData>
      <sheetData sheetId="539">
        <row r="5">
          <cell r="C5" t="str">
            <v>Basement</v>
          </cell>
        </row>
      </sheetData>
      <sheetData sheetId="540">
        <row r="5">
          <cell r="C5" t="str">
            <v>Basement</v>
          </cell>
        </row>
      </sheetData>
      <sheetData sheetId="541">
        <row r="5">
          <cell r="C5" t="str">
            <v>Basement</v>
          </cell>
        </row>
      </sheetData>
      <sheetData sheetId="542">
        <row r="5">
          <cell r="C5" t="str">
            <v>Basement</v>
          </cell>
        </row>
      </sheetData>
      <sheetData sheetId="543">
        <row r="5">
          <cell r="C5" t="str">
            <v>Basement</v>
          </cell>
        </row>
      </sheetData>
      <sheetData sheetId="544">
        <row r="5">
          <cell r="C5" t="str">
            <v>Basement</v>
          </cell>
        </row>
      </sheetData>
      <sheetData sheetId="545">
        <row r="5">
          <cell r="C5" t="str">
            <v>Basement</v>
          </cell>
        </row>
      </sheetData>
      <sheetData sheetId="546">
        <row r="5">
          <cell r="C5" t="str">
            <v>Basement</v>
          </cell>
        </row>
      </sheetData>
      <sheetData sheetId="547">
        <row r="5">
          <cell r="C5" t="str">
            <v>Basement</v>
          </cell>
        </row>
      </sheetData>
      <sheetData sheetId="548">
        <row r="5">
          <cell r="C5" t="str">
            <v>Basement</v>
          </cell>
        </row>
      </sheetData>
      <sheetData sheetId="549">
        <row r="5">
          <cell r="C5" t="str">
            <v>Basement</v>
          </cell>
        </row>
      </sheetData>
      <sheetData sheetId="550">
        <row r="5">
          <cell r="C5" t="str">
            <v>Basement</v>
          </cell>
        </row>
      </sheetData>
      <sheetData sheetId="551">
        <row r="5">
          <cell r="C5" t="str">
            <v>Basement</v>
          </cell>
        </row>
      </sheetData>
      <sheetData sheetId="552">
        <row r="5">
          <cell r="C5" t="str">
            <v>Basement</v>
          </cell>
        </row>
      </sheetData>
      <sheetData sheetId="553">
        <row r="5">
          <cell r="C5" t="str">
            <v>Basement</v>
          </cell>
        </row>
      </sheetData>
      <sheetData sheetId="554">
        <row r="5">
          <cell r="C5" t="str">
            <v>Basement</v>
          </cell>
        </row>
      </sheetData>
      <sheetData sheetId="555">
        <row r="5">
          <cell r="C5" t="str">
            <v>Basement</v>
          </cell>
        </row>
      </sheetData>
      <sheetData sheetId="556">
        <row r="5">
          <cell r="C5" t="str">
            <v>Basement</v>
          </cell>
        </row>
      </sheetData>
      <sheetData sheetId="557">
        <row r="5">
          <cell r="C5" t="str">
            <v>Basement</v>
          </cell>
        </row>
      </sheetData>
      <sheetData sheetId="558">
        <row r="5">
          <cell r="C5" t="str">
            <v>Basement</v>
          </cell>
        </row>
      </sheetData>
      <sheetData sheetId="559">
        <row r="5">
          <cell r="C5" t="str">
            <v>Basement</v>
          </cell>
        </row>
      </sheetData>
      <sheetData sheetId="560">
        <row r="5">
          <cell r="C5" t="str">
            <v>Basement</v>
          </cell>
        </row>
      </sheetData>
      <sheetData sheetId="561">
        <row r="5">
          <cell r="C5" t="str">
            <v>Basement</v>
          </cell>
        </row>
      </sheetData>
      <sheetData sheetId="562">
        <row r="5">
          <cell r="C5" t="str">
            <v>Basement</v>
          </cell>
        </row>
      </sheetData>
      <sheetData sheetId="563">
        <row r="5">
          <cell r="C5" t="str">
            <v>Basement</v>
          </cell>
        </row>
      </sheetData>
      <sheetData sheetId="564">
        <row r="5">
          <cell r="C5" t="str">
            <v>Basement</v>
          </cell>
        </row>
      </sheetData>
      <sheetData sheetId="565">
        <row r="5">
          <cell r="C5" t="str">
            <v>Basement</v>
          </cell>
        </row>
      </sheetData>
      <sheetData sheetId="566">
        <row r="5">
          <cell r="C5" t="str">
            <v>Basement</v>
          </cell>
        </row>
      </sheetData>
      <sheetData sheetId="567">
        <row r="5">
          <cell r="C5" t="str">
            <v>Basement</v>
          </cell>
        </row>
      </sheetData>
      <sheetData sheetId="568">
        <row r="5">
          <cell r="C5" t="str">
            <v>Basement</v>
          </cell>
        </row>
      </sheetData>
      <sheetData sheetId="569">
        <row r="5">
          <cell r="C5" t="str">
            <v>Basement</v>
          </cell>
        </row>
      </sheetData>
      <sheetData sheetId="570">
        <row r="5">
          <cell r="C5" t="str">
            <v>Basement</v>
          </cell>
        </row>
      </sheetData>
      <sheetData sheetId="571">
        <row r="5">
          <cell r="C5" t="str">
            <v>Basement</v>
          </cell>
        </row>
      </sheetData>
      <sheetData sheetId="572">
        <row r="5">
          <cell r="C5" t="str">
            <v>Basement</v>
          </cell>
        </row>
      </sheetData>
      <sheetData sheetId="573">
        <row r="5">
          <cell r="C5" t="str">
            <v>Basement</v>
          </cell>
        </row>
      </sheetData>
      <sheetData sheetId="574">
        <row r="5">
          <cell r="C5" t="str">
            <v>Basement</v>
          </cell>
        </row>
      </sheetData>
      <sheetData sheetId="575">
        <row r="5">
          <cell r="C5" t="str">
            <v>Basement</v>
          </cell>
        </row>
      </sheetData>
      <sheetData sheetId="576">
        <row r="5">
          <cell r="C5" t="str">
            <v>Basement</v>
          </cell>
        </row>
      </sheetData>
      <sheetData sheetId="577">
        <row r="5">
          <cell r="C5" t="str">
            <v>Basement</v>
          </cell>
        </row>
      </sheetData>
      <sheetData sheetId="578">
        <row r="5">
          <cell r="C5" t="str">
            <v>Basement</v>
          </cell>
        </row>
      </sheetData>
      <sheetData sheetId="579">
        <row r="5">
          <cell r="C5" t="str">
            <v>Basement</v>
          </cell>
        </row>
      </sheetData>
      <sheetData sheetId="580">
        <row r="5">
          <cell r="C5" t="str">
            <v>Basement</v>
          </cell>
        </row>
      </sheetData>
      <sheetData sheetId="581">
        <row r="5">
          <cell r="C5" t="str">
            <v>Basement</v>
          </cell>
        </row>
      </sheetData>
      <sheetData sheetId="582">
        <row r="5">
          <cell r="C5" t="str">
            <v>Basement</v>
          </cell>
        </row>
      </sheetData>
      <sheetData sheetId="583">
        <row r="5">
          <cell r="C5" t="str">
            <v>Basement</v>
          </cell>
        </row>
      </sheetData>
      <sheetData sheetId="584">
        <row r="5">
          <cell r="C5" t="str">
            <v>Basement</v>
          </cell>
        </row>
      </sheetData>
      <sheetData sheetId="585">
        <row r="5">
          <cell r="C5" t="str">
            <v>Basement</v>
          </cell>
        </row>
      </sheetData>
      <sheetData sheetId="586">
        <row r="5">
          <cell r="C5" t="str">
            <v>Basement</v>
          </cell>
        </row>
      </sheetData>
      <sheetData sheetId="587">
        <row r="5">
          <cell r="C5" t="str">
            <v>Basement</v>
          </cell>
        </row>
      </sheetData>
      <sheetData sheetId="588">
        <row r="5">
          <cell r="C5" t="str">
            <v>Basement</v>
          </cell>
        </row>
      </sheetData>
      <sheetData sheetId="589">
        <row r="5">
          <cell r="C5" t="str">
            <v>Basement</v>
          </cell>
        </row>
      </sheetData>
      <sheetData sheetId="590">
        <row r="5">
          <cell r="C5" t="str">
            <v>Basement</v>
          </cell>
        </row>
      </sheetData>
      <sheetData sheetId="591">
        <row r="5">
          <cell r="C5" t="str">
            <v>Basement</v>
          </cell>
        </row>
      </sheetData>
      <sheetData sheetId="592">
        <row r="5">
          <cell r="C5" t="str">
            <v>Basement</v>
          </cell>
        </row>
      </sheetData>
      <sheetData sheetId="593">
        <row r="5">
          <cell r="C5" t="str">
            <v>Basement</v>
          </cell>
        </row>
      </sheetData>
      <sheetData sheetId="594">
        <row r="5">
          <cell r="C5" t="str">
            <v>Basement</v>
          </cell>
        </row>
      </sheetData>
      <sheetData sheetId="595">
        <row r="5">
          <cell r="C5" t="str">
            <v>Basement</v>
          </cell>
        </row>
      </sheetData>
      <sheetData sheetId="596">
        <row r="5">
          <cell r="C5" t="str">
            <v>Basement</v>
          </cell>
        </row>
      </sheetData>
      <sheetData sheetId="597">
        <row r="5">
          <cell r="C5" t="str">
            <v>Basement</v>
          </cell>
        </row>
      </sheetData>
      <sheetData sheetId="598">
        <row r="5">
          <cell r="C5" t="str">
            <v>Basement</v>
          </cell>
        </row>
      </sheetData>
      <sheetData sheetId="599">
        <row r="5">
          <cell r="C5" t="str">
            <v>Basement</v>
          </cell>
        </row>
      </sheetData>
      <sheetData sheetId="600">
        <row r="5">
          <cell r="C5" t="str">
            <v>Basement</v>
          </cell>
        </row>
      </sheetData>
      <sheetData sheetId="601">
        <row r="5">
          <cell r="C5" t="str">
            <v>Basement</v>
          </cell>
        </row>
      </sheetData>
      <sheetData sheetId="602">
        <row r="5">
          <cell r="C5" t="str">
            <v>Basement</v>
          </cell>
        </row>
      </sheetData>
      <sheetData sheetId="603">
        <row r="5">
          <cell r="C5" t="str">
            <v>Basement</v>
          </cell>
        </row>
      </sheetData>
      <sheetData sheetId="604">
        <row r="5">
          <cell r="C5" t="str">
            <v>Basement</v>
          </cell>
        </row>
      </sheetData>
      <sheetData sheetId="605">
        <row r="5">
          <cell r="C5" t="str">
            <v>Basement</v>
          </cell>
        </row>
      </sheetData>
      <sheetData sheetId="606">
        <row r="5">
          <cell r="C5" t="str">
            <v>Basement</v>
          </cell>
        </row>
      </sheetData>
      <sheetData sheetId="607">
        <row r="5">
          <cell r="C5" t="str">
            <v>Basement</v>
          </cell>
        </row>
      </sheetData>
      <sheetData sheetId="608">
        <row r="5">
          <cell r="C5" t="str">
            <v>Basement</v>
          </cell>
        </row>
      </sheetData>
      <sheetData sheetId="609">
        <row r="5">
          <cell r="C5" t="str">
            <v>Basement</v>
          </cell>
        </row>
      </sheetData>
      <sheetData sheetId="610">
        <row r="5">
          <cell r="C5" t="str">
            <v>Basement</v>
          </cell>
        </row>
      </sheetData>
      <sheetData sheetId="611">
        <row r="5">
          <cell r="C5" t="str">
            <v>Basement</v>
          </cell>
        </row>
      </sheetData>
      <sheetData sheetId="612">
        <row r="5">
          <cell r="C5" t="str">
            <v>Basement</v>
          </cell>
        </row>
      </sheetData>
      <sheetData sheetId="613">
        <row r="5">
          <cell r="C5" t="str">
            <v>Basement</v>
          </cell>
        </row>
      </sheetData>
      <sheetData sheetId="614">
        <row r="5">
          <cell r="C5" t="str">
            <v>Basement</v>
          </cell>
        </row>
      </sheetData>
      <sheetData sheetId="615">
        <row r="5">
          <cell r="C5" t="str">
            <v>Basement</v>
          </cell>
        </row>
      </sheetData>
      <sheetData sheetId="616">
        <row r="5">
          <cell r="C5" t="str">
            <v>Basement</v>
          </cell>
        </row>
      </sheetData>
      <sheetData sheetId="617">
        <row r="5">
          <cell r="C5" t="str">
            <v>Basement</v>
          </cell>
        </row>
      </sheetData>
      <sheetData sheetId="618">
        <row r="5">
          <cell r="C5" t="str">
            <v>Basement</v>
          </cell>
        </row>
      </sheetData>
      <sheetData sheetId="619">
        <row r="5">
          <cell r="C5" t="str">
            <v>Basement</v>
          </cell>
        </row>
      </sheetData>
      <sheetData sheetId="620">
        <row r="5">
          <cell r="C5" t="str">
            <v>Basement</v>
          </cell>
        </row>
      </sheetData>
      <sheetData sheetId="621">
        <row r="5">
          <cell r="C5" t="str">
            <v>Basement</v>
          </cell>
        </row>
      </sheetData>
      <sheetData sheetId="622">
        <row r="5">
          <cell r="C5" t="str">
            <v>Basement</v>
          </cell>
        </row>
      </sheetData>
      <sheetData sheetId="623">
        <row r="5">
          <cell r="C5" t="str">
            <v>Basement</v>
          </cell>
        </row>
      </sheetData>
      <sheetData sheetId="624">
        <row r="5">
          <cell r="C5" t="str">
            <v>Basement</v>
          </cell>
        </row>
      </sheetData>
      <sheetData sheetId="625">
        <row r="5">
          <cell r="C5" t="str">
            <v>Basement</v>
          </cell>
        </row>
      </sheetData>
      <sheetData sheetId="626">
        <row r="5">
          <cell r="C5" t="str">
            <v>Basement</v>
          </cell>
        </row>
      </sheetData>
      <sheetData sheetId="627">
        <row r="5">
          <cell r="C5" t="str">
            <v>Basement</v>
          </cell>
        </row>
      </sheetData>
      <sheetData sheetId="628">
        <row r="5">
          <cell r="C5" t="str">
            <v>Basement</v>
          </cell>
        </row>
      </sheetData>
      <sheetData sheetId="629">
        <row r="5">
          <cell r="C5" t="str">
            <v>Basement</v>
          </cell>
        </row>
      </sheetData>
      <sheetData sheetId="630">
        <row r="5">
          <cell r="C5" t="str">
            <v>Basement</v>
          </cell>
        </row>
      </sheetData>
      <sheetData sheetId="631">
        <row r="5">
          <cell r="C5" t="str">
            <v>Basement</v>
          </cell>
        </row>
      </sheetData>
      <sheetData sheetId="632">
        <row r="5">
          <cell r="C5" t="str">
            <v>Basement</v>
          </cell>
        </row>
      </sheetData>
      <sheetData sheetId="633">
        <row r="5">
          <cell r="C5" t="str">
            <v>Basement</v>
          </cell>
        </row>
      </sheetData>
      <sheetData sheetId="634">
        <row r="5">
          <cell r="C5" t="str">
            <v>Basement</v>
          </cell>
        </row>
      </sheetData>
      <sheetData sheetId="635">
        <row r="5">
          <cell r="C5" t="str">
            <v>Basement</v>
          </cell>
        </row>
      </sheetData>
      <sheetData sheetId="636">
        <row r="5">
          <cell r="C5" t="str">
            <v>Basement</v>
          </cell>
        </row>
      </sheetData>
      <sheetData sheetId="637">
        <row r="5">
          <cell r="C5" t="str">
            <v>Basement</v>
          </cell>
        </row>
      </sheetData>
      <sheetData sheetId="638">
        <row r="5">
          <cell r="C5" t="str">
            <v>Basement</v>
          </cell>
        </row>
      </sheetData>
      <sheetData sheetId="639">
        <row r="5">
          <cell r="C5" t="str">
            <v>Basement</v>
          </cell>
        </row>
      </sheetData>
      <sheetData sheetId="640">
        <row r="5">
          <cell r="C5" t="str">
            <v>Basement</v>
          </cell>
        </row>
      </sheetData>
      <sheetData sheetId="641">
        <row r="5">
          <cell r="C5" t="str">
            <v>Basement</v>
          </cell>
        </row>
      </sheetData>
      <sheetData sheetId="642">
        <row r="5">
          <cell r="C5" t="str">
            <v>Basement</v>
          </cell>
        </row>
      </sheetData>
      <sheetData sheetId="643">
        <row r="5">
          <cell r="C5" t="str">
            <v>Basement</v>
          </cell>
        </row>
      </sheetData>
      <sheetData sheetId="644">
        <row r="5">
          <cell r="C5" t="str">
            <v>Basement</v>
          </cell>
        </row>
      </sheetData>
      <sheetData sheetId="645">
        <row r="5">
          <cell r="C5" t="str">
            <v>Basement</v>
          </cell>
        </row>
      </sheetData>
      <sheetData sheetId="646">
        <row r="5">
          <cell r="C5" t="str">
            <v>Basement</v>
          </cell>
        </row>
      </sheetData>
      <sheetData sheetId="647">
        <row r="5">
          <cell r="C5" t="str">
            <v>Basement</v>
          </cell>
        </row>
      </sheetData>
      <sheetData sheetId="648">
        <row r="5">
          <cell r="C5" t="str">
            <v>Basement</v>
          </cell>
        </row>
      </sheetData>
      <sheetData sheetId="649">
        <row r="5">
          <cell r="C5" t="str">
            <v>Basement</v>
          </cell>
        </row>
      </sheetData>
      <sheetData sheetId="650">
        <row r="5">
          <cell r="C5" t="str">
            <v>Basement</v>
          </cell>
        </row>
      </sheetData>
      <sheetData sheetId="651">
        <row r="5">
          <cell r="C5" t="str">
            <v>Basement</v>
          </cell>
        </row>
      </sheetData>
      <sheetData sheetId="652">
        <row r="5">
          <cell r="C5" t="str">
            <v>Basement</v>
          </cell>
        </row>
      </sheetData>
      <sheetData sheetId="653">
        <row r="5">
          <cell r="C5" t="str">
            <v>Basement</v>
          </cell>
        </row>
      </sheetData>
      <sheetData sheetId="654">
        <row r="5">
          <cell r="C5" t="str">
            <v>Basement</v>
          </cell>
        </row>
      </sheetData>
      <sheetData sheetId="655">
        <row r="5">
          <cell r="C5" t="str">
            <v>Basement</v>
          </cell>
        </row>
      </sheetData>
      <sheetData sheetId="656">
        <row r="5">
          <cell r="C5" t="str">
            <v>Basement</v>
          </cell>
        </row>
      </sheetData>
      <sheetData sheetId="657">
        <row r="5">
          <cell r="C5" t="str">
            <v>Basement</v>
          </cell>
        </row>
      </sheetData>
      <sheetData sheetId="658">
        <row r="5">
          <cell r="C5" t="str">
            <v>Basement</v>
          </cell>
        </row>
      </sheetData>
      <sheetData sheetId="659">
        <row r="5">
          <cell r="C5" t="str">
            <v>Basement</v>
          </cell>
        </row>
      </sheetData>
      <sheetData sheetId="660">
        <row r="5">
          <cell r="C5" t="str">
            <v>Basement</v>
          </cell>
        </row>
      </sheetData>
      <sheetData sheetId="661">
        <row r="5">
          <cell r="C5" t="str">
            <v>Basement</v>
          </cell>
        </row>
      </sheetData>
      <sheetData sheetId="662">
        <row r="5">
          <cell r="C5" t="str">
            <v>Basement</v>
          </cell>
        </row>
      </sheetData>
      <sheetData sheetId="663">
        <row r="5">
          <cell r="C5" t="str">
            <v>Basement</v>
          </cell>
        </row>
      </sheetData>
      <sheetData sheetId="664">
        <row r="5">
          <cell r="C5" t="str">
            <v>Basement</v>
          </cell>
        </row>
      </sheetData>
      <sheetData sheetId="665">
        <row r="5">
          <cell r="C5" t="str">
            <v>Basement</v>
          </cell>
        </row>
      </sheetData>
      <sheetData sheetId="666">
        <row r="5">
          <cell r="C5" t="str">
            <v>Basement</v>
          </cell>
        </row>
      </sheetData>
      <sheetData sheetId="667">
        <row r="5">
          <cell r="C5" t="str">
            <v>Basement</v>
          </cell>
        </row>
      </sheetData>
      <sheetData sheetId="668">
        <row r="5">
          <cell r="C5" t="str">
            <v>Basement</v>
          </cell>
        </row>
      </sheetData>
      <sheetData sheetId="669">
        <row r="5">
          <cell r="C5" t="str">
            <v>Basement</v>
          </cell>
        </row>
      </sheetData>
      <sheetData sheetId="670">
        <row r="5">
          <cell r="C5" t="str">
            <v>Basement</v>
          </cell>
        </row>
      </sheetData>
      <sheetData sheetId="671">
        <row r="5">
          <cell r="C5" t="str">
            <v>Basement</v>
          </cell>
        </row>
      </sheetData>
      <sheetData sheetId="672">
        <row r="5">
          <cell r="C5" t="str">
            <v>Basement</v>
          </cell>
        </row>
      </sheetData>
      <sheetData sheetId="673">
        <row r="5">
          <cell r="C5" t="str">
            <v>Basement</v>
          </cell>
        </row>
      </sheetData>
      <sheetData sheetId="674">
        <row r="5">
          <cell r="C5" t="str">
            <v>Basement</v>
          </cell>
        </row>
      </sheetData>
      <sheetData sheetId="675">
        <row r="5">
          <cell r="C5" t="str">
            <v>Basement</v>
          </cell>
        </row>
      </sheetData>
      <sheetData sheetId="676">
        <row r="5">
          <cell r="C5" t="str">
            <v>Basement</v>
          </cell>
        </row>
      </sheetData>
      <sheetData sheetId="677">
        <row r="5">
          <cell r="C5" t="str">
            <v>Basement</v>
          </cell>
        </row>
      </sheetData>
      <sheetData sheetId="678">
        <row r="5">
          <cell r="C5" t="str">
            <v>Basement</v>
          </cell>
        </row>
      </sheetData>
      <sheetData sheetId="679">
        <row r="5">
          <cell r="C5" t="str">
            <v>Basement</v>
          </cell>
        </row>
      </sheetData>
      <sheetData sheetId="680">
        <row r="5">
          <cell r="C5" t="str">
            <v>Basement</v>
          </cell>
        </row>
      </sheetData>
      <sheetData sheetId="681">
        <row r="5">
          <cell r="C5" t="str">
            <v>Basement</v>
          </cell>
        </row>
      </sheetData>
      <sheetData sheetId="682">
        <row r="5">
          <cell r="C5" t="str">
            <v>Basement</v>
          </cell>
        </row>
      </sheetData>
      <sheetData sheetId="683">
        <row r="5">
          <cell r="C5" t="str">
            <v>Basement</v>
          </cell>
        </row>
      </sheetData>
      <sheetData sheetId="684">
        <row r="5">
          <cell r="C5" t="str">
            <v>Basement</v>
          </cell>
        </row>
      </sheetData>
      <sheetData sheetId="685">
        <row r="5">
          <cell r="C5" t="str">
            <v>Basement</v>
          </cell>
        </row>
      </sheetData>
      <sheetData sheetId="686">
        <row r="5">
          <cell r="C5" t="str">
            <v>Basement</v>
          </cell>
        </row>
      </sheetData>
      <sheetData sheetId="687">
        <row r="5">
          <cell r="C5" t="str">
            <v>Basement</v>
          </cell>
        </row>
      </sheetData>
      <sheetData sheetId="688">
        <row r="5">
          <cell r="C5" t="str">
            <v>Basement</v>
          </cell>
        </row>
      </sheetData>
      <sheetData sheetId="689">
        <row r="5">
          <cell r="C5" t="str">
            <v>Basement</v>
          </cell>
        </row>
      </sheetData>
      <sheetData sheetId="690">
        <row r="5">
          <cell r="C5" t="str">
            <v>Basement</v>
          </cell>
        </row>
      </sheetData>
      <sheetData sheetId="691">
        <row r="5">
          <cell r="C5" t="str">
            <v>Basement</v>
          </cell>
        </row>
      </sheetData>
      <sheetData sheetId="692">
        <row r="5">
          <cell r="C5" t="str">
            <v>Basement</v>
          </cell>
        </row>
      </sheetData>
      <sheetData sheetId="693">
        <row r="5">
          <cell r="C5" t="str">
            <v>Basement</v>
          </cell>
        </row>
      </sheetData>
      <sheetData sheetId="694">
        <row r="5">
          <cell r="C5" t="str">
            <v>Basement</v>
          </cell>
        </row>
      </sheetData>
      <sheetData sheetId="695">
        <row r="5">
          <cell r="C5" t="str">
            <v>Basement</v>
          </cell>
        </row>
      </sheetData>
      <sheetData sheetId="696">
        <row r="5">
          <cell r="C5" t="str">
            <v>Basement</v>
          </cell>
        </row>
      </sheetData>
      <sheetData sheetId="697">
        <row r="5">
          <cell r="C5" t="str">
            <v>Basement</v>
          </cell>
        </row>
      </sheetData>
      <sheetData sheetId="698">
        <row r="5">
          <cell r="C5" t="str">
            <v>Basement</v>
          </cell>
        </row>
      </sheetData>
      <sheetData sheetId="699">
        <row r="5">
          <cell r="C5" t="str">
            <v>Basement</v>
          </cell>
        </row>
      </sheetData>
      <sheetData sheetId="700">
        <row r="5">
          <cell r="C5" t="str">
            <v>Basement</v>
          </cell>
        </row>
      </sheetData>
      <sheetData sheetId="701">
        <row r="5">
          <cell r="C5" t="str">
            <v>Basement</v>
          </cell>
        </row>
      </sheetData>
      <sheetData sheetId="702">
        <row r="5">
          <cell r="C5" t="str">
            <v>Basement</v>
          </cell>
        </row>
      </sheetData>
      <sheetData sheetId="703">
        <row r="5">
          <cell r="C5" t="str">
            <v>Basement</v>
          </cell>
        </row>
      </sheetData>
      <sheetData sheetId="704">
        <row r="5">
          <cell r="C5" t="str">
            <v>Basement</v>
          </cell>
        </row>
      </sheetData>
      <sheetData sheetId="705">
        <row r="5">
          <cell r="C5" t="str">
            <v>Basement</v>
          </cell>
        </row>
      </sheetData>
      <sheetData sheetId="706">
        <row r="5">
          <cell r="C5" t="str">
            <v>Basement</v>
          </cell>
        </row>
      </sheetData>
      <sheetData sheetId="707">
        <row r="5">
          <cell r="C5" t="str">
            <v>Basement</v>
          </cell>
        </row>
      </sheetData>
      <sheetData sheetId="708">
        <row r="5">
          <cell r="C5" t="str">
            <v>Basement</v>
          </cell>
        </row>
      </sheetData>
      <sheetData sheetId="709">
        <row r="5">
          <cell r="C5" t="str">
            <v>Basement</v>
          </cell>
        </row>
      </sheetData>
      <sheetData sheetId="710">
        <row r="5">
          <cell r="C5" t="str">
            <v>Basement</v>
          </cell>
        </row>
      </sheetData>
      <sheetData sheetId="711">
        <row r="5">
          <cell r="C5" t="str">
            <v>Basement</v>
          </cell>
        </row>
      </sheetData>
      <sheetData sheetId="712">
        <row r="5">
          <cell r="C5" t="str">
            <v>Basement</v>
          </cell>
        </row>
      </sheetData>
      <sheetData sheetId="713">
        <row r="5">
          <cell r="C5" t="str">
            <v>Basement</v>
          </cell>
        </row>
      </sheetData>
      <sheetData sheetId="714">
        <row r="5">
          <cell r="C5" t="str">
            <v>Basement</v>
          </cell>
        </row>
      </sheetData>
      <sheetData sheetId="715">
        <row r="5">
          <cell r="C5" t="str">
            <v>Basement</v>
          </cell>
        </row>
      </sheetData>
      <sheetData sheetId="716">
        <row r="5">
          <cell r="C5" t="str">
            <v>Basement</v>
          </cell>
        </row>
      </sheetData>
      <sheetData sheetId="717">
        <row r="5">
          <cell r="C5" t="str">
            <v>Basement</v>
          </cell>
        </row>
      </sheetData>
      <sheetData sheetId="718">
        <row r="5">
          <cell r="C5" t="str">
            <v>Basement</v>
          </cell>
        </row>
      </sheetData>
      <sheetData sheetId="719">
        <row r="5">
          <cell r="C5" t="str">
            <v>Basement</v>
          </cell>
        </row>
      </sheetData>
      <sheetData sheetId="720">
        <row r="5">
          <cell r="C5" t="str">
            <v>Basement</v>
          </cell>
        </row>
      </sheetData>
      <sheetData sheetId="721">
        <row r="5">
          <cell r="C5" t="str">
            <v>Basement</v>
          </cell>
        </row>
      </sheetData>
      <sheetData sheetId="722">
        <row r="5">
          <cell r="C5" t="str">
            <v>Basement</v>
          </cell>
        </row>
      </sheetData>
      <sheetData sheetId="723">
        <row r="5">
          <cell r="C5" t="str">
            <v>Basement</v>
          </cell>
        </row>
      </sheetData>
      <sheetData sheetId="724">
        <row r="5">
          <cell r="C5" t="str">
            <v>Basement</v>
          </cell>
        </row>
      </sheetData>
      <sheetData sheetId="725">
        <row r="5">
          <cell r="C5" t="str">
            <v>Basement</v>
          </cell>
        </row>
      </sheetData>
      <sheetData sheetId="726">
        <row r="5">
          <cell r="C5" t="str">
            <v>Basement</v>
          </cell>
        </row>
      </sheetData>
      <sheetData sheetId="727">
        <row r="5">
          <cell r="C5" t="str">
            <v>Basement</v>
          </cell>
        </row>
      </sheetData>
      <sheetData sheetId="728">
        <row r="5">
          <cell r="C5" t="str">
            <v>Basement</v>
          </cell>
        </row>
      </sheetData>
      <sheetData sheetId="729">
        <row r="5">
          <cell r="C5" t="str">
            <v>Basement</v>
          </cell>
        </row>
      </sheetData>
      <sheetData sheetId="730">
        <row r="5">
          <cell r="C5" t="str">
            <v>Basement</v>
          </cell>
        </row>
      </sheetData>
      <sheetData sheetId="731">
        <row r="5">
          <cell r="C5" t="str">
            <v>Basement</v>
          </cell>
        </row>
      </sheetData>
      <sheetData sheetId="732">
        <row r="5">
          <cell r="C5" t="str">
            <v>Basement</v>
          </cell>
        </row>
      </sheetData>
      <sheetData sheetId="733">
        <row r="5">
          <cell r="C5" t="str">
            <v>Basement</v>
          </cell>
        </row>
      </sheetData>
      <sheetData sheetId="734">
        <row r="5">
          <cell r="C5" t="str">
            <v>Basement</v>
          </cell>
        </row>
      </sheetData>
      <sheetData sheetId="735">
        <row r="5">
          <cell r="C5" t="str">
            <v>Basement</v>
          </cell>
        </row>
      </sheetData>
      <sheetData sheetId="736">
        <row r="5">
          <cell r="C5" t="str">
            <v>Basement</v>
          </cell>
        </row>
      </sheetData>
      <sheetData sheetId="737">
        <row r="5">
          <cell r="C5" t="str">
            <v>Basement</v>
          </cell>
        </row>
      </sheetData>
      <sheetData sheetId="738">
        <row r="5">
          <cell r="C5" t="str">
            <v>Basement</v>
          </cell>
        </row>
      </sheetData>
      <sheetData sheetId="739">
        <row r="5">
          <cell r="C5" t="str">
            <v>Basement</v>
          </cell>
        </row>
      </sheetData>
      <sheetData sheetId="740">
        <row r="5">
          <cell r="C5" t="str">
            <v>Basement</v>
          </cell>
        </row>
      </sheetData>
      <sheetData sheetId="741">
        <row r="5">
          <cell r="C5" t="str">
            <v>Basement</v>
          </cell>
        </row>
      </sheetData>
      <sheetData sheetId="742">
        <row r="5">
          <cell r="C5" t="str">
            <v>Basement</v>
          </cell>
        </row>
      </sheetData>
      <sheetData sheetId="743">
        <row r="5">
          <cell r="C5" t="str">
            <v>Basement</v>
          </cell>
        </row>
      </sheetData>
      <sheetData sheetId="744">
        <row r="5">
          <cell r="C5" t="str">
            <v>Basement</v>
          </cell>
        </row>
      </sheetData>
      <sheetData sheetId="745">
        <row r="5">
          <cell r="C5" t="str">
            <v>Basement</v>
          </cell>
        </row>
      </sheetData>
      <sheetData sheetId="746">
        <row r="5">
          <cell r="C5" t="str">
            <v>Basement</v>
          </cell>
        </row>
      </sheetData>
      <sheetData sheetId="747">
        <row r="5">
          <cell r="C5" t="str">
            <v>Basement</v>
          </cell>
        </row>
      </sheetData>
      <sheetData sheetId="748">
        <row r="5">
          <cell r="C5" t="str">
            <v>Basement</v>
          </cell>
        </row>
      </sheetData>
      <sheetData sheetId="749">
        <row r="5">
          <cell r="C5" t="str">
            <v>Basement</v>
          </cell>
        </row>
      </sheetData>
      <sheetData sheetId="750">
        <row r="5">
          <cell r="C5" t="str">
            <v>Basement</v>
          </cell>
        </row>
      </sheetData>
      <sheetData sheetId="751">
        <row r="5">
          <cell r="C5" t="str">
            <v>Basement</v>
          </cell>
        </row>
      </sheetData>
      <sheetData sheetId="752">
        <row r="5">
          <cell r="C5" t="str">
            <v>Basement</v>
          </cell>
        </row>
      </sheetData>
      <sheetData sheetId="753">
        <row r="5">
          <cell r="C5" t="str">
            <v>Basement</v>
          </cell>
        </row>
      </sheetData>
      <sheetData sheetId="754">
        <row r="5">
          <cell r="C5" t="str">
            <v>Basement</v>
          </cell>
        </row>
      </sheetData>
      <sheetData sheetId="755">
        <row r="5">
          <cell r="C5" t="str">
            <v>Basement</v>
          </cell>
        </row>
      </sheetData>
      <sheetData sheetId="756">
        <row r="5">
          <cell r="C5" t="str">
            <v>Basement</v>
          </cell>
        </row>
      </sheetData>
      <sheetData sheetId="757">
        <row r="5">
          <cell r="C5" t="str">
            <v>Basement</v>
          </cell>
        </row>
      </sheetData>
      <sheetData sheetId="758">
        <row r="5">
          <cell r="C5" t="str">
            <v>Basement</v>
          </cell>
        </row>
      </sheetData>
      <sheetData sheetId="759">
        <row r="5">
          <cell r="C5" t="str">
            <v>Basement</v>
          </cell>
        </row>
      </sheetData>
      <sheetData sheetId="760">
        <row r="5">
          <cell r="C5" t="str">
            <v>Basement</v>
          </cell>
        </row>
      </sheetData>
      <sheetData sheetId="761">
        <row r="5">
          <cell r="C5" t="str">
            <v>Basement</v>
          </cell>
        </row>
      </sheetData>
      <sheetData sheetId="762">
        <row r="5">
          <cell r="C5" t="str">
            <v>Basement</v>
          </cell>
        </row>
      </sheetData>
      <sheetData sheetId="763">
        <row r="5">
          <cell r="C5" t="str">
            <v>Basement</v>
          </cell>
        </row>
      </sheetData>
      <sheetData sheetId="764">
        <row r="5">
          <cell r="C5" t="str">
            <v>Basement</v>
          </cell>
        </row>
      </sheetData>
      <sheetData sheetId="765">
        <row r="5">
          <cell r="C5" t="str">
            <v>Basement</v>
          </cell>
        </row>
      </sheetData>
      <sheetData sheetId="766">
        <row r="5">
          <cell r="C5" t="str">
            <v>Basement</v>
          </cell>
        </row>
      </sheetData>
      <sheetData sheetId="767">
        <row r="5">
          <cell r="C5" t="str">
            <v>Basement</v>
          </cell>
        </row>
      </sheetData>
      <sheetData sheetId="768">
        <row r="5">
          <cell r="C5" t="str">
            <v>Basement</v>
          </cell>
        </row>
      </sheetData>
      <sheetData sheetId="769">
        <row r="5">
          <cell r="C5" t="str">
            <v>Basement</v>
          </cell>
        </row>
      </sheetData>
      <sheetData sheetId="770">
        <row r="5">
          <cell r="C5" t="str">
            <v>Basement</v>
          </cell>
        </row>
      </sheetData>
      <sheetData sheetId="771">
        <row r="5">
          <cell r="C5" t="str">
            <v>Basement</v>
          </cell>
        </row>
      </sheetData>
      <sheetData sheetId="772">
        <row r="5">
          <cell r="C5" t="str">
            <v>Basement</v>
          </cell>
        </row>
      </sheetData>
      <sheetData sheetId="773">
        <row r="5">
          <cell r="C5" t="str">
            <v>Basement</v>
          </cell>
        </row>
      </sheetData>
      <sheetData sheetId="774">
        <row r="5">
          <cell r="C5" t="str">
            <v>Basement</v>
          </cell>
        </row>
      </sheetData>
      <sheetData sheetId="775">
        <row r="5">
          <cell r="C5" t="str">
            <v>Basement</v>
          </cell>
        </row>
      </sheetData>
      <sheetData sheetId="776">
        <row r="5">
          <cell r="C5" t="str">
            <v>Basement</v>
          </cell>
        </row>
      </sheetData>
      <sheetData sheetId="777">
        <row r="5">
          <cell r="C5" t="str">
            <v>Basement</v>
          </cell>
        </row>
      </sheetData>
      <sheetData sheetId="778">
        <row r="5">
          <cell r="C5" t="str">
            <v>Basement</v>
          </cell>
        </row>
      </sheetData>
      <sheetData sheetId="779">
        <row r="5">
          <cell r="C5" t="str">
            <v>Basement</v>
          </cell>
        </row>
      </sheetData>
      <sheetData sheetId="780">
        <row r="5">
          <cell r="C5" t="str">
            <v>Basement</v>
          </cell>
        </row>
      </sheetData>
      <sheetData sheetId="781">
        <row r="5">
          <cell r="C5" t="str">
            <v>Basement</v>
          </cell>
        </row>
      </sheetData>
      <sheetData sheetId="782">
        <row r="5">
          <cell r="C5" t="str">
            <v>Basement</v>
          </cell>
        </row>
      </sheetData>
      <sheetData sheetId="783">
        <row r="5">
          <cell r="C5" t="str">
            <v>Basement</v>
          </cell>
        </row>
      </sheetData>
      <sheetData sheetId="784">
        <row r="5">
          <cell r="C5" t="str">
            <v>Basement</v>
          </cell>
        </row>
      </sheetData>
      <sheetData sheetId="785">
        <row r="5">
          <cell r="C5" t="str">
            <v>Basement</v>
          </cell>
        </row>
      </sheetData>
      <sheetData sheetId="786">
        <row r="5">
          <cell r="C5" t="str">
            <v>Basement</v>
          </cell>
        </row>
      </sheetData>
      <sheetData sheetId="787">
        <row r="5">
          <cell r="C5" t="str">
            <v>Basement</v>
          </cell>
        </row>
      </sheetData>
      <sheetData sheetId="788">
        <row r="5">
          <cell r="C5" t="str">
            <v>Basement</v>
          </cell>
        </row>
      </sheetData>
      <sheetData sheetId="789">
        <row r="5">
          <cell r="C5" t="str">
            <v>Basement</v>
          </cell>
        </row>
      </sheetData>
      <sheetData sheetId="790">
        <row r="5">
          <cell r="C5" t="str">
            <v>Basement</v>
          </cell>
        </row>
      </sheetData>
      <sheetData sheetId="791">
        <row r="5">
          <cell r="C5" t="str">
            <v>Basement</v>
          </cell>
        </row>
      </sheetData>
      <sheetData sheetId="792">
        <row r="5">
          <cell r="C5" t="str">
            <v>Basement</v>
          </cell>
        </row>
      </sheetData>
      <sheetData sheetId="793">
        <row r="5">
          <cell r="C5" t="str">
            <v>Basement</v>
          </cell>
        </row>
      </sheetData>
      <sheetData sheetId="794">
        <row r="5">
          <cell r="C5" t="str">
            <v>Basement</v>
          </cell>
        </row>
      </sheetData>
      <sheetData sheetId="795">
        <row r="5">
          <cell r="C5" t="str">
            <v>Basement</v>
          </cell>
        </row>
      </sheetData>
      <sheetData sheetId="796">
        <row r="5">
          <cell r="C5" t="str">
            <v>Basement</v>
          </cell>
        </row>
      </sheetData>
      <sheetData sheetId="797">
        <row r="5">
          <cell r="C5" t="str">
            <v>Basement</v>
          </cell>
        </row>
      </sheetData>
      <sheetData sheetId="798">
        <row r="5">
          <cell r="C5" t="str">
            <v>Basement</v>
          </cell>
        </row>
      </sheetData>
      <sheetData sheetId="799">
        <row r="5">
          <cell r="C5" t="str">
            <v>Basement</v>
          </cell>
        </row>
      </sheetData>
      <sheetData sheetId="800">
        <row r="5">
          <cell r="C5" t="str">
            <v>Basement</v>
          </cell>
        </row>
      </sheetData>
      <sheetData sheetId="801">
        <row r="5">
          <cell r="C5" t="str">
            <v>Basement</v>
          </cell>
        </row>
      </sheetData>
      <sheetData sheetId="802">
        <row r="5">
          <cell r="C5" t="str">
            <v>Basement</v>
          </cell>
        </row>
      </sheetData>
      <sheetData sheetId="803">
        <row r="5">
          <cell r="C5" t="str">
            <v>Basement</v>
          </cell>
        </row>
      </sheetData>
      <sheetData sheetId="804">
        <row r="5">
          <cell r="C5" t="str">
            <v>Basement</v>
          </cell>
        </row>
      </sheetData>
      <sheetData sheetId="805">
        <row r="5">
          <cell r="C5" t="str">
            <v>Basement</v>
          </cell>
        </row>
      </sheetData>
      <sheetData sheetId="806">
        <row r="5">
          <cell r="C5" t="str">
            <v>Basement</v>
          </cell>
        </row>
      </sheetData>
      <sheetData sheetId="807">
        <row r="5">
          <cell r="C5" t="str">
            <v>Basement</v>
          </cell>
        </row>
      </sheetData>
      <sheetData sheetId="808">
        <row r="5">
          <cell r="C5" t="str">
            <v>Basement</v>
          </cell>
        </row>
      </sheetData>
      <sheetData sheetId="809">
        <row r="5">
          <cell r="C5" t="str">
            <v>Basement</v>
          </cell>
        </row>
      </sheetData>
      <sheetData sheetId="810">
        <row r="5">
          <cell r="C5" t="str">
            <v>Basement</v>
          </cell>
        </row>
      </sheetData>
      <sheetData sheetId="811">
        <row r="5">
          <cell r="C5" t="str">
            <v>Basement</v>
          </cell>
        </row>
      </sheetData>
      <sheetData sheetId="812">
        <row r="5">
          <cell r="C5" t="str">
            <v>Basement</v>
          </cell>
        </row>
      </sheetData>
      <sheetData sheetId="813">
        <row r="5">
          <cell r="C5" t="str">
            <v>Basement</v>
          </cell>
        </row>
      </sheetData>
      <sheetData sheetId="814">
        <row r="5">
          <cell r="C5" t="str">
            <v>Basement</v>
          </cell>
        </row>
      </sheetData>
      <sheetData sheetId="815">
        <row r="5">
          <cell r="C5" t="str">
            <v>Basement</v>
          </cell>
        </row>
      </sheetData>
      <sheetData sheetId="816">
        <row r="5">
          <cell r="C5" t="str">
            <v>Basement</v>
          </cell>
        </row>
      </sheetData>
      <sheetData sheetId="817">
        <row r="5">
          <cell r="C5" t="str">
            <v>Basement</v>
          </cell>
        </row>
      </sheetData>
      <sheetData sheetId="818">
        <row r="5">
          <cell r="C5" t="str">
            <v>Basement</v>
          </cell>
        </row>
      </sheetData>
      <sheetData sheetId="819">
        <row r="5">
          <cell r="C5" t="str">
            <v>Basement</v>
          </cell>
        </row>
      </sheetData>
      <sheetData sheetId="820">
        <row r="5">
          <cell r="C5" t="str">
            <v>Basement</v>
          </cell>
        </row>
      </sheetData>
      <sheetData sheetId="821">
        <row r="5">
          <cell r="C5" t="str">
            <v>Basement</v>
          </cell>
        </row>
      </sheetData>
      <sheetData sheetId="822">
        <row r="5">
          <cell r="C5" t="str">
            <v>Basement</v>
          </cell>
        </row>
      </sheetData>
      <sheetData sheetId="823">
        <row r="5">
          <cell r="C5" t="str">
            <v>Basement</v>
          </cell>
        </row>
      </sheetData>
      <sheetData sheetId="824">
        <row r="5">
          <cell r="C5" t="str">
            <v>Basement</v>
          </cell>
        </row>
      </sheetData>
      <sheetData sheetId="825">
        <row r="5">
          <cell r="C5" t="str">
            <v>Basement</v>
          </cell>
        </row>
      </sheetData>
      <sheetData sheetId="826">
        <row r="5">
          <cell r="C5" t="str">
            <v>Basement</v>
          </cell>
        </row>
      </sheetData>
      <sheetData sheetId="827">
        <row r="5">
          <cell r="C5" t="str">
            <v>Basement</v>
          </cell>
        </row>
      </sheetData>
      <sheetData sheetId="828">
        <row r="5">
          <cell r="C5" t="str">
            <v>Basement</v>
          </cell>
        </row>
      </sheetData>
      <sheetData sheetId="829">
        <row r="5">
          <cell r="C5" t="str">
            <v>Basement</v>
          </cell>
        </row>
      </sheetData>
      <sheetData sheetId="830">
        <row r="5">
          <cell r="C5" t="str">
            <v>Basement</v>
          </cell>
        </row>
      </sheetData>
      <sheetData sheetId="831">
        <row r="5">
          <cell r="C5" t="str">
            <v>Basement</v>
          </cell>
        </row>
      </sheetData>
      <sheetData sheetId="832">
        <row r="5">
          <cell r="C5" t="str">
            <v>Basement</v>
          </cell>
        </row>
      </sheetData>
      <sheetData sheetId="833">
        <row r="5">
          <cell r="C5" t="str">
            <v>Basement</v>
          </cell>
        </row>
      </sheetData>
      <sheetData sheetId="834">
        <row r="5">
          <cell r="C5" t="str">
            <v>Basement</v>
          </cell>
        </row>
      </sheetData>
      <sheetData sheetId="835">
        <row r="5">
          <cell r="C5" t="str">
            <v>Basement</v>
          </cell>
        </row>
      </sheetData>
      <sheetData sheetId="836">
        <row r="5">
          <cell r="C5" t="str">
            <v>Basement</v>
          </cell>
        </row>
      </sheetData>
      <sheetData sheetId="837">
        <row r="5">
          <cell r="C5" t="str">
            <v>Basement</v>
          </cell>
        </row>
      </sheetData>
      <sheetData sheetId="838">
        <row r="5">
          <cell r="C5" t="str">
            <v>Basement</v>
          </cell>
        </row>
      </sheetData>
      <sheetData sheetId="839">
        <row r="5">
          <cell r="C5" t="str">
            <v>Basement</v>
          </cell>
        </row>
      </sheetData>
      <sheetData sheetId="840">
        <row r="5">
          <cell r="C5" t="str">
            <v>Basement</v>
          </cell>
        </row>
      </sheetData>
      <sheetData sheetId="841">
        <row r="5">
          <cell r="C5" t="str">
            <v>Basement</v>
          </cell>
        </row>
      </sheetData>
      <sheetData sheetId="842">
        <row r="5">
          <cell r="C5" t="str">
            <v>Basement</v>
          </cell>
        </row>
      </sheetData>
      <sheetData sheetId="843">
        <row r="5">
          <cell r="C5" t="str">
            <v>Basement</v>
          </cell>
        </row>
      </sheetData>
      <sheetData sheetId="844">
        <row r="5">
          <cell r="C5" t="str">
            <v>Basement</v>
          </cell>
        </row>
      </sheetData>
      <sheetData sheetId="845">
        <row r="5">
          <cell r="C5" t="str">
            <v>Basement</v>
          </cell>
        </row>
      </sheetData>
      <sheetData sheetId="846">
        <row r="5">
          <cell r="C5" t="str">
            <v>Basement</v>
          </cell>
        </row>
      </sheetData>
      <sheetData sheetId="847">
        <row r="5">
          <cell r="C5" t="str">
            <v>Basement</v>
          </cell>
        </row>
      </sheetData>
      <sheetData sheetId="848">
        <row r="5">
          <cell r="C5" t="str">
            <v>Basement</v>
          </cell>
        </row>
      </sheetData>
      <sheetData sheetId="849">
        <row r="5">
          <cell r="C5" t="str">
            <v>Basement</v>
          </cell>
        </row>
      </sheetData>
      <sheetData sheetId="850">
        <row r="5">
          <cell r="C5" t="str">
            <v>Basement</v>
          </cell>
        </row>
      </sheetData>
      <sheetData sheetId="851">
        <row r="5">
          <cell r="C5" t="str">
            <v>Basement</v>
          </cell>
        </row>
      </sheetData>
      <sheetData sheetId="852">
        <row r="5">
          <cell r="C5" t="str">
            <v>Basement</v>
          </cell>
        </row>
      </sheetData>
      <sheetData sheetId="853">
        <row r="5">
          <cell r="C5" t="str">
            <v>Basement</v>
          </cell>
        </row>
      </sheetData>
      <sheetData sheetId="854">
        <row r="5">
          <cell r="C5" t="str">
            <v>Basement</v>
          </cell>
        </row>
      </sheetData>
      <sheetData sheetId="855">
        <row r="5">
          <cell r="C5" t="str">
            <v>Basement</v>
          </cell>
        </row>
      </sheetData>
      <sheetData sheetId="856">
        <row r="5">
          <cell r="C5" t="str">
            <v>Basement</v>
          </cell>
        </row>
      </sheetData>
      <sheetData sheetId="857">
        <row r="5">
          <cell r="C5" t="str">
            <v>Basement</v>
          </cell>
        </row>
      </sheetData>
      <sheetData sheetId="858">
        <row r="5">
          <cell r="C5" t="str">
            <v>Basement</v>
          </cell>
        </row>
      </sheetData>
      <sheetData sheetId="859">
        <row r="5">
          <cell r="C5" t="str">
            <v>Basement</v>
          </cell>
        </row>
      </sheetData>
      <sheetData sheetId="860">
        <row r="5">
          <cell r="C5" t="str">
            <v>Basement</v>
          </cell>
        </row>
      </sheetData>
      <sheetData sheetId="861">
        <row r="5">
          <cell r="C5" t="str">
            <v>Basement</v>
          </cell>
        </row>
      </sheetData>
      <sheetData sheetId="862">
        <row r="5">
          <cell r="C5" t="str">
            <v>Basement</v>
          </cell>
        </row>
      </sheetData>
      <sheetData sheetId="863">
        <row r="5">
          <cell r="C5" t="str">
            <v>Basement</v>
          </cell>
        </row>
      </sheetData>
      <sheetData sheetId="864">
        <row r="5">
          <cell r="C5" t="str">
            <v>Basement</v>
          </cell>
        </row>
      </sheetData>
      <sheetData sheetId="865">
        <row r="5">
          <cell r="C5" t="str">
            <v>Basement</v>
          </cell>
        </row>
      </sheetData>
      <sheetData sheetId="866">
        <row r="5">
          <cell r="C5" t="str">
            <v>Basement</v>
          </cell>
        </row>
      </sheetData>
      <sheetData sheetId="867">
        <row r="5">
          <cell r="C5" t="str">
            <v>Basement</v>
          </cell>
        </row>
      </sheetData>
      <sheetData sheetId="868">
        <row r="5">
          <cell r="C5" t="str">
            <v>Basement</v>
          </cell>
        </row>
      </sheetData>
      <sheetData sheetId="869">
        <row r="5">
          <cell r="C5" t="str">
            <v>Basement</v>
          </cell>
        </row>
      </sheetData>
      <sheetData sheetId="870">
        <row r="5">
          <cell r="C5" t="str">
            <v>Basement</v>
          </cell>
        </row>
      </sheetData>
      <sheetData sheetId="871">
        <row r="5">
          <cell r="C5" t="str">
            <v>Basement</v>
          </cell>
        </row>
      </sheetData>
      <sheetData sheetId="872">
        <row r="5">
          <cell r="C5" t="str">
            <v>Basement</v>
          </cell>
        </row>
      </sheetData>
      <sheetData sheetId="873">
        <row r="5">
          <cell r="C5" t="str">
            <v>Basement</v>
          </cell>
        </row>
      </sheetData>
      <sheetData sheetId="874">
        <row r="5">
          <cell r="C5" t="str">
            <v>Basement</v>
          </cell>
        </row>
      </sheetData>
      <sheetData sheetId="875">
        <row r="5">
          <cell r="C5" t="str">
            <v>Basement</v>
          </cell>
        </row>
      </sheetData>
      <sheetData sheetId="876">
        <row r="5">
          <cell r="C5" t="str">
            <v>Basement</v>
          </cell>
        </row>
      </sheetData>
      <sheetData sheetId="877">
        <row r="5">
          <cell r="C5" t="str">
            <v>Basement</v>
          </cell>
        </row>
      </sheetData>
      <sheetData sheetId="878">
        <row r="5">
          <cell r="C5" t="str">
            <v>Basement</v>
          </cell>
        </row>
      </sheetData>
      <sheetData sheetId="879">
        <row r="5">
          <cell r="C5" t="str">
            <v>Basement</v>
          </cell>
        </row>
      </sheetData>
      <sheetData sheetId="880">
        <row r="5">
          <cell r="C5" t="str">
            <v>Basement</v>
          </cell>
        </row>
      </sheetData>
      <sheetData sheetId="881">
        <row r="5">
          <cell r="C5" t="str">
            <v>Basement</v>
          </cell>
        </row>
      </sheetData>
      <sheetData sheetId="882">
        <row r="5">
          <cell r="C5" t="str">
            <v>Basement</v>
          </cell>
        </row>
      </sheetData>
      <sheetData sheetId="883">
        <row r="5">
          <cell r="C5" t="str">
            <v>Basement</v>
          </cell>
        </row>
      </sheetData>
      <sheetData sheetId="884">
        <row r="5">
          <cell r="C5" t="str">
            <v>Basement</v>
          </cell>
        </row>
      </sheetData>
      <sheetData sheetId="885">
        <row r="5">
          <cell r="C5" t="str">
            <v>Basement</v>
          </cell>
        </row>
      </sheetData>
      <sheetData sheetId="886">
        <row r="5">
          <cell r="C5" t="str">
            <v>Basement</v>
          </cell>
        </row>
      </sheetData>
      <sheetData sheetId="887">
        <row r="5">
          <cell r="C5" t="str">
            <v>Basement</v>
          </cell>
        </row>
      </sheetData>
      <sheetData sheetId="888">
        <row r="5">
          <cell r="C5" t="str">
            <v>Basement</v>
          </cell>
        </row>
      </sheetData>
      <sheetData sheetId="889">
        <row r="5">
          <cell r="C5" t="str">
            <v>Basement</v>
          </cell>
        </row>
      </sheetData>
      <sheetData sheetId="890">
        <row r="5">
          <cell r="C5" t="str">
            <v>Basement</v>
          </cell>
        </row>
      </sheetData>
      <sheetData sheetId="891">
        <row r="5">
          <cell r="C5" t="str">
            <v>Basement</v>
          </cell>
        </row>
      </sheetData>
      <sheetData sheetId="892">
        <row r="5">
          <cell r="C5" t="str">
            <v>Basement</v>
          </cell>
        </row>
      </sheetData>
      <sheetData sheetId="893">
        <row r="5">
          <cell r="C5" t="str">
            <v>Basement</v>
          </cell>
        </row>
      </sheetData>
      <sheetData sheetId="894">
        <row r="5">
          <cell r="C5" t="str">
            <v>Basement</v>
          </cell>
        </row>
      </sheetData>
      <sheetData sheetId="895">
        <row r="5">
          <cell r="C5" t="str">
            <v>Basement</v>
          </cell>
        </row>
      </sheetData>
      <sheetData sheetId="896">
        <row r="5">
          <cell r="C5" t="str">
            <v>Basement</v>
          </cell>
        </row>
      </sheetData>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ow r="5">
          <cell r="C5" t="str">
            <v>Basement</v>
          </cell>
        </row>
      </sheetData>
      <sheetData sheetId="914">
        <row r="5">
          <cell r="C5" t="str">
            <v>Basement</v>
          </cell>
        </row>
      </sheetData>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sheetData sheetId="1034"/>
      <sheetData sheetId="1035"/>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
      <sheetName val="laroux"/>
      <sheetName val="H1.0"/>
      <sheetName val="Store"/>
      <sheetName val="schedule_"/>
      <sheetName val="schedule_1"/>
      <sheetName val="schedule_2"/>
      <sheetName val="schedule_4"/>
      <sheetName val="schedule_3"/>
      <sheetName val="SAN REDUCED 1"/>
    </sheetNames>
    <sheetDataSet>
      <sheetData sheetId="0"/>
      <sheetData sheetId="1" refreshError="1"/>
      <sheetData sheetId="2" refreshError="1"/>
      <sheetData sheetId="3" refreshError="1"/>
      <sheetData sheetId="4"/>
      <sheetData sheetId="5"/>
      <sheetData sheetId="6"/>
      <sheetData sheetId="7"/>
      <sheetData sheetId="8"/>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Sheet17"/>
      <sheetName val="5"/>
      <sheetName val="6"/>
      <sheetName val="7"/>
      <sheetName val="8"/>
      <sheetName val="9"/>
      <sheetName val="10"/>
      <sheetName val="11"/>
      <sheetName val="12"/>
      <sheetName val="TOTAL"/>
      <sheetName val="单位毛利(月)"/>
      <sheetName val="单位毛利(年)"/>
      <sheetName val="分品种损益"/>
      <sheetName val="存货汇总表10"/>
      <sheetName val="BOQ1 (2)"/>
      <sheetName val="SUMMARY"/>
      <sheetName val="schedule "/>
      <sheetName val="일위대가"/>
    </sheetNames>
    <sheetDataSet>
      <sheetData sheetId="0" refreshError="1">
        <row r="7">
          <cell r="H7">
            <v>307.92</v>
          </cell>
          <cell r="N7">
            <v>1427.2184983112495</v>
          </cell>
          <cell r="AD7">
            <v>1172.9328341013827</v>
          </cell>
          <cell r="AF7">
            <v>32.126008064516135</v>
          </cell>
          <cell r="AH7">
            <v>174.57393433179723</v>
          </cell>
          <cell r="AJ7">
            <v>-3.0095179510444723</v>
          </cell>
        </row>
        <row r="8">
          <cell r="F8">
            <v>510</v>
          </cell>
          <cell r="H8">
            <v>23.6</v>
          </cell>
          <cell r="N8">
            <v>1784.042372881356</v>
          </cell>
          <cell r="AD8">
            <v>1350.5072413793102</v>
          </cell>
          <cell r="AF8">
            <v>32.096551724137932</v>
          </cell>
          <cell r="AH8">
            <v>183.16379310344828</v>
          </cell>
          <cell r="AJ8">
            <v>-0.90914906080365654</v>
          </cell>
        </row>
        <row r="9">
          <cell r="F9" t="str">
            <v>510L</v>
          </cell>
          <cell r="H9">
            <v>3</v>
          </cell>
          <cell r="N9">
            <v>1520</v>
          </cell>
          <cell r="AD9">
            <v>1162.5033333333333</v>
          </cell>
          <cell r="AF9">
            <v>32.096666666666671</v>
          </cell>
          <cell r="AH9">
            <v>183.16333333333333</v>
          </cell>
          <cell r="AJ9">
            <v>0</v>
          </cell>
        </row>
        <row r="10">
          <cell r="F10" t="str">
            <v>511L</v>
          </cell>
          <cell r="H10">
            <v>89.12</v>
          </cell>
          <cell r="N10">
            <v>1422.5515035906642</v>
          </cell>
          <cell r="AD10">
            <v>1175.8592885375494</v>
          </cell>
          <cell r="AF10">
            <v>32.134486166007903</v>
          </cell>
          <cell r="AH10">
            <v>183.16383399209485</v>
          </cell>
          <cell r="AJ10">
            <v>1.4359672419639082</v>
          </cell>
        </row>
        <row r="11">
          <cell r="F11" t="str">
            <v>513L</v>
          </cell>
          <cell r="H11">
            <v>124.48</v>
          </cell>
          <cell r="N11">
            <v>1313.2838206940874</v>
          </cell>
          <cell r="AD11">
            <v>1104.5479776247851</v>
          </cell>
          <cell r="AF11">
            <v>32.133247274813542</v>
          </cell>
          <cell r="AH11">
            <v>183.16379804934022</v>
          </cell>
          <cell r="AJ11">
            <v>3.8415084163750635</v>
          </cell>
        </row>
        <row r="12">
          <cell r="F12">
            <v>710</v>
          </cell>
          <cell r="H12">
            <v>20.16</v>
          </cell>
          <cell r="N12">
            <v>1754.8184523809523</v>
          </cell>
          <cell r="AD12">
            <v>1312.1582898172323</v>
          </cell>
          <cell r="AF12">
            <v>32.096279373368141</v>
          </cell>
          <cell r="AH12">
            <v>143.16383812010443</v>
          </cell>
          <cell r="AJ12">
            <v>3.7548514571881242E-3</v>
          </cell>
        </row>
        <row r="13">
          <cell r="F13" t="str">
            <v>711L</v>
          </cell>
          <cell r="H13">
            <v>47.56</v>
          </cell>
          <cell r="N13">
            <v>1412.3889823380991</v>
          </cell>
          <cell r="AD13">
            <v>1169.6357012750454</v>
          </cell>
          <cell r="AF13">
            <v>32.125683060109289</v>
          </cell>
          <cell r="AH13">
            <v>143.16370673952642</v>
          </cell>
          <cell r="AJ13">
            <v>-0.11821651762966212</v>
          </cell>
        </row>
        <row r="14">
          <cell r="H14">
            <v>102.19999999999999</v>
          </cell>
          <cell r="N14">
            <v>1607.9521526418787</v>
          </cell>
          <cell r="AD14">
            <v>1207.6358890214797</v>
          </cell>
          <cell r="AF14">
            <v>45.057279236276855</v>
          </cell>
          <cell r="AH14">
            <v>179.34516706443915</v>
          </cell>
          <cell r="AJ14">
            <v>-4.9787911098453606</v>
          </cell>
        </row>
        <row r="15">
          <cell r="F15">
            <v>334</v>
          </cell>
          <cell r="H15">
            <v>6</v>
          </cell>
          <cell r="N15">
            <v>1584.7849999999999</v>
          </cell>
          <cell r="AD15">
            <v>1182.971875</v>
          </cell>
          <cell r="AF15">
            <v>32.096874999999997</v>
          </cell>
          <cell r="AH15">
            <v>143.1640625</v>
          </cell>
          <cell r="AJ15">
            <v>6.0771875000000364</v>
          </cell>
        </row>
        <row r="16">
          <cell r="F16" t="str">
            <v>531N</v>
          </cell>
          <cell r="H16">
            <v>9.0399999999999991</v>
          </cell>
          <cell r="N16">
            <v>1700.0000000000002</v>
          </cell>
          <cell r="AD16">
            <v>1285.7654185022027</v>
          </cell>
          <cell r="AF16">
            <v>39.435022026431717</v>
          </cell>
          <cell r="AH16">
            <v>183.16409691629957</v>
          </cell>
          <cell r="AJ16">
            <v>0</v>
          </cell>
        </row>
        <row r="17">
          <cell r="F17" t="str">
            <v>532N</v>
          </cell>
          <cell r="H17">
            <v>16.68</v>
          </cell>
          <cell r="N17">
            <v>1600</v>
          </cell>
          <cell r="AD17">
            <v>1147.1869369369369</v>
          </cell>
          <cell r="AF17">
            <v>39.434684684684683</v>
          </cell>
          <cell r="AH17">
            <v>183.16328828828827</v>
          </cell>
          <cell r="AJ17">
            <v>5.5825960852941989</v>
          </cell>
        </row>
        <row r="18">
          <cell r="F18" t="str">
            <v>534N</v>
          </cell>
          <cell r="H18">
            <v>60.88</v>
          </cell>
          <cell r="N18">
            <v>1600</v>
          </cell>
          <cell r="AD18">
            <v>1227.9214601769913</v>
          </cell>
          <cell r="AF18">
            <v>51.157632743362832</v>
          </cell>
          <cell r="AH18">
            <v>183.1637168141593</v>
          </cell>
          <cell r="AJ18">
            <v>-10.287652047259598</v>
          </cell>
        </row>
        <row r="19">
          <cell r="F19" t="str">
            <v>535N</v>
          </cell>
          <cell r="H19">
            <v>9.6</v>
          </cell>
          <cell r="N19">
            <v>1600</v>
          </cell>
          <cell r="AD19">
            <v>1092.8650306748466</v>
          </cell>
          <cell r="AF19">
            <v>39.434049079754608</v>
          </cell>
          <cell r="AH19">
            <v>183.16411042944787</v>
          </cell>
          <cell r="AJ19">
            <v>6.1878514826175888</v>
          </cell>
        </row>
        <row r="20">
          <cell r="H20">
            <v>410.12</v>
          </cell>
          <cell r="N20">
            <v>1472.2564859065637</v>
          </cell>
          <cell r="AD20">
            <v>1178.5491261104673</v>
          </cell>
          <cell r="AF20">
            <v>34.21878621089224</v>
          </cell>
          <cell r="AH20">
            <v>175.34610370799535</v>
          </cell>
          <cell r="AJ20">
            <v>1.0777307525313518</v>
          </cell>
        </row>
        <row r="21">
          <cell r="H21">
            <v>1401.94</v>
          </cell>
          <cell r="N21">
            <v>1125.8770632124056</v>
          </cell>
          <cell r="AD21">
            <v>995.87230150595292</v>
          </cell>
          <cell r="AF21">
            <v>31.625017740282271</v>
          </cell>
          <cell r="AH21">
            <v>143.16377828589449</v>
          </cell>
          <cell r="AJ21">
            <v>3.6388761137432084</v>
          </cell>
        </row>
        <row r="22">
          <cell r="F22">
            <v>321</v>
          </cell>
          <cell r="H22">
            <v>12.04</v>
          </cell>
          <cell r="N22">
            <v>1700.0000000000002</v>
          </cell>
          <cell r="AD22">
            <v>1154.1069482288829</v>
          </cell>
          <cell r="AF22">
            <v>32.096730245231612</v>
          </cell>
          <cell r="AH22">
            <v>143.1634877384196</v>
          </cell>
          <cell r="AJ22">
            <v>8.1658526553906086</v>
          </cell>
        </row>
        <row r="23">
          <cell r="F23">
            <v>322</v>
          </cell>
          <cell r="H23">
            <v>100.2</v>
          </cell>
          <cell r="N23">
            <v>1179.3355289421156</v>
          </cell>
          <cell r="AD23">
            <v>988.51339681133754</v>
          </cell>
          <cell r="AF23">
            <v>32.124778565101863</v>
          </cell>
          <cell r="AH23">
            <v>143.16375110717451</v>
          </cell>
          <cell r="AJ23">
            <v>8.8531620888070393</v>
          </cell>
        </row>
        <row r="24">
          <cell r="F24" t="str">
            <v>324C</v>
          </cell>
          <cell r="H24">
            <v>1289.7</v>
          </cell>
          <cell r="N24">
            <v>1116.364014887183</v>
          </cell>
          <cell r="AD24">
            <v>994.44684947992789</v>
          </cell>
          <cell r="AF24">
            <v>31.580263044786385</v>
          </cell>
          <cell r="AH24">
            <v>143.16378406258059</v>
          </cell>
          <cell r="AJ24">
            <v>3.7130094613742131</v>
          </cell>
        </row>
        <row r="25">
          <cell r="H25">
            <v>0</v>
          </cell>
          <cell r="N25">
            <v>0</v>
          </cell>
          <cell r="AD25">
            <v>0</v>
          </cell>
          <cell r="AF25">
            <v>0</v>
          </cell>
          <cell r="AH25">
            <v>0</v>
          </cell>
          <cell r="AJ25">
            <v>0</v>
          </cell>
        </row>
        <row r="26">
          <cell r="F26" t="str">
            <v>324BR</v>
          </cell>
          <cell r="H26">
            <v>0</v>
          </cell>
          <cell r="N26">
            <v>0</v>
          </cell>
          <cell r="AD26">
            <v>0</v>
          </cell>
          <cell r="AF26">
            <v>0</v>
          </cell>
          <cell r="AH26">
            <v>0</v>
          </cell>
          <cell r="AJ26">
            <v>0</v>
          </cell>
        </row>
        <row r="27">
          <cell r="H27">
            <v>1401.94</v>
          </cell>
          <cell r="N27">
            <v>1125.8770632124056</v>
          </cell>
          <cell r="AD27">
            <v>995.87230150595292</v>
          </cell>
          <cell r="AF27">
            <v>31.625017740282271</v>
          </cell>
          <cell r="AH27">
            <v>143.16377828589449</v>
          </cell>
          <cell r="AJ27">
            <v>3.6388761137432084</v>
          </cell>
        </row>
        <row r="28">
          <cell r="H28">
            <v>1812.06</v>
          </cell>
          <cell r="N28">
            <v>1204.2724413098904</v>
          </cell>
          <cell r="AD28">
            <v>1040.8471893684548</v>
          </cell>
          <cell r="AF28">
            <v>32.263601459697838</v>
          </cell>
          <cell r="AH28">
            <v>151.08704102131301</v>
          </cell>
          <cell r="AJ28">
            <v>-1.2618229737761339</v>
          </cell>
        </row>
        <row r="29">
          <cell r="H29">
            <v>0</v>
          </cell>
          <cell r="N29">
            <v>0</v>
          </cell>
          <cell r="AD29">
            <v>0</v>
          </cell>
          <cell r="AF29">
            <v>0</v>
          </cell>
          <cell r="AH29">
            <v>0</v>
          </cell>
          <cell r="AJ29">
            <v>0</v>
          </cell>
        </row>
        <row r="30">
          <cell r="F30" t="str">
            <v>548L</v>
          </cell>
          <cell r="H30">
            <v>0</v>
          </cell>
          <cell r="N30">
            <v>0</v>
          </cell>
          <cell r="AD30">
            <v>0</v>
          </cell>
          <cell r="AF30">
            <v>0</v>
          </cell>
          <cell r="AH30">
            <v>0</v>
          </cell>
          <cell r="AJ30">
            <v>0</v>
          </cell>
        </row>
        <row r="31">
          <cell r="H31">
            <v>525.91</v>
          </cell>
          <cell r="N31">
            <v>2058.7192485406244</v>
          </cell>
          <cell r="AD31">
            <v>1406.8673320892331</v>
          </cell>
          <cell r="AF31">
            <v>42.335616086562005</v>
          </cell>
          <cell r="AH31">
            <v>183.16377613039086</v>
          </cell>
          <cell r="AJ31">
            <v>-3.770871999968449</v>
          </cell>
        </row>
        <row r="32">
          <cell r="F32">
            <v>551</v>
          </cell>
          <cell r="H32">
            <v>122.91</v>
          </cell>
          <cell r="N32">
            <v>2059.9765682206494</v>
          </cell>
          <cell r="AD32">
            <v>1418.6473257457412</v>
          </cell>
          <cell r="AF32">
            <v>45.17005132782861</v>
          </cell>
          <cell r="AH32">
            <v>183.16380272260653</v>
          </cell>
          <cell r="AJ32">
            <v>3.6835871744417545</v>
          </cell>
        </row>
        <row r="33">
          <cell r="F33" t="str">
            <v>551L</v>
          </cell>
          <cell r="H33">
            <v>62.79</v>
          </cell>
          <cell r="N33">
            <v>1859.0280299410733</v>
          </cell>
          <cell r="AD33">
            <v>1233.2081488042516</v>
          </cell>
          <cell r="AF33">
            <v>54.830191066683533</v>
          </cell>
          <cell r="AH33">
            <v>183.16373529039606</v>
          </cell>
          <cell r="AJ33">
            <v>10.953522965531192</v>
          </cell>
        </row>
        <row r="34">
          <cell r="F34">
            <v>951</v>
          </cell>
          <cell r="H34">
            <v>186.12</v>
          </cell>
          <cell r="N34">
            <v>2171.2635396518376</v>
          </cell>
          <cell r="AD34">
            <v>1461.2385345850869</v>
          </cell>
          <cell r="AF34">
            <v>38.217923815690085</v>
          </cell>
          <cell r="AH34">
            <v>183.16380705730009</v>
          </cell>
          <cell r="AJ34">
            <v>3.1469964734596942</v>
          </cell>
        </row>
        <row r="35">
          <cell r="F35">
            <v>552</v>
          </cell>
          <cell r="H35">
            <v>51.38</v>
          </cell>
          <cell r="N35">
            <v>1649.0268586998832</v>
          </cell>
          <cell r="AD35">
            <v>1189.8439089100154</v>
          </cell>
          <cell r="AF35">
            <v>36.932345788193679</v>
          </cell>
          <cell r="AH35">
            <v>183.16382931682512</v>
          </cell>
          <cell r="AJ35">
            <v>-5.0077401445637406</v>
          </cell>
        </row>
        <row r="36">
          <cell r="F36" t="str">
            <v>551S</v>
          </cell>
          <cell r="H36">
            <v>68.77</v>
          </cell>
          <cell r="N36">
            <v>2285.7559982550533</v>
          </cell>
          <cell r="AD36">
            <v>1526.7135298563869</v>
          </cell>
          <cell r="AF36">
            <v>39.023582766439901</v>
          </cell>
          <cell r="AH36">
            <v>183.16371882086167</v>
          </cell>
          <cell r="AJ36">
            <v>7.1740517486337012</v>
          </cell>
        </row>
        <row r="37">
          <cell r="F37" t="str">
            <v>P551S</v>
          </cell>
          <cell r="H37">
            <v>23.51</v>
          </cell>
          <cell r="N37">
            <v>2262.3538919608677</v>
          </cell>
          <cell r="AD37">
            <v>1532.1297767688234</v>
          </cell>
          <cell r="AF37">
            <v>41.444948921679917</v>
          </cell>
          <cell r="AH37">
            <v>183.16382898221718</v>
          </cell>
          <cell r="AJ37">
            <v>-0.50673204474560407</v>
          </cell>
        </row>
        <row r="38">
          <cell r="F38">
            <v>555</v>
          </cell>
          <cell r="H38">
            <v>10.43</v>
          </cell>
          <cell r="N38">
            <v>1300</v>
          </cell>
          <cell r="AD38">
            <v>982.63834951456317</v>
          </cell>
          <cell r="AF38">
            <v>39.434466019417478</v>
          </cell>
          <cell r="AH38">
            <v>183.16343042071199</v>
          </cell>
          <cell r="AJ38">
            <v>-1.7480689905430609</v>
          </cell>
        </row>
        <row r="39">
          <cell r="F39" t="str">
            <v>SC100</v>
          </cell>
          <cell r="H39">
            <v>0</v>
          </cell>
          <cell r="N39">
            <v>0</v>
          </cell>
          <cell r="AD39">
            <v>1574.4205580865605</v>
          </cell>
          <cell r="AF39">
            <v>39.988610478359917</v>
          </cell>
          <cell r="AH39">
            <v>183.16372437357631</v>
          </cell>
          <cell r="AJ39">
            <v>145.54769077886112</v>
          </cell>
        </row>
        <row r="40">
          <cell r="H40">
            <v>0</v>
          </cell>
          <cell r="N40">
            <v>0</v>
          </cell>
          <cell r="AD40">
            <v>0</v>
          </cell>
          <cell r="AF40">
            <v>0</v>
          </cell>
          <cell r="AH40">
            <v>0</v>
          </cell>
          <cell r="AJ40">
            <v>0</v>
          </cell>
        </row>
        <row r="41">
          <cell r="F41">
            <v>593</v>
          </cell>
          <cell r="H41">
            <v>0</v>
          </cell>
          <cell r="N41">
            <v>0</v>
          </cell>
          <cell r="AD41">
            <v>0</v>
          </cell>
          <cell r="AF41">
            <v>0</v>
          </cell>
          <cell r="AH41">
            <v>0</v>
          </cell>
          <cell r="AJ41">
            <v>0</v>
          </cell>
        </row>
        <row r="42">
          <cell r="H42">
            <v>26.21</v>
          </cell>
          <cell r="N42">
            <v>1423.9988553987027</v>
          </cell>
          <cell r="AD42">
            <v>1012.7372859698442</v>
          </cell>
          <cell r="AF42">
            <v>76.276258625095835</v>
          </cell>
          <cell r="AH42">
            <v>180.09711219013542</v>
          </cell>
          <cell r="AJ42">
            <v>2.5686805959460344</v>
          </cell>
        </row>
        <row r="43">
          <cell r="F43" t="str">
            <v>N571</v>
          </cell>
          <cell r="H43">
            <v>24.61</v>
          </cell>
          <cell r="N43">
            <v>1438.5619666802113</v>
          </cell>
          <cell r="AD43">
            <v>1017.5718239690008</v>
          </cell>
          <cell r="AF43">
            <v>79.944644339883752</v>
          </cell>
          <cell r="AH43">
            <v>183.16385275394407</v>
          </cell>
          <cell r="AJ43">
            <v>0.22492474876185042</v>
          </cell>
        </row>
        <row r="44">
          <cell r="F44">
            <v>372</v>
          </cell>
          <cell r="H44">
            <v>1.6</v>
          </cell>
          <cell r="N44">
            <v>1200</v>
          </cell>
          <cell r="AD44">
            <v>954.51333333333332</v>
          </cell>
          <cell r="AF44">
            <v>32.096666666666671</v>
          </cell>
          <cell r="AH44">
            <v>143.16333333333333</v>
          </cell>
          <cell r="AJ44">
            <v>0</v>
          </cell>
        </row>
        <row r="45">
          <cell r="H45">
            <v>26.21</v>
          </cell>
          <cell r="N45">
            <v>1423.9988553987027</v>
          </cell>
          <cell r="AD45">
            <v>1012.7372859698442</v>
          </cell>
          <cell r="AF45">
            <v>76.276258625095835</v>
          </cell>
          <cell r="AH45">
            <v>180.09711219013542</v>
          </cell>
          <cell r="AJ45">
            <v>2.5686805959460344</v>
          </cell>
        </row>
        <row r="46">
          <cell r="H46">
            <v>2364.1799999999998</v>
          </cell>
          <cell r="N46">
            <v>1396.7794203487044</v>
          </cell>
          <cell r="AD46">
            <v>1133.0895583235028</v>
          </cell>
          <cell r="AF46">
            <v>35.561940531538404</v>
          </cell>
          <cell r="AH46">
            <v>159.70496495732425</v>
          </cell>
          <cell r="AJ46">
            <v>-14.641355672375312</v>
          </cell>
        </row>
        <row r="47">
          <cell r="H47">
            <v>390.68000000000006</v>
          </cell>
          <cell r="N47">
            <v>2566.4503173953103</v>
          </cell>
          <cell r="AD47">
            <v>1938.0994136197892</v>
          </cell>
          <cell r="AF47">
            <v>32.128018133438459</v>
          </cell>
          <cell r="AH47">
            <v>143.16379225386811</v>
          </cell>
          <cell r="AJ47">
            <v>8.5611131789864885</v>
          </cell>
        </row>
        <row r="48">
          <cell r="F48">
            <v>110</v>
          </cell>
          <cell r="H48">
            <v>79.239999999999995</v>
          </cell>
          <cell r="N48">
            <v>2936.9226400807675</v>
          </cell>
          <cell r="AD48">
            <v>2331.6469382835103</v>
          </cell>
          <cell r="AF48">
            <v>32.127290260366443</v>
          </cell>
          <cell r="AH48">
            <v>143.16381388621025</v>
          </cell>
          <cell r="AJ48">
            <v>2.9862125368008492</v>
          </cell>
        </row>
        <row r="49">
          <cell r="F49">
            <v>111</v>
          </cell>
          <cell r="H49">
            <v>264.48</v>
          </cell>
          <cell r="N49">
            <v>2487.6683303085297</v>
          </cell>
          <cell r="AD49">
            <v>1885.693483538158</v>
          </cell>
          <cell r="AF49">
            <v>32.130480958883325</v>
          </cell>
          <cell r="AH49">
            <v>143.16378394780762</v>
          </cell>
          <cell r="AJ49">
            <v>2.1991677301757591</v>
          </cell>
        </row>
        <row r="50">
          <cell r="F50">
            <v>113</v>
          </cell>
          <cell r="H50">
            <v>36.200000000000003</v>
          </cell>
          <cell r="N50">
            <v>2329.7638121546956</v>
          </cell>
          <cell r="AD50">
            <v>1513.5705467372134</v>
          </cell>
          <cell r="AF50">
            <v>32.124779541446209</v>
          </cell>
          <cell r="AH50">
            <v>143.16380070546737</v>
          </cell>
          <cell r="AJ50">
            <v>9.6189568017537113</v>
          </cell>
        </row>
        <row r="51">
          <cell r="F51" t="str">
            <v>P110</v>
          </cell>
          <cell r="H51">
            <v>2.04</v>
          </cell>
          <cell r="N51">
            <v>2908.6960784313728</v>
          </cell>
          <cell r="AD51">
            <v>2296.4266666666667</v>
          </cell>
          <cell r="AF51">
            <v>32.096666666666671</v>
          </cell>
          <cell r="AH51">
            <v>143.16333333333333</v>
          </cell>
          <cell r="AJ51">
            <v>0</v>
          </cell>
        </row>
        <row r="52">
          <cell r="F52" t="str">
            <v>P111</v>
          </cell>
          <cell r="H52">
            <v>8.7200000000000006</v>
          </cell>
          <cell r="N52">
            <v>2491.8979357798166</v>
          </cell>
          <cell r="AD52">
            <v>1878.5064102564104</v>
          </cell>
          <cell r="AF52">
            <v>32.096153846153847</v>
          </cell>
          <cell r="AH52">
            <v>143.16391941391942</v>
          </cell>
          <cell r="AJ52">
            <v>1.1782533256214265</v>
          </cell>
        </row>
        <row r="53">
          <cell r="H53">
            <v>0</v>
          </cell>
          <cell r="N53">
            <v>0</v>
          </cell>
          <cell r="AD53">
            <v>0</v>
          </cell>
          <cell r="AF53">
            <v>0</v>
          </cell>
          <cell r="AH53">
            <v>0</v>
          </cell>
          <cell r="AJ53">
            <v>0</v>
          </cell>
        </row>
        <row r="54">
          <cell r="F54">
            <v>134</v>
          </cell>
          <cell r="H54">
            <v>0</v>
          </cell>
          <cell r="N54">
            <v>0</v>
          </cell>
          <cell r="AD54">
            <v>0</v>
          </cell>
          <cell r="AF54">
            <v>0</v>
          </cell>
          <cell r="AH54">
            <v>0</v>
          </cell>
          <cell r="AJ54">
            <v>0</v>
          </cell>
        </row>
        <row r="55">
          <cell r="H55">
            <v>390.68000000000006</v>
          </cell>
          <cell r="N55">
            <v>2566.4503173953103</v>
          </cell>
          <cell r="AD55">
            <v>1938.0994136197892</v>
          </cell>
          <cell r="AF55">
            <v>32.128018133438459</v>
          </cell>
          <cell r="AH55">
            <v>143.16379225386811</v>
          </cell>
          <cell r="AJ55">
            <v>8.5611131789864885</v>
          </cell>
        </row>
        <row r="56">
          <cell r="H56">
            <v>69.69</v>
          </cell>
          <cell r="N56">
            <v>1461.029702970297</v>
          </cell>
          <cell r="AD56">
            <v>1206.4501992031871</v>
          </cell>
          <cell r="AF56">
            <v>35.721881703953414</v>
          </cell>
          <cell r="AH56">
            <v>143.16380631320871</v>
          </cell>
          <cell r="AJ56">
            <v>5.4254480308743496</v>
          </cell>
        </row>
        <row r="57">
          <cell r="F57">
            <v>122</v>
          </cell>
          <cell r="H57">
            <v>0.64</v>
          </cell>
          <cell r="N57">
            <v>2000</v>
          </cell>
          <cell r="AD57">
            <v>0</v>
          </cell>
          <cell r="AF57">
            <v>0</v>
          </cell>
          <cell r="AH57">
            <v>0</v>
          </cell>
          <cell r="AJ57">
            <v>1570.7596153846152</v>
          </cell>
        </row>
        <row r="58">
          <cell r="F58">
            <v>124</v>
          </cell>
          <cell r="H58">
            <v>68.81</v>
          </cell>
          <cell r="N58">
            <v>1455.8479872111611</v>
          </cell>
          <cell r="AD58">
            <v>1206.4501992031871</v>
          </cell>
          <cell r="AF58">
            <v>35.721881703953414</v>
          </cell>
          <cell r="AH58">
            <v>143.16380631320871</v>
          </cell>
          <cell r="AJ58">
            <v>3.5076137215430663</v>
          </cell>
        </row>
        <row r="59">
          <cell r="F59" t="str">
            <v>N124L</v>
          </cell>
          <cell r="H59">
            <v>0.24</v>
          </cell>
          <cell r="N59">
            <v>1509.4166666666667</v>
          </cell>
          <cell r="AD59">
            <v>0</v>
          </cell>
          <cell r="AF59">
            <v>0</v>
          </cell>
          <cell r="AH59">
            <v>0</v>
          </cell>
          <cell r="AJ59">
            <v>1460.625</v>
          </cell>
        </row>
        <row r="60">
          <cell r="H60">
            <v>0</v>
          </cell>
          <cell r="N60">
            <v>0</v>
          </cell>
          <cell r="AD60">
            <v>0</v>
          </cell>
          <cell r="AF60">
            <v>0</v>
          </cell>
          <cell r="AH60">
            <v>0</v>
          </cell>
          <cell r="AJ60">
            <v>0</v>
          </cell>
        </row>
        <row r="61">
          <cell r="N61">
            <v>0</v>
          </cell>
          <cell r="AD61">
            <v>0</v>
          </cell>
          <cell r="AF61">
            <v>0</v>
          </cell>
          <cell r="AH61">
            <v>0</v>
          </cell>
          <cell r="AJ61">
            <v>0</v>
          </cell>
        </row>
        <row r="62">
          <cell r="H62">
            <v>69.69</v>
          </cell>
          <cell r="N62">
            <v>1461.029702970297</v>
          </cell>
          <cell r="AD62">
            <v>1206.4501992031871</v>
          </cell>
          <cell r="AF62">
            <v>35.721881703953414</v>
          </cell>
          <cell r="AH62">
            <v>143.16380631320871</v>
          </cell>
          <cell r="AJ62">
            <v>5.4254480308743496</v>
          </cell>
        </row>
        <row r="63">
          <cell r="H63">
            <v>460.37000000000006</v>
          </cell>
          <cell r="N63">
            <v>2399.1136911614567</v>
          </cell>
          <cell r="AD63">
            <v>1836.754956064015</v>
          </cell>
          <cell r="AF63">
            <v>32.625822473150237</v>
          </cell>
          <cell r="AH63">
            <v>143.16379420129894</v>
          </cell>
          <cell r="AJ63">
            <v>-1.278641975129176</v>
          </cell>
        </row>
        <row r="64">
          <cell r="H64">
            <v>0</v>
          </cell>
          <cell r="N64">
            <v>0</v>
          </cell>
          <cell r="AD64">
            <v>0</v>
          </cell>
          <cell r="AF64">
            <v>0</v>
          </cell>
          <cell r="AH64">
            <v>0</v>
          </cell>
          <cell r="AJ64">
            <v>0</v>
          </cell>
        </row>
        <row r="65">
          <cell r="F65">
            <v>149</v>
          </cell>
          <cell r="H65">
            <v>0</v>
          </cell>
          <cell r="N65">
            <v>0</v>
          </cell>
          <cell r="AD65">
            <v>0</v>
          </cell>
          <cell r="AF65">
            <v>0</v>
          </cell>
          <cell r="AH65">
            <v>0</v>
          </cell>
          <cell r="AJ65">
            <v>0</v>
          </cell>
        </row>
        <row r="66">
          <cell r="H66">
            <v>1880.82</v>
          </cell>
          <cell r="N66">
            <v>2417.717192501143</v>
          </cell>
          <cell r="AD66">
            <v>1681.943205112141</v>
          </cell>
          <cell r="AF66">
            <v>36.597253477007889</v>
          </cell>
          <cell r="AH66">
            <v>143.16378398696904</v>
          </cell>
          <cell r="AJ66">
            <v>15.563218848555607</v>
          </cell>
        </row>
        <row r="67">
          <cell r="F67">
            <v>808</v>
          </cell>
          <cell r="H67">
            <v>16.18</v>
          </cell>
          <cell r="N67">
            <v>1998.8615574783685</v>
          </cell>
          <cell r="AD67">
            <v>1460.675630252101</v>
          </cell>
          <cell r="AF67">
            <v>36.919327731092437</v>
          </cell>
          <cell r="AH67">
            <v>143.16386554621849</v>
          </cell>
          <cell r="AJ67">
            <v>52.816716038933464</v>
          </cell>
        </row>
        <row r="68">
          <cell r="F68" t="str">
            <v>N808</v>
          </cell>
          <cell r="H68">
            <v>783.44</v>
          </cell>
          <cell r="N68">
            <v>2298.9450755641783</v>
          </cell>
          <cell r="AD68">
            <v>1544.1611449774714</v>
          </cell>
          <cell r="AF68">
            <v>38.387863527937739</v>
          </cell>
          <cell r="AH68">
            <v>143.16378334096331</v>
          </cell>
          <cell r="AJ68">
            <v>12.879547250649466</v>
          </cell>
        </row>
        <row r="69">
          <cell r="F69" t="str">
            <v>808S</v>
          </cell>
          <cell r="H69">
            <v>142.13999999999999</v>
          </cell>
          <cell r="N69">
            <v>2815.6825664837488</v>
          </cell>
          <cell r="AD69">
            <v>1970.5845361523343</v>
          </cell>
          <cell r="AF69">
            <v>35.623839533780583</v>
          </cell>
          <cell r="AH69">
            <v>143.16378667750899</v>
          </cell>
          <cell r="AJ69">
            <v>13.148175691948381</v>
          </cell>
        </row>
        <row r="70">
          <cell r="F70" t="str">
            <v>P800</v>
          </cell>
          <cell r="H70">
            <v>139.78</v>
          </cell>
          <cell r="N70">
            <v>2425.319001287738</v>
          </cell>
          <cell r="AD70">
            <v>1782.7587628865979</v>
          </cell>
          <cell r="AF70">
            <v>37.939708496267329</v>
          </cell>
          <cell r="AH70">
            <v>143.16381087806613</v>
          </cell>
          <cell r="AJ70">
            <v>21.458868732839392</v>
          </cell>
        </row>
        <row r="71">
          <cell r="F71" t="str">
            <v>N800</v>
          </cell>
          <cell r="H71">
            <v>705.2</v>
          </cell>
          <cell r="N71">
            <v>2494.7357203630172</v>
          </cell>
          <cell r="AD71">
            <v>1779.9175952421767</v>
          </cell>
          <cell r="AF71">
            <v>34.623369773053945</v>
          </cell>
          <cell r="AH71">
            <v>143.16378093969644</v>
          </cell>
          <cell r="AJ71">
            <v>17.177349914058368</v>
          </cell>
        </row>
        <row r="72">
          <cell r="F72" t="str">
            <v>P808</v>
          </cell>
          <cell r="H72">
            <v>94.08</v>
          </cell>
          <cell r="N72">
            <v>2288.9445153061224</v>
          </cell>
          <cell r="AD72">
            <v>1550.1185122728125</v>
          </cell>
          <cell r="AF72">
            <v>36.236930860033731</v>
          </cell>
          <cell r="AH72">
            <v>143.16376241334083</v>
          </cell>
          <cell r="AJ72">
            <v>10.932187740703739</v>
          </cell>
        </row>
        <row r="73">
          <cell r="H73">
            <v>8.4700000000000006</v>
          </cell>
          <cell r="N73">
            <v>2330.8618654073198</v>
          </cell>
          <cell r="AD73">
            <v>1650.5826161790019</v>
          </cell>
          <cell r="AF73">
            <v>59.861445783132524</v>
          </cell>
          <cell r="AH73">
            <v>143.16351118760758</v>
          </cell>
          <cell r="AJ73">
            <v>-17.24854549449401</v>
          </cell>
        </row>
        <row r="74">
          <cell r="F74">
            <v>156</v>
          </cell>
          <cell r="H74">
            <v>2.72</v>
          </cell>
          <cell r="N74">
            <v>2248.8713235294117</v>
          </cell>
          <cell r="AD74">
            <v>1469.3933333333334</v>
          </cell>
          <cell r="AF74">
            <v>51.1</v>
          </cell>
          <cell r="AH74">
            <v>143.16333333333333</v>
          </cell>
          <cell r="AJ74">
            <v>-3.556968781470232</v>
          </cell>
        </row>
        <row r="75">
          <cell r="F75">
            <v>157</v>
          </cell>
          <cell r="H75">
            <v>5.75</v>
          </cell>
          <cell r="N75">
            <v>2369.646956521739</v>
          </cell>
          <cell r="AD75">
            <v>1713.6415313225059</v>
          </cell>
          <cell r="AF75">
            <v>62.910672853828309</v>
          </cell>
          <cell r="AH75">
            <v>143.16357308584688</v>
          </cell>
          <cell r="AJ75">
            <v>2.1576823422037705E-2</v>
          </cell>
        </row>
        <row r="76">
          <cell r="H76">
            <v>1889.29</v>
          </cell>
          <cell r="N76">
            <v>2417.3278056836166</v>
          </cell>
          <cell r="AD76">
            <v>1681.7616238221706</v>
          </cell>
          <cell r="AF76">
            <v>36.731955732060371</v>
          </cell>
          <cell r="AH76">
            <v>143.16378240743046</v>
          </cell>
          <cell r="AJ76">
            <v>15.426700178610645</v>
          </cell>
        </row>
        <row r="77">
          <cell r="H77">
            <v>21.24</v>
          </cell>
          <cell r="N77">
            <v>1934.8625235404895</v>
          </cell>
          <cell r="AD77">
            <v>1269.7250712250711</v>
          </cell>
          <cell r="AF77">
            <v>97.509021842355168</v>
          </cell>
          <cell r="AH77">
            <v>143.16381766381767</v>
          </cell>
          <cell r="AJ77">
            <v>19.027549993643561</v>
          </cell>
        </row>
        <row r="78">
          <cell r="F78">
            <v>172</v>
          </cell>
          <cell r="H78">
            <v>1</v>
          </cell>
          <cell r="N78">
            <v>1850</v>
          </cell>
          <cell r="AD78">
            <v>1347.2857142857142</v>
          </cell>
          <cell r="AF78">
            <v>51.102040816326536</v>
          </cell>
          <cell r="AH78">
            <v>143.16326530612244</v>
          </cell>
          <cell r="AJ78">
            <v>-4.1560360821442828</v>
          </cell>
        </row>
        <row r="79">
          <cell r="F79" t="str">
            <v>N182</v>
          </cell>
          <cell r="H79">
            <v>20.239999999999998</v>
          </cell>
          <cell r="N79">
            <v>1939.0553359683795</v>
          </cell>
          <cell r="AD79">
            <v>1257.1407284768211</v>
          </cell>
          <cell r="AF79">
            <v>105.03863134657836</v>
          </cell>
          <cell r="AH79">
            <v>143.16390728476821</v>
          </cell>
          <cell r="AJ79">
            <v>23.688442450655884</v>
          </cell>
        </row>
        <row r="80">
          <cell r="H80">
            <v>2370.8999999999996</v>
          </cell>
          <cell r="N80">
            <v>2409.4688514909953</v>
          </cell>
          <cell r="AD80">
            <v>1707.5096295822043</v>
          </cell>
          <cell r="AF80">
            <v>36.470018847011083</v>
          </cell>
          <cell r="AH80">
            <v>143.16378492799322</v>
          </cell>
          <cell r="AJ80">
            <v>12.880878546417534</v>
          </cell>
        </row>
        <row r="81">
          <cell r="H81">
            <v>4735.08</v>
          </cell>
          <cell r="N81">
            <v>1903.8427376095019</v>
          </cell>
          <cell r="AD81">
            <v>1431.854752405392</v>
          </cell>
          <cell r="AF81">
            <v>36.0342467891684</v>
          </cell>
          <cell r="AH81">
            <v>151.101628985833</v>
          </cell>
          <cell r="AJ81">
            <v>-11.704874728559844</v>
          </cell>
        </row>
      </sheetData>
      <sheetData sheetId="1" refreshError="1">
        <row r="7">
          <cell r="H7">
            <v>93.080000000000013</v>
          </cell>
          <cell r="N7">
            <v>1477.5730554361837</v>
          </cell>
          <cell r="AD7">
            <v>1206.4626219704126</v>
          </cell>
          <cell r="AF7">
            <v>32.606861819326411</v>
          </cell>
          <cell r="AH7">
            <v>211.58057916273211</v>
          </cell>
          <cell r="AJ7">
            <v>-30.364485119952178</v>
          </cell>
        </row>
        <row r="8">
          <cell r="F8">
            <v>510</v>
          </cell>
          <cell r="H8">
            <v>19.96</v>
          </cell>
          <cell r="N8">
            <v>1772.7755511022042</v>
          </cell>
          <cell r="AD8">
            <v>1372.4038649706458</v>
          </cell>
          <cell r="AF8">
            <v>32.620352250489233</v>
          </cell>
          <cell r="AH8">
            <v>211.58047945205479</v>
          </cell>
          <cell r="AJ8">
            <v>-1.7132586410232307</v>
          </cell>
        </row>
        <row r="9">
          <cell r="F9" t="str">
            <v>510L</v>
          </cell>
          <cell r="H9">
            <v>1.6</v>
          </cell>
          <cell r="N9">
            <v>1582.6499999999999</v>
          </cell>
          <cell r="AD9">
            <v>1131.0331125827813</v>
          </cell>
          <cell r="AF9">
            <v>32.524834437086092</v>
          </cell>
          <cell r="AH9">
            <v>211.58112582781459</v>
          </cell>
          <cell r="AJ9">
            <v>0</v>
          </cell>
        </row>
        <row r="10">
          <cell r="F10" t="str">
            <v>N510L</v>
          </cell>
          <cell r="H10">
            <v>0.12</v>
          </cell>
          <cell r="N10">
            <v>1666.3333333333335</v>
          </cell>
          <cell r="AD10">
            <v>0</v>
          </cell>
          <cell r="AF10">
            <v>0</v>
          </cell>
          <cell r="AH10">
            <v>0</v>
          </cell>
          <cell r="AJ10">
            <v>1681.7746913580247</v>
          </cell>
        </row>
        <row r="11">
          <cell r="F11" t="str">
            <v>511L</v>
          </cell>
          <cell r="H11">
            <v>41.92</v>
          </cell>
          <cell r="N11">
            <v>1393.7576335877861</v>
          </cell>
          <cell r="AD11">
            <v>1130.5138816813699</v>
          </cell>
          <cell r="AF11">
            <v>32.609366891541256</v>
          </cell>
          <cell r="AH11">
            <v>211.58056564608199</v>
          </cell>
          <cell r="AJ11">
            <v>3.4777284231470276</v>
          </cell>
        </row>
        <row r="12">
          <cell r="F12" t="str">
            <v>513L</v>
          </cell>
          <cell r="H12">
            <v>24.48</v>
          </cell>
          <cell r="N12">
            <v>1313.9546568627452</v>
          </cell>
          <cell r="AD12">
            <v>1052.5811688311687</v>
          </cell>
          <cell r="AF12">
            <v>32.52597402597403</v>
          </cell>
          <cell r="AH12">
            <v>211.58116883116881</v>
          </cell>
          <cell r="AJ12">
            <v>24.979649476736995</v>
          </cell>
        </row>
        <row r="13">
          <cell r="F13">
            <v>710</v>
          </cell>
          <cell r="H13">
            <v>5</v>
          </cell>
          <cell r="N13">
            <v>1764.7540000000001</v>
          </cell>
          <cell r="AD13">
            <v>0</v>
          </cell>
          <cell r="AF13">
            <v>0</v>
          </cell>
          <cell r="AH13">
            <v>0</v>
          </cell>
          <cell r="AJ13">
            <v>1487.4222090261283</v>
          </cell>
        </row>
        <row r="14">
          <cell r="H14">
            <v>0</v>
          </cell>
          <cell r="N14">
            <v>0</v>
          </cell>
          <cell r="AD14">
            <v>0</v>
          </cell>
          <cell r="AF14">
            <v>0</v>
          </cell>
          <cell r="AH14">
            <v>0</v>
          </cell>
          <cell r="AJ14">
            <v>0</v>
          </cell>
        </row>
        <row r="15">
          <cell r="F15">
            <v>331</v>
          </cell>
          <cell r="H15">
            <v>0</v>
          </cell>
          <cell r="N15">
            <v>0</v>
          </cell>
          <cell r="AD15">
            <v>0</v>
          </cell>
          <cell r="AF15">
            <v>0</v>
          </cell>
          <cell r="AH15">
            <v>0</v>
          </cell>
          <cell r="AJ15">
            <v>0</v>
          </cell>
        </row>
        <row r="16">
          <cell r="H16">
            <v>93.080000000000013</v>
          </cell>
          <cell r="N16">
            <v>1477.5730554361837</v>
          </cell>
          <cell r="AD16">
            <v>1206.4626219704126</v>
          </cell>
          <cell r="AF16">
            <v>32.606861819326411</v>
          </cell>
          <cell r="AH16">
            <v>211.58057916273211</v>
          </cell>
          <cell r="AJ16">
            <v>-30.364485119952178</v>
          </cell>
        </row>
        <row r="17">
          <cell r="H17">
            <v>1144.69</v>
          </cell>
          <cell r="N17">
            <v>1100.9287492683607</v>
          </cell>
          <cell r="AD17">
            <v>1007.8599282577865</v>
          </cell>
          <cell r="AF17">
            <v>34.099513882042459</v>
          </cell>
          <cell r="AH17">
            <v>171.580565898939</v>
          </cell>
          <cell r="AJ17">
            <v>-3.929919924541764</v>
          </cell>
        </row>
        <row r="18">
          <cell r="F18">
            <v>321</v>
          </cell>
          <cell r="H18">
            <v>41.36</v>
          </cell>
          <cell r="N18">
            <v>1696.7753868471955</v>
          </cell>
          <cell r="AD18">
            <v>1136.4375378100422</v>
          </cell>
          <cell r="AF18">
            <v>32.603750756200846</v>
          </cell>
          <cell r="AH18">
            <v>171.58061101028431</v>
          </cell>
          <cell r="AJ18">
            <v>-0.29740531736933917</v>
          </cell>
        </row>
        <row r="19">
          <cell r="F19">
            <v>322</v>
          </cell>
          <cell r="H19">
            <v>45.04</v>
          </cell>
          <cell r="N19">
            <v>1140</v>
          </cell>
          <cell r="AD19">
            <v>1003.1208291203235</v>
          </cell>
          <cell r="AF19">
            <v>32.590748230535894</v>
          </cell>
          <cell r="AH19">
            <v>171.58063700707783</v>
          </cell>
          <cell r="AJ19">
            <v>-9.5042466396685086</v>
          </cell>
        </row>
        <row r="20">
          <cell r="F20" t="str">
            <v>324C</v>
          </cell>
          <cell r="H20">
            <v>1058.29</v>
          </cell>
          <cell r="N20">
            <v>1075.9790794583714</v>
          </cell>
          <cell r="AD20">
            <v>1001.0053919022531</v>
          </cell>
          <cell r="AF20">
            <v>34.230260608608909</v>
          </cell>
          <cell r="AH20">
            <v>171.58056112059228</v>
          </cell>
          <cell r="AJ20">
            <v>-1.8115545919811211</v>
          </cell>
        </row>
        <row r="21">
          <cell r="H21">
            <v>0</v>
          </cell>
          <cell r="N21">
            <v>0</v>
          </cell>
          <cell r="AD21">
            <v>0</v>
          </cell>
          <cell r="AF21">
            <v>0</v>
          </cell>
          <cell r="AH21">
            <v>0</v>
          </cell>
          <cell r="AJ21">
            <v>0</v>
          </cell>
        </row>
        <row r="22">
          <cell r="F22" t="str">
            <v>324BR</v>
          </cell>
          <cell r="H22">
            <v>0</v>
          </cell>
          <cell r="N22">
            <v>0</v>
          </cell>
          <cell r="AD22">
            <v>0</v>
          </cell>
          <cell r="AF22">
            <v>0</v>
          </cell>
          <cell r="AH22">
            <v>0</v>
          </cell>
          <cell r="AJ22">
            <v>0</v>
          </cell>
        </row>
        <row r="23">
          <cell r="H23">
            <v>1144.69</v>
          </cell>
          <cell r="N23">
            <v>1100.9287492683607</v>
          </cell>
          <cell r="AD23">
            <v>1007.8599282577865</v>
          </cell>
          <cell r="AF23">
            <v>34.099513882042459</v>
          </cell>
          <cell r="AH23">
            <v>171.580565898939</v>
          </cell>
          <cell r="AJ23">
            <v>-3.929919924541764</v>
          </cell>
        </row>
        <row r="24">
          <cell r="H24">
            <v>1237.77</v>
          </cell>
          <cell r="N24">
            <v>1129.2523085872172</v>
          </cell>
          <cell r="AD24">
            <v>1025.3176337942434</v>
          </cell>
          <cell r="AF24">
            <v>33.968305791698086</v>
          </cell>
          <cell r="AH24">
            <v>175.09667356072185</v>
          </cell>
          <cell r="AJ24">
            <v>-8.9297799481494167</v>
          </cell>
        </row>
        <row r="25">
          <cell r="H25">
            <v>0</v>
          </cell>
          <cell r="N25">
            <v>0</v>
          </cell>
          <cell r="AD25">
            <v>0</v>
          </cell>
          <cell r="AF25">
            <v>0</v>
          </cell>
          <cell r="AH25">
            <v>0</v>
          </cell>
          <cell r="AJ25">
            <v>0</v>
          </cell>
        </row>
        <row r="26">
          <cell r="F26" t="str">
            <v>548L</v>
          </cell>
          <cell r="H26">
            <v>0</v>
          </cell>
          <cell r="N26">
            <v>0</v>
          </cell>
          <cell r="AD26">
            <v>0</v>
          </cell>
          <cell r="AF26">
            <v>0</v>
          </cell>
          <cell r="AH26">
            <v>0</v>
          </cell>
          <cell r="AJ26">
            <v>0</v>
          </cell>
        </row>
        <row r="27">
          <cell r="H27">
            <v>551.81999999999994</v>
          </cell>
          <cell r="N27">
            <v>2060.4241419303398</v>
          </cell>
          <cell r="AD27">
            <v>1479.5990238433776</v>
          </cell>
          <cell r="AF27">
            <v>46.984140872798861</v>
          </cell>
          <cell r="AH27">
            <v>211.58056710051403</v>
          </cell>
          <cell r="AJ27">
            <v>-11.715872397344583</v>
          </cell>
        </row>
        <row r="28">
          <cell r="F28">
            <v>551</v>
          </cell>
          <cell r="H28">
            <v>134.06</v>
          </cell>
          <cell r="N28">
            <v>2047.1759659853799</v>
          </cell>
          <cell r="AD28">
            <v>1513.1954954451462</v>
          </cell>
          <cell r="AF28">
            <v>45.323310791929799</v>
          </cell>
          <cell r="AH28">
            <v>211.58056223104006</v>
          </cell>
          <cell r="AJ28">
            <v>-12.87058618029323</v>
          </cell>
        </row>
        <row r="29">
          <cell r="F29" t="str">
            <v>551L</v>
          </cell>
          <cell r="H29">
            <v>115.49</v>
          </cell>
          <cell r="N29">
            <v>1854.5760671919647</v>
          </cell>
          <cell r="AD29">
            <v>1246.5778078484439</v>
          </cell>
          <cell r="AF29">
            <v>55.694751086104979</v>
          </cell>
          <cell r="AH29">
            <v>211.58058542838828</v>
          </cell>
          <cell r="AJ29">
            <v>-5.7583780731599745</v>
          </cell>
        </row>
        <row r="30">
          <cell r="F30">
            <v>951</v>
          </cell>
          <cell r="H30">
            <v>189.58</v>
          </cell>
          <cell r="N30">
            <v>2108.5212575166152</v>
          </cell>
          <cell r="AD30">
            <v>1540.9280149698311</v>
          </cell>
          <cell r="AF30">
            <v>45.630451386236921</v>
          </cell>
          <cell r="AH30">
            <v>211.58057740777514</v>
          </cell>
          <cell r="AJ30">
            <v>-0.14583247475047756</v>
          </cell>
        </row>
        <row r="31">
          <cell r="F31" t="str">
            <v>551S</v>
          </cell>
          <cell r="H31">
            <v>82.990000000000009</v>
          </cell>
          <cell r="N31">
            <v>2262.1077238221469</v>
          </cell>
          <cell r="AD31">
            <v>1578.0818861172506</v>
          </cell>
          <cell r="AF31">
            <v>44.343121776655089</v>
          </cell>
          <cell r="AH31">
            <v>211.58057046626669</v>
          </cell>
          <cell r="AJ31">
            <v>-2.184401889584251</v>
          </cell>
        </row>
        <row r="32">
          <cell r="F32" t="str">
            <v>P551S</v>
          </cell>
          <cell r="H32">
            <v>24.02</v>
          </cell>
          <cell r="N32">
            <v>2229.5524562864284</v>
          </cell>
          <cell r="AD32">
            <v>1555.8699808795411</v>
          </cell>
          <cell r="AF32">
            <v>38.775143403441689</v>
          </cell>
          <cell r="AH32">
            <v>211.58049713193117</v>
          </cell>
          <cell r="AJ32">
            <v>-6.3577976498941098</v>
          </cell>
        </row>
        <row r="33">
          <cell r="F33" t="str">
            <v>SC100</v>
          </cell>
          <cell r="H33">
            <v>0</v>
          </cell>
          <cell r="N33">
            <v>0</v>
          </cell>
          <cell r="AD33">
            <v>1587.2204347826087</v>
          </cell>
          <cell r="AF33">
            <v>46.205652173913045</v>
          </cell>
          <cell r="AH33">
            <v>211.58043478260871</v>
          </cell>
          <cell r="AJ33">
            <v>-1845.0065217391304</v>
          </cell>
        </row>
        <row r="34">
          <cell r="F34">
            <v>555</v>
          </cell>
          <cell r="H34">
            <v>5.68</v>
          </cell>
          <cell r="N34">
            <v>1291.2359154929579</v>
          </cell>
          <cell r="AD34">
            <v>956.71217105263167</v>
          </cell>
          <cell r="AF34">
            <v>32.524671052631575</v>
          </cell>
          <cell r="AH34">
            <v>211.58059210526318</v>
          </cell>
          <cell r="AJ34">
            <v>0.81726898582087415</v>
          </cell>
        </row>
        <row r="35">
          <cell r="H35">
            <v>0</v>
          </cell>
          <cell r="N35">
            <v>0</v>
          </cell>
          <cell r="AD35">
            <v>0</v>
          </cell>
          <cell r="AF35">
            <v>0</v>
          </cell>
          <cell r="AH35">
            <v>0</v>
          </cell>
          <cell r="AJ35">
            <v>0</v>
          </cell>
        </row>
        <row r="36">
          <cell r="F36">
            <v>590</v>
          </cell>
          <cell r="H36">
            <v>0</v>
          </cell>
          <cell r="N36">
            <v>0</v>
          </cell>
          <cell r="AD36">
            <v>0</v>
          </cell>
          <cell r="AF36">
            <v>0</v>
          </cell>
          <cell r="AH36">
            <v>0</v>
          </cell>
          <cell r="AJ36">
            <v>0</v>
          </cell>
        </row>
        <row r="37">
          <cell r="H37">
            <v>16.2</v>
          </cell>
          <cell r="N37">
            <v>1402.4259259259259</v>
          </cell>
          <cell r="AD37">
            <v>978.79256756756763</v>
          </cell>
          <cell r="AF37">
            <v>72.050675675675663</v>
          </cell>
          <cell r="AH37">
            <v>203.4722972972973</v>
          </cell>
          <cell r="AJ37">
            <v>6.3822323864694681</v>
          </cell>
        </row>
        <row r="38">
          <cell r="F38" t="str">
            <v>N571</v>
          </cell>
          <cell r="H38">
            <v>13.8</v>
          </cell>
          <cell r="N38">
            <v>1437.6304347826085</v>
          </cell>
          <cell r="AD38">
            <v>993.0542372881356</v>
          </cell>
          <cell r="AF38">
            <v>82.1</v>
          </cell>
          <cell r="AH38">
            <v>211.58050847457628</v>
          </cell>
          <cell r="AJ38">
            <v>-2.9148305084745516</v>
          </cell>
        </row>
        <row r="39">
          <cell r="F39">
            <v>372</v>
          </cell>
          <cell r="H39">
            <v>2.4</v>
          </cell>
          <cell r="N39">
            <v>1200</v>
          </cell>
          <cell r="AD39">
            <v>922.69666666666672</v>
          </cell>
          <cell r="AF39">
            <v>32.523333333333333</v>
          </cell>
          <cell r="AH39">
            <v>171.58</v>
          </cell>
          <cell r="AJ39">
            <v>0.94545454545436769</v>
          </cell>
        </row>
        <row r="40">
          <cell r="H40">
            <v>16.2</v>
          </cell>
          <cell r="N40">
            <v>1402.4259259259259</v>
          </cell>
          <cell r="AD40">
            <v>978.79256756756763</v>
          </cell>
          <cell r="AF40">
            <v>72.050675675675663</v>
          </cell>
          <cell r="AH40">
            <v>203.4722972972973</v>
          </cell>
          <cell r="AJ40">
            <v>6.3822323864694681</v>
          </cell>
        </row>
        <row r="41">
          <cell r="H41">
            <v>1805.79</v>
          </cell>
          <cell r="N41">
            <v>1416.2539276438565</v>
          </cell>
          <cell r="AD41">
            <v>1176.5957352652686</v>
          </cell>
          <cell r="AF41">
            <v>38.568781849785346</v>
          </cell>
          <cell r="AH41">
            <v>187.4628249989735</v>
          </cell>
          <cell r="AJ41">
            <v>-23.762404854253873</v>
          </cell>
        </row>
        <row r="42">
          <cell r="H42">
            <v>352.88</v>
          </cell>
          <cell r="N42">
            <v>2423.1776524597599</v>
          </cell>
          <cell r="AD42">
            <v>2028.9630630630629</v>
          </cell>
          <cell r="AF42">
            <v>32.607027027027023</v>
          </cell>
          <cell r="AH42">
            <v>171.58054054054054</v>
          </cell>
          <cell r="AJ42">
            <v>-32.253725519232376</v>
          </cell>
        </row>
        <row r="43">
          <cell r="F43">
            <v>110</v>
          </cell>
          <cell r="H43">
            <v>72.8</v>
          </cell>
          <cell r="N43">
            <v>2798.1259615384615</v>
          </cell>
          <cell r="AD43">
            <v>2473.9210807918671</v>
          </cell>
          <cell r="AF43">
            <v>32.611958266452646</v>
          </cell>
          <cell r="AH43">
            <v>171.58052434456928</v>
          </cell>
          <cell r="AJ43">
            <v>-31.7544054167779</v>
          </cell>
        </row>
        <row r="44">
          <cell r="F44">
            <v>111</v>
          </cell>
          <cell r="H44">
            <v>249.88</v>
          </cell>
          <cell r="N44">
            <v>2335.1739234832721</v>
          </cell>
          <cell r="AD44">
            <v>1926.9899002704533</v>
          </cell>
          <cell r="AF44">
            <v>32.601969235970252</v>
          </cell>
          <cell r="AH44">
            <v>171.58054428668021</v>
          </cell>
          <cell r="AJ44">
            <v>-13.926076427512271</v>
          </cell>
        </row>
        <row r="45">
          <cell r="F45">
            <v>113</v>
          </cell>
          <cell r="H45">
            <v>23.2</v>
          </cell>
          <cell r="N45">
            <v>2201.0573275862071</v>
          </cell>
          <cell r="AD45">
            <v>1535.2198863636361</v>
          </cell>
          <cell r="AF45">
            <v>32.598863636363632</v>
          </cell>
          <cell r="AH45">
            <v>171.5806818181818</v>
          </cell>
          <cell r="AJ45">
            <v>-19.070244924977715</v>
          </cell>
        </row>
        <row r="46">
          <cell r="F46" t="str">
            <v>P110</v>
          </cell>
          <cell r="H46">
            <v>0.96</v>
          </cell>
          <cell r="N46">
            <v>2824.5520833333335</v>
          </cell>
          <cell r="AD46">
            <v>0</v>
          </cell>
          <cell r="AF46">
            <v>0</v>
          </cell>
          <cell r="AH46">
            <v>0</v>
          </cell>
          <cell r="AJ46">
            <v>2471.6875000000005</v>
          </cell>
        </row>
        <row r="47">
          <cell r="F47" t="str">
            <v>P111</v>
          </cell>
          <cell r="H47">
            <v>6.04</v>
          </cell>
          <cell r="N47">
            <v>2334.1059602649007</v>
          </cell>
          <cell r="AD47">
            <v>1917.9</v>
          </cell>
          <cell r="AF47">
            <v>32.85</v>
          </cell>
          <cell r="AH47">
            <v>171.58</v>
          </cell>
          <cell r="AJ47">
            <v>-27.03508982035919</v>
          </cell>
        </row>
        <row r="48">
          <cell r="H48">
            <v>0</v>
          </cell>
          <cell r="N48">
            <v>0</v>
          </cell>
          <cell r="AD48">
            <v>0</v>
          </cell>
          <cell r="AF48">
            <v>0</v>
          </cell>
          <cell r="AH48">
            <v>0</v>
          </cell>
          <cell r="AJ48">
            <v>0</v>
          </cell>
        </row>
        <row r="49">
          <cell r="F49">
            <v>134</v>
          </cell>
          <cell r="H49">
            <v>0</v>
          </cell>
          <cell r="N49">
            <v>0</v>
          </cell>
          <cell r="AD49">
            <v>0</v>
          </cell>
          <cell r="AF49">
            <v>0</v>
          </cell>
          <cell r="AH49">
            <v>0</v>
          </cell>
          <cell r="AJ49">
            <v>0</v>
          </cell>
        </row>
        <row r="50">
          <cell r="H50">
            <v>352.88</v>
          </cell>
          <cell r="N50">
            <v>2423.1776524597599</v>
          </cell>
          <cell r="AD50">
            <v>2028.9630630630629</v>
          </cell>
          <cell r="AF50">
            <v>32.607027027027023</v>
          </cell>
          <cell r="AH50">
            <v>171.58054054054054</v>
          </cell>
          <cell r="AJ50">
            <v>-32.253725519232376</v>
          </cell>
        </row>
        <row r="51">
          <cell r="H51">
            <v>127</v>
          </cell>
          <cell r="N51">
            <v>1407.4084251968504</v>
          </cell>
          <cell r="AD51">
            <v>1208.8935610332421</v>
          </cell>
          <cell r="AF51">
            <v>43.222168519413565</v>
          </cell>
          <cell r="AH51">
            <v>171.58058106438966</v>
          </cell>
          <cell r="AJ51">
            <v>-3.6850287663810377E-2</v>
          </cell>
        </row>
        <row r="52">
          <cell r="F52">
            <v>124</v>
          </cell>
          <cell r="H52">
            <v>127</v>
          </cell>
          <cell r="N52">
            <v>1407.4084251968504</v>
          </cell>
          <cell r="AD52">
            <v>1208.8935610332421</v>
          </cell>
          <cell r="AF52">
            <v>43.222168519413565</v>
          </cell>
          <cell r="AH52">
            <v>171.58058106438966</v>
          </cell>
          <cell r="AJ52">
            <v>-3.6850287663810377E-2</v>
          </cell>
        </row>
        <row r="53">
          <cell r="H53">
            <v>0</v>
          </cell>
          <cell r="N53">
            <v>0</v>
          </cell>
          <cell r="AD53">
            <v>0</v>
          </cell>
          <cell r="AF53">
            <v>0</v>
          </cell>
          <cell r="AH53">
            <v>0</v>
          </cell>
          <cell r="AJ53">
            <v>0</v>
          </cell>
        </row>
        <row r="54">
          <cell r="N54">
            <v>0</v>
          </cell>
          <cell r="AD54">
            <v>0</v>
          </cell>
          <cell r="AF54">
            <v>0</v>
          </cell>
          <cell r="AH54">
            <v>0</v>
          </cell>
          <cell r="AJ54">
            <v>0</v>
          </cell>
        </row>
        <row r="55">
          <cell r="H55">
            <v>127</v>
          </cell>
          <cell r="N55">
            <v>1407.4084251968504</v>
          </cell>
          <cell r="AD55">
            <v>1208.8935610332421</v>
          </cell>
          <cell r="AF55">
            <v>43.222168519413565</v>
          </cell>
          <cell r="AH55">
            <v>171.58058106438966</v>
          </cell>
          <cell r="AJ55">
            <v>-3.6850287663810377E-2</v>
          </cell>
        </row>
        <row r="56">
          <cell r="H56">
            <v>479.88</v>
          </cell>
          <cell r="N56">
            <v>2154.3548387096776</v>
          </cell>
          <cell r="AD56">
            <v>1734.8525066928603</v>
          </cell>
          <cell r="AF56">
            <v>36.41405211764026</v>
          </cell>
          <cell r="AH56">
            <v>171.58055507405479</v>
          </cell>
          <cell r="AJ56">
            <v>52.354293420482691</v>
          </cell>
        </row>
        <row r="57">
          <cell r="H57">
            <v>0</v>
          </cell>
          <cell r="N57">
            <v>0</v>
          </cell>
          <cell r="AD57">
            <v>0</v>
          </cell>
          <cell r="AF57">
            <v>0</v>
          </cell>
          <cell r="AH57">
            <v>0</v>
          </cell>
          <cell r="AJ57">
            <v>0</v>
          </cell>
        </row>
        <row r="58">
          <cell r="F58">
            <v>149</v>
          </cell>
          <cell r="H58">
            <v>0</v>
          </cell>
          <cell r="N58">
            <v>0</v>
          </cell>
          <cell r="AD58">
            <v>0</v>
          </cell>
          <cell r="AF58">
            <v>0</v>
          </cell>
          <cell r="AH58">
            <v>0</v>
          </cell>
          <cell r="AJ58">
            <v>0</v>
          </cell>
        </row>
        <row r="59">
          <cell r="H59">
            <v>1382.9699999999998</v>
          </cell>
          <cell r="N59">
            <v>2364.6247640946663</v>
          </cell>
          <cell r="AD59">
            <v>1733.3769989603422</v>
          </cell>
          <cell r="AF59">
            <v>39.510686253501909</v>
          </cell>
          <cell r="AH59">
            <v>171.58056554209028</v>
          </cell>
          <cell r="AJ59">
            <v>-19.489735730513303</v>
          </cell>
        </row>
        <row r="60">
          <cell r="F60">
            <v>808</v>
          </cell>
          <cell r="H60">
            <v>15.92</v>
          </cell>
          <cell r="N60">
            <v>2091.6846733668344</v>
          </cell>
          <cell r="AD60">
            <v>1484.7562076749437</v>
          </cell>
          <cell r="AF60">
            <v>43.37641083521445</v>
          </cell>
          <cell r="AH60">
            <v>171.58069977426638</v>
          </cell>
          <cell r="AJ60">
            <v>-2.4307688638384661</v>
          </cell>
        </row>
        <row r="61">
          <cell r="F61" t="str">
            <v>N808</v>
          </cell>
          <cell r="H61">
            <v>621.02</v>
          </cell>
          <cell r="N61">
            <v>2255.6974976651318</v>
          </cell>
          <cell r="AD61">
            <v>1572.758965229081</v>
          </cell>
          <cell r="AF61">
            <v>42.088253460741925</v>
          </cell>
          <cell r="AH61">
            <v>171.58056897867237</v>
          </cell>
          <cell r="AJ61">
            <v>-13.477136555470452</v>
          </cell>
        </row>
        <row r="62">
          <cell r="F62" t="str">
            <v>808S</v>
          </cell>
          <cell r="H62">
            <v>100.1</v>
          </cell>
          <cell r="N62">
            <v>2737.5501498501503</v>
          </cell>
          <cell r="AD62">
            <v>2103.5401166298011</v>
          </cell>
          <cell r="AF62">
            <v>38.22994168509954</v>
          </cell>
          <cell r="AH62">
            <v>171.58053488839738</v>
          </cell>
          <cell r="AJ62">
            <v>-27.654476937595064</v>
          </cell>
        </row>
        <row r="63">
          <cell r="F63" t="str">
            <v>P800</v>
          </cell>
          <cell r="H63">
            <v>42.42</v>
          </cell>
          <cell r="N63">
            <v>2373.1426214049975</v>
          </cell>
          <cell r="AD63">
            <v>1866.5662100456623</v>
          </cell>
          <cell r="AF63">
            <v>43.052391252102865</v>
          </cell>
          <cell r="AH63">
            <v>171.58062965633263</v>
          </cell>
          <cell r="AJ63">
            <v>-39.19312126384466</v>
          </cell>
        </row>
        <row r="64">
          <cell r="F64" t="str">
            <v>N800</v>
          </cell>
          <cell r="H64">
            <v>548.39</v>
          </cell>
          <cell r="N64">
            <v>2440.6449607031495</v>
          </cell>
          <cell r="AD64">
            <v>1867.6489809255402</v>
          </cell>
          <cell r="AF64">
            <v>36.131826165094147</v>
          </cell>
          <cell r="AH64">
            <v>171.58056610709471</v>
          </cell>
          <cell r="AJ64">
            <v>-25.08399299330631</v>
          </cell>
        </row>
        <row r="65">
          <cell r="F65" t="str">
            <v>P808</v>
          </cell>
          <cell r="H65">
            <v>55.12</v>
          </cell>
          <cell r="N65">
            <v>2230.5780116110309</v>
          </cell>
          <cell r="AD65">
            <v>1483.2676701570683</v>
          </cell>
          <cell r="AF65">
            <v>41.918357329842934</v>
          </cell>
          <cell r="AH65">
            <v>171.58049738219896</v>
          </cell>
          <cell r="AJ65">
            <v>15.085660220864156</v>
          </cell>
        </row>
        <row r="66">
          <cell r="H66">
            <v>13.649999999999999</v>
          </cell>
          <cell r="N66">
            <v>2284.9736263736268</v>
          </cell>
          <cell r="AD66">
            <v>1560.0627650551314</v>
          </cell>
          <cell r="AF66">
            <v>65.855810008481768</v>
          </cell>
          <cell r="AH66">
            <v>171.58100084817642</v>
          </cell>
          <cell r="AJ66">
            <v>31.257333031932603</v>
          </cell>
        </row>
        <row r="67">
          <cell r="F67">
            <v>156</v>
          </cell>
          <cell r="H67">
            <v>2.54</v>
          </cell>
          <cell r="N67">
            <v>2189.212598425197</v>
          </cell>
          <cell r="AD67">
            <v>1523.9701492537313</v>
          </cell>
          <cell r="AF67">
            <v>51.701492537313428</v>
          </cell>
          <cell r="AH67">
            <v>171.58208955223878</v>
          </cell>
          <cell r="AJ67">
            <v>9.6827765932243892</v>
          </cell>
        </row>
        <row r="68">
          <cell r="F68">
            <v>157</v>
          </cell>
          <cell r="H68">
            <v>11.11</v>
          </cell>
          <cell r="N68">
            <v>2306.8667866786682</v>
          </cell>
          <cell r="AD68">
            <v>1570.6805708013173</v>
          </cell>
          <cell r="AF68">
            <v>70.019758507135023</v>
          </cell>
          <cell r="AH68">
            <v>171.58068057080132</v>
          </cell>
          <cell r="AJ68">
            <v>32.895684713282662</v>
          </cell>
        </row>
        <row r="69">
          <cell r="H69">
            <v>1396.62</v>
          </cell>
          <cell r="N69">
            <v>2363.8462860334239</v>
          </cell>
          <cell r="AD69">
            <v>1731.7703448601219</v>
          </cell>
          <cell r="AF69">
            <v>39.75491028604678</v>
          </cell>
          <cell r="AH69">
            <v>171.58056957745598</v>
          </cell>
          <cell r="AJ69">
            <v>-19.067740826939598</v>
          </cell>
        </row>
        <row r="70">
          <cell r="H70">
            <v>17.239999999999998</v>
          </cell>
          <cell r="N70">
            <v>1926.0191415313227</v>
          </cell>
          <cell r="AD70">
            <v>1188.5489543726237</v>
          </cell>
          <cell r="AF70">
            <v>98.87880228136882</v>
          </cell>
          <cell r="AH70">
            <v>171.58079847908746</v>
          </cell>
          <cell r="AJ70">
            <v>4.8884395469260653</v>
          </cell>
        </row>
        <row r="71">
          <cell r="F71">
            <v>172</v>
          </cell>
          <cell r="H71">
            <v>0.04</v>
          </cell>
          <cell r="N71">
            <v>1850</v>
          </cell>
          <cell r="AD71">
            <v>0</v>
          </cell>
          <cell r="AF71">
            <v>0</v>
          </cell>
          <cell r="AH71">
            <v>0</v>
          </cell>
          <cell r="AJ71">
            <v>1537.3972602739727</v>
          </cell>
        </row>
        <row r="72">
          <cell r="F72" t="str">
            <v>N182</v>
          </cell>
          <cell r="H72">
            <v>17.2</v>
          </cell>
          <cell r="N72">
            <v>1926.1959302325581</v>
          </cell>
          <cell r="AD72">
            <v>1188.5489543726237</v>
          </cell>
          <cell r="AF72">
            <v>98.87880228136882</v>
          </cell>
          <cell r="AH72">
            <v>171.58079847908746</v>
          </cell>
          <cell r="AJ72">
            <v>4.7175086967074549</v>
          </cell>
        </row>
        <row r="73">
          <cell r="H73">
            <v>1893.74</v>
          </cell>
          <cell r="N73">
            <v>2306.7746205920566</v>
          </cell>
          <cell r="AD73">
            <v>1726.3461124570244</v>
          </cell>
          <cell r="AF73">
            <v>39.484147963378902</v>
          </cell>
          <cell r="AH73">
            <v>171.5805680795996</v>
          </cell>
          <cell r="AJ73">
            <v>0.4713011786293464</v>
          </cell>
        </row>
        <row r="74">
          <cell r="H74">
            <v>3699.5299999999997</v>
          </cell>
          <cell r="N74">
            <v>1872.0995775139008</v>
          </cell>
          <cell r="AD74">
            <v>1425.3934790209792</v>
          </cell>
          <cell r="AF74">
            <v>38.983044455544459</v>
          </cell>
          <cell r="AH74">
            <v>180.27507242757247</v>
          </cell>
          <cell r="AJ74">
            <v>20.366776514005551</v>
          </cell>
        </row>
      </sheetData>
      <sheetData sheetId="2" refreshError="1">
        <row r="7">
          <cell r="H7">
            <v>288.71999999999997</v>
          </cell>
          <cell r="N7">
            <v>1468.5563868107511</v>
          </cell>
          <cell r="AD7">
            <v>1197.3046936852027</v>
          </cell>
          <cell r="AF7">
            <v>33.447803958529683</v>
          </cell>
          <cell r="AH7">
            <v>186.00049010367576</v>
          </cell>
          <cell r="AJ7">
            <v>2.8344036814014544</v>
          </cell>
        </row>
        <row r="8">
          <cell r="F8">
            <v>510</v>
          </cell>
          <cell r="H8">
            <v>95.84</v>
          </cell>
          <cell r="N8">
            <v>1700.4217445742906</v>
          </cell>
          <cell r="AD8">
            <v>1288.3271898943881</v>
          </cell>
          <cell r="AF8">
            <v>32.293953199420166</v>
          </cell>
          <cell r="AH8">
            <v>186.83288465520812</v>
          </cell>
          <cell r="AJ8">
            <v>18.523093073605651</v>
          </cell>
        </row>
        <row r="9">
          <cell r="F9" t="str">
            <v>510L</v>
          </cell>
          <cell r="H9">
            <v>5.24</v>
          </cell>
          <cell r="N9">
            <v>1536.9083969465648</v>
          </cell>
          <cell r="AD9">
            <v>1095.5972222222222</v>
          </cell>
          <cell r="AF9">
            <v>32.124999999999993</v>
          </cell>
          <cell r="AH9">
            <v>186.83333333333334</v>
          </cell>
          <cell r="AJ9">
            <v>16.769221230159019</v>
          </cell>
        </row>
        <row r="10">
          <cell r="F10" t="str">
            <v>N510L</v>
          </cell>
          <cell r="H10">
            <v>1.84</v>
          </cell>
          <cell r="N10">
            <v>1689.8749999999998</v>
          </cell>
          <cell r="AD10">
            <v>1177.590579710145</v>
          </cell>
          <cell r="AF10">
            <v>90.125000000000014</v>
          </cell>
          <cell r="AH10">
            <v>146.83333333333334</v>
          </cell>
          <cell r="AJ10">
            <v>96.498540660225444</v>
          </cell>
        </row>
        <row r="11">
          <cell r="F11" t="str">
            <v>511L</v>
          </cell>
          <cell r="H11">
            <v>167.28</v>
          </cell>
          <cell r="N11">
            <v>1351.9512792922046</v>
          </cell>
          <cell r="AD11">
            <v>1153.963856374565</v>
          </cell>
          <cell r="AF11">
            <v>32.216466308130336</v>
          </cell>
          <cell r="AH11">
            <v>186.83288516292313</v>
          </cell>
          <cell r="AJ11">
            <v>1.500375450294996</v>
          </cell>
        </row>
        <row r="12">
          <cell r="F12" t="str">
            <v>513L</v>
          </cell>
          <cell r="H12">
            <v>18.52</v>
          </cell>
          <cell r="N12">
            <v>1280.561555075594</v>
          </cell>
          <cell r="AD12">
            <v>1049.6327683615821</v>
          </cell>
          <cell r="AF12">
            <v>32.246233521657253</v>
          </cell>
          <cell r="AH12">
            <v>186.83286252354051</v>
          </cell>
          <cell r="AJ12">
            <v>23.325016520512236</v>
          </cell>
        </row>
        <row r="13">
          <cell r="F13">
            <v>710</v>
          </cell>
          <cell r="H13">
            <v>0</v>
          </cell>
          <cell r="N13">
            <v>0</v>
          </cell>
          <cell r="AD13">
            <v>1263.3225806451612</v>
          </cell>
          <cell r="AF13">
            <v>32.153503893214683</v>
          </cell>
          <cell r="AH13">
            <v>186.83314794215795</v>
          </cell>
          <cell r="AJ13">
            <v>-1482.3092324805339</v>
          </cell>
        </row>
        <row r="14">
          <cell r="H14">
            <v>5.88</v>
          </cell>
          <cell r="N14">
            <v>1600.0272108843537</v>
          </cell>
          <cell r="AD14">
            <v>1141.4230769230769</v>
          </cell>
          <cell r="AF14">
            <v>32.153846153846153</v>
          </cell>
          <cell r="AH14">
            <v>146.83277591973243</v>
          </cell>
          <cell r="AJ14">
            <v>0</v>
          </cell>
        </row>
        <row r="15">
          <cell r="F15">
            <v>334</v>
          </cell>
          <cell r="H15">
            <v>5.88</v>
          </cell>
          <cell r="N15">
            <v>1600.0272108843537</v>
          </cell>
          <cell r="AD15">
            <v>1141.4230769230769</v>
          </cell>
          <cell r="AF15">
            <v>32.153846153846153</v>
          </cell>
          <cell r="AH15">
            <v>146.83277591973243</v>
          </cell>
          <cell r="AJ15">
            <v>0</v>
          </cell>
        </row>
        <row r="16">
          <cell r="H16">
            <v>294.59999999999997</v>
          </cell>
          <cell r="N16">
            <v>1471.1804480651731</v>
          </cell>
          <cell r="AD16">
            <v>1196.0726320834717</v>
          </cell>
          <cell r="AF16">
            <v>33.419275153928396</v>
          </cell>
          <cell r="AH16">
            <v>185.13693175533678</v>
          </cell>
          <cell r="AJ16">
            <v>2.9790384119687587</v>
          </cell>
        </row>
        <row r="17">
          <cell r="H17">
            <v>1532.1899999999998</v>
          </cell>
          <cell r="N17">
            <v>1089.6424464328836</v>
          </cell>
          <cell r="AD17">
            <v>1003.9113069481888</v>
          </cell>
          <cell r="AF17">
            <v>33.710707354462592</v>
          </cell>
          <cell r="AH17">
            <v>146.83285380938358</v>
          </cell>
          <cell r="AJ17">
            <v>5.1906237063510616</v>
          </cell>
        </row>
        <row r="18">
          <cell r="F18">
            <v>321</v>
          </cell>
          <cell r="H18">
            <v>91.44</v>
          </cell>
          <cell r="N18">
            <v>1699.5963473315835</v>
          </cell>
          <cell r="AD18">
            <v>1130.6297101449275</v>
          </cell>
          <cell r="AF18">
            <v>32.218115942028987</v>
          </cell>
          <cell r="AH18">
            <v>146.83289855072462</v>
          </cell>
          <cell r="AJ18">
            <v>9.6673904416838923</v>
          </cell>
        </row>
        <row r="19">
          <cell r="F19">
            <v>322</v>
          </cell>
          <cell r="H19">
            <v>33.24</v>
          </cell>
          <cell r="N19">
            <v>1091.5932611311671</v>
          </cell>
          <cell r="AD19">
            <v>986.795545212766</v>
          </cell>
          <cell r="AF19">
            <v>32.210438829787236</v>
          </cell>
          <cell r="AH19">
            <v>146.83277925531914</v>
          </cell>
          <cell r="AJ19">
            <v>7.6561810903986043</v>
          </cell>
        </row>
        <row r="20">
          <cell r="F20" t="str">
            <v>324C</v>
          </cell>
          <cell r="H20">
            <v>1406.3899999999999</v>
          </cell>
          <cell r="N20">
            <v>1049.4768023094591</v>
          </cell>
          <cell r="AD20">
            <v>996.53811261944782</v>
          </cell>
          <cell r="AF20">
            <v>33.84000328097445</v>
          </cell>
          <cell r="AH20">
            <v>146.8328507566747</v>
          </cell>
          <cell r="AJ20">
            <v>4.2992188876112323</v>
          </cell>
        </row>
        <row r="21">
          <cell r="F21" t="str">
            <v>324L</v>
          </cell>
          <cell r="H21">
            <v>0.12</v>
          </cell>
          <cell r="N21">
            <v>1166.0833333333335</v>
          </cell>
          <cell r="AD21">
            <v>0</v>
          </cell>
          <cell r="AF21">
            <v>0</v>
          </cell>
          <cell r="AH21">
            <v>0</v>
          </cell>
          <cell r="AJ21">
            <v>1175.55</v>
          </cell>
        </row>
        <row r="22">
          <cell r="F22">
            <v>521</v>
          </cell>
          <cell r="H22">
            <v>1</v>
          </cell>
          <cell r="N22">
            <v>1730</v>
          </cell>
          <cell r="AD22">
            <v>1130.6283333333333</v>
          </cell>
          <cell r="AF22">
            <v>32.125</v>
          </cell>
          <cell r="AH22">
            <v>146.83333333333334</v>
          </cell>
          <cell r="AJ22">
            <v>0</v>
          </cell>
        </row>
        <row r="23">
          <cell r="H23">
            <v>0</v>
          </cell>
          <cell r="N23">
            <v>0</v>
          </cell>
          <cell r="AD23">
            <v>0</v>
          </cell>
          <cell r="AF23">
            <v>0</v>
          </cell>
          <cell r="AH23">
            <v>0</v>
          </cell>
          <cell r="AJ23">
            <v>0</v>
          </cell>
        </row>
        <row r="24">
          <cell r="F24" t="str">
            <v>324BR</v>
          </cell>
          <cell r="H24">
            <v>0</v>
          </cell>
          <cell r="N24">
            <v>0</v>
          </cell>
          <cell r="AD24">
            <v>0</v>
          </cell>
          <cell r="AF24">
            <v>0</v>
          </cell>
          <cell r="AH24">
            <v>0</v>
          </cell>
          <cell r="AJ24">
            <v>0</v>
          </cell>
        </row>
        <row r="25">
          <cell r="H25">
            <v>1532.1899999999998</v>
          </cell>
          <cell r="N25">
            <v>1089.6424464328836</v>
          </cell>
          <cell r="AD25">
            <v>1003.9113069481888</v>
          </cell>
          <cell r="AF25">
            <v>33.710707354462592</v>
          </cell>
          <cell r="AH25">
            <v>146.83285380938358</v>
          </cell>
          <cell r="AJ25">
            <v>5.1906237063510616</v>
          </cell>
        </row>
        <row r="26">
          <cell r="H26">
            <v>1826.7899999999997</v>
          </cell>
          <cell r="N26">
            <v>1151.1717384045237</v>
          </cell>
          <cell r="AD26">
            <v>1036.5789490178381</v>
          </cell>
          <cell r="AF26">
            <v>33.661163551577602</v>
          </cell>
          <cell r="AH26">
            <v>153.34459027490504</v>
          </cell>
          <cell r="AJ26">
            <v>2.8234813435931301</v>
          </cell>
        </row>
        <row r="27">
          <cell r="H27">
            <v>0</v>
          </cell>
          <cell r="N27">
            <v>0</v>
          </cell>
          <cell r="AD27">
            <v>0</v>
          </cell>
          <cell r="AF27">
            <v>0</v>
          </cell>
          <cell r="AH27">
            <v>0</v>
          </cell>
          <cell r="AJ27">
            <v>0</v>
          </cell>
        </row>
        <row r="28">
          <cell r="F28" t="str">
            <v>548L</v>
          </cell>
          <cell r="H28">
            <v>0</v>
          </cell>
          <cell r="N28">
            <v>0</v>
          </cell>
          <cell r="AD28">
            <v>0</v>
          </cell>
          <cell r="AF28">
            <v>0</v>
          </cell>
          <cell r="AH28">
            <v>0</v>
          </cell>
          <cell r="AJ28">
            <v>0</v>
          </cell>
        </row>
        <row r="29">
          <cell r="H29">
            <v>888.57000000000016</v>
          </cell>
          <cell r="N29">
            <v>2018.0809840530287</v>
          </cell>
          <cell r="AD29">
            <v>1412.6944997773664</v>
          </cell>
          <cell r="AF29">
            <v>45.866525274776777</v>
          </cell>
          <cell r="AH29">
            <v>186.83287244264255</v>
          </cell>
          <cell r="AJ29">
            <v>6.3121960450082497</v>
          </cell>
        </row>
        <row r="30">
          <cell r="F30">
            <v>551</v>
          </cell>
          <cell r="H30">
            <v>296.63</v>
          </cell>
          <cell r="N30">
            <v>2037.0877524188381</v>
          </cell>
          <cell r="AD30">
            <v>1446.4701974111269</v>
          </cell>
          <cell r="AF30">
            <v>44.694260949253504</v>
          </cell>
          <cell r="AH30">
            <v>186.83286876169387</v>
          </cell>
          <cell r="AJ30">
            <v>16.040739692799434</v>
          </cell>
        </row>
        <row r="31">
          <cell r="F31" t="str">
            <v>551L</v>
          </cell>
          <cell r="H31">
            <v>195.11</v>
          </cell>
          <cell r="N31">
            <v>1811.840500230639</v>
          </cell>
          <cell r="AD31">
            <v>1208.462438311095</v>
          </cell>
          <cell r="AF31">
            <v>59.301407420946809</v>
          </cell>
          <cell r="AH31">
            <v>186.83287637848048</v>
          </cell>
          <cell r="AJ31">
            <v>13.625964293982179</v>
          </cell>
        </row>
        <row r="32">
          <cell r="F32">
            <v>951</v>
          </cell>
          <cell r="H32">
            <v>252.23</v>
          </cell>
          <cell r="N32">
            <v>2109.0351266701027</v>
          </cell>
          <cell r="AD32">
            <v>1486.3868428565602</v>
          </cell>
          <cell r="AF32">
            <v>43.84412088584363</v>
          </cell>
          <cell r="AH32">
            <v>186.83286430931116</v>
          </cell>
          <cell r="AJ32">
            <v>18.492447710533042</v>
          </cell>
        </row>
        <row r="33">
          <cell r="F33">
            <v>552</v>
          </cell>
          <cell r="H33">
            <v>29.58</v>
          </cell>
          <cell r="N33">
            <v>1648.0155510480056</v>
          </cell>
          <cell r="AD33">
            <v>1125.6827606635072</v>
          </cell>
          <cell r="AF33">
            <v>32.201125592417064</v>
          </cell>
          <cell r="AH33">
            <v>186.83293838862559</v>
          </cell>
          <cell r="AJ33">
            <v>0.8789138259696756</v>
          </cell>
        </row>
        <row r="34">
          <cell r="F34" t="str">
            <v>551S</v>
          </cell>
          <cell r="H34">
            <v>85.080000000000013</v>
          </cell>
          <cell r="N34">
            <v>2222.5692289609774</v>
          </cell>
          <cell r="AD34">
            <v>1531.3593261936635</v>
          </cell>
          <cell r="AF34">
            <v>37.458277554663098</v>
          </cell>
          <cell r="AH34">
            <v>186.83288710397144</v>
          </cell>
          <cell r="AJ34">
            <v>10.161960810501569</v>
          </cell>
        </row>
        <row r="35">
          <cell r="F35" t="str">
            <v>P551S</v>
          </cell>
          <cell r="H35">
            <v>28.46</v>
          </cell>
          <cell r="N35">
            <v>2238.6134926212226</v>
          </cell>
          <cell r="AD35">
            <v>1481.9926697530864</v>
          </cell>
          <cell r="AF35">
            <v>39.981481481481474</v>
          </cell>
          <cell r="AH35">
            <v>186.83294753086417</v>
          </cell>
          <cell r="AJ35">
            <v>16.885861636830896</v>
          </cell>
        </row>
        <row r="36">
          <cell r="F36">
            <v>555</v>
          </cell>
          <cell r="H36">
            <v>1.48</v>
          </cell>
          <cell r="N36">
            <v>1296.8378378378379</v>
          </cell>
          <cell r="AD36">
            <v>0</v>
          </cell>
          <cell r="AF36">
            <v>0</v>
          </cell>
          <cell r="AH36">
            <v>0</v>
          </cell>
          <cell r="AJ36">
            <v>1201.6331168831168</v>
          </cell>
        </row>
        <row r="37">
          <cell r="F37" t="str">
            <v>SC100</v>
          </cell>
          <cell r="H37">
            <v>0</v>
          </cell>
          <cell r="N37">
            <v>0</v>
          </cell>
          <cell r="AD37">
            <v>1530.1362116144724</v>
          </cell>
          <cell r="AF37">
            <v>44.814837336576467</v>
          </cell>
          <cell r="AH37">
            <v>186.83277591973246</v>
          </cell>
          <cell r="AJ37">
            <v>-1761.7838248707812</v>
          </cell>
        </row>
        <row r="38">
          <cell r="H38">
            <v>0</v>
          </cell>
          <cell r="N38">
            <v>0</v>
          </cell>
          <cell r="AD38">
            <v>0</v>
          </cell>
          <cell r="AF38">
            <v>0</v>
          </cell>
          <cell r="AH38">
            <v>0</v>
          </cell>
          <cell r="AJ38">
            <v>0</v>
          </cell>
        </row>
        <row r="39">
          <cell r="F39">
            <v>591</v>
          </cell>
          <cell r="H39">
            <v>0</v>
          </cell>
          <cell r="N39">
            <v>0</v>
          </cell>
          <cell r="AD39">
            <v>0</v>
          </cell>
          <cell r="AF39">
            <v>0</v>
          </cell>
          <cell r="AH39">
            <v>0</v>
          </cell>
          <cell r="AJ39">
            <v>0</v>
          </cell>
        </row>
        <row r="40">
          <cell r="H40">
            <v>22.979999999999997</v>
          </cell>
          <cell r="N40">
            <v>1270.1993037423849</v>
          </cell>
          <cell r="AD40">
            <v>921.5210643015522</v>
          </cell>
          <cell r="AF40">
            <v>32.196230598669629</v>
          </cell>
          <cell r="AH40">
            <v>146.83259423503327</v>
          </cell>
          <cell r="AJ40">
            <v>55.671018489115568</v>
          </cell>
        </row>
        <row r="41">
          <cell r="F41" t="str">
            <v>N571</v>
          </cell>
          <cell r="H41">
            <v>6.74</v>
          </cell>
          <cell r="N41">
            <v>1439.9451038575667</v>
          </cell>
          <cell r="AD41">
            <v>0</v>
          </cell>
          <cell r="AF41">
            <v>0</v>
          </cell>
          <cell r="AH41">
            <v>0</v>
          </cell>
          <cell r="AJ41">
            <v>1283.8204081632653</v>
          </cell>
        </row>
        <row r="42">
          <cell r="F42">
            <v>372</v>
          </cell>
          <cell r="H42">
            <v>16.239999999999998</v>
          </cell>
          <cell r="N42">
            <v>1199.7506157635469</v>
          </cell>
          <cell r="AD42">
            <v>921.5210643015522</v>
          </cell>
          <cell r="AF42">
            <v>32.196230598669629</v>
          </cell>
          <cell r="AH42">
            <v>146.83259423503327</v>
          </cell>
          <cell r="AJ42">
            <v>2.7140829206330181</v>
          </cell>
        </row>
        <row r="43">
          <cell r="H43">
            <v>22.979999999999997</v>
          </cell>
          <cell r="N43">
            <v>1270.1993037423849</v>
          </cell>
          <cell r="AD43">
            <v>921.5210643015522</v>
          </cell>
          <cell r="AF43">
            <v>32.196230598669629</v>
          </cell>
          <cell r="AH43">
            <v>146.83259423503327</v>
          </cell>
          <cell r="AJ43">
            <v>55.671018489115568</v>
          </cell>
        </row>
        <row r="44">
          <cell r="H44">
            <v>2738.3399999999997</v>
          </cell>
          <cell r="N44">
            <v>1433.4759087622429</v>
          </cell>
          <cell r="AD44">
            <v>1165.8530596857622</v>
          </cell>
          <cell r="AF44">
            <v>37.872841437906381</v>
          </cell>
          <cell r="AH44">
            <v>164.88209183921651</v>
          </cell>
          <cell r="AJ44">
            <v>-4.7829578005228086</v>
          </cell>
        </row>
        <row r="45">
          <cell r="H45">
            <v>365.88</v>
          </cell>
          <cell r="N45">
            <v>2354.5140756532196</v>
          </cell>
          <cell r="AD45">
            <v>1989.0663721468391</v>
          </cell>
          <cell r="AF45">
            <v>32.219653939202686</v>
          </cell>
          <cell r="AH45">
            <v>146.83283370148311</v>
          </cell>
          <cell r="AJ45">
            <v>15.763896022752306</v>
          </cell>
        </row>
        <row r="46">
          <cell r="F46">
            <v>110</v>
          </cell>
          <cell r="H46">
            <v>67.88</v>
          </cell>
          <cell r="N46">
            <v>2758.0385975250442</v>
          </cell>
          <cell r="AD46">
            <v>2448.4658862876258</v>
          </cell>
          <cell r="AF46">
            <v>32.211036789297658</v>
          </cell>
          <cell r="AH46">
            <v>146.83277591973246</v>
          </cell>
          <cell r="AJ46">
            <v>4.6099321301753662</v>
          </cell>
        </row>
        <row r="47">
          <cell r="F47">
            <v>111</v>
          </cell>
          <cell r="H47">
            <v>276.52</v>
          </cell>
          <cell r="N47">
            <v>2270.7439606538405</v>
          </cell>
          <cell r="AD47">
            <v>1933.510827429488</v>
          </cell>
          <cell r="AF47">
            <v>32.219489373078467</v>
          </cell>
          <cell r="AH47">
            <v>146.83284320278037</v>
          </cell>
          <cell r="AJ47">
            <v>0.6431937769407341</v>
          </cell>
        </row>
        <row r="48">
          <cell r="F48">
            <v>113</v>
          </cell>
          <cell r="H48">
            <v>21.48</v>
          </cell>
          <cell r="N48">
            <v>2158.2788640595904</v>
          </cell>
          <cell r="AD48">
            <v>1478.3483992467045</v>
          </cell>
          <cell r="AF48">
            <v>32.246233521657253</v>
          </cell>
          <cell r="AH48">
            <v>146.83286252354051</v>
          </cell>
          <cell r="AJ48">
            <v>19.803472450033496</v>
          </cell>
        </row>
        <row r="49">
          <cell r="F49" t="str">
            <v>P111</v>
          </cell>
          <cell r="H49">
            <v>0</v>
          </cell>
          <cell r="N49">
            <v>0</v>
          </cell>
          <cell r="AD49">
            <v>0</v>
          </cell>
          <cell r="AF49">
            <v>0</v>
          </cell>
          <cell r="AH49">
            <v>0</v>
          </cell>
          <cell r="AJ49">
            <v>0</v>
          </cell>
        </row>
        <row r="50">
          <cell r="H50">
            <v>0</v>
          </cell>
          <cell r="N50">
            <v>0</v>
          </cell>
          <cell r="AD50">
            <v>0</v>
          </cell>
          <cell r="AF50">
            <v>0</v>
          </cell>
          <cell r="AH50">
            <v>0</v>
          </cell>
          <cell r="AJ50">
            <v>0</v>
          </cell>
        </row>
        <row r="51">
          <cell r="F51">
            <v>134</v>
          </cell>
          <cell r="H51">
            <v>0</v>
          </cell>
          <cell r="N51">
            <v>0</v>
          </cell>
          <cell r="AD51">
            <v>0</v>
          </cell>
          <cell r="AF51">
            <v>0</v>
          </cell>
          <cell r="AH51">
            <v>0</v>
          </cell>
          <cell r="AJ51">
            <v>0</v>
          </cell>
        </row>
        <row r="52">
          <cell r="H52">
            <v>365.88</v>
          </cell>
          <cell r="N52">
            <v>2354.5140756532196</v>
          </cell>
          <cell r="AD52">
            <v>1989.0663721468391</v>
          </cell>
          <cell r="AF52">
            <v>32.219653939202686</v>
          </cell>
          <cell r="AH52">
            <v>146.83283370148311</v>
          </cell>
          <cell r="AJ52">
            <v>15.763896022752306</v>
          </cell>
        </row>
        <row r="53">
          <cell r="H53">
            <v>247.6</v>
          </cell>
          <cell r="N53">
            <v>1430.1472940226172</v>
          </cell>
          <cell r="AD53">
            <v>1198.9958853444289</v>
          </cell>
          <cell r="AF53">
            <v>57.799861303744798</v>
          </cell>
          <cell r="AH53">
            <v>146.83287101248266</v>
          </cell>
          <cell r="AJ53">
            <v>4.0233449558022585</v>
          </cell>
        </row>
        <row r="54">
          <cell r="F54">
            <v>124</v>
          </cell>
          <cell r="H54">
            <v>219.12</v>
          </cell>
          <cell r="N54">
            <v>1421.7447060971158</v>
          </cell>
          <cell r="AD54">
            <v>1201.6752359800112</v>
          </cell>
          <cell r="AF54">
            <v>51.281121599111607</v>
          </cell>
          <cell r="AH54">
            <v>146.8328706274292</v>
          </cell>
          <cell r="AJ54">
            <v>5.902960534200929</v>
          </cell>
        </row>
        <row r="55">
          <cell r="F55" t="str">
            <v>N124L</v>
          </cell>
          <cell r="H55">
            <v>28.48</v>
          </cell>
          <cell r="N55">
            <v>1494.7952949438202</v>
          </cell>
          <cell r="AD55">
            <v>1185.6657458563534</v>
          </cell>
          <cell r="AF55">
            <v>90.231491712707182</v>
          </cell>
          <cell r="AH55">
            <v>146.83287292817678</v>
          </cell>
          <cell r="AJ55">
            <v>0</v>
          </cell>
        </row>
        <row r="56">
          <cell r="H56">
            <v>0</v>
          </cell>
          <cell r="N56">
            <v>0</v>
          </cell>
          <cell r="AD56">
            <v>0</v>
          </cell>
          <cell r="AF56">
            <v>0</v>
          </cell>
          <cell r="AH56">
            <v>0</v>
          </cell>
          <cell r="AJ56">
            <v>0</v>
          </cell>
        </row>
        <row r="57">
          <cell r="N57">
            <v>0</v>
          </cell>
          <cell r="AD57">
            <v>0</v>
          </cell>
          <cell r="AF57">
            <v>0</v>
          </cell>
          <cell r="AH57">
            <v>0</v>
          </cell>
          <cell r="AJ57">
            <v>0</v>
          </cell>
        </row>
        <row r="58">
          <cell r="H58">
            <v>247.6</v>
          </cell>
          <cell r="N58">
            <v>1430.1472940226172</v>
          </cell>
          <cell r="AD58">
            <v>1198.9958853444289</v>
          </cell>
          <cell r="AF58">
            <v>57.799861303744798</v>
          </cell>
          <cell r="AH58">
            <v>146.83287101248266</v>
          </cell>
          <cell r="AJ58">
            <v>4.0233449558022585</v>
          </cell>
        </row>
        <row r="59">
          <cell r="H59">
            <v>613.48</v>
          </cell>
          <cell r="N59">
            <v>1981.4404381560933</v>
          </cell>
          <cell r="AD59">
            <v>1702.613178450501</v>
          </cell>
          <cell r="AF59">
            <v>41.494183512688991</v>
          </cell>
          <cell r="AH59">
            <v>146.83284722920649</v>
          </cell>
          <cell r="AJ59">
            <v>-20.343533441435738</v>
          </cell>
        </row>
        <row r="60">
          <cell r="H60">
            <v>0</v>
          </cell>
          <cell r="N60">
            <v>0</v>
          </cell>
          <cell r="AD60">
            <v>0</v>
          </cell>
          <cell r="AF60">
            <v>0</v>
          </cell>
          <cell r="AH60">
            <v>0</v>
          </cell>
          <cell r="AJ60">
            <v>0</v>
          </cell>
        </row>
        <row r="61">
          <cell r="F61">
            <v>149</v>
          </cell>
          <cell r="H61">
            <v>0</v>
          </cell>
          <cell r="N61">
            <v>0</v>
          </cell>
          <cell r="AD61">
            <v>0</v>
          </cell>
          <cell r="AF61">
            <v>0</v>
          </cell>
          <cell r="AH61">
            <v>0</v>
          </cell>
          <cell r="AJ61">
            <v>0</v>
          </cell>
        </row>
        <row r="62">
          <cell r="H62">
            <v>1609.07</v>
          </cell>
          <cell r="N62">
            <v>2320.5384166008939</v>
          </cell>
          <cell r="AD62">
            <v>1718.1084195800806</v>
          </cell>
          <cell r="AF62">
            <v>40.894190532135866</v>
          </cell>
          <cell r="AH62">
            <v>146.83284986707199</v>
          </cell>
          <cell r="AJ62">
            <v>-5.0148591183024109</v>
          </cell>
        </row>
        <row r="63">
          <cell r="F63">
            <v>808</v>
          </cell>
          <cell r="H63">
            <v>18.46</v>
          </cell>
          <cell r="N63">
            <v>1998.5151679306607</v>
          </cell>
          <cell r="AD63">
            <v>1456.8477537437604</v>
          </cell>
          <cell r="AF63">
            <v>40.110648918469217</v>
          </cell>
          <cell r="AH63">
            <v>146.83277870216307</v>
          </cell>
          <cell r="AJ63">
            <v>28.101308754183947</v>
          </cell>
        </row>
        <row r="64">
          <cell r="F64" t="str">
            <v>N808</v>
          </cell>
          <cell r="H64">
            <v>821.52</v>
          </cell>
          <cell r="N64">
            <v>2222.5341440257084</v>
          </cell>
          <cell r="AD64">
            <v>1562.1192114847927</v>
          </cell>
          <cell r="AF64">
            <v>42.862317298141051</v>
          </cell>
          <cell r="AH64">
            <v>146.83284849344875</v>
          </cell>
          <cell r="AJ64">
            <v>3.1002644996012805</v>
          </cell>
        </row>
        <row r="65">
          <cell r="F65" t="str">
            <v>808S</v>
          </cell>
          <cell r="H65">
            <v>100.32000000000001</v>
          </cell>
          <cell r="N65">
            <v>2712.7298644338116</v>
          </cell>
          <cell r="AD65">
            <v>2158.3646679057028</v>
          </cell>
          <cell r="AF65">
            <v>41.954318693142909</v>
          </cell>
          <cell r="AH65">
            <v>146.83282793700479</v>
          </cell>
          <cell r="AJ65">
            <v>-10.724004458331365</v>
          </cell>
        </row>
        <row r="66">
          <cell r="F66" t="str">
            <v>P800</v>
          </cell>
          <cell r="H66">
            <v>75.740000000000009</v>
          </cell>
          <cell r="N66">
            <v>2352.6035120147872</v>
          </cell>
          <cell r="AD66">
            <v>1852.7432852700028</v>
          </cell>
          <cell r="AF66">
            <v>44.609838846480066</v>
          </cell>
          <cell r="AH66">
            <v>146.83290924512298</v>
          </cell>
          <cell r="AJ66">
            <v>-0.53120017084461324</v>
          </cell>
        </row>
        <row r="67">
          <cell r="F67" t="str">
            <v>N800</v>
          </cell>
          <cell r="H67">
            <v>533.73</v>
          </cell>
          <cell r="N67">
            <v>2410.9540029602986</v>
          </cell>
          <cell r="AD67">
            <v>1866.4056862140974</v>
          </cell>
          <cell r="AF67">
            <v>37.478039094861522</v>
          </cell>
          <cell r="AH67">
            <v>146.83285406182603</v>
          </cell>
          <cell r="AJ67">
            <v>-6.5221007816035126E-2</v>
          </cell>
        </row>
        <row r="68">
          <cell r="F68" t="str">
            <v>P808</v>
          </cell>
          <cell r="H68">
            <v>59.300000000000004</v>
          </cell>
          <cell r="N68">
            <v>2260.2728499156833</v>
          </cell>
          <cell r="AD68">
            <v>1550.1065348709499</v>
          </cell>
          <cell r="AF68">
            <v>40.060955518945633</v>
          </cell>
          <cell r="AH68">
            <v>146.832784184514</v>
          </cell>
          <cell r="AJ68">
            <v>-11.506381217245462</v>
          </cell>
        </row>
        <row r="69">
          <cell r="H69">
            <v>15.64</v>
          </cell>
          <cell r="N69">
            <v>2196.4271099744246</v>
          </cell>
          <cell r="AD69">
            <v>1457.3738551207325</v>
          </cell>
          <cell r="AF69">
            <v>77.221482098251457</v>
          </cell>
          <cell r="AH69">
            <v>146.83305578684428</v>
          </cell>
          <cell r="AJ69">
            <v>27.009658178649033</v>
          </cell>
        </row>
        <row r="70">
          <cell r="F70">
            <v>156</v>
          </cell>
          <cell r="H70">
            <v>4.46</v>
          </cell>
          <cell r="N70">
            <v>2066.7713004484303</v>
          </cell>
          <cell r="AD70">
            <v>1369.8966666666665</v>
          </cell>
          <cell r="AF70">
            <v>81.760000000000005</v>
          </cell>
          <cell r="AH70">
            <v>146.83333333333334</v>
          </cell>
          <cell r="AJ70">
            <v>19.185781249999991</v>
          </cell>
        </row>
        <row r="71">
          <cell r="F71">
            <v>157</v>
          </cell>
          <cell r="H71">
            <v>11.18</v>
          </cell>
          <cell r="N71">
            <v>2248.1502683363151</v>
          </cell>
          <cell r="AD71">
            <v>1509.7902796271637</v>
          </cell>
          <cell r="AF71">
            <v>74.501997336884159</v>
          </cell>
          <cell r="AH71">
            <v>146.83288948069242</v>
          </cell>
          <cell r="AJ71">
            <v>13.520373461362624</v>
          </cell>
        </row>
        <row r="72">
          <cell r="H72">
            <v>1624.71</v>
          </cell>
          <cell r="N72">
            <v>2319.3436797951636</v>
          </cell>
          <cell r="AD72">
            <v>1714.3700553337032</v>
          </cell>
          <cell r="AF72">
            <v>41.415044559449406</v>
          </cell>
          <cell r="AH72">
            <v>146.83285281951183</v>
          </cell>
          <cell r="AJ72">
            <v>-3.64929039882918</v>
          </cell>
        </row>
        <row r="73">
          <cell r="H73">
            <v>26.500000000000004</v>
          </cell>
          <cell r="N73">
            <v>1685.8026415094337</v>
          </cell>
          <cell r="AD73">
            <v>1151.3756177924217</v>
          </cell>
          <cell r="AF73">
            <v>73.647858319604609</v>
          </cell>
          <cell r="AH73">
            <v>146.832784184514</v>
          </cell>
          <cell r="AJ73">
            <v>14.408013639528463</v>
          </cell>
        </row>
        <row r="74">
          <cell r="F74">
            <v>172</v>
          </cell>
          <cell r="H74">
            <v>0.3</v>
          </cell>
          <cell r="N74">
            <v>1700</v>
          </cell>
          <cell r="AD74">
            <v>0</v>
          </cell>
          <cell r="AF74">
            <v>0</v>
          </cell>
          <cell r="AH74">
            <v>0</v>
          </cell>
          <cell r="AJ74">
            <v>1537.3953488372094</v>
          </cell>
        </row>
        <row r="75">
          <cell r="F75" t="str">
            <v>172D</v>
          </cell>
          <cell r="H75">
            <v>3</v>
          </cell>
          <cell r="N75">
            <v>1300.43</v>
          </cell>
          <cell r="AD75">
            <v>943.31666666666661</v>
          </cell>
          <cell r="AF75">
            <v>32.126666666666665</v>
          </cell>
          <cell r="AH75">
            <v>146.83333333333334</v>
          </cell>
          <cell r="AJ75">
            <v>0</v>
          </cell>
        </row>
        <row r="76">
          <cell r="F76" t="str">
            <v>N182</v>
          </cell>
          <cell r="H76">
            <v>23.200000000000003</v>
          </cell>
          <cell r="N76">
            <v>1735.4517241379306</v>
          </cell>
          <cell r="AD76">
            <v>1180.7072368421052</v>
          </cell>
          <cell r="AF76">
            <v>79.501409774436084</v>
          </cell>
          <cell r="AH76">
            <v>146.83270676691728</v>
          </cell>
          <cell r="AJ76">
            <v>11.404967937862921</v>
          </cell>
        </row>
        <row r="77">
          <cell r="H77">
            <v>2264.69</v>
          </cell>
          <cell r="N77">
            <v>2220.3960453748641</v>
          </cell>
          <cell r="AD77">
            <v>1705.3621845262719</v>
          </cell>
          <cell r="AF77">
            <v>41.776443176621733</v>
          </cell>
          <cell r="AH77">
            <v>146.83285064129083</v>
          </cell>
          <cell r="AJ77">
            <v>-8.6878292589158264</v>
          </cell>
        </row>
        <row r="78">
          <cell r="H78">
            <v>5003.03</v>
          </cell>
          <cell r="N78">
            <v>1789.6860782365889</v>
          </cell>
          <cell r="AD78">
            <v>1425.9361315286149</v>
          </cell>
          <cell r="AF78">
            <v>39.754664533588631</v>
          </cell>
          <cell r="AH78">
            <v>156.18103030188513</v>
          </cell>
          <cell r="AJ78">
            <v>-22.001413027886429</v>
          </cell>
        </row>
      </sheetData>
      <sheetData sheetId="3" refreshError="1">
        <row r="7">
          <cell r="H7">
            <v>294.91999999999996</v>
          </cell>
          <cell r="N7">
            <v>1495.470297029703</v>
          </cell>
          <cell r="AD7">
            <v>1193.9581869764929</v>
          </cell>
          <cell r="AF7">
            <v>33.058159956768442</v>
          </cell>
          <cell r="AH7">
            <v>164.76962307484465</v>
          </cell>
          <cell r="AJ7">
            <v>11.365103943650638</v>
          </cell>
        </row>
        <row r="8">
          <cell r="F8">
            <v>510</v>
          </cell>
          <cell r="H8">
            <v>87.64</v>
          </cell>
          <cell r="N8">
            <v>1728.3492697398449</v>
          </cell>
          <cell r="AD8">
            <v>1296.4167490118577</v>
          </cell>
          <cell r="AF8">
            <v>31.875494071146246</v>
          </cell>
          <cell r="AH8">
            <v>164.76963932806325</v>
          </cell>
          <cell r="AJ8">
            <v>6.1062262408443075</v>
          </cell>
        </row>
        <row r="9">
          <cell r="F9" t="str">
            <v>510L</v>
          </cell>
          <cell r="H9">
            <v>15.64</v>
          </cell>
          <cell r="N9">
            <v>1515.5415601023017</v>
          </cell>
          <cell r="AD9">
            <v>1170.1926433915212</v>
          </cell>
          <cell r="AF9">
            <v>31.908354114713219</v>
          </cell>
          <cell r="AH9">
            <v>164.76932668329178</v>
          </cell>
          <cell r="AJ9">
            <v>-6.6916804648301422</v>
          </cell>
        </row>
        <row r="10">
          <cell r="F10" t="str">
            <v>N510L</v>
          </cell>
          <cell r="H10">
            <v>9</v>
          </cell>
          <cell r="N10">
            <v>1646.1766666666667</v>
          </cell>
          <cell r="AD10">
            <v>1236.4807692307693</v>
          </cell>
          <cell r="AF10">
            <v>89.749999999999986</v>
          </cell>
          <cell r="AH10">
            <v>164.76923076923077</v>
          </cell>
          <cell r="AJ10">
            <v>9.6569767441860677</v>
          </cell>
        </row>
        <row r="11">
          <cell r="F11" t="str">
            <v>511L</v>
          </cell>
          <cell r="H11">
            <v>146.04</v>
          </cell>
          <cell r="N11">
            <v>1359.3023144344015</v>
          </cell>
          <cell r="AD11">
            <v>1157.238980010251</v>
          </cell>
          <cell r="AF11">
            <v>31.815094823167602</v>
          </cell>
          <cell r="AH11">
            <v>164.76960533059969</v>
          </cell>
          <cell r="AJ11">
            <v>1.348337085622461</v>
          </cell>
        </row>
        <row r="12">
          <cell r="F12" t="str">
            <v>513L</v>
          </cell>
          <cell r="H12">
            <v>19.399999999999999</v>
          </cell>
          <cell r="N12">
            <v>1319.8144329896909</v>
          </cell>
          <cell r="AD12">
            <v>1089.2677419354839</v>
          </cell>
          <cell r="AF12">
            <v>31.852419354838712</v>
          </cell>
          <cell r="AH12">
            <v>164.76975806451611</v>
          </cell>
          <cell r="AJ12">
            <v>2.7009486379279224</v>
          </cell>
        </row>
        <row r="13">
          <cell r="F13">
            <v>710</v>
          </cell>
          <cell r="H13">
            <v>10</v>
          </cell>
          <cell r="N13">
            <v>1700</v>
          </cell>
          <cell r="AD13">
            <v>1373.7933333333333</v>
          </cell>
          <cell r="AF13">
            <v>31.75</v>
          </cell>
          <cell r="AH13">
            <v>164.77</v>
          </cell>
          <cell r="AJ13">
            <v>-65.706069819819959</v>
          </cell>
        </row>
        <row r="14">
          <cell r="F14" t="str">
            <v>711L</v>
          </cell>
          <cell r="H14">
            <v>7.2</v>
          </cell>
          <cell r="N14">
            <v>1380</v>
          </cell>
          <cell r="AD14">
            <v>1150.293526785714</v>
          </cell>
          <cell r="AF14">
            <v>31.75</v>
          </cell>
          <cell r="AH14">
            <v>164.77008928571425</v>
          </cell>
          <cell r="AJ14">
            <v>0</v>
          </cell>
        </row>
        <row r="15">
          <cell r="H15">
            <v>38.6</v>
          </cell>
          <cell r="N15">
            <v>1399.9860103626945</v>
          </cell>
          <cell r="AD15">
            <v>1161.1067961165049</v>
          </cell>
          <cell r="AF15">
            <v>31.834068843777576</v>
          </cell>
          <cell r="AH15">
            <v>143.55163283318623</v>
          </cell>
          <cell r="AJ15">
            <v>-1.9992043784977795</v>
          </cell>
        </row>
        <row r="16">
          <cell r="F16">
            <v>334</v>
          </cell>
          <cell r="H16">
            <v>23.96</v>
          </cell>
          <cell r="N16">
            <v>1399.9991652754593</v>
          </cell>
          <cell r="AD16">
            <v>1169.4683860232947</v>
          </cell>
          <cell r="AF16">
            <v>31.855657237936772</v>
          </cell>
          <cell r="AH16">
            <v>124.76955074875208</v>
          </cell>
          <cell r="AJ16">
            <v>4.1597337758503272E-4</v>
          </cell>
        </row>
        <row r="17">
          <cell r="F17" t="str">
            <v>534N</v>
          </cell>
          <cell r="H17">
            <v>14.64</v>
          </cell>
          <cell r="N17">
            <v>1399.9644808743169</v>
          </cell>
          <cell r="AD17">
            <v>1151.6607142857142</v>
          </cell>
          <cell r="AF17">
            <v>31.809680451127818</v>
          </cell>
          <cell r="AH17">
            <v>164.76973684210526</v>
          </cell>
          <cell r="AJ17">
            <v>-4.6992481179586321E-4</v>
          </cell>
        </row>
        <row r="18">
          <cell r="H18">
            <v>333.52</v>
          </cell>
          <cell r="N18">
            <v>1484.4194051331256</v>
          </cell>
          <cell r="AD18">
            <v>1189.5972466315175</v>
          </cell>
          <cell r="AF18">
            <v>32.895664909197421</v>
          </cell>
          <cell r="AH18">
            <v>161.95298769771529</v>
          </cell>
          <cell r="AJ18">
            <v>10.759053555015498</v>
          </cell>
        </row>
        <row r="19">
          <cell r="H19">
            <v>1697.19</v>
          </cell>
          <cell r="N19">
            <v>1086.414479227429</v>
          </cell>
          <cell r="AD19">
            <v>1011.894190756256</v>
          </cell>
          <cell r="AF19">
            <v>19.660166554856669</v>
          </cell>
          <cell r="AH19">
            <v>124.8301513722365</v>
          </cell>
          <cell r="AJ19">
            <v>-0.60942028936756287</v>
          </cell>
        </row>
        <row r="20">
          <cell r="F20">
            <v>321</v>
          </cell>
          <cell r="H20">
            <v>115.76</v>
          </cell>
          <cell r="N20">
            <v>1695.0241879751209</v>
          </cell>
          <cell r="AD20">
            <v>1154.3667973856209</v>
          </cell>
          <cell r="AF20">
            <v>31.824705882352944</v>
          </cell>
          <cell r="AH20">
            <v>124.76960784313725</v>
          </cell>
          <cell r="AJ20">
            <v>0.4835181079083668</v>
          </cell>
        </row>
        <row r="21">
          <cell r="F21">
            <v>322</v>
          </cell>
          <cell r="H21">
            <v>99.28</v>
          </cell>
          <cell r="N21">
            <v>1079.9742143432716</v>
          </cell>
          <cell r="AD21">
            <v>1025.2273214285715</v>
          </cell>
          <cell r="AF21">
            <v>31.829374999999999</v>
          </cell>
          <cell r="AH21">
            <v>124.76964285714287</v>
          </cell>
          <cell r="AJ21">
            <v>-0.44500054332115724</v>
          </cell>
        </row>
        <row r="22">
          <cell r="F22" t="str">
            <v>324C</v>
          </cell>
          <cell r="H22">
            <v>1478.1100000000001</v>
          </cell>
          <cell r="N22">
            <v>1037.5204754720553</v>
          </cell>
          <cell r="AD22">
            <v>998.07603833120447</v>
          </cell>
          <cell r="AF22">
            <v>17.758540241348943</v>
          </cell>
          <cell r="AH22">
            <v>124.7696219955323</v>
          </cell>
          <cell r="AJ22">
            <v>0.83780631042031928</v>
          </cell>
        </row>
        <row r="23">
          <cell r="F23" t="str">
            <v>324L</v>
          </cell>
          <cell r="H23">
            <v>0.32</v>
          </cell>
          <cell r="N23">
            <v>1168</v>
          </cell>
          <cell r="AD23">
            <v>0</v>
          </cell>
          <cell r="AF23">
            <v>0</v>
          </cell>
          <cell r="AH23">
            <v>0</v>
          </cell>
          <cell r="AJ23">
            <v>1175.5454545454547</v>
          </cell>
        </row>
        <row r="24">
          <cell r="F24">
            <v>521</v>
          </cell>
          <cell r="H24">
            <v>3.72</v>
          </cell>
          <cell r="N24">
            <v>1740</v>
          </cell>
          <cell r="AD24">
            <v>1145.2333333333333</v>
          </cell>
          <cell r="AF24">
            <v>31.75</v>
          </cell>
          <cell r="AH24">
            <v>164.77</v>
          </cell>
          <cell r="AJ24">
            <v>-20.104583333333267</v>
          </cell>
        </row>
        <row r="25">
          <cell r="H25">
            <v>0</v>
          </cell>
          <cell r="N25">
            <v>0</v>
          </cell>
          <cell r="AD25">
            <v>0</v>
          </cell>
          <cell r="AF25">
            <v>0</v>
          </cell>
          <cell r="AH25">
            <v>0</v>
          </cell>
          <cell r="AJ25">
            <v>0</v>
          </cell>
        </row>
        <row r="26">
          <cell r="F26" t="str">
            <v>324BR</v>
          </cell>
          <cell r="H26">
            <v>0</v>
          </cell>
          <cell r="N26">
            <v>0</v>
          </cell>
          <cell r="AD26">
            <v>0</v>
          </cell>
          <cell r="AF26">
            <v>0</v>
          </cell>
          <cell r="AH26">
            <v>0</v>
          </cell>
          <cell r="AJ26">
            <v>0</v>
          </cell>
        </row>
        <row r="27">
          <cell r="H27">
            <v>1697.19</v>
          </cell>
          <cell r="N27">
            <v>1086.414479227429</v>
          </cell>
          <cell r="AD27">
            <v>1011.894190756256</v>
          </cell>
          <cell r="AF27">
            <v>19.660166554856669</v>
          </cell>
          <cell r="AH27">
            <v>124.8301513722365</v>
          </cell>
          <cell r="AJ27">
            <v>-0.60942028936756287</v>
          </cell>
        </row>
        <row r="28">
          <cell r="H28">
            <v>2030.71</v>
          </cell>
          <cell r="N28">
            <v>1151.7820614464893</v>
          </cell>
          <cell r="AD28">
            <v>1037.9998924236099</v>
          </cell>
          <cell r="AF28">
            <v>21.60454488732449</v>
          </cell>
          <cell r="AH28">
            <v>130.28373057708279</v>
          </cell>
          <cell r="AJ28">
            <v>5.2104321715933111</v>
          </cell>
        </row>
        <row r="29">
          <cell r="H29">
            <v>0</v>
          </cell>
          <cell r="N29">
            <v>0</v>
          </cell>
          <cell r="AD29">
            <v>0</v>
          </cell>
          <cell r="AF29">
            <v>0</v>
          </cell>
          <cell r="AH29">
            <v>0</v>
          </cell>
          <cell r="AJ29">
            <v>0</v>
          </cell>
        </row>
        <row r="30">
          <cell r="F30" t="str">
            <v>548L</v>
          </cell>
          <cell r="H30">
            <v>0</v>
          </cell>
          <cell r="N30">
            <v>0</v>
          </cell>
          <cell r="AD30">
            <v>0</v>
          </cell>
          <cell r="AF30">
            <v>0</v>
          </cell>
          <cell r="AH30">
            <v>0</v>
          </cell>
          <cell r="AJ30">
            <v>0</v>
          </cell>
        </row>
        <row r="31">
          <cell r="H31">
            <v>694.51</v>
          </cell>
          <cell r="N31">
            <v>2024.2045758880356</v>
          </cell>
          <cell r="AD31">
            <v>1415.8704869809023</v>
          </cell>
          <cell r="AF31">
            <v>43.689908762898462</v>
          </cell>
          <cell r="AH31">
            <v>164.76963206398088</v>
          </cell>
          <cell r="AJ31">
            <v>0.31266071546497187</v>
          </cell>
        </row>
        <row r="32">
          <cell r="F32">
            <v>551</v>
          </cell>
          <cell r="H32">
            <v>180.4</v>
          </cell>
          <cell r="N32">
            <v>2044.9543791574276</v>
          </cell>
          <cell r="AD32">
            <v>1447.3799802955664</v>
          </cell>
          <cell r="AF32">
            <v>43.794482758620688</v>
          </cell>
          <cell r="AH32">
            <v>164.7696157635468</v>
          </cell>
          <cell r="AJ32">
            <v>4.2351919097873179</v>
          </cell>
        </row>
        <row r="33">
          <cell r="F33" t="str">
            <v>551L</v>
          </cell>
          <cell r="H33">
            <v>132.01999999999998</v>
          </cell>
          <cell r="N33">
            <v>1833.373958491138</v>
          </cell>
          <cell r="AD33">
            <v>1223.6500860796855</v>
          </cell>
          <cell r="AF33">
            <v>55.604094933595682</v>
          </cell>
          <cell r="AH33">
            <v>164.76961387112644</v>
          </cell>
          <cell r="AJ33">
            <v>3.2363915337016351</v>
          </cell>
        </row>
        <row r="34">
          <cell r="F34">
            <v>951</v>
          </cell>
          <cell r="H34">
            <v>249.07999999999998</v>
          </cell>
          <cell r="N34">
            <v>2098.5935040950699</v>
          </cell>
          <cell r="AD34">
            <v>1479.3003291488062</v>
          </cell>
          <cell r="AF34">
            <v>39.7215248009798</v>
          </cell>
          <cell r="AH34">
            <v>164.76963410900186</v>
          </cell>
          <cell r="AJ34">
            <v>10.38589675428193</v>
          </cell>
        </row>
        <row r="35">
          <cell r="F35">
            <v>552</v>
          </cell>
          <cell r="H35">
            <v>37</v>
          </cell>
          <cell r="N35">
            <v>1606.4162162162163</v>
          </cell>
          <cell r="AD35">
            <v>1177.4258474576272</v>
          </cell>
          <cell r="AF35">
            <v>31.826876513317192</v>
          </cell>
          <cell r="AH35">
            <v>164.76967312348668</v>
          </cell>
          <cell r="AJ35">
            <v>-3.5269039873260226</v>
          </cell>
        </row>
        <row r="36">
          <cell r="F36" t="str">
            <v>551S</v>
          </cell>
          <cell r="H36">
            <v>65.87</v>
          </cell>
          <cell r="N36">
            <v>2214.0201912858661</v>
          </cell>
          <cell r="AD36">
            <v>1511.2122127380169</v>
          </cell>
          <cell r="AF36">
            <v>40.522390019697966</v>
          </cell>
          <cell r="AH36">
            <v>164.76966513460275</v>
          </cell>
          <cell r="AJ36">
            <v>9.5788979102430858</v>
          </cell>
        </row>
        <row r="37">
          <cell r="F37" t="str">
            <v>P551S</v>
          </cell>
          <cell r="H37">
            <v>29.14</v>
          </cell>
          <cell r="N37">
            <v>2250.7872340425533</v>
          </cell>
          <cell r="AD37">
            <v>1522.2453931203929</v>
          </cell>
          <cell r="AF37">
            <v>35.882063882063875</v>
          </cell>
          <cell r="AH37">
            <v>164.769656019656</v>
          </cell>
          <cell r="AJ37">
            <v>0.26018096452412465</v>
          </cell>
        </row>
        <row r="38">
          <cell r="F38">
            <v>555</v>
          </cell>
          <cell r="H38">
            <v>1</v>
          </cell>
          <cell r="N38">
            <v>1298</v>
          </cell>
          <cell r="AD38">
            <v>946.70833333333326</v>
          </cell>
          <cell r="AF38">
            <v>31.75</v>
          </cell>
          <cell r="AH38">
            <v>164.76923076923077</v>
          </cell>
          <cell r="AJ38">
            <v>19.797859626249647</v>
          </cell>
        </row>
        <row r="39">
          <cell r="F39" t="str">
            <v>SC100</v>
          </cell>
          <cell r="H39">
            <v>0</v>
          </cell>
          <cell r="N39">
            <v>0</v>
          </cell>
          <cell r="AD39">
            <v>1527.1948868398995</v>
          </cell>
          <cell r="AF39">
            <v>43.632020117351217</v>
          </cell>
          <cell r="AH39">
            <v>164.76969823973178</v>
          </cell>
          <cell r="AJ39">
            <v>-1735.5966051969824</v>
          </cell>
        </row>
        <row r="40">
          <cell r="H40">
            <v>12.04</v>
          </cell>
          <cell r="N40">
            <v>2280</v>
          </cell>
          <cell r="AD40">
            <v>1792.3176500508648</v>
          </cell>
          <cell r="AF40">
            <v>31.879196337741607</v>
          </cell>
          <cell r="AH40">
            <v>164.76983723296033</v>
          </cell>
          <cell r="AJ40">
            <v>74.078599397300877</v>
          </cell>
        </row>
        <row r="41">
          <cell r="F41">
            <v>592</v>
          </cell>
          <cell r="H41">
            <v>0</v>
          </cell>
          <cell r="N41">
            <v>0</v>
          </cell>
          <cell r="AD41">
            <v>1705.6363134657836</v>
          </cell>
          <cell r="AF41">
            <v>31.890176600441499</v>
          </cell>
          <cell r="AH41">
            <v>164.76986754966887</v>
          </cell>
          <cell r="AJ41">
            <v>-1902.2963576158941</v>
          </cell>
        </row>
        <row r="42">
          <cell r="F42">
            <v>591</v>
          </cell>
          <cell r="H42">
            <v>12.04</v>
          </cell>
          <cell r="N42">
            <v>2280</v>
          </cell>
          <cell r="AD42">
            <v>1866.4056603773588</v>
          </cell>
          <cell r="AF42">
            <v>31.869811320754717</v>
          </cell>
          <cell r="AH42">
            <v>164.76981132075471</v>
          </cell>
          <cell r="AJ42">
            <v>0</v>
          </cell>
        </row>
        <row r="43">
          <cell r="H43">
            <v>65.36999999999999</v>
          </cell>
          <cell r="N43">
            <v>1262.2361939727707</v>
          </cell>
          <cell r="AD43">
            <v>975.43513103747011</v>
          </cell>
          <cell r="AF43">
            <v>41.869504006930903</v>
          </cell>
          <cell r="AH43">
            <v>134.01375351960147</v>
          </cell>
          <cell r="AJ43">
            <v>-0.99301797674092995</v>
          </cell>
        </row>
        <row r="44">
          <cell r="F44" t="str">
            <v>N571</v>
          </cell>
          <cell r="H44">
            <v>8.77</v>
          </cell>
          <cell r="N44">
            <v>1434.2417331812999</v>
          </cell>
          <cell r="AD44">
            <v>1013.905639913232</v>
          </cell>
          <cell r="AF44">
            <v>57.757049891540127</v>
          </cell>
          <cell r="AH44">
            <v>164.77006507592191</v>
          </cell>
          <cell r="AJ44">
            <v>10.795050814448132</v>
          </cell>
        </row>
        <row r="45">
          <cell r="F45">
            <v>372</v>
          </cell>
          <cell r="H45">
            <v>49.8</v>
          </cell>
          <cell r="N45">
            <v>1199.4795180722892</v>
          </cell>
          <cell r="AD45">
            <v>948.33704225352108</v>
          </cell>
          <cell r="AF45">
            <v>31.785774647887322</v>
          </cell>
          <cell r="AH45">
            <v>124.76957746478872</v>
          </cell>
          <cell r="AJ45">
            <v>-6.2491874322631702E-2</v>
          </cell>
        </row>
        <row r="46">
          <cell r="F46" t="str">
            <v>E548L</v>
          </cell>
          <cell r="H46">
            <v>6.8</v>
          </cell>
          <cell r="N46">
            <v>1500</v>
          </cell>
          <cell r="AD46">
            <v>1104.9125412541255</v>
          </cell>
          <cell r="AF46">
            <v>88.854785478547868</v>
          </cell>
          <cell r="AH46">
            <v>164.76980198019803</v>
          </cell>
          <cell r="AJ46">
            <v>0</v>
          </cell>
        </row>
        <row r="47">
          <cell r="H47">
            <v>77.41</v>
          </cell>
          <cell r="N47">
            <v>1420.5345562588814</v>
          </cell>
          <cell r="AD47">
            <v>1219.3954883791585</v>
          </cell>
          <cell r="AF47">
            <v>38.885918274343005</v>
          </cell>
          <cell r="AH47">
            <v>143.19899741759079</v>
          </cell>
          <cell r="AJ47">
            <v>-109.19472156448546</v>
          </cell>
        </row>
        <row r="48">
          <cell r="H48">
            <v>2802.63</v>
          </cell>
          <cell r="N48">
            <v>1375.3971269842968</v>
          </cell>
          <cell r="AD48">
            <v>1144.0564517341434</v>
          </cell>
          <cell r="AF48">
            <v>28.067636844716393</v>
          </cell>
          <cell r="AH48">
            <v>139.81877414796222</v>
          </cell>
          <cell r="AJ48">
            <v>-7.7160805914104458</v>
          </cell>
        </row>
        <row r="49">
          <cell r="H49">
            <v>592.36</v>
          </cell>
          <cell r="N49">
            <v>2286.3805793774054</v>
          </cell>
          <cell r="AD49">
            <v>1983.2518007202884</v>
          </cell>
          <cell r="AF49">
            <v>31.820212295444495</v>
          </cell>
          <cell r="AH49">
            <v>124.76961837366528</v>
          </cell>
          <cell r="AJ49">
            <v>17.129066823040375</v>
          </cell>
        </row>
        <row r="50">
          <cell r="F50">
            <v>110</v>
          </cell>
          <cell r="H50">
            <v>122.48</v>
          </cell>
          <cell r="N50">
            <v>2703.6098954931417</v>
          </cell>
          <cell r="AD50">
            <v>2453.3680577102082</v>
          </cell>
          <cell r="AF50">
            <v>31.828808563450202</v>
          </cell>
          <cell r="AH50">
            <v>124.76962457337885</v>
          </cell>
          <cell r="AJ50">
            <v>1.7532948672487692</v>
          </cell>
        </row>
        <row r="51">
          <cell r="F51">
            <v>111</v>
          </cell>
          <cell r="H51">
            <v>434.6</v>
          </cell>
          <cell r="N51">
            <v>2185.1603773584902</v>
          </cell>
          <cell r="AD51">
            <v>1903.8659246423176</v>
          </cell>
          <cell r="AF51">
            <v>31.817715275926421</v>
          </cell>
          <cell r="AH51">
            <v>124.76961699102462</v>
          </cell>
          <cell r="AJ51">
            <v>7.1313188669373631</v>
          </cell>
        </row>
        <row r="52">
          <cell r="F52">
            <v>113</v>
          </cell>
          <cell r="H52">
            <v>35.28</v>
          </cell>
          <cell r="N52">
            <v>2084.7947845804988</v>
          </cell>
          <cell r="AD52">
            <v>1522.9591043671355</v>
          </cell>
          <cell r="AF52">
            <v>31.820503330866025</v>
          </cell>
          <cell r="AH52">
            <v>124.76961509992599</v>
          </cell>
          <cell r="AJ52">
            <v>-0.19925662742707573</v>
          </cell>
        </row>
        <row r="53">
          <cell r="H53">
            <v>0</v>
          </cell>
          <cell r="N53">
            <v>0</v>
          </cell>
          <cell r="AD53">
            <v>0</v>
          </cell>
          <cell r="AF53">
            <v>0</v>
          </cell>
          <cell r="AH53">
            <v>0</v>
          </cell>
          <cell r="AJ53">
            <v>0</v>
          </cell>
        </row>
        <row r="54">
          <cell r="F54">
            <v>134</v>
          </cell>
          <cell r="H54">
            <v>0</v>
          </cell>
          <cell r="N54">
            <v>0</v>
          </cell>
          <cell r="AD54">
            <v>0</v>
          </cell>
          <cell r="AF54">
            <v>0</v>
          </cell>
          <cell r="AH54">
            <v>0</v>
          </cell>
          <cell r="AJ54">
            <v>0</v>
          </cell>
        </row>
        <row r="55">
          <cell r="H55">
            <v>592.36</v>
          </cell>
          <cell r="N55">
            <v>2286.3805793774054</v>
          </cell>
          <cell r="AD55">
            <v>1983.2518007202884</v>
          </cell>
          <cell r="AF55">
            <v>31.820212295444495</v>
          </cell>
          <cell r="AH55">
            <v>124.76961837366528</v>
          </cell>
          <cell r="AJ55">
            <v>17.129066823040375</v>
          </cell>
        </row>
        <row r="56">
          <cell r="H56">
            <v>226.93</v>
          </cell>
          <cell r="N56">
            <v>1442.1223284713349</v>
          </cell>
          <cell r="AD56">
            <v>1250.0324410163339</v>
          </cell>
          <cell r="AF56">
            <v>50.9423774954628</v>
          </cell>
          <cell r="AH56">
            <v>124.76962341197824</v>
          </cell>
          <cell r="AJ56">
            <v>-4.8791618583156833</v>
          </cell>
        </row>
        <row r="57">
          <cell r="F57">
            <v>122</v>
          </cell>
          <cell r="H57">
            <v>1.2</v>
          </cell>
          <cell r="N57">
            <v>1999.95</v>
          </cell>
          <cell r="AD57">
            <v>1408.8533333333335</v>
          </cell>
          <cell r="AF57">
            <v>31.75</v>
          </cell>
          <cell r="AH57">
            <v>124.77</v>
          </cell>
          <cell r="AJ57">
            <v>-3.333333333785049E-3</v>
          </cell>
        </row>
        <row r="58">
          <cell r="F58">
            <v>124</v>
          </cell>
          <cell r="H58">
            <v>182.61</v>
          </cell>
          <cell r="N58">
            <v>1424.8110180165379</v>
          </cell>
          <cell r="AD58">
            <v>1243.0292471042471</v>
          </cell>
          <cell r="AF58">
            <v>48.604584942084948</v>
          </cell>
          <cell r="AH58">
            <v>124.76964285714287</v>
          </cell>
          <cell r="AJ58">
            <v>-0.94937329802110071</v>
          </cell>
        </row>
        <row r="59">
          <cell r="F59" t="str">
            <v>DJ300</v>
          </cell>
          <cell r="H59">
            <v>11.28</v>
          </cell>
          <cell r="N59">
            <v>1500</v>
          </cell>
          <cell r="AD59">
            <v>1325.7977071005917</v>
          </cell>
          <cell r="AF59">
            <v>31.796967455621303</v>
          </cell>
          <cell r="AH59">
            <v>124.76960059171599</v>
          </cell>
          <cell r="AJ59">
            <v>0</v>
          </cell>
        </row>
        <row r="60">
          <cell r="F60" t="str">
            <v>N124L</v>
          </cell>
          <cell r="H60">
            <v>31.84</v>
          </cell>
          <cell r="N60">
            <v>1499.878768844221</v>
          </cell>
          <cell r="AD60">
            <v>1210.6016886930986</v>
          </cell>
          <cell r="AF60">
            <v>89.843245227606459</v>
          </cell>
          <cell r="AH60">
            <v>124.76945668135096</v>
          </cell>
          <cell r="AJ60">
            <v>-0.54820067070590994</v>
          </cell>
        </row>
        <row r="61">
          <cell r="H61">
            <v>0</v>
          </cell>
          <cell r="N61">
            <v>0</v>
          </cell>
          <cell r="AD61">
            <v>0</v>
          </cell>
          <cell r="AF61">
            <v>0</v>
          </cell>
          <cell r="AH61">
            <v>0</v>
          </cell>
          <cell r="AJ61">
            <v>0</v>
          </cell>
        </row>
        <row r="62">
          <cell r="N62">
            <v>0</v>
          </cell>
          <cell r="AD62">
            <v>0</v>
          </cell>
          <cell r="AF62">
            <v>0</v>
          </cell>
          <cell r="AH62">
            <v>0</v>
          </cell>
          <cell r="AJ62">
            <v>0</v>
          </cell>
        </row>
        <row r="63">
          <cell r="H63">
            <v>226.93</v>
          </cell>
          <cell r="N63">
            <v>1442.1223284713349</v>
          </cell>
          <cell r="AD63">
            <v>1250.0324410163339</v>
          </cell>
          <cell r="AF63">
            <v>50.9423774954628</v>
          </cell>
          <cell r="AH63">
            <v>124.76962341197824</v>
          </cell>
          <cell r="AJ63">
            <v>-4.8791618583156833</v>
          </cell>
        </row>
        <row r="64">
          <cell r="H64">
            <v>819.29</v>
          </cell>
          <cell r="N64">
            <v>2052.5347801144894</v>
          </cell>
          <cell r="AD64">
            <v>1767.1973238557869</v>
          </cell>
          <cell r="AF64">
            <v>37.454855385712371</v>
          </cell>
          <cell r="AH64">
            <v>124.76961985828247</v>
          </cell>
          <cell r="AJ64">
            <v>23.659674857394748</v>
          </cell>
        </row>
        <row r="65">
          <cell r="H65">
            <v>0</v>
          </cell>
          <cell r="N65">
            <v>0</v>
          </cell>
          <cell r="AD65">
            <v>0</v>
          </cell>
          <cell r="AF65">
            <v>0</v>
          </cell>
          <cell r="AH65">
            <v>0</v>
          </cell>
          <cell r="AJ65">
            <v>0</v>
          </cell>
        </row>
        <row r="66">
          <cell r="F66">
            <v>149</v>
          </cell>
          <cell r="H66">
            <v>0</v>
          </cell>
          <cell r="N66">
            <v>0</v>
          </cell>
          <cell r="AD66">
            <v>0</v>
          </cell>
          <cell r="AF66">
            <v>0</v>
          </cell>
          <cell r="AH66">
            <v>0</v>
          </cell>
          <cell r="AJ66">
            <v>0</v>
          </cell>
        </row>
        <row r="67">
          <cell r="H67">
            <v>1374.34</v>
          </cell>
          <cell r="N67">
            <v>2311.3246649300759</v>
          </cell>
          <cell r="AD67">
            <v>1693.0319190289335</v>
          </cell>
          <cell r="AF67">
            <v>40.374175804026549</v>
          </cell>
          <cell r="AH67">
            <v>124.76962851589717</v>
          </cell>
          <cell r="AJ67">
            <v>19.811028883008476</v>
          </cell>
        </row>
        <row r="68">
          <cell r="F68">
            <v>808</v>
          </cell>
          <cell r="H68">
            <v>44.519999999999996</v>
          </cell>
          <cell r="N68">
            <v>2010.7434860736746</v>
          </cell>
          <cell r="AD68">
            <v>1481.9486040609136</v>
          </cell>
          <cell r="AF68">
            <v>39.633565989847718</v>
          </cell>
          <cell r="AH68">
            <v>124.76967005076142</v>
          </cell>
          <cell r="AJ68">
            <v>2.491462703285606</v>
          </cell>
        </row>
        <row r="69">
          <cell r="F69" t="str">
            <v>N808</v>
          </cell>
          <cell r="H69">
            <v>606.04</v>
          </cell>
          <cell r="N69">
            <v>2216.5603095505248</v>
          </cell>
          <cell r="AD69">
            <v>1590.4970407698706</v>
          </cell>
          <cell r="AF69">
            <v>42.487652867391951</v>
          </cell>
          <cell r="AH69">
            <v>124.76961961726244</v>
          </cell>
          <cell r="AJ69">
            <v>-0.59341070010236763</v>
          </cell>
        </row>
        <row r="70">
          <cell r="F70" t="str">
            <v>808S</v>
          </cell>
          <cell r="H70">
            <v>87.64</v>
          </cell>
          <cell r="N70">
            <v>2707.3403696942037</v>
          </cell>
          <cell r="AD70">
            <v>2064.6146435452793</v>
          </cell>
          <cell r="AF70">
            <v>40.295439948619141</v>
          </cell>
          <cell r="AH70">
            <v>124.76964247484479</v>
          </cell>
          <cell r="AJ70">
            <v>21.470094451985915</v>
          </cell>
        </row>
        <row r="71">
          <cell r="F71" t="str">
            <v>P800</v>
          </cell>
          <cell r="H71">
            <v>59.74</v>
          </cell>
          <cell r="N71">
            <v>2284.7561098091728</v>
          </cell>
          <cell r="AD71">
            <v>1835.4173261141191</v>
          </cell>
          <cell r="AF71">
            <v>41.830279050395667</v>
          </cell>
          <cell r="AH71">
            <v>124.76967930029153</v>
          </cell>
          <cell r="AJ71">
            <v>11.241760837717266</v>
          </cell>
        </row>
        <row r="72">
          <cell r="F72" t="str">
            <v>N800</v>
          </cell>
          <cell r="H72">
            <v>535.68000000000006</v>
          </cell>
          <cell r="N72">
            <v>2392.6134445937869</v>
          </cell>
          <cell r="AD72">
            <v>1779.9957822563888</v>
          </cell>
          <cell r="AF72">
            <v>37.443507168086434</v>
          </cell>
          <cell r="AH72">
            <v>124.76962393517557</v>
          </cell>
          <cell r="AJ72">
            <v>25.937590805632453</v>
          </cell>
        </row>
        <row r="73">
          <cell r="F73" t="str">
            <v>P808</v>
          </cell>
          <cell r="H73">
            <v>40.72</v>
          </cell>
          <cell r="N73">
            <v>2167.6232809430253</v>
          </cell>
          <cell r="AD73">
            <v>1575.3837266470009</v>
          </cell>
          <cell r="AF73">
            <v>41.563667649950837</v>
          </cell>
          <cell r="AH73">
            <v>124.7696656833825</v>
          </cell>
          <cell r="AJ73">
            <v>-2.6102117955160793</v>
          </cell>
        </row>
        <row r="74">
          <cell r="H74">
            <v>36.299999999999997</v>
          </cell>
          <cell r="N74">
            <v>2815.0033057851242</v>
          </cell>
          <cell r="AD74">
            <v>2125.7082337605912</v>
          </cell>
          <cell r="AF74">
            <v>49.984358027373453</v>
          </cell>
          <cell r="AH74">
            <v>124.76971540299803</v>
          </cell>
          <cell r="AJ74">
            <v>-68.843220412284609</v>
          </cell>
        </row>
        <row r="75">
          <cell r="F75">
            <v>156</v>
          </cell>
          <cell r="H75">
            <v>3.4299999999999997</v>
          </cell>
          <cell r="N75">
            <v>2032.5568513119536</v>
          </cell>
          <cell r="AD75">
            <v>1392.523178807947</v>
          </cell>
          <cell r="AF75">
            <v>79.586092715231786</v>
          </cell>
          <cell r="AH75">
            <v>124.76821192052981</v>
          </cell>
          <cell r="AJ75">
            <v>13.661152919927417</v>
          </cell>
        </row>
        <row r="76">
          <cell r="F76">
            <v>157</v>
          </cell>
          <cell r="H76">
            <v>7.81</v>
          </cell>
          <cell r="N76">
            <v>2265.5889884763124</v>
          </cell>
          <cell r="AD76">
            <v>1575.5049928673325</v>
          </cell>
          <cell r="AF76">
            <v>69.861626248216837</v>
          </cell>
          <cell r="AH76">
            <v>124.77032810271042</v>
          </cell>
          <cell r="AJ76">
            <v>-7.3872005110661121</v>
          </cell>
        </row>
        <row r="77">
          <cell r="F77">
            <v>2150</v>
          </cell>
          <cell r="H77">
            <v>25.06</v>
          </cell>
          <cell r="N77">
            <v>3093.3240223463686</v>
          </cell>
          <cell r="AD77">
            <v>2294.3511111111111</v>
          </cell>
          <cell r="AF77">
            <v>43.63055555555556</v>
          </cell>
          <cell r="AH77">
            <v>124.76972222222223</v>
          </cell>
          <cell r="AJ77">
            <v>0</v>
          </cell>
        </row>
        <row r="78">
          <cell r="H78">
            <v>1410.6399999999999</v>
          </cell>
          <cell r="N78">
            <v>2324.2858277094092</v>
          </cell>
          <cell r="AD78">
            <v>1707.1620171978316</v>
          </cell>
          <cell r="AF78">
            <v>40.688019695206741</v>
          </cell>
          <cell r="AH78">
            <v>124.76963135340692</v>
          </cell>
          <cell r="AJ78">
            <v>14.467105070920525</v>
          </cell>
        </row>
        <row r="79">
          <cell r="H79">
            <v>41.06</v>
          </cell>
          <cell r="N79">
            <v>1516.1054554310765</v>
          </cell>
          <cell r="AD79">
            <v>1127.039776692254</v>
          </cell>
          <cell r="AF79">
            <v>48.649860432658755</v>
          </cell>
          <cell r="AH79">
            <v>124.76953942777389</v>
          </cell>
          <cell r="AJ79">
            <v>34.251049036181939</v>
          </cell>
        </row>
        <row r="80">
          <cell r="F80">
            <v>172</v>
          </cell>
          <cell r="H80">
            <v>2.78</v>
          </cell>
          <cell r="N80">
            <v>1699.8273381294966</v>
          </cell>
          <cell r="AD80">
            <v>970.57333333333327</v>
          </cell>
          <cell r="AF80">
            <v>50.050000000000004</v>
          </cell>
          <cell r="AH80">
            <v>124.77</v>
          </cell>
          <cell r="AJ80">
            <v>30.154358974359184</v>
          </cell>
        </row>
        <row r="81">
          <cell r="F81" t="str">
            <v>172D</v>
          </cell>
          <cell r="H81">
            <v>9</v>
          </cell>
          <cell r="N81">
            <v>1301.2966666666666</v>
          </cell>
          <cell r="AD81">
            <v>997.39876425855516</v>
          </cell>
          <cell r="AF81">
            <v>42.117870722433459</v>
          </cell>
          <cell r="AH81">
            <v>124.76948669201522</v>
          </cell>
          <cell r="AJ81">
            <v>0</v>
          </cell>
        </row>
        <row r="82">
          <cell r="F82" t="str">
            <v>N182</v>
          </cell>
          <cell r="H82">
            <v>29.28</v>
          </cell>
          <cell r="N82">
            <v>1564.6892076502731</v>
          </cell>
          <cell r="AD82">
            <v>1223.1048677884614</v>
          </cell>
          <cell r="AF82">
            <v>52.653245192307686</v>
          </cell>
          <cell r="AH82">
            <v>124.76953125</v>
          </cell>
          <cell r="AJ82">
            <v>1.6787827844812</v>
          </cell>
        </row>
        <row r="83">
          <cell r="H83">
            <v>2270.9899999999998</v>
          </cell>
          <cell r="N83">
            <v>2211.6359253013006</v>
          </cell>
          <cell r="AD83">
            <v>1715.8885575800637</v>
          </cell>
          <cell r="AF83">
            <v>39.653665262481177</v>
          </cell>
          <cell r="AH83">
            <v>124.76962476103469</v>
          </cell>
          <cell r="AJ83">
            <v>20.596306361635015</v>
          </cell>
        </row>
        <row r="84">
          <cell r="H84">
            <v>5073.62</v>
          </cell>
          <cell r="N84">
            <v>1749.7038248824313</v>
          </cell>
          <cell r="AD84">
            <v>1381.660504621095</v>
          </cell>
          <cell r="AF84">
            <v>32.881789951513213</v>
          </cell>
          <cell r="AH84">
            <v>133.56564696206294</v>
          </cell>
          <cell r="AJ84">
            <v>23.197854916310916</v>
          </cell>
        </row>
      </sheetData>
      <sheetData sheetId="4">
        <row r="7">
          <cell r="H7">
            <v>570.92000000000007</v>
          </cell>
        </row>
      </sheetData>
      <sheetData sheetId="5" refreshError="1">
        <row r="7">
          <cell r="H7">
            <v>570.92000000000007</v>
          </cell>
          <cell r="N7">
            <v>1508.1237826665729</v>
          </cell>
          <cell r="AD7">
            <v>1233.0649535814389</v>
          </cell>
          <cell r="AF7">
            <v>32.524343416341274</v>
          </cell>
          <cell r="AH7">
            <v>162.35801429011192</v>
          </cell>
          <cell r="AJ7">
            <v>-5.0672118084012254</v>
          </cell>
        </row>
        <row r="8">
          <cell r="F8">
            <v>510</v>
          </cell>
          <cell r="H8">
            <v>229.44</v>
          </cell>
          <cell r="N8">
            <v>1698.1270920502091</v>
          </cell>
          <cell r="AD8">
            <v>1316.3336867734843</v>
          </cell>
          <cell r="AF8">
            <v>31.394321394910463</v>
          </cell>
          <cell r="AH8">
            <v>162.66195413132266</v>
          </cell>
          <cell r="AJ8">
            <v>-0.43706527857466426</v>
          </cell>
        </row>
        <row r="9">
          <cell r="F9">
            <v>511</v>
          </cell>
          <cell r="H9">
            <v>0</v>
          </cell>
          <cell r="N9">
            <v>0</v>
          </cell>
          <cell r="AD9">
            <v>0</v>
          </cell>
          <cell r="AF9">
            <v>0</v>
          </cell>
          <cell r="AH9">
            <v>0</v>
          </cell>
          <cell r="AJ9">
            <v>0</v>
          </cell>
        </row>
        <row r="10">
          <cell r="F10">
            <v>513</v>
          </cell>
          <cell r="H10">
            <v>0</v>
          </cell>
          <cell r="N10">
            <v>0</v>
          </cell>
          <cell r="AD10">
            <v>0</v>
          </cell>
          <cell r="AF10">
            <v>0</v>
          </cell>
          <cell r="AH10">
            <v>0</v>
          </cell>
          <cell r="AJ10">
            <v>0</v>
          </cell>
        </row>
        <row r="11">
          <cell r="F11" t="str">
            <v>510L</v>
          </cell>
          <cell r="H11">
            <v>58.88</v>
          </cell>
          <cell r="N11">
            <v>1498.6890285326085</v>
          </cell>
          <cell r="AD11">
            <v>1189.8269607843138</v>
          </cell>
          <cell r="AF11">
            <v>31.391013071895426</v>
          </cell>
          <cell r="AH11">
            <v>162.66192810457514</v>
          </cell>
          <cell r="AJ11">
            <v>-1.247394220846445</v>
          </cell>
        </row>
        <row r="12">
          <cell r="F12" t="str">
            <v>N510L</v>
          </cell>
          <cell r="H12">
            <v>7.96</v>
          </cell>
          <cell r="N12">
            <v>1699.7374371859296</v>
          </cell>
          <cell r="AD12">
            <v>1194.6461794019935</v>
          </cell>
          <cell r="AF12">
            <v>89.349667774086384</v>
          </cell>
          <cell r="AH12">
            <v>162.66196013289039</v>
          </cell>
          <cell r="AJ12">
            <v>10.885959269279056</v>
          </cell>
        </row>
        <row r="13">
          <cell r="F13" t="str">
            <v>511L</v>
          </cell>
          <cell r="H13">
            <v>240.08</v>
          </cell>
          <cell r="N13">
            <v>1354.6539486837721</v>
          </cell>
          <cell r="AD13">
            <v>1173.0003913587977</v>
          </cell>
          <cell r="AF13">
            <v>31.394176581089543</v>
          </cell>
          <cell r="AH13">
            <v>162.66198340638698</v>
          </cell>
          <cell r="AJ13">
            <v>-0.89937438201422992</v>
          </cell>
        </row>
        <row r="14">
          <cell r="F14" t="str">
            <v>513L</v>
          </cell>
          <cell r="H14">
            <v>34.56</v>
          </cell>
          <cell r="N14">
            <v>1284.7717013888887</v>
          </cell>
          <cell r="AD14">
            <v>1114.5501373626373</v>
          </cell>
          <cell r="AF14">
            <v>31.393200549450547</v>
          </cell>
          <cell r="AH14">
            <v>162.66208791208791</v>
          </cell>
          <cell r="AJ14">
            <v>-9.1650228494513613</v>
          </cell>
        </row>
        <row r="15">
          <cell r="F15">
            <v>710</v>
          </cell>
          <cell r="H15">
            <v>0</v>
          </cell>
          <cell r="N15">
            <v>0</v>
          </cell>
          <cell r="AD15">
            <v>1383.1769722814499</v>
          </cell>
          <cell r="AF15">
            <v>31.383795309168441</v>
          </cell>
          <cell r="AH15">
            <v>122.66098081023452</v>
          </cell>
          <cell r="AJ15">
            <v>-1537.2238805970148</v>
          </cell>
        </row>
        <row r="16">
          <cell r="F16" t="str">
            <v>711L</v>
          </cell>
          <cell r="H16">
            <v>0</v>
          </cell>
          <cell r="N16">
            <v>0</v>
          </cell>
          <cell r="AD16">
            <v>0</v>
          </cell>
          <cell r="AF16">
            <v>0</v>
          </cell>
          <cell r="AH16">
            <v>0</v>
          </cell>
          <cell r="AJ16">
            <v>0</v>
          </cell>
        </row>
        <row r="17">
          <cell r="F17" t="str">
            <v>311L</v>
          </cell>
          <cell r="H17">
            <v>2.2000000000000002</v>
          </cell>
          <cell r="N17">
            <v>0</v>
          </cell>
          <cell r="AD17">
            <v>0</v>
          </cell>
          <cell r="AF17">
            <v>0</v>
          </cell>
          <cell r="AH17">
            <v>0</v>
          </cell>
          <cell r="AJ17">
            <v>0</v>
          </cell>
        </row>
        <row r="18">
          <cell r="F18" t="str">
            <v>313L</v>
          </cell>
          <cell r="H18">
            <v>0</v>
          </cell>
          <cell r="N18">
            <v>0</v>
          </cell>
          <cell r="AD18">
            <v>0</v>
          </cell>
          <cell r="AF18">
            <v>0</v>
          </cell>
          <cell r="AH18">
            <v>0</v>
          </cell>
          <cell r="AJ18">
            <v>0</v>
          </cell>
        </row>
        <row r="19">
          <cell r="H19">
            <v>14.16</v>
          </cell>
          <cell r="N19">
            <v>1399.986581920904</v>
          </cell>
          <cell r="AD19">
            <v>1192.2883333333332</v>
          </cell>
          <cell r="AF19">
            <v>31.349999999999998</v>
          </cell>
          <cell r="AH19">
            <v>162.66166666666666</v>
          </cell>
          <cell r="AJ19">
            <v>-13.558047210300401</v>
          </cell>
        </row>
        <row r="20">
          <cell r="F20">
            <v>331</v>
          </cell>
          <cell r="H20">
            <v>0</v>
          </cell>
          <cell r="N20">
            <v>0</v>
          </cell>
          <cell r="AD20">
            <v>0</v>
          </cell>
          <cell r="AF20">
            <v>0</v>
          </cell>
          <cell r="AH20">
            <v>0</v>
          </cell>
          <cell r="AJ20">
            <v>0</v>
          </cell>
        </row>
        <row r="21">
          <cell r="F21">
            <v>332</v>
          </cell>
          <cell r="H21">
            <v>0</v>
          </cell>
          <cell r="N21">
            <v>0</v>
          </cell>
          <cell r="AD21">
            <v>0</v>
          </cell>
          <cell r="AF21">
            <v>0</v>
          </cell>
          <cell r="AH21">
            <v>0</v>
          </cell>
          <cell r="AJ21">
            <v>0</v>
          </cell>
        </row>
        <row r="22">
          <cell r="F22">
            <v>334</v>
          </cell>
          <cell r="H22">
            <v>0</v>
          </cell>
          <cell r="N22">
            <v>0</v>
          </cell>
          <cell r="AD22">
            <v>0</v>
          </cell>
          <cell r="AF22">
            <v>0</v>
          </cell>
          <cell r="AH22">
            <v>0</v>
          </cell>
          <cell r="AJ22">
            <v>0</v>
          </cell>
        </row>
        <row r="23">
          <cell r="F23">
            <v>531</v>
          </cell>
          <cell r="H23">
            <v>0</v>
          </cell>
          <cell r="N23">
            <v>0</v>
          </cell>
          <cell r="AD23">
            <v>0</v>
          </cell>
          <cell r="AF23">
            <v>0</v>
          </cell>
          <cell r="AH23">
            <v>0</v>
          </cell>
          <cell r="AJ23">
            <v>0</v>
          </cell>
        </row>
        <row r="24">
          <cell r="F24" t="str">
            <v>531N</v>
          </cell>
          <cell r="H24">
            <v>0</v>
          </cell>
          <cell r="N24">
            <v>0</v>
          </cell>
          <cell r="AD24">
            <v>0</v>
          </cell>
          <cell r="AF24">
            <v>0</v>
          </cell>
          <cell r="AH24">
            <v>0</v>
          </cell>
          <cell r="AJ24">
            <v>0</v>
          </cell>
        </row>
        <row r="25">
          <cell r="F25">
            <v>532</v>
          </cell>
          <cell r="H25">
            <v>0</v>
          </cell>
          <cell r="N25">
            <v>0</v>
          </cell>
          <cell r="AD25">
            <v>0</v>
          </cell>
          <cell r="AF25">
            <v>0</v>
          </cell>
          <cell r="AH25">
            <v>0</v>
          </cell>
          <cell r="AJ25">
            <v>0</v>
          </cell>
        </row>
        <row r="26">
          <cell r="F26" t="str">
            <v>532N</v>
          </cell>
          <cell r="H26">
            <v>0</v>
          </cell>
          <cell r="N26">
            <v>0</v>
          </cell>
          <cell r="AD26">
            <v>0</v>
          </cell>
          <cell r="AF26">
            <v>0</v>
          </cell>
          <cell r="AH26">
            <v>0</v>
          </cell>
          <cell r="AJ26">
            <v>0</v>
          </cell>
        </row>
        <row r="27">
          <cell r="F27" t="str">
            <v>533N</v>
          </cell>
          <cell r="H27">
            <v>0</v>
          </cell>
          <cell r="N27">
            <v>0</v>
          </cell>
          <cell r="AD27">
            <v>0</v>
          </cell>
          <cell r="AF27">
            <v>0</v>
          </cell>
          <cell r="AH27">
            <v>0</v>
          </cell>
          <cell r="AJ27">
            <v>0</v>
          </cell>
        </row>
        <row r="28">
          <cell r="F28">
            <v>534</v>
          </cell>
          <cell r="H28">
            <v>0</v>
          </cell>
          <cell r="N28">
            <v>0</v>
          </cell>
          <cell r="AD28">
            <v>0</v>
          </cell>
          <cell r="AF28">
            <v>0</v>
          </cell>
          <cell r="AH28">
            <v>0</v>
          </cell>
          <cell r="AJ28">
            <v>0</v>
          </cell>
        </row>
        <row r="29">
          <cell r="F29" t="str">
            <v>534N</v>
          </cell>
          <cell r="H29">
            <v>14.16</v>
          </cell>
          <cell r="N29">
            <v>1399.986581920904</v>
          </cell>
          <cell r="AD29">
            <v>1192.2883333333332</v>
          </cell>
          <cell r="AF29">
            <v>31.349999999999998</v>
          </cell>
          <cell r="AH29">
            <v>162.66166666666666</v>
          </cell>
          <cell r="AJ29">
            <v>-13.558047210300401</v>
          </cell>
        </row>
        <row r="30">
          <cell r="F30" t="str">
            <v>535N</v>
          </cell>
          <cell r="H30">
            <v>0</v>
          </cell>
          <cell r="N30">
            <v>0</v>
          </cell>
          <cell r="AD30">
            <v>0</v>
          </cell>
          <cell r="AF30">
            <v>0</v>
          </cell>
          <cell r="AH30">
            <v>0</v>
          </cell>
          <cell r="AJ30">
            <v>0</v>
          </cell>
        </row>
        <row r="31">
          <cell r="H31">
            <v>585.08000000000004</v>
          </cell>
          <cell r="N31">
            <v>1505.5066657551104</v>
          </cell>
          <cell r="AD31">
            <v>1232.2872808760189</v>
          </cell>
          <cell r="AF31">
            <v>32.5019468857774</v>
          </cell>
          <cell r="AH31">
            <v>162.3638054067799</v>
          </cell>
          <cell r="AJ31">
            <v>-5.4863681010624532</v>
          </cell>
        </row>
        <row r="32">
          <cell r="H32">
            <v>1925.2</v>
          </cell>
          <cell r="N32">
            <v>1113.3029399542907</v>
          </cell>
          <cell r="AD32">
            <v>1026.3981957198916</v>
          </cell>
          <cell r="AF32">
            <v>29.680342044581092</v>
          </cell>
          <cell r="AH32">
            <v>122.72265767223594</v>
          </cell>
          <cell r="AJ32">
            <v>-9.929205219054893E-2</v>
          </cell>
        </row>
        <row r="33">
          <cell r="F33">
            <v>321</v>
          </cell>
          <cell r="H33">
            <v>134.52000000000001</v>
          </cell>
          <cell r="N33">
            <v>1698.4327980969372</v>
          </cell>
          <cell r="AD33">
            <v>1189.7437286202967</v>
          </cell>
          <cell r="AF33">
            <v>31.397662485746867</v>
          </cell>
          <cell r="AH33">
            <v>122.66201064234133</v>
          </cell>
          <cell r="AJ33">
            <v>-9.9309702415353058</v>
          </cell>
        </row>
        <row r="34">
          <cell r="F34">
            <v>322</v>
          </cell>
          <cell r="H34">
            <v>183.92</v>
          </cell>
          <cell r="N34">
            <v>1092.8754893431928</v>
          </cell>
          <cell r="AD34">
            <v>1023.338036234902</v>
          </cell>
          <cell r="AF34">
            <v>31.395720533111202</v>
          </cell>
          <cell r="AH34">
            <v>122.66196376509787</v>
          </cell>
          <cell r="AJ34">
            <v>0.35257103864273631</v>
          </cell>
        </row>
        <row r="35">
          <cell r="F35" t="str">
            <v>324C</v>
          </cell>
          <cell r="H35">
            <v>1600.72</v>
          </cell>
          <cell r="N35">
            <v>1064.183155080214</v>
          </cell>
          <cell r="AD35">
            <v>1016.1976150727402</v>
          </cell>
          <cell r="AF35">
            <v>29.373145719055568</v>
          </cell>
          <cell r="AH35">
            <v>122.66197233484378</v>
          </cell>
          <cell r="AJ35">
            <v>-3.1161447896879508</v>
          </cell>
        </row>
        <row r="36">
          <cell r="F36" t="str">
            <v>324L</v>
          </cell>
          <cell r="H36">
            <v>0.04</v>
          </cell>
          <cell r="N36">
            <v>1168</v>
          </cell>
          <cell r="AD36">
            <v>0</v>
          </cell>
          <cell r="AF36">
            <v>0</v>
          </cell>
          <cell r="AH36">
            <v>0</v>
          </cell>
          <cell r="AJ36">
            <v>1175.5535714285713</v>
          </cell>
        </row>
        <row r="37">
          <cell r="F37">
            <v>521</v>
          </cell>
          <cell r="H37">
            <v>6</v>
          </cell>
          <cell r="N37">
            <v>1725</v>
          </cell>
          <cell r="AD37">
            <v>1194.9733333333334</v>
          </cell>
          <cell r="AF37">
            <v>31.349999999999998</v>
          </cell>
          <cell r="AH37">
            <v>162.66333333333333</v>
          </cell>
          <cell r="AJ37">
            <v>-35.574716981131814</v>
          </cell>
        </row>
        <row r="38">
          <cell r="F38" t="str">
            <v>N324L</v>
          </cell>
          <cell r="H38">
            <v>0</v>
          </cell>
          <cell r="N38">
            <v>0</v>
          </cell>
          <cell r="AD38">
            <v>0</v>
          </cell>
          <cell r="AF38">
            <v>0</v>
          </cell>
          <cell r="AH38">
            <v>0</v>
          </cell>
          <cell r="AJ38">
            <v>0</v>
          </cell>
        </row>
        <row r="39">
          <cell r="N39">
            <v>0</v>
          </cell>
          <cell r="AD39">
            <v>0</v>
          </cell>
          <cell r="AF39">
            <v>0</v>
          </cell>
          <cell r="AH39">
            <v>0</v>
          </cell>
          <cell r="AJ39">
            <v>0</v>
          </cell>
        </row>
        <row r="40">
          <cell r="H40">
            <v>0</v>
          </cell>
          <cell r="N40">
            <v>0</v>
          </cell>
          <cell r="AD40">
            <v>0</v>
          </cell>
          <cell r="AF40">
            <v>0</v>
          </cell>
          <cell r="AH40">
            <v>0</v>
          </cell>
          <cell r="AJ40">
            <v>0</v>
          </cell>
        </row>
        <row r="41">
          <cell r="F41" t="str">
            <v>324BR</v>
          </cell>
          <cell r="H41">
            <v>0</v>
          </cell>
          <cell r="N41">
            <v>0</v>
          </cell>
          <cell r="AD41">
            <v>0</v>
          </cell>
          <cell r="AF41">
            <v>0</v>
          </cell>
          <cell r="AH41">
            <v>0</v>
          </cell>
          <cell r="AJ41">
            <v>0</v>
          </cell>
        </row>
        <row r="42">
          <cell r="H42">
            <v>1925.2</v>
          </cell>
          <cell r="N42">
            <v>1113.3029399542907</v>
          </cell>
          <cell r="AD42">
            <v>1026.3981957198916</v>
          </cell>
          <cell r="AF42">
            <v>29.680342044581092</v>
          </cell>
          <cell r="AH42">
            <v>122.72265767223594</v>
          </cell>
          <cell r="AJ42">
            <v>-9.929205219054893E-2</v>
          </cell>
        </row>
        <row r="43">
          <cell r="H43">
            <v>2510.2800000000002</v>
          </cell>
          <cell r="N43">
            <v>1204.7152747900632</v>
          </cell>
          <cell r="AD43">
            <v>1076.095506630913</v>
          </cell>
          <cell r="AF43">
            <v>30.361418328710684</v>
          </cell>
          <cell r="AH43">
            <v>132.29120008593142</v>
          </cell>
          <cell r="AJ43">
            <v>-3.4175497861326676</v>
          </cell>
        </row>
        <row r="44">
          <cell r="H44">
            <v>0</v>
          </cell>
          <cell r="N44">
            <v>0</v>
          </cell>
          <cell r="AD44">
            <v>0</v>
          </cell>
          <cell r="AF44">
            <v>0</v>
          </cell>
          <cell r="AH44">
            <v>0</v>
          </cell>
          <cell r="AJ44">
            <v>0</v>
          </cell>
        </row>
        <row r="45">
          <cell r="F45" t="str">
            <v>548L</v>
          </cell>
          <cell r="H45">
            <v>0</v>
          </cell>
          <cell r="N45">
            <v>0</v>
          </cell>
          <cell r="AD45">
            <v>0</v>
          </cell>
          <cell r="AF45">
            <v>0</v>
          </cell>
          <cell r="AH45">
            <v>0</v>
          </cell>
          <cell r="AJ45">
            <v>0</v>
          </cell>
        </row>
        <row r="46">
          <cell r="H46">
            <v>592.79</v>
          </cell>
          <cell r="N46">
            <v>1986.2135663557076</v>
          </cell>
          <cell r="AD46">
            <v>1455.5667963191343</v>
          </cell>
          <cell r="AF46">
            <v>39.867185276539225</v>
          </cell>
          <cell r="AH46">
            <v>162.66196755526036</v>
          </cell>
          <cell r="AJ46">
            <v>-1658.0958922303387</v>
          </cell>
        </row>
        <row r="47">
          <cell r="F47">
            <v>551</v>
          </cell>
          <cell r="H47">
            <v>149.07999999999998</v>
          </cell>
          <cell r="N47">
            <v>2006.684263482694</v>
          </cell>
          <cell r="AD47">
            <v>1512.4322900031939</v>
          </cell>
          <cell r="AF47">
            <v>37.394841903545192</v>
          </cell>
          <cell r="AH47">
            <v>162.66200894282977</v>
          </cell>
          <cell r="AJ47">
            <v>-23.333379404665493</v>
          </cell>
        </row>
        <row r="48">
          <cell r="F48" t="str">
            <v>551L</v>
          </cell>
          <cell r="H48">
            <v>113.32</v>
          </cell>
          <cell r="N48">
            <v>1773.7610307094953</v>
          </cell>
          <cell r="AD48">
            <v>1254.1684</v>
          </cell>
          <cell r="AF48">
            <v>53.488533333333329</v>
          </cell>
          <cell r="AH48">
            <v>162.66200000000001</v>
          </cell>
          <cell r="AJ48">
            <v>-9.8096251283229776</v>
          </cell>
        </row>
        <row r="49">
          <cell r="F49">
            <v>951</v>
          </cell>
          <cell r="H49">
            <v>209.41</v>
          </cell>
          <cell r="N49">
            <v>2113.1333747194499</v>
          </cell>
          <cell r="AD49">
            <v>1526.1880810613181</v>
          </cell>
          <cell r="AF49">
            <v>39.31520944322574</v>
          </cell>
          <cell r="AH49">
            <v>162.66196594588948</v>
          </cell>
          <cell r="AJ49">
            <v>-9.4467468713114613</v>
          </cell>
        </row>
        <row r="50">
          <cell r="F50">
            <v>552</v>
          </cell>
          <cell r="H50">
            <v>53.48</v>
          </cell>
          <cell r="N50">
            <v>1611.8298429319373</v>
          </cell>
          <cell r="AD50">
            <v>1206.1090405904058</v>
          </cell>
          <cell r="AF50">
            <v>31.396309963099629</v>
          </cell>
          <cell r="AH50">
            <v>162.6619926199262</v>
          </cell>
          <cell r="AJ50">
            <v>-0.38893822077329787</v>
          </cell>
        </row>
        <row r="51">
          <cell r="F51" t="str">
            <v>551S</v>
          </cell>
          <cell r="H51">
            <v>49.460000000000008</v>
          </cell>
          <cell r="N51">
            <v>2211.8204609785685</v>
          </cell>
          <cell r="AD51">
            <v>1568.2975332896749</v>
          </cell>
          <cell r="AF51">
            <v>37.467801790002184</v>
          </cell>
          <cell r="AH51">
            <v>162.66186422178563</v>
          </cell>
          <cell r="AJ51">
            <v>-16.289254371979496</v>
          </cell>
        </row>
        <row r="52">
          <cell r="F52" t="str">
            <v>P551S</v>
          </cell>
          <cell r="H52">
            <v>16.16</v>
          </cell>
          <cell r="N52">
            <v>2264.9684405940593</v>
          </cell>
          <cell r="AD52">
            <v>1554.7390070921986</v>
          </cell>
          <cell r="AF52">
            <v>39.55602836879433</v>
          </cell>
          <cell r="AH52">
            <v>162.66170212765959</v>
          </cell>
          <cell r="AJ52">
            <v>-8.5573731818728902</v>
          </cell>
        </row>
        <row r="53">
          <cell r="F53">
            <v>555</v>
          </cell>
          <cell r="H53">
            <v>1.88</v>
          </cell>
          <cell r="N53">
            <v>1350</v>
          </cell>
          <cell r="AD53">
            <v>0</v>
          </cell>
          <cell r="AF53">
            <v>0</v>
          </cell>
          <cell r="AH53">
            <v>0</v>
          </cell>
          <cell r="AJ53">
            <v>1163.0241935483871</v>
          </cell>
        </row>
        <row r="54">
          <cell r="F54" t="str">
            <v>SC100</v>
          </cell>
          <cell r="H54">
            <v>0</v>
          </cell>
          <cell r="N54">
            <v>0</v>
          </cell>
          <cell r="AD54">
            <v>1522.4209039548025</v>
          </cell>
          <cell r="AF54">
            <v>38.320150659133709</v>
          </cell>
          <cell r="AH54">
            <v>162.66195856873824</v>
          </cell>
          <cell r="AJ54">
            <v>-1723.4025423728815</v>
          </cell>
        </row>
        <row r="55">
          <cell r="F55" t="str">
            <v>SC100</v>
          </cell>
          <cell r="H55">
            <v>219.11999999999998</v>
          </cell>
          <cell r="N55">
            <v>2114.8954910551302</v>
          </cell>
          <cell r="AD55">
            <v>1746.3394521321661</v>
          </cell>
          <cell r="AF55">
            <v>31.389826320248524</v>
          </cell>
          <cell r="AH55">
            <v>162.66195989833381</v>
          </cell>
          <cell r="AJ55">
            <v>5.1880025248917718</v>
          </cell>
        </row>
        <row r="56">
          <cell r="F56">
            <v>590</v>
          </cell>
          <cell r="H56">
            <v>0</v>
          </cell>
          <cell r="N56">
            <v>0</v>
          </cell>
          <cell r="AD56">
            <v>0</v>
          </cell>
          <cell r="AF56">
            <v>0</v>
          </cell>
          <cell r="AH56">
            <v>0</v>
          </cell>
          <cell r="AJ56">
            <v>0</v>
          </cell>
        </row>
        <row r="57">
          <cell r="F57">
            <v>591</v>
          </cell>
          <cell r="H57">
            <v>65.039999999999992</v>
          </cell>
          <cell r="N57">
            <v>2279.3096555965567</v>
          </cell>
          <cell r="AD57">
            <v>1828.3316462440066</v>
          </cell>
          <cell r="AF57">
            <v>31.400106553010122</v>
          </cell>
          <cell r="AH57">
            <v>162.66196057538625</v>
          </cell>
          <cell r="AJ57">
            <v>4.4202704832475774</v>
          </cell>
        </row>
        <row r="58">
          <cell r="F58">
            <v>592</v>
          </cell>
          <cell r="H58">
            <v>138.47999999999999</v>
          </cell>
          <cell r="N58">
            <v>2052.2125938763725</v>
          </cell>
          <cell r="AD58">
            <v>1740.650054347826</v>
          </cell>
          <cell r="AF58">
            <v>31.390869565217393</v>
          </cell>
          <cell r="AH58">
            <v>162.66195652173911</v>
          </cell>
          <cell r="AJ58">
            <v>-2.9052403436614895</v>
          </cell>
        </row>
        <row r="59">
          <cell r="F59" t="str">
            <v>592F</v>
          </cell>
          <cell r="H59">
            <v>0</v>
          </cell>
          <cell r="N59">
            <v>0</v>
          </cell>
          <cell r="AD59">
            <v>0</v>
          </cell>
          <cell r="AF59">
            <v>0</v>
          </cell>
          <cell r="AH59">
            <v>0</v>
          </cell>
          <cell r="AJ59">
            <v>0</v>
          </cell>
        </row>
        <row r="60">
          <cell r="F60">
            <v>593</v>
          </cell>
          <cell r="H60">
            <v>15.6</v>
          </cell>
          <cell r="N60">
            <v>1985.846153846154</v>
          </cell>
          <cell r="AD60">
            <v>1535.2185950413225</v>
          </cell>
          <cell r="AF60">
            <v>31.349999999999998</v>
          </cell>
          <cell r="AH60">
            <v>162.66198347107439</v>
          </cell>
          <cell r="AJ60">
            <v>4.1322314018543693E-4</v>
          </cell>
        </row>
        <row r="61">
          <cell r="F61">
            <v>593</v>
          </cell>
          <cell r="H61">
            <v>147.13</v>
          </cell>
          <cell r="N61">
            <v>1289.6099367905933</v>
          </cell>
          <cell r="AD61">
            <v>1008.1014412416851</v>
          </cell>
          <cell r="AF61">
            <v>49.855955020589164</v>
          </cell>
          <cell r="AH61">
            <v>137.89159011719988</v>
          </cell>
          <cell r="AJ61">
            <v>-15.982709607134211</v>
          </cell>
        </row>
        <row r="62">
          <cell r="F62" t="str">
            <v>N571</v>
          </cell>
          <cell r="H62">
            <v>8.49</v>
          </cell>
          <cell r="N62">
            <v>1407.3969375736158</v>
          </cell>
          <cell r="AD62">
            <v>1077.3517699115046</v>
          </cell>
          <cell r="AF62">
            <v>44.009955752212399</v>
          </cell>
          <cell r="AH62">
            <v>162.66150442477877</v>
          </cell>
          <cell r="AJ62">
            <v>-9.5531236183892361</v>
          </cell>
        </row>
        <row r="63">
          <cell r="F63">
            <v>372</v>
          </cell>
          <cell r="H63">
            <v>100.56</v>
          </cell>
          <cell r="N63">
            <v>1199.9951272871917</v>
          </cell>
          <cell r="AD63">
            <v>947.20153452685418</v>
          </cell>
          <cell r="AF63">
            <v>31.398081841432223</v>
          </cell>
          <cell r="AH63">
            <v>122.66202046035805</v>
          </cell>
          <cell r="AJ63">
            <v>0.83900871126161292</v>
          </cell>
        </row>
        <row r="64">
          <cell r="F64" t="str">
            <v>E548L</v>
          </cell>
          <cell r="H64">
            <v>38.08</v>
          </cell>
          <cell r="N64">
            <v>1500</v>
          </cell>
          <cell r="AD64">
            <v>1114.0530225409836</v>
          </cell>
          <cell r="AF64">
            <v>88.182120901639351</v>
          </cell>
          <cell r="AH64">
            <v>162.66188524590163</v>
          </cell>
          <cell r="AJ64">
            <v>-0.76270413272891346</v>
          </cell>
        </row>
        <row r="65">
          <cell r="F65" t="str">
            <v>E548L</v>
          </cell>
          <cell r="H65">
            <v>7.72</v>
          </cell>
          <cell r="N65">
            <v>0</v>
          </cell>
          <cell r="AD65">
            <v>0</v>
          </cell>
          <cell r="AF65">
            <v>0</v>
          </cell>
          <cell r="AH65">
            <v>0</v>
          </cell>
          <cell r="AJ65">
            <v>0</v>
          </cell>
        </row>
        <row r="66">
          <cell r="F66">
            <v>571</v>
          </cell>
          <cell r="H66">
            <v>366.25</v>
          </cell>
          <cell r="N66">
            <v>1783.3616655290105</v>
          </cell>
          <cell r="AD66">
            <v>1518.7178679558551</v>
          </cell>
          <cell r="AF66">
            <v>37.083504248461772</v>
          </cell>
          <cell r="AH66">
            <v>155.02448969625942</v>
          </cell>
          <cell r="AJ66">
            <v>-72.848930103296652</v>
          </cell>
        </row>
        <row r="67">
          <cell r="H67">
            <v>3469.32</v>
          </cell>
          <cell r="N67">
            <v>1399.3337051641245</v>
          </cell>
          <cell r="AD67">
            <v>1183.7004097828601</v>
          </cell>
          <cell r="AF67">
            <v>32.552320691776686</v>
          </cell>
          <cell r="AH67">
            <v>139.43631150270647</v>
          </cell>
          <cell r="AJ67">
            <v>-9.5643540937712714</v>
          </cell>
        </row>
        <row r="68">
          <cell r="H68">
            <v>599</v>
          </cell>
          <cell r="N68">
            <v>2384.2685475792991</v>
          </cell>
          <cell r="AD68">
            <v>2153.1952971684887</v>
          </cell>
          <cell r="AF68">
            <v>31.393940986823655</v>
          </cell>
          <cell r="AH68">
            <v>122.66197084384636</v>
          </cell>
          <cell r="AJ68">
            <v>-57.986800624510579</v>
          </cell>
        </row>
        <row r="69">
          <cell r="F69">
            <v>110</v>
          </cell>
          <cell r="H69">
            <v>133.84</v>
          </cell>
          <cell r="N69">
            <v>2795.9865511057978</v>
          </cell>
          <cell r="AD69">
            <v>2575.5638169048198</v>
          </cell>
          <cell r="AF69">
            <v>31.395555824654881</v>
          </cell>
          <cell r="AH69">
            <v>122.66196415596997</v>
          </cell>
          <cell r="AJ69">
            <v>-11.307399946535043</v>
          </cell>
        </row>
        <row r="70">
          <cell r="F70">
            <v>111</v>
          </cell>
          <cell r="H70">
            <v>428.72</v>
          </cell>
          <cell r="N70">
            <v>2275.0076273558502</v>
          </cell>
          <cell r="AD70">
            <v>2011.6273303504845</v>
          </cell>
          <cell r="AF70">
            <v>31.393416426973474</v>
          </cell>
          <cell r="AH70">
            <v>122.66197933312027</v>
          </cell>
          <cell r="AJ70">
            <v>-18.052314949243737</v>
          </cell>
        </row>
        <row r="71">
          <cell r="F71">
            <v>113</v>
          </cell>
          <cell r="H71">
            <v>36.44</v>
          </cell>
          <cell r="N71">
            <v>2157.5397914379805</v>
          </cell>
          <cell r="AD71">
            <v>1601.2523271276596</v>
          </cell>
          <cell r="AF71">
            <v>31.391622340425535</v>
          </cell>
          <cell r="AH71">
            <v>122.66190159574469</v>
          </cell>
          <cell r="AJ71">
            <v>-33.073869081847761</v>
          </cell>
        </row>
        <row r="72">
          <cell r="F72" t="str">
            <v>P110</v>
          </cell>
          <cell r="H72">
            <v>0</v>
          </cell>
          <cell r="N72">
            <v>0</v>
          </cell>
          <cell r="AD72">
            <v>0</v>
          </cell>
          <cell r="AF72">
            <v>0</v>
          </cell>
          <cell r="AH72">
            <v>0</v>
          </cell>
          <cell r="AJ72">
            <v>0</v>
          </cell>
        </row>
        <row r="73">
          <cell r="F73" t="str">
            <v>P111</v>
          </cell>
          <cell r="H73">
            <v>0</v>
          </cell>
          <cell r="N73">
            <v>0</v>
          </cell>
          <cell r="AD73">
            <v>0</v>
          </cell>
          <cell r="AF73">
            <v>0</v>
          </cell>
          <cell r="AH73">
            <v>0</v>
          </cell>
          <cell r="AJ73">
            <v>0</v>
          </cell>
        </row>
        <row r="74">
          <cell r="F74" t="str">
            <v>P110</v>
          </cell>
          <cell r="H74">
            <v>0</v>
          </cell>
          <cell r="N74">
            <v>0</v>
          </cell>
          <cell r="AD74">
            <v>0</v>
          </cell>
          <cell r="AF74">
            <v>0</v>
          </cell>
          <cell r="AH74">
            <v>0</v>
          </cell>
          <cell r="AJ74">
            <v>0</v>
          </cell>
        </row>
        <row r="75">
          <cell r="F75" t="str">
            <v>P111</v>
          </cell>
          <cell r="H75">
            <v>2</v>
          </cell>
          <cell r="N75">
            <v>0</v>
          </cell>
          <cell r="AD75">
            <v>0</v>
          </cell>
          <cell r="AF75">
            <v>0</v>
          </cell>
          <cell r="AH75">
            <v>0</v>
          </cell>
          <cell r="AJ75">
            <v>0</v>
          </cell>
        </row>
        <row r="76">
          <cell r="H76">
            <v>0</v>
          </cell>
          <cell r="N76">
            <v>0</v>
          </cell>
          <cell r="AD76">
            <v>0</v>
          </cell>
          <cell r="AF76">
            <v>0</v>
          </cell>
          <cell r="AH76">
            <v>0</v>
          </cell>
          <cell r="AJ76">
            <v>0</v>
          </cell>
        </row>
        <row r="77">
          <cell r="F77">
            <v>134</v>
          </cell>
          <cell r="H77">
            <v>0</v>
          </cell>
          <cell r="N77">
            <v>0</v>
          </cell>
          <cell r="AD77">
            <v>0</v>
          </cell>
          <cell r="AF77">
            <v>0</v>
          </cell>
          <cell r="AH77">
            <v>0</v>
          </cell>
          <cell r="AJ77">
            <v>0</v>
          </cell>
        </row>
        <row r="78">
          <cell r="H78">
            <v>599</v>
          </cell>
          <cell r="N78">
            <v>2384.2685475792991</v>
          </cell>
          <cell r="AD78">
            <v>2153.1952971684887</v>
          </cell>
          <cell r="AF78">
            <v>31.393940986823655</v>
          </cell>
          <cell r="AH78">
            <v>122.66197084384636</v>
          </cell>
          <cell r="AJ78">
            <v>-57.986800624510579</v>
          </cell>
        </row>
        <row r="79">
          <cell r="F79">
            <v>134</v>
          </cell>
          <cell r="H79">
            <v>194.48</v>
          </cell>
          <cell r="N79">
            <v>1549.5594919786097</v>
          </cell>
          <cell r="AD79">
            <v>1346.0294833261771</v>
          </cell>
          <cell r="AF79">
            <v>45.266924287963356</v>
          </cell>
          <cell r="AH79">
            <v>122.66194360956061</v>
          </cell>
          <cell r="AJ79">
            <v>-27.102538336990847</v>
          </cell>
        </row>
        <row r="80">
          <cell r="F80">
            <v>122</v>
          </cell>
          <cell r="H80">
            <v>6.6</v>
          </cell>
          <cell r="N80">
            <v>1999.8242424242426</v>
          </cell>
          <cell r="AD80">
            <v>1493.7322222222222</v>
          </cell>
          <cell r="AF80">
            <v>31.349999999999998</v>
          </cell>
          <cell r="AH80">
            <v>122.66222222222223</v>
          </cell>
          <cell r="AJ80">
            <v>-8.8256746031745479</v>
          </cell>
        </row>
        <row r="81">
          <cell r="F81">
            <v>124</v>
          </cell>
          <cell r="H81">
            <v>127.36</v>
          </cell>
          <cell r="N81">
            <v>1549.0514290201006</v>
          </cell>
          <cell r="AD81">
            <v>1306.868870625173</v>
          </cell>
          <cell r="AF81">
            <v>48.371410102502537</v>
          </cell>
          <cell r="AH81">
            <v>122.66192630898512</v>
          </cell>
          <cell r="AJ81">
            <v>-18.257104769131502</v>
          </cell>
        </row>
        <row r="82">
          <cell r="F82" t="str">
            <v>DJ300</v>
          </cell>
          <cell r="H82">
            <v>44.8</v>
          </cell>
          <cell r="N82">
            <v>1502.0602678571431</v>
          </cell>
          <cell r="AD82">
            <v>1403.7668753402286</v>
          </cell>
          <cell r="AF82">
            <v>31.401197604790418</v>
          </cell>
          <cell r="AH82">
            <v>122.66194882961351</v>
          </cell>
          <cell r="AJ82">
            <v>-13.13184281779786</v>
          </cell>
        </row>
        <row r="83">
          <cell r="F83" t="str">
            <v>N124L</v>
          </cell>
          <cell r="H83">
            <v>15.72</v>
          </cell>
          <cell r="N83">
            <v>1500</v>
          </cell>
          <cell r="AD83">
            <v>1275.3731422505307</v>
          </cell>
          <cell r="AF83">
            <v>88.150212314225058</v>
          </cell>
          <cell r="AH83">
            <v>122.66188959660296</v>
          </cell>
          <cell r="AJ83">
            <v>-7.5609424853810197</v>
          </cell>
        </row>
        <row r="84">
          <cell r="F84" t="str">
            <v>DJ300</v>
          </cell>
          <cell r="H84">
            <v>0</v>
          </cell>
          <cell r="N84">
            <v>0</v>
          </cell>
          <cell r="AD84">
            <v>0</v>
          </cell>
          <cell r="AF84">
            <v>0</v>
          </cell>
          <cell r="AH84">
            <v>0</v>
          </cell>
          <cell r="AJ84">
            <v>0</v>
          </cell>
        </row>
        <row r="85">
          <cell r="F85" t="str">
            <v>N124L</v>
          </cell>
          <cell r="H85">
            <v>9.0399999999999991</v>
          </cell>
          <cell r="N85">
            <v>0</v>
          </cell>
          <cell r="AD85">
            <v>0</v>
          </cell>
          <cell r="AF85">
            <v>0</v>
          </cell>
          <cell r="AH85">
            <v>0</v>
          </cell>
          <cell r="AJ85">
            <v>0</v>
          </cell>
        </row>
        <row r="86">
          <cell r="H86">
            <v>194.48</v>
          </cell>
          <cell r="N86">
            <v>1549.5594919786097</v>
          </cell>
          <cell r="AD86">
            <v>1346.0294833261771</v>
          </cell>
          <cell r="AF86">
            <v>45.266924287963356</v>
          </cell>
          <cell r="AH86">
            <v>122.66194360956061</v>
          </cell>
          <cell r="AJ86">
            <v>-27.102538336990847</v>
          </cell>
        </row>
        <row r="87">
          <cell r="H87">
            <v>793.48</v>
          </cell>
          <cell r="N87">
            <v>2179.6834072692445</v>
          </cell>
          <cell r="AD87">
            <v>1936.3767380467236</v>
          </cell>
          <cell r="AF87">
            <v>35.12046185588148</v>
          </cell>
          <cell r="AH87">
            <v>122.66196352825087</v>
          </cell>
          <cell r="AJ87">
            <v>-31.759228968794105</v>
          </cell>
        </row>
        <row r="88">
          <cell r="H88">
            <v>0</v>
          </cell>
          <cell r="N88">
            <v>0</v>
          </cell>
          <cell r="AD88">
            <v>0</v>
          </cell>
          <cell r="AF88">
            <v>0</v>
          </cell>
          <cell r="AH88">
            <v>0</v>
          </cell>
          <cell r="AJ88">
            <v>0</v>
          </cell>
        </row>
        <row r="89">
          <cell r="F89">
            <v>149</v>
          </cell>
          <cell r="H89">
            <v>0</v>
          </cell>
          <cell r="N89">
            <v>0</v>
          </cell>
          <cell r="AD89">
            <v>0</v>
          </cell>
          <cell r="AF89">
            <v>0</v>
          </cell>
          <cell r="AH89">
            <v>0</v>
          </cell>
          <cell r="AJ89">
            <v>0</v>
          </cell>
        </row>
        <row r="90">
          <cell r="H90">
            <v>1707.98</v>
          </cell>
          <cell r="N90">
            <v>2360.2478190611132</v>
          </cell>
          <cell r="AD90">
            <v>1829.2805719591911</v>
          </cell>
          <cell r="AF90">
            <v>38.114671020289258</v>
          </cell>
          <cell r="AH90">
            <v>122.66197114713505</v>
          </cell>
          <cell r="AJ90">
            <v>-24.407122020625366</v>
          </cell>
        </row>
        <row r="91">
          <cell r="F91">
            <v>808</v>
          </cell>
          <cell r="H91">
            <v>35.58</v>
          </cell>
          <cell r="N91">
            <v>2026.2012366498036</v>
          </cell>
          <cell r="AD91">
            <v>1556.0042775665402</v>
          </cell>
          <cell r="AF91">
            <v>36.425855513307987</v>
          </cell>
          <cell r="AH91">
            <v>122.662072243346</v>
          </cell>
          <cell r="AJ91">
            <v>-36.104575072032958</v>
          </cell>
        </row>
        <row r="92">
          <cell r="F92" t="str">
            <v>N808</v>
          </cell>
          <cell r="H92">
            <v>779.99</v>
          </cell>
          <cell r="N92">
            <v>2248.6951114757881</v>
          </cell>
          <cell r="AD92">
            <v>1690.3123258039022</v>
          </cell>
          <cell r="AF92">
            <v>40.127251549565294</v>
          </cell>
          <cell r="AH92">
            <v>122.66196597196225</v>
          </cell>
          <cell r="AJ92">
            <v>-20.767332941459927</v>
          </cell>
        </row>
        <row r="93">
          <cell r="F93" t="str">
            <v>808S</v>
          </cell>
          <cell r="H93">
            <v>102.71000000000001</v>
          </cell>
          <cell r="N93">
            <v>2754.3515723882774</v>
          </cell>
          <cell r="AD93">
            <v>2190.5448582097083</v>
          </cell>
          <cell r="AF93">
            <v>41.952770208901001</v>
          </cell>
          <cell r="AH93">
            <v>122.66192350388535</v>
          </cell>
          <cell r="AJ93">
            <v>-23.73617749230425</v>
          </cell>
        </row>
        <row r="94">
          <cell r="F94" t="str">
            <v>P800</v>
          </cell>
          <cell r="H94">
            <v>78.8</v>
          </cell>
          <cell r="N94">
            <v>2400.848350253807</v>
          </cell>
          <cell r="AD94">
            <v>1931.568720379147</v>
          </cell>
          <cell r="AF94">
            <v>37.782180094786732</v>
          </cell>
          <cell r="AH94">
            <v>122.66199052132701</v>
          </cell>
          <cell r="AJ94">
            <v>-4.1039961165542991</v>
          </cell>
        </row>
        <row r="95">
          <cell r="F95" t="str">
            <v>N800</v>
          </cell>
          <cell r="H95">
            <v>652.46</v>
          </cell>
          <cell r="N95">
            <v>2447.8684976856821</v>
          </cell>
          <cell r="AD95">
            <v>1937.9173678122672</v>
          </cell>
          <cell r="AF95">
            <v>35.760231972239389</v>
          </cell>
          <cell r="AH95">
            <v>122.66197651756428</v>
          </cell>
          <cell r="AJ95">
            <v>-17.067434661502375</v>
          </cell>
        </row>
        <row r="96">
          <cell r="F96" t="str">
            <v>P808</v>
          </cell>
          <cell r="H96">
            <v>58.44</v>
          </cell>
          <cell r="N96">
            <v>2326.8574606433949</v>
          </cell>
          <cell r="AD96">
            <v>1697.6667144495411</v>
          </cell>
          <cell r="AF96">
            <v>34.169581422018346</v>
          </cell>
          <cell r="AH96">
            <v>122.66198394495412</v>
          </cell>
          <cell r="AJ96">
            <v>-11.228611079453458</v>
          </cell>
        </row>
        <row r="97">
          <cell r="F97" t="str">
            <v>N800</v>
          </cell>
          <cell r="H97">
            <v>64.58</v>
          </cell>
          <cell r="N97">
            <v>2850.4403840198202</v>
          </cell>
          <cell r="AD97">
            <v>2032.6953208843104</v>
          </cell>
          <cell r="AF97">
            <v>36.661408027473719</v>
          </cell>
          <cell r="AH97">
            <v>122.66205194247695</v>
          </cell>
          <cell r="AJ97">
            <v>21.115259704807158</v>
          </cell>
        </row>
        <row r="98">
          <cell r="F98">
            <v>156</v>
          </cell>
          <cell r="H98">
            <v>4.68</v>
          </cell>
          <cell r="N98">
            <v>2142.3311965811963</v>
          </cell>
          <cell r="AD98">
            <v>1441.0869565217392</v>
          </cell>
          <cell r="AF98">
            <v>69.501672240802677</v>
          </cell>
          <cell r="AH98">
            <v>122.66220735785951</v>
          </cell>
          <cell r="AJ98">
            <v>-14.58935286681276</v>
          </cell>
        </row>
        <row r="99">
          <cell r="F99">
            <v>157</v>
          </cell>
          <cell r="H99">
            <v>4.8600000000000003</v>
          </cell>
          <cell r="N99">
            <v>2424.6604938271603</v>
          </cell>
          <cell r="AD99">
            <v>1629.8247078464105</v>
          </cell>
          <cell r="AF99">
            <v>67.467445742904843</v>
          </cell>
          <cell r="AH99">
            <v>122.66277128547578</v>
          </cell>
          <cell r="AJ99">
            <v>-14.63896971142367</v>
          </cell>
        </row>
        <row r="100">
          <cell r="F100">
            <v>2150</v>
          </cell>
          <cell r="H100">
            <v>30.4</v>
          </cell>
          <cell r="N100">
            <v>3113.9355263157895</v>
          </cell>
          <cell r="AD100">
            <v>2388.685650887574</v>
          </cell>
          <cell r="AF100">
            <v>37.248150887573971</v>
          </cell>
          <cell r="AH100">
            <v>122.66198224852072</v>
          </cell>
          <cell r="AJ100">
            <v>-23.679608340755294</v>
          </cell>
        </row>
        <row r="101">
          <cell r="F101" t="str">
            <v>2151-35</v>
          </cell>
          <cell r="H101">
            <v>6</v>
          </cell>
          <cell r="N101">
            <v>2279.0766666666664</v>
          </cell>
          <cell r="AD101">
            <v>1614.1818936877078</v>
          </cell>
          <cell r="AF101">
            <v>31.454318936877076</v>
          </cell>
          <cell r="AH101">
            <v>122.66196013289037</v>
          </cell>
          <cell r="AJ101">
            <v>0</v>
          </cell>
        </row>
        <row r="102">
          <cell r="F102" t="str">
            <v>2151-37</v>
          </cell>
          <cell r="H102">
            <v>9.44</v>
          </cell>
          <cell r="N102">
            <v>2645.6165254237289</v>
          </cell>
          <cell r="AD102">
            <v>1764.2759955752215</v>
          </cell>
          <cell r="AF102">
            <v>31.419247787610619</v>
          </cell>
          <cell r="AH102">
            <v>122.6620575221239</v>
          </cell>
          <cell r="AJ102">
            <v>0</v>
          </cell>
        </row>
        <row r="103">
          <cell r="F103" t="str">
            <v>2151-39</v>
          </cell>
          <cell r="H103">
            <v>6.68</v>
          </cell>
          <cell r="N103">
            <v>3036.1047904191619</v>
          </cell>
          <cell r="AD103">
            <v>2046.5293333333332</v>
          </cell>
          <cell r="AF103">
            <v>31.433333333333334</v>
          </cell>
          <cell r="AH103">
            <v>122.66200000000001</v>
          </cell>
          <cell r="AJ103">
            <v>0</v>
          </cell>
        </row>
        <row r="104">
          <cell r="F104" t="str">
            <v>2151-41</v>
          </cell>
          <cell r="H104">
            <v>2.52</v>
          </cell>
          <cell r="N104">
            <v>3443.4841269841268</v>
          </cell>
          <cell r="AD104">
            <v>2384.8995016611298</v>
          </cell>
          <cell r="AF104">
            <v>31.454318936877076</v>
          </cell>
          <cell r="AH104">
            <v>122.66196013289037</v>
          </cell>
          <cell r="AJ104">
            <v>0</v>
          </cell>
        </row>
        <row r="105">
          <cell r="F105" t="str">
            <v>2151-39</v>
          </cell>
          <cell r="H105">
            <v>1772.56</v>
          </cell>
          <cell r="N105">
            <v>2378.1070936949955</v>
          </cell>
          <cell r="AD105">
            <v>1840.1684636815351</v>
          </cell>
          <cell r="AF105">
            <v>38.036884280667486</v>
          </cell>
          <cell r="AH105">
            <v>122.6619754717523</v>
          </cell>
          <cell r="AJ105">
            <v>-26.200601597958666</v>
          </cell>
        </row>
        <row r="106">
          <cell r="F106" t="str">
            <v>2151-41</v>
          </cell>
          <cell r="H106">
            <v>45.820000000000007</v>
          </cell>
          <cell r="N106">
            <v>1500.0111305106936</v>
          </cell>
          <cell r="AD106">
            <v>1210.5852478839179</v>
          </cell>
          <cell r="AF106">
            <v>58.882708585247883</v>
          </cell>
          <cell r="AH106">
            <v>122.66203143893591</v>
          </cell>
          <cell r="AJ106">
            <v>-58.58940576012219</v>
          </cell>
        </row>
        <row r="107">
          <cell r="F107">
            <v>172</v>
          </cell>
          <cell r="H107">
            <v>0.1</v>
          </cell>
          <cell r="N107">
            <v>1698</v>
          </cell>
          <cell r="AD107">
            <v>0</v>
          </cell>
          <cell r="AF107">
            <v>0</v>
          </cell>
          <cell r="AH107">
            <v>0</v>
          </cell>
          <cell r="AJ107">
            <v>1175.5531914893618</v>
          </cell>
        </row>
        <row r="108">
          <cell r="F108" t="str">
            <v>172D</v>
          </cell>
          <cell r="H108">
            <v>16.920000000000002</v>
          </cell>
          <cell r="N108">
            <v>1309.5029550827423</v>
          </cell>
          <cell r="AD108">
            <v>986.9666666666667</v>
          </cell>
          <cell r="AF108">
            <v>37.164999999999999</v>
          </cell>
          <cell r="AH108">
            <v>122.66166666666668</v>
          </cell>
          <cell r="AJ108">
            <v>11.674515890613293</v>
          </cell>
        </row>
        <row r="109">
          <cell r="F109" t="str">
            <v>N182</v>
          </cell>
          <cell r="H109">
            <v>28.8</v>
          </cell>
          <cell r="N109">
            <v>1611.247222222222</v>
          </cell>
          <cell r="AD109">
            <v>1260.1314623338258</v>
          </cell>
          <cell r="AF109">
            <v>63.69460856720827</v>
          </cell>
          <cell r="AH109">
            <v>122.66211225997047</v>
          </cell>
          <cell r="AJ109">
            <v>-9.5438030914797309</v>
          </cell>
        </row>
        <row r="110">
          <cell r="F110">
            <v>172</v>
          </cell>
          <cell r="H110">
            <v>2611.86</v>
          </cell>
          <cell r="N110">
            <v>2302.4217262793568</v>
          </cell>
          <cell r="AD110">
            <v>1861.4065482762132</v>
          </cell>
          <cell r="AF110">
            <v>37.415885618535313</v>
          </cell>
          <cell r="AH110">
            <v>122.66197254782206</v>
          </cell>
          <cell r="AJ110">
            <v>-31.411747916129571</v>
          </cell>
        </row>
        <row r="111">
          <cell r="F111" t="str">
            <v>172D</v>
          </cell>
          <cell r="H111">
            <v>6081.18</v>
          </cell>
          <cell r="N111">
            <v>1787.2089989113956</v>
          </cell>
          <cell r="AD111">
            <v>1467.5887726318551</v>
          </cell>
          <cell r="AF111">
            <v>34.589648386250325</v>
          </cell>
          <cell r="AH111">
            <v>132.40960869850431</v>
          </cell>
          <cell r="AJ111">
            <v>-11.888409494628149</v>
          </cell>
        </row>
      </sheetData>
      <sheetData sheetId="6" refreshError="1">
        <row r="7">
          <cell r="H7">
            <v>502.84000000000003</v>
          </cell>
          <cell r="N7">
            <v>1537.8820698432901</v>
          </cell>
          <cell r="AD7">
            <v>1236.9433156758439</v>
          </cell>
          <cell r="AF7">
            <v>33.233039339213214</v>
          </cell>
          <cell r="AH7">
            <v>154.58563817327521</v>
          </cell>
          <cell r="AJ7">
            <v>4.6259632192727622</v>
          </cell>
        </row>
        <row r="8">
          <cell r="F8">
            <v>510</v>
          </cell>
          <cell r="H8">
            <v>212.92</v>
          </cell>
          <cell r="N8">
            <v>1709.3103513056546</v>
          </cell>
          <cell r="AD8">
            <v>1322.2558364095589</v>
          </cell>
          <cell r="AF8">
            <v>31.042604363511423</v>
          </cell>
          <cell r="AH8">
            <v>155.42842131761228</v>
          </cell>
          <cell r="AJ8">
            <v>-0.72686209068274366</v>
          </cell>
        </row>
        <row r="9">
          <cell r="F9">
            <v>511</v>
          </cell>
          <cell r="H9">
            <v>0</v>
          </cell>
          <cell r="N9">
            <v>0</v>
          </cell>
          <cell r="AD9">
            <v>0</v>
          </cell>
          <cell r="AF9">
            <v>0</v>
          </cell>
          <cell r="AH9">
            <v>0</v>
          </cell>
          <cell r="AJ9">
            <v>0</v>
          </cell>
        </row>
        <row r="10">
          <cell r="F10">
            <v>513</v>
          </cell>
          <cell r="H10">
            <v>0</v>
          </cell>
          <cell r="N10">
            <v>0</v>
          </cell>
          <cell r="AD10">
            <v>0</v>
          </cell>
          <cell r="AF10">
            <v>0</v>
          </cell>
          <cell r="AH10">
            <v>0</v>
          </cell>
          <cell r="AJ10">
            <v>0</v>
          </cell>
        </row>
        <row r="11">
          <cell r="F11" t="str">
            <v>510L</v>
          </cell>
          <cell r="H11">
            <v>14.68</v>
          </cell>
          <cell r="N11">
            <v>1524.6737057220707</v>
          </cell>
          <cell r="AD11">
            <v>1250.118541330585</v>
          </cell>
          <cell r="AF11">
            <v>31.076543209876544</v>
          </cell>
          <cell r="AH11">
            <v>155.4284213176123</v>
          </cell>
          <cell r="AJ11">
            <v>-15.623505858073713</v>
          </cell>
        </row>
        <row r="12">
          <cell r="F12" t="str">
            <v>N510L</v>
          </cell>
          <cell r="H12">
            <v>20.239999999999998</v>
          </cell>
          <cell r="N12">
            <v>1692.3458498023717</v>
          </cell>
          <cell r="AD12">
            <v>1258.9359513968502</v>
          </cell>
          <cell r="AF12">
            <v>88.657195571955711</v>
          </cell>
          <cell r="AH12">
            <v>155.4284213176123</v>
          </cell>
          <cell r="AJ12">
            <v>-11.02156828641796</v>
          </cell>
        </row>
        <row r="13">
          <cell r="F13" t="str">
            <v>511L</v>
          </cell>
          <cell r="H13">
            <v>228.88</v>
          </cell>
          <cell r="N13">
            <v>1382.8860101363157</v>
          </cell>
          <cell r="AD13">
            <v>1176.0423192287324</v>
          </cell>
          <cell r="AF13">
            <v>31.04798018882526</v>
          </cell>
          <cell r="AH13">
            <v>155.4284213176123</v>
          </cell>
          <cell r="AJ13">
            <v>-0.51872073516983619</v>
          </cell>
        </row>
        <row r="14">
          <cell r="F14" t="str">
            <v>513L</v>
          </cell>
          <cell r="H14">
            <v>19.72</v>
          </cell>
          <cell r="N14">
            <v>1331.6643002028397</v>
          </cell>
          <cell r="AD14">
            <v>1106.3016038848768</v>
          </cell>
          <cell r="AF14">
            <v>31.041005291005291</v>
          </cell>
          <cell r="AH14">
            <v>155.42842131761228</v>
          </cell>
          <cell r="AJ14">
            <v>0.22896950650579129</v>
          </cell>
        </row>
        <row r="15">
          <cell r="F15">
            <v>710</v>
          </cell>
          <cell r="H15">
            <v>4.2</v>
          </cell>
          <cell r="N15">
            <v>1700</v>
          </cell>
          <cell r="AD15">
            <v>0</v>
          </cell>
          <cell r="AF15">
            <v>0</v>
          </cell>
          <cell r="AH15">
            <v>0</v>
          </cell>
          <cell r="AJ15">
            <v>1537</v>
          </cell>
        </row>
        <row r="16">
          <cell r="F16" t="str">
            <v>711L</v>
          </cell>
          <cell r="H16">
            <v>0</v>
          </cell>
          <cell r="N16">
            <v>0</v>
          </cell>
          <cell r="AD16">
            <v>0</v>
          </cell>
          <cell r="AF16">
            <v>0</v>
          </cell>
          <cell r="AH16">
            <v>0</v>
          </cell>
          <cell r="AJ16">
            <v>0</v>
          </cell>
        </row>
        <row r="17">
          <cell r="F17" t="str">
            <v>311L</v>
          </cell>
          <cell r="H17">
            <v>2.2000000000000002</v>
          </cell>
          <cell r="N17">
            <v>1277.9999999999998</v>
          </cell>
          <cell r="AD17">
            <v>1182.8798589157673</v>
          </cell>
          <cell r="AF17">
            <v>31.137168141592927</v>
          </cell>
          <cell r="AH17">
            <v>115.42842131761229</v>
          </cell>
          <cell r="AJ17">
            <v>-0.44544837497232947</v>
          </cell>
        </row>
        <row r="18">
          <cell r="F18" t="str">
            <v>313L</v>
          </cell>
          <cell r="H18">
            <v>0</v>
          </cell>
          <cell r="N18">
            <v>0</v>
          </cell>
          <cell r="AD18">
            <v>1111.6720522708144</v>
          </cell>
          <cell r="AF18">
            <v>31</v>
          </cell>
          <cell r="AH18">
            <v>115.42842131761228</v>
          </cell>
          <cell r="AJ18">
            <v>-1258.1004735884269</v>
          </cell>
        </row>
        <row r="19">
          <cell r="H19">
            <v>21.48</v>
          </cell>
          <cell r="N19">
            <v>1389.0214152700187</v>
          </cell>
          <cell r="AD19">
            <v>1204.0746889890279</v>
          </cell>
          <cell r="AF19">
            <v>31.074698795180723</v>
          </cell>
          <cell r="AH19">
            <v>133.54890324532312</v>
          </cell>
          <cell r="AJ19">
            <v>5.5922117637642259</v>
          </cell>
        </row>
        <row r="20">
          <cell r="F20">
            <v>331</v>
          </cell>
          <cell r="H20">
            <v>0</v>
          </cell>
          <cell r="N20">
            <v>0</v>
          </cell>
          <cell r="AD20">
            <v>0</v>
          </cell>
          <cell r="AF20">
            <v>0</v>
          </cell>
          <cell r="AH20">
            <v>0</v>
          </cell>
          <cell r="AJ20">
            <v>0</v>
          </cell>
        </row>
        <row r="21">
          <cell r="F21">
            <v>332</v>
          </cell>
          <cell r="H21">
            <v>0</v>
          </cell>
          <cell r="N21">
            <v>0</v>
          </cell>
          <cell r="AD21">
            <v>1177.1195391977717</v>
          </cell>
          <cell r="AF21">
            <v>30.999999999999996</v>
          </cell>
          <cell r="AH21">
            <v>115.42842131761228</v>
          </cell>
          <cell r="AJ21">
            <v>-1323.5479605153841</v>
          </cell>
        </row>
        <row r="22">
          <cell r="F22">
            <v>334</v>
          </cell>
          <cell r="H22">
            <v>8.8800000000000008</v>
          </cell>
          <cell r="N22">
            <v>1373.7905405405404</v>
          </cell>
          <cell r="AD22">
            <v>1205.6566998009357</v>
          </cell>
          <cell r="AF22">
            <v>31.082666666666668</v>
          </cell>
          <cell r="AH22">
            <v>115.42842131761228</v>
          </cell>
          <cell r="AJ22">
            <v>-0.16778778521484128</v>
          </cell>
        </row>
        <row r="23">
          <cell r="F23">
            <v>531</v>
          </cell>
          <cell r="H23">
            <v>0</v>
          </cell>
          <cell r="N23">
            <v>0</v>
          </cell>
          <cell r="AD23">
            <v>0</v>
          </cell>
          <cell r="AF23">
            <v>0</v>
          </cell>
          <cell r="AH23">
            <v>0</v>
          </cell>
          <cell r="AJ23">
            <v>0</v>
          </cell>
        </row>
        <row r="24">
          <cell r="F24" t="str">
            <v>531N</v>
          </cell>
          <cell r="H24">
            <v>0</v>
          </cell>
          <cell r="N24">
            <v>0</v>
          </cell>
          <cell r="AD24">
            <v>0</v>
          </cell>
          <cell r="AF24">
            <v>0</v>
          </cell>
          <cell r="AH24">
            <v>0</v>
          </cell>
          <cell r="AJ24">
            <v>0</v>
          </cell>
        </row>
        <row r="25">
          <cell r="F25">
            <v>532</v>
          </cell>
          <cell r="H25">
            <v>0</v>
          </cell>
          <cell r="N25">
            <v>0</v>
          </cell>
          <cell r="AD25">
            <v>0</v>
          </cell>
          <cell r="AF25">
            <v>0</v>
          </cell>
          <cell r="AH25">
            <v>0</v>
          </cell>
          <cell r="AJ25">
            <v>0</v>
          </cell>
        </row>
        <row r="26">
          <cell r="F26" t="str">
            <v>532N</v>
          </cell>
          <cell r="H26">
            <v>0</v>
          </cell>
          <cell r="N26">
            <v>0</v>
          </cell>
          <cell r="AD26">
            <v>0</v>
          </cell>
          <cell r="AF26">
            <v>0</v>
          </cell>
          <cell r="AH26">
            <v>0</v>
          </cell>
          <cell r="AJ26">
            <v>0</v>
          </cell>
        </row>
        <row r="27">
          <cell r="F27" t="str">
            <v>533N</v>
          </cell>
          <cell r="H27">
            <v>0</v>
          </cell>
          <cell r="N27">
            <v>0</v>
          </cell>
          <cell r="AD27">
            <v>0</v>
          </cell>
          <cell r="AF27">
            <v>0</v>
          </cell>
          <cell r="AH27">
            <v>0</v>
          </cell>
          <cell r="AJ27">
            <v>0</v>
          </cell>
        </row>
        <row r="28">
          <cell r="F28">
            <v>534</v>
          </cell>
          <cell r="H28">
            <v>0</v>
          </cell>
          <cell r="N28">
            <v>0</v>
          </cell>
          <cell r="AD28">
            <v>0</v>
          </cell>
          <cell r="AF28">
            <v>0</v>
          </cell>
          <cell r="AH28">
            <v>0</v>
          </cell>
          <cell r="AJ28">
            <v>0</v>
          </cell>
        </row>
        <row r="29">
          <cell r="F29" t="str">
            <v>534N</v>
          </cell>
          <cell r="H29">
            <v>12.6</v>
          </cell>
          <cell r="N29">
            <v>1399.7555555555555</v>
          </cell>
          <cell r="AD29">
            <v>1208.1603346779748</v>
          </cell>
          <cell r="AF29">
            <v>31.082446808510642</v>
          </cell>
          <cell r="AH29">
            <v>155.42842131761228</v>
          </cell>
          <cell r="AJ29">
            <v>-4.6712028040976747</v>
          </cell>
        </row>
        <row r="30">
          <cell r="F30" t="str">
            <v>535N</v>
          </cell>
          <cell r="H30">
            <v>0</v>
          </cell>
          <cell r="N30">
            <v>0</v>
          </cell>
          <cell r="AD30">
            <v>0</v>
          </cell>
          <cell r="AF30">
            <v>0</v>
          </cell>
          <cell r="AH30">
            <v>0</v>
          </cell>
          <cell r="AJ30">
            <v>0</v>
          </cell>
        </row>
        <row r="31">
          <cell r="H31">
            <v>524.32000000000005</v>
          </cell>
          <cell r="N31">
            <v>1531.7836435764418</v>
          </cell>
          <cell r="AD31">
            <v>1235.1385419162475</v>
          </cell>
          <cell r="AF31">
            <v>33.114527652818204</v>
          </cell>
          <cell r="AH31">
            <v>153.43053827977161</v>
          </cell>
          <cell r="AJ31">
            <v>5.44715199248094</v>
          </cell>
        </row>
        <row r="32">
          <cell r="H32">
            <v>2024.0399999999997</v>
          </cell>
          <cell r="N32">
            <v>1134.5821969921544</v>
          </cell>
          <cell r="AD32">
            <v>1025.3901864744605</v>
          </cell>
          <cell r="AF32">
            <v>31.123607562595808</v>
          </cell>
          <cell r="AH32">
            <v>115.9449104493288</v>
          </cell>
          <cell r="AJ32">
            <v>-1.261870431721718</v>
          </cell>
        </row>
        <row r="33">
          <cell r="F33">
            <v>321</v>
          </cell>
          <cell r="H33">
            <v>158.84</v>
          </cell>
          <cell r="N33">
            <v>1633.174830017628</v>
          </cell>
          <cell r="AD33">
            <v>1191.649317565485</v>
          </cell>
          <cell r="AF33">
            <v>31.968586879849518</v>
          </cell>
          <cell r="AH33">
            <v>115.42842131761226</v>
          </cell>
          <cell r="AJ33">
            <v>-1.0463257629469354</v>
          </cell>
        </row>
        <row r="34">
          <cell r="F34">
            <v>322</v>
          </cell>
          <cell r="H34">
            <v>385.8</v>
          </cell>
          <cell r="N34">
            <v>1085.6628823224469</v>
          </cell>
          <cell r="AD34">
            <v>996.14853385131335</v>
          </cell>
          <cell r="AF34">
            <v>31.045836798817113</v>
          </cell>
          <cell r="AH34">
            <v>115.42842131761229</v>
          </cell>
          <cell r="AJ34">
            <v>-0.62279196774284173</v>
          </cell>
        </row>
        <row r="35">
          <cell r="F35" t="str">
            <v>324C</v>
          </cell>
          <cell r="H35">
            <v>1462</v>
          </cell>
          <cell r="N35">
            <v>1086.809705882353</v>
          </cell>
          <cell r="AD35">
            <v>1010.5878427172153</v>
          </cell>
          <cell r="AF35">
            <v>31.046741202241758</v>
          </cell>
          <cell r="AH35">
            <v>115.42842131761228</v>
          </cell>
          <cell r="AJ35">
            <v>0.93699476293068074</v>
          </cell>
        </row>
        <row r="36">
          <cell r="F36" t="str">
            <v>324L</v>
          </cell>
          <cell r="H36">
            <v>0.32</v>
          </cell>
          <cell r="N36">
            <v>1170</v>
          </cell>
          <cell r="AD36">
            <v>0</v>
          </cell>
          <cell r="AF36">
            <v>0</v>
          </cell>
          <cell r="AH36">
            <v>0</v>
          </cell>
          <cell r="AJ36">
            <v>1175</v>
          </cell>
        </row>
        <row r="37">
          <cell r="F37">
            <v>521</v>
          </cell>
          <cell r="H37">
            <v>17.079999999999998</v>
          </cell>
          <cell r="N37">
            <v>1691.2956674473071</v>
          </cell>
          <cell r="AD37">
            <v>1222.7129017193258</v>
          </cell>
          <cell r="AF37">
            <v>31.047184170471837</v>
          </cell>
          <cell r="AH37">
            <v>155.42842131761228</v>
          </cell>
          <cell r="AJ37">
            <v>-0.18850720740988436</v>
          </cell>
        </row>
        <row r="38">
          <cell r="F38" t="str">
            <v>N324L</v>
          </cell>
          <cell r="H38">
            <v>0</v>
          </cell>
          <cell r="N38">
            <v>0</v>
          </cell>
          <cell r="AD38">
            <v>0</v>
          </cell>
          <cell r="AF38">
            <v>0</v>
          </cell>
          <cell r="AH38">
            <v>0</v>
          </cell>
          <cell r="AJ38">
            <v>0</v>
          </cell>
        </row>
        <row r="39">
          <cell r="N39">
            <v>0</v>
          </cell>
          <cell r="AD39">
            <v>0</v>
          </cell>
          <cell r="AF39">
            <v>0</v>
          </cell>
          <cell r="AH39">
            <v>0</v>
          </cell>
          <cell r="AJ39">
            <v>0</v>
          </cell>
        </row>
        <row r="40">
          <cell r="H40">
            <v>12.04</v>
          </cell>
          <cell r="N40">
            <v>1280.0323920265782</v>
          </cell>
          <cell r="AD40">
            <v>1196.3672968353465</v>
          </cell>
          <cell r="AF40">
            <v>31.082228116710876</v>
          </cell>
          <cell r="AH40">
            <v>115.42842131761228</v>
          </cell>
          <cell r="AJ40">
            <v>-0.87794626966979195</v>
          </cell>
        </row>
        <row r="41">
          <cell r="F41" t="str">
            <v>324BR</v>
          </cell>
          <cell r="H41">
            <v>12.04</v>
          </cell>
          <cell r="N41">
            <v>1280.0323920265782</v>
          </cell>
          <cell r="AD41">
            <v>1196.3672968353465</v>
          </cell>
          <cell r="AF41">
            <v>31.082228116710876</v>
          </cell>
          <cell r="AH41">
            <v>115.42842131761228</v>
          </cell>
          <cell r="AJ41">
            <v>-0.87794626966979195</v>
          </cell>
        </row>
        <row r="42">
          <cell r="H42">
            <v>2036.0799999999997</v>
          </cell>
          <cell r="N42">
            <v>1135.4422910691133</v>
          </cell>
          <cell r="AD42">
            <v>1026.6476899490904</v>
          </cell>
          <cell r="AF42">
            <v>31.123303224799542</v>
          </cell>
          <cell r="AH42">
            <v>115.94111177197151</v>
          </cell>
          <cell r="AJ42">
            <v>-1.5052564919690212</v>
          </cell>
        </row>
        <row r="43">
          <cell r="H43">
            <v>2560.3999999999996</v>
          </cell>
          <cell r="N43">
            <v>1216.6052726136541</v>
          </cell>
          <cell r="AD43">
            <v>1074.1286348581004</v>
          </cell>
          <cell r="AF43">
            <v>31.576777401129942</v>
          </cell>
          <cell r="AH43">
            <v>124.47881679783826</v>
          </cell>
          <cell r="AJ43">
            <v>-5.7739337907034951</v>
          </cell>
        </row>
        <row r="44">
          <cell r="H44">
            <v>0</v>
          </cell>
          <cell r="N44">
            <v>0</v>
          </cell>
          <cell r="AD44">
            <v>0</v>
          </cell>
          <cell r="AF44">
            <v>0</v>
          </cell>
          <cell r="AH44">
            <v>0</v>
          </cell>
          <cell r="AJ44">
            <v>0</v>
          </cell>
        </row>
        <row r="45">
          <cell r="F45" t="str">
            <v>548L</v>
          </cell>
          <cell r="H45">
            <v>0</v>
          </cell>
          <cell r="N45">
            <v>0</v>
          </cell>
          <cell r="AD45">
            <v>0</v>
          </cell>
          <cell r="AF45">
            <v>0</v>
          </cell>
          <cell r="AH45">
            <v>0</v>
          </cell>
          <cell r="AJ45">
            <v>0</v>
          </cell>
        </row>
        <row r="46">
          <cell r="H46">
            <v>468.51000000000005</v>
          </cell>
          <cell r="N46">
            <v>2041.2319907792789</v>
          </cell>
          <cell r="AD46">
            <v>1456.2701481871886</v>
          </cell>
          <cell r="AF46">
            <v>40.065856073370277</v>
          </cell>
          <cell r="AH46">
            <v>155.4284213176123</v>
          </cell>
          <cell r="AJ46">
            <v>-1651.7644255781713</v>
          </cell>
        </row>
        <row r="47">
          <cell r="F47">
            <v>551</v>
          </cell>
          <cell r="H47">
            <v>100.72</v>
          </cell>
          <cell r="N47">
            <v>2059.6190428911837</v>
          </cell>
          <cell r="AD47">
            <v>1500.472286992891</v>
          </cell>
          <cell r="AF47">
            <v>40.563049327354257</v>
          </cell>
          <cell r="AH47">
            <v>155.42842131761228</v>
          </cell>
          <cell r="AJ47">
            <v>-4.4637576378574977</v>
          </cell>
        </row>
        <row r="48">
          <cell r="F48" t="str">
            <v>551L</v>
          </cell>
          <cell r="H48">
            <v>77.650000000000006</v>
          </cell>
          <cell r="N48">
            <v>1843.2436574372182</v>
          </cell>
          <cell r="AD48">
            <v>1276.8753802142403</v>
          </cell>
          <cell r="AF48">
            <v>48.572383746776914</v>
          </cell>
          <cell r="AH48">
            <v>155.42842131761228</v>
          </cell>
          <cell r="AJ48">
            <v>-2.8761852786294639</v>
          </cell>
        </row>
        <row r="49">
          <cell r="F49">
            <v>951</v>
          </cell>
          <cell r="H49">
            <v>172.63</v>
          </cell>
          <cell r="N49">
            <v>2139.7998030469794</v>
          </cell>
          <cell r="AD49">
            <v>1528.3746072437086</v>
          </cell>
          <cell r="AF49">
            <v>39.687288349759918</v>
          </cell>
          <cell r="AH49">
            <v>155.4284213176123</v>
          </cell>
          <cell r="AJ49">
            <v>-1.4903169110809813</v>
          </cell>
        </row>
        <row r="50">
          <cell r="F50">
            <v>552</v>
          </cell>
          <cell r="H50">
            <v>57.04</v>
          </cell>
          <cell r="N50">
            <v>1709.8939340813465</v>
          </cell>
          <cell r="AD50">
            <v>1221.3001411024527</v>
          </cell>
          <cell r="AF50">
            <v>31.042906574394465</v>
          </cell>
          <cell r="AH50">
            <v>155.4284213176123</v>
          </cell>
          <cell r="AJ50">
            <v>-0.77146899445938288</v>
          </cell>
        </row>
        <row r="51">
          <cell r="F51" t="str">
            <v>551S</v>
          </cell>
          <cell r="H51">
            <v>42.23</v>
          </cell>
          <cell r="N51">
            <v>2301.3459625858395</v>
          </cell>
          <cell r="AD51">
            <v>1562.856469410171</v>
          </cell>
          <cell r="AF51">
            <v>36.707879977565909</v>
          </cell>
          <cell r="AH51">
            <v>155.4284213176123</v>
          </cell>
          <cell r="AJ51">
            <v>-0.99277070534913037</v>
          </cell>
        </row>
        <row r="52">
          <cell r="F52" t="str">
            <v>P551S</v>
          </cell>
          <cell r="H52">
            <v>13.52</v>
          </cell>
          <cell r="N52">
            <v>2385.1974852071007</v>
          </cell>
          <cell r="AD52">
            <v>1571.5059799836622</v>
          </cell>
          <cell r="AF52">
            <v>36.392149292149291</v>
          </cell>
          <cell r="AH52">
            <v>155.42842131761228</v>
          </cell>
          <cell r="AJ52">
            <v>-1.3265505934239172</v>
          </cell>
        </row>
        <row r="53">
          <cell r="F53">
            <v>2551</v>
          </cell>
          <cell r="H53">
            <v>3.12</v>
          </cell>
          <cell r="N53">
            <v>2323.2051282051284</v>
          </cell>
          <cell r="AD53">
            <v>1582.7982474230016</v>
          </cell>
          <cell r="AF53">
            <v>38.573447204968943</v>
          </cell>
          <cell r="AH53">
            <v>155.42842131761228</v>
          </cell>
          <cell r="AJ53">
            <v>-0.80011594558277466</v>
          </cell>
        </row>
        <row r="54">
          <cell r="F54">
            <v>555</v>
          </cell>
          <cell r="H54">
            <v>1.6</v>
          </cell>
          <cell r="N54">
            <v>1348</v>
          </cell>
          <cell r="AD54">
            <v>0</v>
          </cell>
          <cell r="AF54">
            <v>0</v>
          </cell>
          <cell r="AH54">
            <v>0</v>
          </cell>
          <cell r="AJ54">
            <v>1163</v>
          </cell>
        </row>
        <row r="55">
          <cell r="F55" t="str">
            <v>SC100</v>
          </cell>
          <cell r="H55">
            <v>0</v>
          </cell>
          <cell r="N55">
            <v>0</v>
          </cell>
          <cell r="AD55">
            <v>1571.5863553486001</v>
          </cell>
          <cell r="AF55">
            <v>42.062036156041863</v>
          </cell>
          <cell r="AH55">
            <v>155.4284213176123</v>
          </cell>
          <cell r="AJ55">
            <v>-1769.0768128222542</v>
          </cell>
        </row>
        <row r="56">
          <cell r="F56">
            <v>590</v>
          </cell>
          <cell r="H56">
            <v>330.40000000000003</v>
          </cell>
          <cell r="N56">
            <v>1958.273698547215</v>
          </cell>
          <cell r="AD56">
            <v>1688.1137730340658</v>
          </cell>
          <cell r="AF56">
            <v>31.044932545434275</v>
          </cell>
          <cell r="AH56">
            <v>155.4284213176123</v>
          </cell>
          <cell r="AJ56">
            <v>17.21081499150705</v>
          </cell>
        </row>
        <row r="57">
          <cell r="F57">
            <v>590</v>
          </cell>
          <cell r="H57">
            <v>0</v>
          </cell>
          <cell r="N57">
            <v>0</v>
          </cell>
          <cell r="AD57">
            <v>0</v>
          </cell>
          <cell r="AF57">
            <v>0</v>
          </cell>
          <cell r="AH57">
            <v>0</v>
          </cell>
          <cell r="AJ57">
            <v>0</v>
          </cell>
        </row>
        <row r="58">
          <cell r="F58">
            <v>591</v>
          </cell>
          <cell r="H58">
            <v>89.32</v>
          </cell>
          <cell r="N58">
            <v>2081.7061128526648</v>
          </cell>
          <cell r="AD58">
            <v>1867.3474352605813</v>
          </cell>
          <cell r="AF58">
            <v>31.044943820224717</v>
          </cell>
          <cell r="AH58">
            <v>155.42842131761228</v>
          </cell>
          <cell r="AJ58">
            <v>-3.8208003984182142</v>
          </cell>
        </row>
        <row r="59">
          <cell r="F59">
            <v>592</v>
          </cell>
          <cell r="H59">
            <v>217.52</v>
          </cell>
          <cell r="N59">
            <v>1915.9735656491355</v>
          </cell>
          <cell r="AD59">
            <v>1645.5980735023008</v>
          </cell>
          <cell r="AF59">
            <v>31.048876625936146</v>
          </cell>
          <cell r="AH59">
            <v>155.42842131761228</v>
          </cell>
          <cell r="AJ59">
            <v>21.924628554150786</v>
          </cell>
        </row>
        <row r="60">
          <cell r="F60" t="str">
            <v>592F</v>
          </cell>
          <cell r="H60">
            <v>0</v>
          </cell>
          <cell r="N60">
            <v>0</v>
          </cell>
          <cell r="AD60">
            <v>0</v>
          </cell>
          <cell r="AF60">
            <v>0</v>
          </cell>
          <cell r="AH60">
            <v>0</v>
          </cell>
          <cell r="AJ60">
            <v>0</v>
          </cell>
        </row>
        <row r="61">
          <cell r="F61">
            <v>593</v>
          </cell>
          <cell r="H61">
            <v>23.56</v>
          </cell>
          <cell r="N61">
            <v>1880.8603565365026</v>
          </cell>
          <cell r="AD61">
            <v>1442.7079502710558</v>
          </cell>
          <cell r="AF61">
            <v>31.027288732394371</v>
          </cell>
          <cell r="AH61">
            <v>155.4284213176123</v>
          </cell>
          <cell r="AJ61">
            <v>11.83633967893752</v>
          </cell>
        </row>
        <row r="62">
          <cell r="F62" t="str">
            <v>N571</v>
          </cell>
          <cell r="H62">
            <v>139.54000000000002</v>
          </cell>
          <cell r="N62">
            <v>1224.7066790884332</v>
          </cell>
          <cell r="AD62">
            <v>957.0061630931682</v>
          </cell>
          <cell r="AF62">
            <v>33.380603390735544</v>
          </cell>
          <cell r="AH62">
            <v>119.07546443602101</v>
          </cell>
          <cell r="AJ62">
            <v>2.9405209791723337</v>
          </cell>
        </row>
        <row r="63">
          <cell r="F63" t="str">
            <v>N571</v>
          </cell>
          <cell r="H63">
            <v>4.54</v>
          </cell>
          <cell r="N63">
            <v>1418.2004405286343</v>
          </cell>
          <cell r="AD63">
            <v>1056.8011177418352</v>
          </cell>
          <cell r="AF63">
            <v>47.997164461247635</v>
          </cell>
          <cell r="AH63">
            <v>155.42842131761228</v>
          </cell>
          <cell r="AJ63">
            <v>-2.2267035206950823</v>
          </cell>
        </row>
        <row r="64">
          <cell r="F64">
            <v>372</v>
          </cell>
          <cell r="H64">
            <v>127.04</v>
          </cell>
          <cell r="N64">
            <v>1200</v>
          </cell>
          <cell r="AD64">
            <v>945.90144288363376</v>
          </cell>
          <cell r="AF64">
            <v>31.045534665099883</v>
          </cell>
          <cell r="AH64">
            <v>115.42842131761228</v>
          </cell>
          <cell r="AJ64">
            <v>-0.37539886634590403</v>
          </cell>
        </row>
        <row r="65">
          <cell r="F65" t="str">
            <v>E548L</v>
          </cell>
          <cell r="H65">
            <v>7.72</v>
          </cell>
          <cell r="N65">
            <v>1499.6036269430053</v>
          </cell>
          <cell r="AD65">
            <v>1105.1191772319135</v>
          </cell>
          <cell r="AF65">
            <v>86.4</v>
          </cell>
          <cell r="AH65">
            <v>155.42842131761228</v>
          </cell>
          <cell r="AJ65">
            <v>11.052401450474235</v>
          </cell>
        </row>
        <row r="66">
          <cell r="F66">
            <v>571</v>
          </cell>
          <cell r="H66">
            <v>0.24</v>
          </cell>
          <cell r="N66">
            <v>1800</v>
          </cell>
          <cell r="AD66">
            <v>0</v>
          </cell>
          <cell r="AF66">
            <v>0</v>
          </cell>
          <cell r="AH66">
            <v>0</v>
          </cell>
          <cell r="AJ66">
            <v>1258</v>
          </cell>
        </row>
        <row r="67">
          <cell r="H67">
            <v>3469.32</v>
          </cell>
          <cell r="N67">
            <v>0</v>
          </cell>
          <cell r="AD67">
            <v>0</v>
          </cell>
          <cell r="AF67">
            <v>0</v>
          </cell>
          <cell r="AH67">
            <v>0</v>
          </cell>
          <cell r="AJ67">
            <v>0</v>
          </cell>
        </row>
        <row r="68">
          <cell r="H68">
            <v>469.94000000000005</v>
          </cell>
          <cell r="N68">
            <v>1740.4545261097157</v>
          </cell>
          <cell r="AD68">
            <v>1472.74049425522</v>
          </cell>
          <cell r="AF68">
            <v>31.732985960910771</v>
          </cell>
          <cell r="AH68">
            <v>144.71938832378632</v>
          </cell>
          <cell r="AJ68">
            <v>11.178072431270266</v>
          </cell>
        </row>
        <row r="69">
          <cell r="F69">
            <v>110</v>
          </cell>
          <cell r="H69">
            <v>3498.85</v>
          </cell>
          <cell r="N69">
            <v>1397.3856952998842</v>
          </cell>
          <cell r="AD69">
            <v>1187.1791631912536</v>
          </cell>
          <cell r="AF69">
            <v>32.905022076383482</v>
          </cell>
          <cell r="AH69">
            <v>131.99680729462929</v>
          </cell>
          <cell r="AJ69">
            <v>-13.567052267598001</v>
          </cell>
        </row>
        <row r="70">
          <cell r="F70">
            <v>111</v>
          </cell>
          <cell r="H70">
            <v>572.32000000000005</v>
          </cell>
          <cell r="N70">
            <v>2421.8138803466591</v>
          </cell>
          <cell r="AD70">
            <v>2187.8379643073222</v>
          </cell>
          <cell r="AF70">
            <v>31.046754343629338</v>
          </cell>
          <cell r="AH70">
            <v>115.42842131761228</v>
          </cell>
          <cell r="AJ70">
            <v>-0.49988864063516303</v>
          </cell>
        </row>
        <row r="71">
          <cell r="F71">
            <v>110</v>
          </cell>
          <cell r="H71">
            <v>146.36000000000001</v>
          </cell>
          <cell r="N71">
            <v>2792.202104400109</v>
          </cell>
          <cell r="AD71">
            <v>2583.901944028566</v>
          </cell>
          <cell r="AF71">
            <v>31.04888304862024</v>
          </cell>
          <cell r="AH71">
            <v>115.42842131761229</v>
          </cell>
          <cell r="AJ71">
            <v>-3.3792483947986511</v>
          </cell>
        </row>
        <row r="72">
          <cell r="F72">
            <v>111</v>
          </cell>
          <cell r="H72">
            <v>393.72</v>
          </cell>
          <cell r="N72">
            <v>2298.5889718581734</v>
          </cell>
          <cell r="AD72">
            <v>2091.9934704164129</v>
          </cell>
          <cell r="AF72">
            <v>31.046142396427683</v>
          </cell>
          <cell r="AH72">
            <v>115.42842131761226</v>
          </cell>
          <cell r="AJ72">
            <v>-5.4680341304529065</v>
          </cell>
        </row>
        <row r="73">
          <cell r="F73">
            <v>113</v>
          </cell>
          <cell r="H73">
            <v>30.24</v>
          </cell>
          <cell r="N73">
            <v>2234.324404761905</v>
          </cell>
          <cell r="AD73">
            <v>1619.4406159142684</v>
          </cell>
          <cell r="AF73">
            <v>31.051409618573796</v>
          </cell>
          <cell r="AH73">
            <v>115.42842131761228</v>
          </cell>
          <cell r="AJ73">
            <v>-17.920446850454482</v>
          </cell>
        </row>
        <row r="74">
          <cell r="F74" t="str">
            <v>P110</v>
          </cell>
          <cell r="H74">
            <v>0</v>
          </cell>
          <cell r="N74">
            <v>0</v>
          </cell>
          <cell r="AD74">
            <v>0</v>
          </cell>
          <cell r="AF74">
            <v>0</v>
          </cell>
          <cell r="AH74">
            <v>0</v>
          </cell>
          <cell r="AJ74">
            <v>0</v>
          </cell>
        </row>
        <row r="75">
          <cell r="F75" t="str">
            <v>P111</v>
          </cell>
          <cell r="H75">
            <v>2</v>
          </cell>
          <cell r="N75">
            <v>2409.6999999999998</v>
          </cell>
          <cell r="AD75">
            <v>2118.0729358332164</v>
          </cell>
          <cell r="AF75">
            <v>31</v>
          </cell>
          <cell r="AH75">
            <v>115.42842131761228</v>
          </cell>
          <cell r="AJ75">
            <v>-0.5013571508284258</v>
          </cell>
        </row>
        <row r="76">
          <cell r="F76" t="str">
            <v>113+</v>
          </cell>
          <cell r="H76">
            <v>0</v>
          </cell>
          <cell r="N76">
            <v>0</v>
          </cell>
          <cell r="AD76">
            <v>0</v>
          </cell>
          <cell r="AF76">
            <v>0</v>
          </cell>
          <cell r="AH76">
            <v>0</v>
          </cell>
          <cell r="AJ76">
            <v>0</v>
          </cell>
        </row>
        <row r="77">
          <cell r="F77">
            <v>134</v>
          </cell>
          <cell r="H77">
            <v>0</v>
          </cell>
          <cell r="N77">
            <v>0</v>
          </cell>
          <cell r="AD77">
            <v>0</v>
          </cell>
          <cell r="AF77">
            <v>0</v>
          </cell>
          <cell r="AH77">
            <v>0</v>
          </cell>
          <cell r="AJ77">
            <v>0</v>
          </cell>
        </row>
        <row r="78">
          <cell r="H78">
            <v>0</v>
          </cell>
          <cell r="N78">
            <v>0</v>
          </cell>
          <cell r="AD78">
            <v>0</v>
          </cell>
          <cell r="AF78">
            <v>0</v>
          </cell>
          <cell r="AH78">
            <v>0</v>
          </cell>
          <cell r="AJ78">
            <v>0</v>
          </cell>
        </row>
        <row r="79">
          <cell r="F79">
            <v>134</v>
          </cell>
          <cell r="H79">
            <v>0</v>
          </cell>
          <cell r="N79">
            <v>0</v>
          </cell>
          <cell r="AD79">
            <v>0</v>
          </cell>
          <cell r="AF79">
            <v>0</v>
          </cell>
          <cell r="AH79">
            <v>0</v>
          </cell>
          <cell r="AJ79">
            <v>0</v>
          </cell>
        </row>
        <row r="80">
          <cell r="F80">
            <v>122</v>
          </cell>
          <cell r="H80">
            <v>572.32000000000005</v>
          </cell>
          <cell r="N80">
            <v>2421.8138803466591</v>
          </cell>
          <cell r="AD80">
            <v>2187.8379643073222</v>
          </cell>
          <cell r="AF80">
            <v>31.046754343629338</v>
          </cell>
          <cell r="AH80">
            <v>115.42842131761228</v>
          </cell>
          <cell r="AJ80">
            <v>-0.49988864063516303</v>
          </cell>
        </row>
        <row r="81">
          <cell r="F81">
            <v>124</v>
          </cell>
          <cell r="H81">
            <v>96.72</v>
          </cell>
          <cell r="N81">
            <v>1624.1675971877585</v>
          </cell>
          <cell r="AD81">
            <v>1340.9450728896929</v>
          </cell>
          <cell r="AF81">
            <v>51.66302851524091</v>
          </cell>
          <cell r="AH81">
            <v>115.42842131761229</v>
          </cell>
          <cell r="AJ81">
            <v>-4.4033548151842297</v>
          </cell>
        </row>
        <row r="82">
          <cell r="F82">
            <v>122</v>
          </cell>
          <cell r="H82">
            <v>11.64</v>
          </cell>
          <cell r="N82">
            <v>1999.9862542955325</v>
          </cell>
          <cell r="AD82">
            <v>1457.5504786841234</v>
          </cell>
          <cell r="AF82">
            <v>31</v>
          </cell>
          <cell r="AH82">
            <v>115.42842131761226</v>
          </cell>
          <cell r="AJ82">
            <v>9.0210999982641624</v>
          </cell>
        </row>
        <row r="83">
          <cell r="F83">
            <v>124</v>
          </cell>
          <cell r="H83">
            <v>67.760000000000005</v>
          </cell>
          <cell r="N83">
            <v>1573.144037780401</v>
          </cell>
          <cell r="AD83">
            <v>1329.0250448721854</v>
          </cell>
          <cell r="AF83">
            <v>51.670111171860768</v>
          </cell>
          <cell r="AH83">
            <v>115.42842131761228</v>
          </cell>
          <cell r="AJ83">
            <v>-12.123577361658363</v>
          </cell>
        </row>
        <row r="84">
          <cell r="F84" t="str">
            <v>DJ300</v>
          </cell>
          <cell r="H84">
            <v>8.2799999999999994</v>
          </cell>
          <cell r="N84">
            <v>1648.3828502415461</v>
          </cell>
          <cell r="AD84">
            <v>1372.7838080814699</v>
          </cell>
          <cell r="AF84">
            <v>31</v>
          </cell>
          <cell r="AH84">
            <v>115.42842131761228</v>
          </cell>
          <cell r="AJ84">
            <v>24.787770600917838</v>
          </cell>
        </row>
        <row r="85">
          <cell r="F85" t="str">
            <v>N124L</v>
          </cell>
          <cell r="H85">
            <v>9.0399999999999991</v>
          </cell>
          <cell r="N85">
            <v>1500.5309734513276</v>
          </cell>
          <cell r="AD85">
            <v>1266.0732394338247</v>
          </cell>
          <cell r="AF85">
            <v>86.4</v>
          </cell>
          <cell r="AH85">
            <v>115.42842131761228</v>
          </cell>
          <cell r="AJ85">
            <v>5.0983392485629793</v>
          </cell>
        </row>
        <row r="86">
          <cell r="H86">
            <v>0</v>
          </cell>
          <cell r="N86">
            <v>0</v>
          </cell>
          <cell r="AD86">
            <v>0</v>
          </cell>
          <cell r="AF86">
            <v>0</v>
          </cell>
          <cell r="AH86">
            <v>0</v>
          </cell>
          <cell r="AJ86">
            <v>0</v>
          </cell>
        </row>
        <row r="87">
          <cell r="H87">
            <v>793.48</v>
          </cell>
          <cell r="N87">
            <v>0</v>
          </cell>
          <cell r="AD87">
            <v>0</v>
          </cell>
          <cell r="AF87">
            <v>0</v>
          </cell>
          <cell r="AH87">
            <v>0</v>
          </cell>
          <cell r="AJ87">
            <v>0</v>
          </cell>
        </row>
        <row r="88">
          <cell r="H88">
            <v>96.72</v>
          </cell>
          <cell r="N88">
            <v>1624.1675971877585</v>
          </cell>
          <cell r="AD88">
            <v>1340.9450728896929</v>
          </cell>
          <cell r="AF88">
            <v>51.66302851524091</v>
          </cell>
          <cell r="AH88">
            <v>115.42842131761229</v>
          </cell>
          <cell r="AJ88">
            <v>-4.4033548151842297</v>
          </cell>
        </row>
        <row r="89">
          <cell r="F89">
            <v>149</v>
          </cell>
          <cell r="H89">
            <v>669.04000000000008</v>
          </cell>
          <cell r="N89">
            <v>2306.5018683486783</v>
          </cell>
          <cell r="AD89">
            <v>2105.7243147152039</v>
          </cell>
          <cell r="AF89">
            <v>33.045681870803421</v>
          </cell>
          <cell r="AH89">
            <v>115.42842131761228</v>
          </cell>
          <cell r="AJ89">
            <v>-40.400438709550599</v>
          </cell>
        </row>
        <row r="90">
          <cell r="H90">
            <v>0</v>
          </cell>
          <cell r="N90">
            <v>0</v>
          </cell>
          <cell r="AD90">
            <v>0</v>
          </cell>
          <cell r="AF90">
            <v>0</v>
          </cell>
          <cell r="AH90">
            <v>0</v>
          </cell>
          <cell r="AJ90">
            <v>0</v>
          </cell>
        </row>
        <row r="91">
          <cell r="F91">
            <v>149</v>
          </cell>
          <cell r="H91">
            <v>0</v>
          </cell>
          <cell r="N91">
            <v>0</v>
          </cell>
          <cell r="AD91">
            <v>0</v>
          </cell>
          <cell r="AF91">
            <v>0</v>
          </cell>
          <cell r="AH91">
            <v>0</v>
          </cell>
          <cell r="AJ91">
            <v>0</v>
          </cell>
        </row>
        <row r="92">
          <cell r="F92" t="str">
            <v>N808</v>
          </cell>
          <cell r="H92">
            <v>1414.37</v>
          </cell>
          <cell r="N92">
            <v>2444.7520662909992</v>
          </cell>
          <cell r="AD92">
            <v>1855.0505428432971</v>
          </cell>
          <cell r="AF92">
            <v>37.614895528217147</v>
          </cell>
          <cell r="AH92">
            <v>115.42842131761229</v>
          </cell>
          <cell r="AJ92">
            <v>-4.3499666484090085</v>
          </cell>
        </row>
        <row r="93">
          <cell r="F93">
            <v>808</v>
          </cell>
          <cell r="H93">
            <v>49.29</v>
          </cell>
          <cell r="N93">
            <v>2093.5761817812945</v>
          </cell>
          <cell r="AD93">
            <v>1559.7859853814787</v>
          </cell>
          <cell r="AF93">
            <v>40.626534589152328</v>
          </cell>
          <cell r="AH93">
            <v>115.42842131761228</v>
          </cell>
          <cell r="AJ93">
            <v>-4.8409412882433571</v>
          </cell>
        </row>
        <row r="94">
          <cell r="F94" t="str">
            <v>N808</v>
          </cell>
          <cell r="H94">
            <v>638.28</v>
          </cell>
          <cell r="N94">
            <v>2339.8750235006582</v>
          </cell>
          <cell r="AD94">
            <v>1704.3917315686524</v>
          </cell>
          <cell r="AF94">
            <v>40.170747189772982</v>
          </cell>
          <cell r="AH94">
            <v>115.42842131761229</v>
          </cell>
          <cell r="AJ94">
            <v>-4.990900076037633</v>
          </cell>
        </row>
        <row r="95">
          <cell r="F95" t="str">
            <v>808S</v>
          </cell>
          <cell r="H95">
            <v>79.680000000000007</v>
          </cell>
          <cell r="N95">
            <v>2781.4302208835338</v>
          </cell>
          <cell r="AD95">
            <v>2219.9040755537799</v>
          </cell>
          <cell r="AF95">
            <v>37.839310344827588</v>
          </cell>
          <cell r="AH95">
            <v>115.42842131761229</v>
          </cell>
          <cell r="AJ95">
            <v>-11.171807216219349</v>
          </cell>
        </row>
        <row r="96">
          <cell r="F96" t="str">
            <v>P800</v>
          </cell>
          <cell r="H96">
            <v>63.42</v>
          </cell>
          <cell r="N96">
            <v>2470.3423210343735</v>
          </cell>
          <cell r="AD96">
            <v>1986.5475566557984</v>
          </cell>
          <cell r="AF96">
            <v>37.664449371766452</v>
          </cell>
          <cell r="AH96">
            <v>115.42842131761229</v>
          </cell>
          <cell r="AJ96">
            <v>-19.640427345177159</v>
          </cell>
        </row>
        <row r="97">
          <cell r="F97" t="str">
            <v>N800</v>
          </cell>
          <cell r="H97">
            <v>562.79999999999995</v>
          </cell>
          <cell r="N97">
            <v>2544.2381485429996</v>
          </cell>
          <cell r="AD97">
            <v>1997.2540645093363</v>
          </cell>
          <cell r="AF97">
            <v>34.650461881257065</v>
          </cell>
          <cell r="AH97">
            <v>115.42842131761228</v>
          </cell>
          <cell r="AJ97">
            <v>-7.3329477082056655</v>
          </cell>
        </row>
        <row r="98">
          <cell r="F98" t="str">
            <v>P808</v>
          </cell>
          <cell r="H98">
            <v>20.9</v>
          </cell>
          <cell r="N98">
            <v>2435.6688995215313</v>
          </cell>
          <cell r="AD98">
            <v>1702.0708592272899</v>
          </cell>
          <cell r="AF98">
            <v>36.485111662531018</v>
          </cell>
          <cell r="AH98">
            <v>115.42842131761228</v>
          </cell>
          <cell r="AJ98">
            <v>-4.9843922074333022</v>
          </cell>
        </row>
        <row r="99">
          <cell r="F99">
            <v>157</v>
          </cell>
          <cell r="H99">
            <v>91.64</v>
          </cell>
          <cell r="N99">
            <v>2489.4577695329549</v>
          </cell>
          <cell r="AD99">
            <v>2022.1502881633307</v>
          </cell>
          <cell r="AF99">
            <v>41.829221653649334</v>
          </cell>
          <cell r="AH99">
            <v>115.42842131761228</v>
          </cell>
          <cell r="AJ99">
            <v>11.41310771307235</v>
          </cell>
        </row>
        <row r="100">
          <cell r="F100">
            <v>156</v>
          </cell>
          <cell r="H100">
            <v>5.01</v>
          </cell>
          <cell r="N100">
            <v>2169.5908183632737</v>
          </cell>
          <cell r="AD100">
            <v>1405.4914062895102</v>
          </cell>
          <cell r="AF100">
            <v>60.006681514476611</v>
          </cell>
          <cell r="AH100">
            <v>115.42842131761228</v>
          </cell>
          <cell r="AJ100">
            <v>3.0734908784008894</v>
          </cell>
        </row>
        <row r="101">
          <cell r="F101">
            <v>157</v>
          </cell>
          <cell r="H101">
            <v>9.19</v>
          </cell>
          <cell r="N101">
            <v>2358.2295973884657</v>
          </cell>
          <cell r="AD101">
            <v>1628.4359837127743</v>
          </cell>
          <cell r="AF101">
            <v>57.566390041493769</v>
          </cell>
          <cell r="AH101">
            <v>115.42842131761226</v>
          </cell>
          <cell r="AJ101">
            <v>0.56920492811991608</v>
          </cell>
        </row>
        <row r="102">
          <cell r="F102">
            <v>2150</v>
          </cell>
          <cell r="H102">
            <v>30.14</v>
          </cell>
          <cell r="N102">
            <v>3007.9313205043131</v>
          </cell>
          <cell r="AD102">
            <v>2466.4945544910756</v>
          </cell>
          <cell r="AF102">
            <v>38.120740517760389</v>
          </cell>
          <cell r="AH102">
            <v>115.42842131761228</v>
          </cell>
          <cell r="AJ102">
            <v>-17.043716326447793</v>
          </cell>
        </row>
        <row r="103">
          <cell r="F103" t="str">
            <v>2151-35</v>
          </cell>
          <cell r="H103">
            <v>8</v>
          </cell>
          <cell r="N103">
            <v>1445.2525000000001</v>
          </cell>
          <cell r="AD103">
            <v>1626.7139109334094</v>
          </cell>
          <cell r="AF103">
            <v>39.137853577371054</v>
          </cell>
          <cell r="AH103">
            <v>115.42842131761228</v>
          </cell>
          <cell r="AJ103">
            <v>-4.2801858283928595</v>
          </cell>
        </row>
        <row r="104">
          <cell r="F104" t="str">
            <v>2151-37</v>
          </cell>
          <cell r="H104">
            <v>17.260000000000002</v>
          </cell>
          <cell r="N104">
            <v>2239.7827346465815</v>
          </cell>
          <cell r="AD104">
            <v>1792.6841378013144</v>
          </cell>
          <cell r="AF104">
            <v>36.371396895787143</v>
          </cell>
          <cell r="AH104">
            <v>115.42842131761226</v>
          </cell>
          <cell r="AJ104">
            <v>-8.4839560147140674</v>
          </cell>
        </row>
        <row r="105">
          <cell r="F105" t="str">
            <v>2151-39</v>
          </cell>
          <cell r="H105">
            <v>19.52</v>
          </cell>
          <cell r="N105">
            <v>2480.125512295082</v>
          </cell>
          <cell r="AD105">
            <v>2101.9070393054562</v>
          </cell>
          <cell r="AF105">
            <v>35.624952561669829</v>
          </cell>
          <cell r="AH105">
            <v>115.42842131761229</v>
          </cell>
          <cell r="AJ105">
            <v>-14.960413184738627</v>
          </cell>
        </row>
        <row r="106">
          <cell r="F106" t="str">
            <v>2151-41</v>
          </cell>
          <cell r="H106">
            <v>2.52</v>
          </cell>
          <cell r="N106">
            <v>2500.1428571428573</v>
          </cell>
          <cell r="AD106">
            <v>2477.513603697806</v>
          </cell>
          <cell r="AF106">
            <v>47.15</v>
          </cell>
          <cell r="AH106">
            <v>115.42842131761228</v>
          </cell>
          <cell r="AJ106">
            <v>-61.09202501541813</v>
          </cell>
        </row>
        <row r="107">
          <cell r="F107">
            <v>2151</v>
          </cell>
          <cell r="H107">
            <v>0</v>
          </cell>
          <cell r="N107">
            <v>0</v>
          </cell>
          <cell r="AD107">
            <v>0</v>
          </cell>
          <cell r="AF107">
            <v>0</v>
          </cell>
          <cell r="AH107">
            <v>0</v>
          </cell>
          <cell r="AJ107">
            <v>0</v>
          </cell>
        </row>
        <row r="108">
          <cell r="F108" t="str">
            <v>172D</v>
          </cell>
          <cell r="H108">
            <v>1506.01</v>
          </cell>
          <cell r="N108">
            <v>2447.472387301545</v>
          </cell>
          <cell r="AD108">
            <v>1866.3471099349215</v>
          </cell>
          <cell r="AF108">
            <v>37.899799719607451</v>
          </cell>
          <cell r="AH108">
            <v>115.42842131761229</v>
          </cell>
          <cell r="AJ108">
            <v>-4.5478816192155591</v>
          </cell>
        </row>
        <row r="109">
          <cell r="F109" t="str">
            <v>N182</v>
          </cell>
          <cell r="H109">
            <v>31.89</v>
          </cell>
          <cell r="N109">
            <v>1574.1232361241769</v>
          </cell>
          <cell r="AD109">
            <v>1216.6463397614923</v>
          </cell>
          <cell r="AF109">
            <v>52.755091311566133</v>
          </cell>
          <cell r="AH109">
            <v>115.42842131761228</v>
          </cell>
          <cell r="AJ109">
            <v>27.960050400172804</v>
          </cell>
        </row>
        <row r="110">
          <cell r="F110">
            <v>172</v>
          </cell>
          <cell r="H110">
            <v>0.25</v>
          </cell>
          <cell r="N110">
            <v>1700</v>
          </cell>
          <cell r="AD110">
            <v>0</v>
          </cell>
          <cell r="AF110">
            <v>0</v>
          </cell>
          <cell r="AH110">
            <v>0</v>
          </cell>
          <cell r="AJ110">
            <v>1175</v>
          </cell>
        </row>
        <row r="111">
          <cell r="F111" t="str">
            <v>172D</v>
          </cell>
          <cell r="H111">
            <v>2</v>
          </cell>
          <cell r="N111">
            <v>1400</v>
          </cell>
          <cell r="AD111">
            <v>988.80703425622005</v>
          </cell>
          <cell r="AF111">
            <v>39.101827242524919</v>
          </cell>
          <cell r="AH111">
            <v>115.42842131761229</v>
          </cell>
          <cell r="AJ111">
            <v>-0.33728281635740132</v>
          </cell>
        </row>
        <row r="112">
          <cell r="F112" t="str">
            <v>N182</v>
          </cell>
          <cell r="H112">
            <v>29.64</v>
          </cell>
          <cell r="N112">
            <v>1584.8107287449393</v>
          </cell>
          <cell r="AD112">
            <v>1262.1839433186551</v>
          </cell>
          <cell r="AF112">
            <v>55.483930942895086</v>
          </cell>
          <cell r="AH112">
            <v>115.42842131761228</v>
          </cell>
          <cell r="AJ112">
            <v>-9.6295579162415379E-2</v>
          </cell>
        </row>
        <row r="113">
          <cell r="H113">
            <v>2206.94</v>
          </cell>
          <cell r="N113">
            <v>2392.1169991028305</v>
          </cell>
          <cell r="AD113">
            <v>1929.3222797949577</v>
          </cell>
          <cell r="AF113">
            <v>36.647899969396953</v>
          </cell>
          <cell r="AH113">
            <v>115.42842131761228</v>
          </cell>
          <cell r="AJ113">
            <v>-14.747328278900568</v>
          </cell>
        </row>
        <row r="114">
          <cell r="H114">
            <v>5705.79</v>
          </cell>
          <cell r="N114">
            <v>1782.1373779967364</v>
          </cell>
          <cell r="AD114">
            <v>1478.6270400432682</v>
          </cell>
          <cell r="AF114">
            <v>34.374891958391188</v>
          </cell>
          <cell r="AH114">
            <v>125.49021738247784</v>
          </cell>
          <cell r="AJ114">
            <v>-18.342291082307383</v>
          </cell>
        </row>
      </sheetData>
      <sheetData sheetId="7" refreshError="1">
        <row r="7">
          <cell r="H7">
            <v>693.16000000000008</v>
          </cell>
          <cell r="N7">
            <v>1452.592402908419</v>
          </cell>
          <cell r="AD7">
            <v>1235.4406440032933</v>
          </cell>
          <cell r="AF7">
            <v>31.279264185409293</v>
          </cell>
          <cell r="AH7">
            <v>166.51503742348226</v>
          </cell>
          <cell r="AJ7">
            <v>-3.2764944609357372</v>
          </cell>
        </row>
        <row r="8">
          <cell r="F8">
            <v>510</v>
          </cell>
          <cell r="H8">
            <v>174.04</v>
          </cell>
          <cell r="N8">
            <v>1682.8548609515055</v>
          </cell>
          <cell r="AD8">
            <v>1343.3694897842695</v>
          </cell>
          <cell r="AF8">
            <v>30.525000000000006</v>
          </cell>
          <cell r="AH8">
            <v>168.9148547542278</v>
          </cell>
          <cell r="AJ8">
            <v>-6.8093445384972711</v>
          </cell>
        </row>
        <row r="9">
          <cell r="F9">
            <v>511</v>
          </cell>
          <cell r="H9">
            <v>0</v>
          </cell>
          <cell r="N9">
            <v>0</v>
          </cell>
          <cell r="AD9">
            <v>0</v>
          </cell>
          <cell r="AF9">
            <v>0</v>
          </cell>
          <cell r="AH9">
            <v>0</v>
          </cell>
          <cell r="AJ9">
            <v>0</v>
          </cell>
        </row>
        <row r="10">
          <cell r="F10">
            <v>513</v>
          </cell>
          <cell r="H10">
            <v>0</v>
          </cell>
          <cell r="N10">
            <v>0</v>
          </cell>
          <cell r="AD10">
            <v>0</v>
          </cell>
          <cell r="AF10">
            <v>0</v>
          </cell>
          <cell r="AH10">
            <v>0</v>
          </cell>
          <cell r="AJ10">
            <v>0</v>
          </cell>
        </row>
        <row r="11">
          <cell r="F11" t="str">
            <v>510L</v>
          </cell>
          <cell r="H11">
            <v>25.04</v>
          </cell>
          <cell r="N11">
            <v>1506.1641373801917</v>
          </cell>
          <cell r="AD11">
            <v>1221.3568734123273</v>
          </cell>
          <cell r="AF11">
            <v>30.525000000000002</v>
          </cell>
          <cell r="AH11">
            <v>168.9148547542278</v>
          </cell>
          <cell r="AJ11">
            <v>0.20327183344488731</v>
          </cell>
        </row>
        <row r="12">
          <cell r="F12" t="str">
            <v>N510L</v>
          </cell>
          <cell r="H12">
            <v>15.08</v>
          </cell>
          <cell r="N12">
            <v>1682.909151193634</v>
          </cell>
          <cell r="AD12">
            <v>1219.7003630222641</v>
          </cell>
          <cell r="AF12">
            <v>87.724999999999994</v>
          </cell>
          <cell r="AH12">
            <v>168.91485475422778</v>
          </cell>
          <cell r="AJ12">
            <v>7.6597822235080457</v>
          </cell>
        </row>
        <row r="13">
          <cell r="F13" t="str">
            <v>511L</v>
          </cell>
          <cell r="H13">
            <v>404.68</v>
          </cell>
          <cell r="N13">
            <v>1365.3125679549271</v>
          </cell>
          <cell r="AD13">
            <v>1206.1748413675937</v>
          </cell>
          <cell r="AF13">
            <v>30.525000000000002</v>
          </cell>
          <cell r="AH13">
            <v>168.9148547542278</v>
          </cell>
          <cell r="AJ13">
            <v>-5.6146961218216802</v>
          </cell>
        </row>
        <row r="14">
          <cell r="F14" t="str">
            <v>513L</v>
          </cell>
          <cell r="H14">
            <v>39.200000000000003</v>
          </cell>
          <cell r="N14">
            <v>1309.5783163265305</v>
          </cell>
          <cell r="AD14">
            <v>1134.1449282303934</v>
          </cell>
          <cell r="AF14">
            <v>30.524999999999999</v>
          </cell>
          <cell r="AH14">
            <v>168.91485475422778</v>
          </cell>
          <cell r="AJ14">
            <v>-8.5847829846209152</v>
          </cell>
        </row>
        <row r="15">
          <cell r="F15">
            <v>710</v>
          </cell>
          <cell r="H15">
            <v>0</v>
          </cell>
          <cell r="N15">
            <v>0</v>
          </cell>
          <cell r="AD15">
            <v>0</v>
          </cell>
          <cell r="AF15">
            <v>0</v>
          </cell>
          <cell r="AH15">
            <v>0</v>
          </cell>
          <cell r="AJ15">
            <v>0</v>
          </cell>
        </row>
        <row r="16">
          <cell r="F16" t="str">
            <v>711L</v>
          </cell>
          <cell r="H16">
            <v>0</v>
          </cell>
          <cell r="N16">
            <v>0</v>
          </cell>
          <cell r="AD16">
            <v>0</v>
          </cell>
          <cell r="AF16">
            <v>0</v>
          </cell>
          <cell r="AH16">
            <v>0</v>
          </cell>
          <cell r="AJ16">
            <v>0</v>
          </cell>
        </row>
        <row r="17">
          <cell r="F17" t="str">
            <v>311L</v>
          </cell>
          <cell r="H17">
            <v>35.119999999999997</v>
          </cell>
          <cell r="N17">
            <v>1339.7525626423692</v>
          </cell>
          <cell r="AD17">
            <v>1194.4208432359728</v>
          </cell>
          <cell r="AF17">
            <v>30.525000000000006</v>
          </cell>
          <cell r="AH17">
            <v>128.9148547542278</v>
          </cell>
          <cell r="AJ17">
            <v>-3.8606979902008334</v>
          </cell>
        </row>
        <row r="18">
          <cell r="F18" t="str">
            <v>313L</v>
          </cell>
          <cell r="H18">
            <v>0</v>
          </cell>
          <cell r="N18">
            <v>0</v>
          </cell>
          <cell r="AD18">
            <v>1129.3271151636279</v>
          </cell>
          <cell r="AF18">
            <v>30.525000000000002</v>
          </cell>
          <cell r="AH18">
            <v>128.91485475422778</v>
          </cell>
          <cell r="AJ18">
            <v>-1288.7669699178557</v>
          </cell>
        </row>
        <row r="19">
          <cell r="H19">
            <v>56.44</v>
          </cell>
          <cell r="N19">
            <v>1436.9675761871013</v>
          </cell>
          <cell r="AD19">
            <v>1262.5365970910461</v>
          </cell>
          <cell r="AF19">
            <v>30.525000000000002</v>
          </cell>
          <cell r="AH19">
            <v>143.75897945446761</v>
          </cell>
          <cell r="AJ19">
            <v>-16.744035085556334</v>
          </cell>
        </row>
        <row r="20">
          <cell r="F20">
            <v>331</v>
          </cell>
          <cell r="H20">
            <v>13.44</v>
          </cell>
          <cell r="N20">
            <v>1606.0059523809525</v>
          </cell>
          <cell r="AD20">
            <v>1311.9372300295167</v>
          </cell>
          <cell r="AF20">
            <v>30.525000000000002</v>
          </cell>
          <cell r="AH20">
            <v>128.9148547542278</v>
          </cell>
          <cell r="AJ20">
            <v>-0.3770847837445217</v>
          </cell>
        </row>
        <row r="21">
          <cell r="F21">
            <v>332</v>
          </cell>
          <cell r="H21">
            <v>0</v>
          </cell>
          <cell r="N21">
            <v>0</v>
          </cell>
          <cell r="AD21">
            <v>0</v>
          </cell>
          <cell r="AF21">
            <v>0</v>
          </cell>
          <cell r="AH21">
            <v>0</v>
          </cell>
          <cell r="AJ21">
            <v>0</v>
          </cell>
        </row>
        <row r="22">
          <cell r="F22">
            <v>334</v>
          </cell>
          <cell r="H22">
            <v>27.04</v>
          </cell>
          <cell r="N22">
            <v>1351.1072485207103</v>
          </cell>
          <cell r="AD22">
            <v>1222.8065274487853</v>
          </cell>
          <cell r="AF22">
            <v>30.524999999999999</v>
          </cell>
          <cell r="AH22">
            <v>128.91485475422778</v>
          </cell>
          <cell r="AJ22">
            <v>-6.2463822030133542</v>
          </cell>
        </row>
        <row r="23">
          <cell r="F23">
            <v>531</v>
          </cell>
          <cell r="H23">
            <v>0</v>
          </cell>
          <cell r="N23">
            <v>0</v>
          </cell>
          <cell r="AD23">
            <v>0</v>
          </cell>
          <cell r="AF23">
            <v>0</v>
          </cell>
          <cell r="AH23">
            <v>0</v>
          </cell>
          <cell r="AJ23">
            <v>0</v>
          </cell>
        </row>
        <row r="24">
          <cell r="F24" t="str">
            <v>531N</v>
          </cell>
          <cell r="H24">
            <v>2.56</v>
          </cell>
          <cell r="N24">
            <v>1649.953125</v>
          </cell>
          <cell r="AD24">
            <v>1314.5857945963469</v>
          </cell>
          <cell r="AF24">
            <v>30.525000000000002</v>
          </cell>
          <cell r="AH24">
            <v>168.91485475422778</v>
          </cell>
          <cell r="AJ24">
            <v>-2.5649350574667551E-2</v>
          </cell>
        </row>
        <row r="25">
          <cell r="F25">
            <v>532</v>
          </cell>
          <cell r="H25">
            <v>0</v>
          </cell>
          <cell r="N25">
            <v>0</v>
          </cell>
          <cell r="AD25">
            <v>0</v>
          </cell>
          <cell r="AF25">
            <v>0</v>
          </cell>
          <cell r="AH25">
            <v>0</v>
          </cell>
          <cell r="AJ25">
            <v>0</v>
          </cell>
        </row>
        <row r="26">
          <cell r="F26" t="str">
            <v>532N</v>
          </cell>
          <cell r="H26">
            <v>0</v>
          </cell>
          <cell r="N26">
            <v>0</v>
          </cell>
          <cell r="AD26">
            <v>0</v>
          </cell>
          <cell r="AF26">
            <v>0</v>
          </cell>
          <cell r="AH26">
            <v>0</v>
          </cell>
          <cell r="AJ26">
            <v>0</v>
          </cell>
        </row>
        <row r="27">
          <cell r="F27" t="str">
            <v>533N</v>
          </cell>
          <cell r="H27">
            <v>0</v>
          </cell>
          <cell r="N27">
            <v>0</v>
          </cell>
          <cell r="AD27">
            <v>0</v>
          </cell>
          <cell r="AF27">
            <v>0</v>
          </cell>
          <cell r="AH27">
            <v>0</v>
          </cell>
          <cell r="AJ27">
            <v>0</v>
          </cell>
        </row>
        <row r="28">
          <cell r="F28">
            <v>534</v>
          </cell>
          <cell r="H28">
            <v>0</v>
          </cell>
          <cell r="N28">
            <v>0</v>
          </cell>
          <cell r="AD28">
            <v>0</v>
          </cell>
          <cell r="AF28">
            <v>0</v>
          </cell>
          <cell r="AH28">
            <v>0</v>
          </cell>
          <cell r="AJ28">
            <v>0</v>
          </cell>
        </row>
        <row r="29">
          <cell r="F29" t="str">
            <v>534N</v>
          </cell>
          <cell r="H29">
            <v>13.4</v>
          </cell>
          <cell r="N29">
            <v>1399.9932835820896</v>
          </cell>
          <cell r="AD29">
            <v>1248.9531899659858</v>
          </cell>
          <cell r="AF29">
            <v>30.524999999999999</v>
          </cell>
          <cell r="AH29">
            <v>168.9148547542278</v>
          </cell>
          <cell r="AJ29">
            <v>-8.3930447202135383</v>
          </cell>
        </row>
        <row r="30">
          <cell r="F30" t="str">
            <v>535N</v>
          </cell>
          <cell r="H30">
            <v>0</v>
          </cell>
          <cell r="N30">
            <v>0</v>
          </cell>
          <cell r="AD30">
            <v>0</v>
          </cell>
          <cell r="AF30">
            <v>0</v>
          </cell>
          <cell r="AH30">
            <v>0</v>
          </cell>
          <cell r="AJ30">
            <v>0</v>
          </cell>
        </row>
        <row r="31">
          <cell r="H31">
            <v>749.60000000000014</v>
          </cell>
          <cell r="N31">
            <v>1451.4159551760936</v>
          </cell>
          <cell r="AD31">
            <v>1237.7963226101092</v>
          </cell>
          <cell r="AF31">
            <v>31.213689669550714</v>
          </cell>
          <cell r="AH31">
            <v>164.53666232224612</v>
          </cell>
          <cell r="AJ31">
            <v>-4.332266917808056</v>
          </cell>
        </row>
        <row r="32">
          <cell r="H32">
            <v>1963.1599999999999</v>
          </cell>
          <cell r="N32">
            <v>1117.9081684630903</v>
          </cell>
          <cell r="AD32">
            <v>1026.1710957236478</v>
          </cell>
          <cell r="AF32">
            <v>30.524999999999999</v>
          </cell>
          <cell r="AH32">
            <v>128.98061971027488</v>
          </cell>
          <cell r="AJ32">
            <v>-1.8891280747670862</v>
          </cell>
        </row>
        <row r="33">
          <cell r="F33">
            <v>321</v>
          </cell>
          <cell r="H33">
            <v>133.47999999999999</v>
          </cell>
          <cell r="N33">
            <v>1628.3131555289183</v>
          </cell>
          <cell r="AD33">
            <v>1217.6406679160955</v>
          </cell>
          <cell r="AF33">
            <v>30.525000000000002</v>
          </cell>
          <cell r="AH33">
            <v>128.91485475422778</v>
          </cell>
          <cell r="AJ33">
            <v>-7.080522670323262</v>
          </cell>
        </row>
        <row r="34">
          <cell r="F34">
            <v>322</v>
          </cell>
          <cell r="H34">
            <v>340.72</v>
          </cell>
          <cell r="N34">
            <v>1084.7182730687953</v>
          </cell>
          <cell r="AD34">
            <v>997.03964909119736</v>
          </cell>
          <cell r="AF34">
            <v>30.525000000000006</v>
          </cell>
          <cell r="AH34">
            <v>128.9148547542278</v>
          </cell>
          <cell r="AJ34">
            <v>-0.47950384542536995</v>
          </cell>
        </row>
        <row r="35">
          <cell r="F35" t="str">
            <v>324C</v>
          </cell>
          <cell r="H35">
            <v>1478.36</v>
          </cell>
          <cell r="N35">
            <v>1076.0344841581214</v>
          </cell>
          <cell r="AD35">
            <v>1015.3375962141683</v>
          </cell>
          <cell r="AF35">
            <v>30.524999999999999</v>
          </cell>
          <cell r="AH35">
            <v>128.91485475422778</v>
          </cell>
          <cell r="AJ35">
            <v>-2.7774509683961242</v>
          </cell>
        </row>
        <row r="36">
          <cell r="F36" t="str">
            <v>324C-H</v>
          </cell>
          <cell r="H36">
            <v>2</v>
          </cell>
          <cell r="N36">
            <v>1159.94</v>
          </cell>
          <cell r="AD36">
            <v>1066.5994858430061</v>
          </cell>
          <cell r="AF36">
            <v>30.525000000000006</v>
          </cell>
          <cell r="AH36">
            <v>128.9148547542278</v>
          </cell>
          <cell r="AJ36">
            <v>-3.9340597233831431E-2</v>
          </cell>
        </row>
        <row r="37">
          <cell r="F37">
            <v>521</v>
          </cell>
          <cell r="H37">
            <v>8.6</v>
          </cell>
          <cell r="N37">
            <v>1699.2941860465116</v>
          </cell>
          <cell r="AD37">
            <v>1217.5061550174303</v>
          </cell>
          <cell r="AF37">
            <v>30.525000000000002</v>
          </cell>
          <cell r="AH37">
            <v>168.9148547542278</v>
          </cell>
          <cell r="AJ37">
            <v>-5.9460097716580549</v>
          </cell>
        </row>
        <row r="38">
          <cell r="F38" t="str">
            <v>N324L</v>
          </cell>
          <cell r="H38">
            <v>0</v>
          </cell>
          <cell r="N38">
            <v>0</v>
          </cell>
          <cell r="AD38">
            <v>0</v>
          </cell>
          <cell r="AF38">
            <v>0</v>
          </cell>
          <cell r="AH38">
            <v>0</v>
          </cell>
          <cell r="AJ38">
            <v>0</v>
          </cell>
        </row>
        <row r="39">
          <cell r="F39" t="str">
            <v>324C-H</v>
          </cell>
          <cell r="H39">
            <v>8.84</v>
          </cell>
          <cell r="N39">
            <v>0</v>
          </cell>
          <cell r="AD39">
            <v>0</v>
          </cell>
          <cell r="AF39">
            <v>0</v>
          </cell>
          <cell r="AH39">
            <v>0</v>
          </cell>
          <cell r="AJ39">
            <v>0</v>
          </cell>
        </row>
        <row r="40">
          <cell r="H40">
            <v>13.84</v>
          </cell>
          <cell r="N40">
            <v>1283.4190751445087</v>
          </cell>
          <cell r="AD40">
            <v>1203.4614642847673</v>
          </cell>
          <cell r="AF40">
            <v>30.525000000000002</v>
          </cell>
          <cell r="AH40">
            <v>128.91485475422778</v>
          </cell>
          <cell r="AJ40">
            <v>-2.9013190389948704</v>
          </cell>
        </row>
        <row r="41">
          <cell r="F41" t="str">
            <v>324BR</v>
          </cell>
          <cell r="H41">
            <v>13.84</v>
          </cell>
          <cell r="N41">
            <v>1283.4190751445087</v>
          </cell>
          <cell r="AD41">
            <v>1203.4614642847673</v>
          </cell>
          <cell r="AF41">
            <v>30.525000000000002</v>
          </cell>
          <cell r="AH41">
            <v>128.91485475422778</v>
          </cell>
          <cell r="AJ41">
            <v>-2.9013190389950978</v>
          </cell>
        </row>
        <row r="42">
          <cell r="H42">
            <v>1976.9999999999998</v>
          </cell>
          <cell r="N42">
            <v>1119.0668285280731</v>
          </cell>
          <cell r="AD42">
            <v>1027.6128255803994</v>
          </cell>
          <cell r="AF42">
            <v>30.524999999999999</v>
          </cell>
          <cell r="AH42">
            <v>128.98008490795351</v>
          </cell>
          <cell r="AJ42">
            <v>-2.0967471094959365</v>
          </cell>
        </row>
        <row r="43">
          <cell r="H43">
            <v>2726.6</v>
          </cell>
          <cell r="N43">
            <v>1210.4366317024867</v>
          </cell>
          <cell r="AD43">
            <v>1089.4840466248172</v>
          </cell>
          <cell r="AF43">
            <v>30.727727956180864</v>
          </cell>
          <cell r="AH43">
            <v>139.44679086666008</v>
          </cell>
          <cell r="AJ43">
            <v>-7.5035152019306679</v>
          </cell>
        </row>
        <row r="44">
          <cell r="H44">
            <v>0</v>
          </cell>
          <cell r="N44">
            <v>0</v>
          </cell>
          <cell r="AD44">
            <v>0</v>
          </cell>
          <cell r="AF44">
            <v>0</v>
          </cell>
          <cell r="AH44">
            <v>0</v>
          </cell>
          <cell r="AJ44">
            <v>0</v>
          </cell>
        </row>
        <row r="45">
          <cell r="F45" t="str">
            <v>548L</v>
          </cell>
          <cell r="H45">
            <v>0</v>
          </cell>
          <cell r="N45">
            <v>0</v>
          </cell>
          <cell r="AD45">
            <v>0</v>
          </cell>
          <cell r="AF45">
            <v>0</v>
          </cell>
          <cell r="AH45">
            <v>0</v>
          </cell>
          <cell r="AJ45">
            <v>0</v>
          </cell>
        </row>
        <row r="46">
          <cell r="H46">
            <v>414.62</v>
          </cell>
          <cell r="N46">
            <v>2089.9572138343547</v>
          </cell>
          <cell r="AD46">
            <v>1509.2988886422161</v>
          </cell>
          <cell r="AF46">
            <v>37.547697846872836</v>
          </cell>
          <cell r="AH46">
            <v>168.9148547542278</v>
          </cell>
          <cell r="AJ46">
            <v>-1715.7614412433168</v>
          </cell>
        </row>
        <row r="47">
          <cell r="F47">
            <v>551</v>
          </cell>
          <cell r="H47">
            <v>101.36</v>
          </cell>
          <cell r="N47">
            <v>2085.0196329913178</v>
          </cell>
          <cell r="AD47">
            <v>1508.9670504419194</v>
          </cell>
          <cell r="AF47">
            <v>38.080859650892954</v>
          </cell>
          <cell r="AH47">
            <v>168.9148547542278</v>
          </cell>
          <cell r="AJ47">
            <v>-4.9627648470402619</v>
          </cell>
        </row>
        <row r="48">
          <cell r="F48" t="str">
            <v>551L</v>
          </cell>
          <cell r="H48">
            <v>46.79</v>
          </cell>
          <cell r="N48">
            <v>1879.2592434280828</v>
          </cell>
          <cell r="AD48">
            <v>1334.1643485616953</v>
          </cell>
          <cell r="AF48">
            <v>48.320981623633401</v>
          </cell>
          <cell r="AH48">
            <v>168.9148547542278</v>
          </cell>
          <cell r="AJ48">
            <v>-34.400184939556311</v>
          </cell>
        </row>
        <row r="49">
          <cell r="F49">
            <v>951</v>
          </cell>
          <cell r="H49">
            <v>175.36</v>
          </cell>
          <cell r="N49">
            <v>2136.9754790145985</v>
          </cell>
          <cell r="AD49">
            <v>1556.6807949130871</v>
          </cell>
          <cell r="AF49">
            <v>36.778192523468313</v>
          </cell>
          <cell r="AH49">
            <v>168.91485475422778</v>
          </cell>
          <cell r="AJ49">
            <v>-11.37384219078308</v>
          </cell>
        </row>
        <row r="50">
          <cell r="F50">
            <v>552</v>
          </cell>
          <cell r="H50">
            <v>22.48</v>
          </cell>
          <cell r="N50">
            <v>1651.6196619217083</v>
          </cell>
          <cell r="AD50">
            <v>1237.3238962368546</v>
          </cell>
          <cell r="AF50">
            <v>30.525000000000002</v>
          </cell>
          <cell r="AH50">
            <v>168.91485475422778</v>
          </cell>
          <cell r="AJ50">
            <v>-0.763750991082361</v>
          </cell>
        </row>
        <row r="51">
          <cell r="F51" t="str">
            <v>551S</v>
          </cell>
          <cell r="H51">
            <v>45.89</v>
          </cell>
          <cell r="N51">
            <v>2273.3364567443887</v>
          </cell>
          <cell r="AD51">
            <v>1676.2241885099852</v>
          </cell>
          <cell r="AF51">
            <v>34.301769087523283</v>
          </cell>
          <cell r="AH51">
            <v>168.9148547542278</v>
          </cell>
          <cell r="AJ51">
            <v>-62.44081235173644</v>
          </cell>
        </row>
        <row r="52">
          <cell r="F52" t="str">
            <v>P551S</v>
          </cell>
          <cell r="H52">
            <v>16.14</v>
          </cell>
          <cell r="N52">
            <v>2213.1778190830237</v>
          </cell>
          <cell r="AD52">
            <v>1622.8045298751103</v>
          </cell>
          <cell r="AF52">
            <v>32.91177914110429</v>
          </cell>
          <cell r="AH52">
            <v>168.91485475422778</v>
          </cell>
          <cell r="AJ52">
            <v>-24.631163770442299</v>
          </cell>
        </row>
        <row r="53">
          <cell r="F53">
            <v>2551</v>
          </cell>
          <cell r="H53">
            <v>6.6</v>
          </cell>
          <cell r="N53">
            <v>2326.878787878788</v>
          </cell>
          <cell r="AD53">
            <v>1566.1979770013741</v>
          </cell>
          <cell r="AF53">
            <v>38.84221854304635</v>
          </cell>
          <cell r="AH53">
            <v>168.9148547542278</v>
          </cell>
          <cell r="AJ53">
            <v>4.4949701351924887E-2</v>
          </cell>
        </row>
        <row r="54">
          <cell r="F54">
            <v>555</v>
          </cell>
          <cell r="H54">
            <v>0</v>
          </cell>
          <cell r="N54">
            <v>0</v>
          </cell>
          <cell r="AD54">
            <v>0</v>
          </cell>
          <cell r="AF54">
            <v>0</v>
          </cell>
          <cell r="AH54">
            <v>0</v>
          </cell>
          <cell r="AJ54">
            <v>0</v>
          </cell>
        </row>
        <row r="55">
          <cell r="F55" t="str">
            <v>SC100</v>
          </cell>
          <cell r="H55">
            <v>0</v>
          </cell>
          <cell r="N55">
            <v>0</v>
          </cell>
          <cell r="AD55">
            <v>1563.5387947859035</v>
          </cell>
          <cell r="AF55">
            <v>40.583227176220802</v>
          </cell>
          <cell r="AH55">
            <v>168.9148547542278</v>
          </cell>
          <cell r="AJ55">
            <v>-1773.036876716352</v>
          </cell>
        </row>
        <row r="56">
          <cell r="F56" t="str">
            <v>SC100</v>
          </cell>
          <cell r="H56">
            <v>397.32</v>
          </cell>
          <cell r="N56">
            <v>2020.3727977448905</v>
          </cell>
          <cell r="AD56">
            <v>1658.1532424400725</v>
          </cell>
          <cell r="AF56">
            <v>30.525000000000002</v>
          </cell>
          <cell r="AH56">
            <v>168.9148547542278</v>
          </cell>
          <cell r="AJ56">
            <v>35.705201406323795</v>
          </cell>
        </row>
        <row r="57">
          <cell r="F57">
            <v>590</v>
          </cell>
          <cell r="H57">
            <v>10.44</v>
          </cell>
          <cell r="N57">
            <v>2583.7816091954023</v>
          </cell>
          <cell r="AD57">
            <v>0</v>
          </cell>
          <cell r="AF57">
            <v>0</v>
          </cell>
          <cell r="AH57">
            <v>0</v>
          </cell>
          <cell r="AJ57">
            <v>2365</v>
          </cell>
        </row>
        <row r="58">
          <cell r="F58">
            <v>591</v>
          </cell>
          <cell r="H58">
            <v>83.24</v>
          </cell>
          <cell r="N58">
            <v>2177.9839019702067</v>
          </cell>
          <cell r="AD58">
            <v>1881.0301265600158</v>
          </cell>
          <cell r="AF58">
            <v>30.525000000000002</v>
          </cell>
          <cell r="AH58">
            <v>168.91485475422778</v>
          </cell>
          <cell r="AJ58">
            <v>-15.469981314243341</v>
          </cell>
        </row>
        <row r="59">
          <cell r="F59">
            <v>592</v>
          </cell>
          <cell r="H59">
            <v>268.27999999999997</v>
          </cell>
          <cell r="N59">
            <v>1964.3268972715075</v>
          </cell>
          <cell r="AD59">
            <v>1654.7911240232536</v>
          </cell>
          <cell r="AF59">
            <v>30.524999999999999</v>
          </cell>
          <cell r="AH59">
            <v>168.9148547542278</v>
          </cell>
          <cell r="AJ59">
            <v>-0.2309787774815959</v>
          </cell>
        </row>
        <row r="60">
          <cell r="F60" t="str">
            <v>592F</v>
          </cell>
          <cell r="H60">
            <v>0</v>
          </cell>
          <cell r="N60">
            <v>0</v>
          </cell>
          <cell r="AD60">
            <v>0</v>
          </cell>
          <cell r="AF60">
            <v>0</v>
          </cell>
          <cell r="AH60">
            <v>0</v>
          </cell>
          <cell r="AJ60">
            <v>0</v>
          </cell>
        </row>
        <row r="61">
          <cell r="F61">
            <v>593</v>
          </cell>
          <cell r="H61">
            <v>35.36</v>
          </cell>
          <cell r="N61">
            <v>1908.2251131221724</v>
          </cell>
          <cell r="AD61">
            <v>1445.8376092610811</v>
          </cell>
          <cell r="AF61">
            <v>30.524999999999999</v>
          </cell>
          <cell r="AH61">
            <v>168.91485475422778</v>
          </cell>
          <cell r="AJ61">
            <v>-1.2774640153086239</v>
          </cell>
        </row>
        <row r="62">
          <cell r="F62">
            <v>593</v>
          </cell>
          <cell r="H62">
            <v>145.08000000000001</v>
          </cell>
          <cell r="N62">
            <v>1174.7352495175076</v>
          </cell>
          <cell r="AD62">
            <v>968.04151701598755</v>
          </cell>
          <cell r="AF62">
            <v>31.755066331198538</v>
          </cell>
          <cell r="AH62">
            <v>130.97340919155624</v>
          </cell>
          <cell r="AJ62">
            <v>-2.1358596465449864</v>
          </cell>
        </row>
        <row r="63">
          <cell r="F63" t="str">
            <v>N571</v>
          </cell>
          <cell r="H63">
            <v>6.28</v>
          </cell>
          <cell r="N63">
            <v>1399.9697452229298</v>
          </cell>
          <cell r="AD63">
            <v>1035.5069745318976</v>
          </cell>
          <cell r="AF63">
            <v>38.677333333333337</v>
          </cell>
          <cell r="AH63">
            <v>168.9148547542278</v>
          </cell>
          <cell r="AJ63">
            <v>2.9008373805411338</v>
          </cell>
        </row>
        <row r="64">
          <cell r="F64">
            <v>372</v>
          </cell>
          <cell r="H64">
            <v>137.52000000000001</v>
          </cell>
          <cell r="N64">
            <v>1161.4347731239093</v>
          </cell>
          <cell r="AD64">
            <v>962.83131842874241</v>
          </cell>
          <cell r="AF64">
            <v>30.525000000000002</v>
          </cell>
          <cell r="AH64">
            <v>128.9148547542278</v>
          </cell>
          <cell r="AJ64">
            <v>-1.2711731829701876</v>
          </cell>
        </row>
        <row r="65">
          <cell r="F65" t="str">
            <v>E548L</v>
          </cell>
          <cell r="H65">
            <v>1.28</v>
          </cell>
          <cell r="N65">
            <v>1498.6484375</v>
          </cell>
          <cell r="AD65">
            <v>1121.1998492015787</v>
          </cell>
          <cell r="AF65">
            <v>85.924999999999997</v>
          </cell>
          <cell r="AH65">
            <v>168.9148547542278</v>
          </cell>
          <cell r="AJ65">
            <v>-3.0397039558065444</v>
          </cell>
        </row>
        <row r="66">
          <cell r="F66">
            <v>571</v>
          </cell>
          <cell r="H66">
            <v>0</v>
          </cell>
          <cell r="N66">
            <v>0</v>
          </cell>
          <cell r="AD66">
            <v>0</v>
          </cell>
          <cell r="AF66">
            <v>0</v>
          </cell>
          <cell r="AH66">
            <v>0</v>
          </cell>
          <cell r="AJ66">
            <v>0</v>
          </cell>
        </row>
        <row r="67">
          <cell r="F67">
            <v>571</v>
          </cell>
          <cell r="H67">
            <v>0</v>
          </cell>
          <cell r="N67">
            <v>0</v>
          </cell>
          <cell r="AD67">
            <v>0</v>
          </cell>
          <cell r="AF67">
            <v>0</v>
          </cell>
          <cell r="AH67">
            <v>0</v>
          </cell>
          <cell r="AJ67">
            <v>0</v>
          </cell>
        </row>
        <row r="68">
          <cell r="H68">
            <v>542.4</v>
          </cell>
          <cell r="N68">
            <v>1794.1834623893803</v>
          </cell>
          <cell r="AD68">
            <v>1433.9617976820032</v>
          </cell>
          <cell r="AF68">
            <v>30.924602466934171</v>
          </cell>
          <cell r="AH68">
            <v>156.58910055598142</v>
          </cell>
          <cell r="AJ68">
            <v>67.292050917500092</v>
          </cell>
        </row>
        <row r="69">
          <cell r="H69">
            <v>3683.62</v>
          </cell>
          <cell r="N69">
            <v>1395.3881480717337</v>
          </cell>
          <cell r="AD69">
            <v>1190.89406223381</v>
          </cell>
          <cell r="AF69">
            <v>31.559813060516888</v>
          </cell>
          <cell r="AH69">
            <v>145.50231151886189</v>
          </cell>
          <cell r="AJ69">
            <v>-0.27981411459313676</v>
          </cell>
        </row>
        <row r="70">
          <cell r="H70">
            <v>583.52</v>
          </cell>
          <cell r="N70">
            <v>2511.7502913353442</v>
          </cell>
          <cell r="AD70">
            <v>2156.0464176656105</v>
          </cell>
          <cell r="AF70">
            <v>30.525000000000002</v>
          </cell>
          <cell r="AH70">
            <v>128.9148547542278</v>
          </cell>
          <cell r="AJ70">
            <v>4.0554056717433014</v>
          </cell>
        </row>
        <row r="71">
          <cell r="F71">
            <v>110</v>
          </cell>
          <cell r="H71">
            <v>136.36000000000001</v>
          </cell>
          <cell r="N71">
            <v>2902.0861689645058</v>
          </cell>
          <cell r="AD71">
            <v>2521.4152134188134</v>
          </cell>
          <cell r="AF71">
            <v>30.525000000000002</v>
          </cell>
          <cell r="AH71">
            <v>128.91485475422778</v>
          </cell>
          <cell r="AJ71">
            <v>13.144931826958782</v>
          </cell>
        </row>
        <row r="72">
          <cell r="F72">
            <v>111</v>
          </cell>
          <cell r="H72">
            <v>419.4</v>
          </cell>
          <cell r="N72">
            <v>2397.2811874105864</v>
          </cell>
          <cell r="AD72">
            <v>2072.329148340124</v>
          </cell>
          <cell r="AF72">
            <v>30.525000000000002</v>
          </cell>
          <cell r="AH72">
            <v>128.91485475422778</v>
          </cell>
          <cell r="AJ72">
            <v>-1.7690030943517741</v>
          </cell>
        </row>
        <row r="73">
          <cell r="F73">
            <v>113</v>
          </cell>
          <cell r="H73">
            <v>24.72</v>
          </cell>
          <cell r="N73">
            <v>2312.9858414239484</v>
          </cell>
          <cell r="AD73">
            <v>1645.4489279450781</v>
          </cell>
          <cell r="AF73">
            <v>36.500793650793653</v>
          </cell>
          <cell r="AH73">
            <v>128.9148547542278</v>
          </cell>
          <cell r="AJ73">
            <v>-25.864576350099469</v>
          </cell>
        </row>
        <row r="74">
          <cell r="F74" t="str">
            <v>P110</v>
          </cell>
          <cell r="H74">
            <v>0</v>
          </cell>
          <cell r="N74">
            <v>0</v>
          </cell>
          <cell r="AD74">
            <v>0</v>
          </cell>
          <cell r="AF74">
            <v>0</v>
          </cell>
          <cell r="AH74">
            <v>0</v>
          </cell>
          <cell r="AJ74">
            <v>0</v>
          </cell>
        </row>
        <row r="75">
          <cell r="F75" t="str">
            <v>P111</v>
          </cell>
          <cell r="H75">
            <v>3.04</v>
          </cell>
          <cell r="N75">
            <v>2411.6184210526317</v>
          </cell>
          <cell r="AD75">
            <v>2063.4127241355841</v>
          </cell>
          <cell r="AF75">
            <v>30.525000000000002</v>
          </cell>
          <cell r="AH75">
            <v>128.91485475422778</v>
          </cell>
          <cell r="AJ75">
            <v>0.14742111018813375</v>
          </cell>
        </row>
        <row r="76">
          <cell r="F76" t="str">
            <v>113+</v>
          </cell>
          <cell r="H76">
            <v>0</v>
          </cell>
          <cell r="N76">
            <v>0</v>
          </cell>
          <cell r="AD76">
            <v>1675.4102041228632</v>
          </cell>
          <cell r="AF76">
            <v>15.466000000000001</v>
          </cell>
          <cell r="AH76">
            <v>128.91485475422778</v>
          </cell>
          <cell r="AJ76">
            <v>-1819.791058877091</v>
          </cell>
        </row>
        <row r="77">
          <cell r="F77" t="str">
            <v>113+</v>
          </cell>
          <cell r="H77">
            <v>7.84</v>
          </cell>
          <cell r="N77">
            <v>0</v>
          </cell>
          <cell r="AD77">
            <v>0</v>
          </cell>
          <cell r="AF77">
            <v>0</v>
          </cell>
          <cell r="AH77">
            <v>0</v>
          </cell>
          <cell r="AJ77">
            <v>0</v>
          </cell>
        </row>
        <row r="78">
          <cell r="H78">
            <v>0</v>
          </cell>
          <cell r="N78">
            <v>0</v>
          </cell>
          <cell r="AD78">
            <v>0</v>
          </cell>
          <cell r="AF78">
            <v>0</v>
          </cell>
          <cell r="AH78">
            <v>0</v>
          </cell>
          <cell r="AJ78">
            <v>0</v>
          </cell>
        </row>
        <row r="79">
          <cell r="F79">
            <v>134</v>
          </cell>
          <cell r="H79">
            <v>0</v>
          </cell>
          <cell r="N79">
            <v>0</v>
          </cell>
          <cell r="AD79">
            <v>0</v>
          </cell>
          <cell r="AF79">
            <v>0</v>
          </cell>
          <cell r="AH79">
            <v>0</v>
          </cell>
          <cell r="AJ79">
            <v>0</v>
          </cell>
        </row>
        <row r="80">
          <cell r="F80">
            <v>134</v>
          </cell>
          <cell r="H80">
            <v>583.52</v>
          </cell>
          <cell r="N80">
            <v>2511.7502913353442</v>
          </cell>
          <cell r="AD80">
            <v>2156.0464176656105</v>
          </cell>
          <cell r="AF80">
            <v>30.525000000000002</v>
          </cell>
          <cell r="AH80">
            <v>128.9148547542278</v>
          </cell>
          <cell r="AJ80">
            <v>4.0554056717433014</v>
          </cell>
        </row>
        <row r="81">
          <cell r="H81">
            <v>56.64</v>
          </cell>
          <cell r="N81">
            <v>1635.742761299435</v>
          </cell>
          <cell r="AD81">
            <v>1386.2926513347013</v>
          </cell>
          <cell r="AF81">
            <v>38.360254537867725</v>
          </cell>
          <cell r="AH81">
            <v>128.9148547542278</v>
          </cell>
          <cell r="AJ81">
            <v>-13.759851022276735</v>
          </cell>
        </row>
        <row r="82">
          <cell r="F82">
            <v>122</v>
          </cell>
          <cell r="H82">
            <v>8.32</v>
          </cell>
          <cell r="N82">
            <v>1999.9158653846152</v>
          </cell>
          <cell r="AD82">
            <v>1475.1318058945801</v>
          </cell>
          <cell r="AF82">
            <v>30.525000000000006</v>
          </cell>
          <cell r="AH82">
            <v>128.9148547542278</v>
          </cell>
          <cell r="AJ82">
            <v>-1.5716606488078924</v>
          </cell>
        </row>
        <row r="83">
          <cell r="F83">
            <v>124</v>
          </cell>
          <cell r="H83">
            <v>34.92</v>
          </cell>
          <cell r="N83">
            <v>1562.0999427262316</v>
          </cell>
          <cell r="AD83">
            <v>1369.7207987286774</v>
          </cell>
          <cell r="AF83">
            <v>36.905486132276749</v>
          </cell>
          <cell r="AH83">
            <v>128.91485475422778</v>
          </cell>
          <cell r="AJ83">
            <v>-12.541139615181919</v>
          </cell>
        </row>
        <row r="84">
          <cell r="F84" t="str">
            <v>DJ300</v>
          </cell>
          <cell r="H84">
            <v>9.1999999999999993</v>
          </cell>
          <cell r="N84">
            <v>1648.4347826086957</v>
          </cell>
          <cell r="AD84">
            <v>1417.1778893953945</v>
          </cell>
          <cell r="AF84">
            <v>30.525000000000002</v>
          </cell>
          <cell r="AH84">
            <v>128.91485475422778</v>
          </cell>
          <cell r="AJ84">
            <v>-28.61774414962224</v>
          </cell>
        </row>
        <row r="85">
          <cell r="F85" t="str">
            <v>N124L</v>
          </cell>
          <cell r="H85">
            <v>4.2</v>
          </cell>
          <cell r="N85">
            <v>1498.8190476190475</v>
          </cell>
          <cell r="AD85">
            <v>1266.5772114131885</v>
          </cell>
          <cell r="AF85">
            <v>85.924999999999997</v>
          </cell>
          <cell r="AH85">
            <v>128.91485475422778</v>
          </cell>
          <cell r="AJ85">
            <v>-4.4170661674163512</v>
          </cell>
        </row>
        <row r="86">
          <cell r="F86" t="str">
            <v>N124L</v>
          </cell>
          <cell r="H86">
            <v>0</v>
          </cell>
          <cell r="N86">
            <v>0</v>
          </cell>
          <cell r="AD86">
            <v>0</v>
          </cell>
          <cell r="AF86">
            <v>0</v>
          </cell>
          <cell r="AH86">
            <v>0</v>
          </cell>
          <cell r="AJ86">
            <v>0</v>
          </cell>
        </row>
        <row r="87">
          <cell r="H87">
            <v>0</v>
          </cell>
          <cell r="N87">
            <v>0</v>
          </cell>
          <cell r="AD87">
            <v>0</v>
          </cell>
          <cell r="AF87">
            <v>0</v>
          </cell>
          <cell r="AH87">
            <v>0</v>
          </cell>
          <cell r="AJ87">
            <v>0</v>
          </cell>
        </row>
        <row r="88">
          <cell r="H88">
            <v>56.64</v>
          </cell>
          <cell r="N88">
            <v>1635.742761299435</v>
          </cell>
          <cell r="AD88">
            <v>1386.2926513347013</v>
          </cell>
          <cell r="AF88">
            <v>38.360254537867725</v>
          </cell>
          <cell r="AH88">
            <v>128.9148547542278</v>
          </cell>
          <cell r="AJ88">
            <v>-13.759851022276735</v>
          </cell>
        </row>
        <row r="89">
          <cell r="H89">
            <v>640.16</v>
          </cell>
          <cell r="N89">
            <v>2434.2430017495626</v>
          </cell>
          <cell r="AD89">
            <v>2094.3512988210423</v>
          </cell>
          <cell r="AF89">
            <v>31.152989080450165</v>
          </cell>
          <cell r="AH89">
            <v>128.9148547542278</v>
          </cell>
          <cell r="AJ89">
            <v>-3.8666557774399735</v>
          </cell>
        </row>
        <row r="90">
          <cell r="H90">
            <v>0</v>
          </cell>
          <cell r="N90">
            <v>0</v>
          </cell>
          <cell r="AD90">
            <v>0</v>
          </cell>
          <cell r="AF90">
            <v>0</v>
          </cell>
          <cell r="AH90">
            <v>0</v>
          </cell>
          <cell r="AJ90">
            <v>0</v>
          </cell>
        </row>
        <row r="91">
          <cell r="F91">
            <v>149</v>
          </cell>
          <cell r="H91">
            <v>0</v>
          </cell>
          <cell r="N91">
            <v>0</v>
          </cell>
          <cell r="AD91">
            <v>0</v>
          </cell>
          <cell r="AF91">
            <v>0</v>
          </cell>
          <cell r="AH91">
            <v>0</v>
          </cell>
          <cell r="AJ91">
            <v>0</v>
          </cell>
        </row>
        <row r="92">
          <cell r="F92">
            <v>149</v>
          </cell>
          <cell r="H92">
            <v>1183.1199999999999</v>
          </cell>
          <cell r="N92">
            <v>2457.8998495503415</v>
          </cell>
          <cell r="AD92">
            <v>1910.4104313091923</v>
          </cell>
          <cell r="AF92">
            <v>38.547663740647366</v>
          </cell>
          <cell r="AH92">
            <v>128.91485475422775</v>
          </cell>
          <cell r="AJ92">
            <v>-15.324687582145998</v>
          </cell>
        </row>
        <row r="93">
          <cell r="F93">
            <v>808</v>
          </cell>
          <cell r="H93">
            <v>29.68</v>
          </cell>
          <cell r="N93">
            <v>2066.9312668463613</v>
          </cell>
          <cell r="AD93">
            <v>1588.6525824658427</v>
          </cell>
          <cell r="AF93">
            <v>40.961445508435936</v>
          </cell>
          <cell r="AH93">
            <v>128.9148547542278</v>
          </cell>
          <cell r="AJ93">
            <v>-13.52888272850646</v>
          </cell>
        </row>
        <row r="94">
          <cell r="F94" t="str">
            <v>N808</v>
          </cell>
          <cell r="H94">
            <v>442.15</v>
          </cell>
          <cell r="N94">
            <v>2342.9919936673077</v>
          </cell>
          <cell r="AD94">
            <v>1755.3721247572985</v>
          </cell>
          <cell r="AF94">
            <v>42.055224225612577</v>
          </cell>
          <cell r="AH94">
            <v>128.91485475422778</v>
          </cell>
          <cell r="AJ94">
            <v>-24.342203737138789</v>
          </cell>
        </row>
        <row r="95">
          <cell r="F95" t="str">
            <v>808S</v>
          </cell>
          <cell r="H95">
            <v>85.78</v>
          </cell>
          <cell r="N95">
            <v>2786.4698064816976</v>
          </cell>
          <cell r="AD95">
            <v>2199.4369448551047</v>
          </cell>
          <cell r="AF95">
            <v>38.335069161920259</v>
          </cell>
          <cell r="AH95">
            <v>128.91485475422778</v>
          </cell>
          <cell r="AJ95">
            <v>-0.686868771252648</v>
          </cell>
        </row>
        <row r="96">
          <cell r="F96" t="str">
            <v>P800</v>
          </cell>
          <cell r="H96">
            <v>69.680000000000007</v>
          </cell>
          <cell r="N96">
            <v>2462.6737944890929</v>
          </cell>
          <cell r="AD96">
            <v>2028.3231720969891</v>
          </cell>
          <cell r="AF96">
            <v>45.108672917417955</v>
          </cell>
          <cell r="AH96">
            <v>128.91485475422778</v>
          </cell>
          <cell r="AJ96">
            <v>-22.346699768634608</v>
          </cell>
        </row>
        <row r="97">
          <cell r="F97" t="str">
            <v>N800</v>
          </cell>
          <cell r="H97">
            <v>531.25</v>
          </cell>
          <cell r="N97">
            <v>2528.7787482352942</v>
          </cell>
          <cell r="AD97">
            <v>2000.9211065610139</v>
          </cell>
          <cell r="AF97">
            <v>34.729938695214564</v>
          </cell>
          <cell r="AH97">
            <v>128.91485475422778</v>
          </cell>
          <cell r="AJ97">
            <v>-6.5659000104560619</v>
          </cell>
        </row>
        <row r="98">
          <cell r="F98" t="str">
            <v>P808</v>
          </cell>
          <cell r="H98">
            <v>24.58</v>
          </cell>
          <cell r="N98">
            <v>2304.8755085435319</v>
          </cell>
          <cell r="AD98">
            <v>1742.6574482838844</v>
          </cell>
          <cell r="AF98">
            <v>38.736544502617797</v>
          </cell>
          <cell r="AH98">
            <v>128.91485475422778</v>
          </cell>
          <cell r="AJ98">
            <v>-31.308847540730085</v>
          </cell>
        </row>
        <row r="99">
          <cell r="F99" t="str">
            <v>P808</v>
          </cell>
          <cell r="H99">
            <v>101.06</v>
          </cell>
          <cell r="N99">
            <v>2661.4126261626752</v>
          </cell>
          <cell r="AD99">
            <v>2069.829297092343</v>
          </cell>
          <cell r="AF99">
            <v>38.799141295862604</v>
          </cell>
          <cell r="AH99">
            <v>128.9148547542278</v>
          </cell>
          <cell r="AJ99">
            <v>-30.551605036357159</v>
          </cell>
        </row>
        <row r="100">
          <cell r="F100">
            <v>156</v>
          </cell>
          <cell r="H100">
            <v>5.3</v>
          </cell>
          <cell r="N100">
            <v>2158.2566037735846</v>
          </cell>
          <cell r="AD100">
            <v>1428.8035746374721</v>
          </cell>
          <cell r="AF100">
            <v>50.512420382165594</v>
          </cell>
          <cell r="AH100">
            <v>128.91485475422778</v>
          </cell>
          <cell r="AJ100">
            <v>-14.230849773865884</v>
          </cell>
        </row>
        <row r="101">
          <cell r="F101">
            <v>157</v>
          </cell>
          <cell r="H101">
            <v>11.34</v>
          </cell>
          <cell r="N101">
            <v>2352.2910052910051</v>
          </cell>
          <cell r="AD101">
            <v>1709.7786526577033</v>
          </cell>
          <cell r="AF101">
            <v>55.333571428571439</v>
          </cell>
          <cell r="AH101">
            <v>128.9148547542278</v>
          </cell>
          <cell r="AJ101">
            <v>-27.027078840502554</v>
          </cell>
        </row>
        <row r="102">
          <cell r="F102">
            <v>2150</v>
          </cell>
          <cell r="H102">
            <v>32.18</v>
          </cell>
          <cell r="N102">
            <v>2911.1205717837161</v>
          </cell>
          <cell r="AD102">
            <v>2445.8362422070272</v>
          </cell>
          <cell r="AF102">
            <v>40.119462647444294</v>
          </cell>
          <cell r="AH102">
            <v>128.91485475422778</v>
          </cell>
          <cell r="AJ102">
            <v>-2.8705596086988407</v>
          </cell>
        </row>
        <row r="103">
          <cell r="F103" t="str">
            <v>2151-35</v>
          </cell>
          <cell r="H103">
            <v>12.6</v>
          </cell>
          <cell r="N103">
            <v>2021.6103174603177</v>
          </cell>
          <cell r="AD103">
            <v>1703.571791638572</v>
          </cell>
          <cell r="AF103">
            <v>33.260927152317883</v>
          </cell>
          <cell r="AH103">
            <v>128.91485475422778</v>
          </cell>
          <cell r="AJ103">
            <v>-6.7475735451175751</v>
          </cell>
        </row>
        <row r="104">
          <cell r="F104" t="str">
            <v>2151-37</v>
          </cell>
          <cell r="H104">
            <v>17.739999999999998</v>
          </cell>
          <cell r="N104">
            <v>2557.872604284104</v>
          </cell>
          <cell r="AD104">
            <v>1824.4009251033165</v>
          </cell>
          <cell r="AF104">
            <v>32.703395472703065</v>
          </cell>
          <cell r="AH104">
            <v>128.9148547542278</v>
          </cell>
          <cell r="AJ104">
            <v>-15.019175330246526</v>
          </cell>
        </row>
        <row r="105">
          <cell r="F105" t="str">
            <v>2151-39</v>
          </cell>
          <cell r="H105">
            <v>16.899999999999999</v>
          </cell>
          <cell r="N105">
            <v>2960.978106508876</v>
          </cell>
          <cell r="AD105">
            <v>2082.5625046514051</v>
          </cell>
          <cell r="AF105">
            <v>34.601891447368423</v>
          </cell>
          <cell r="AH105">
            <v>128.91485475422778</v>
          </cell>
          <cell r="AJ105">
            <v>-1.0792508530012128</v>
          </cell>
        </row>
        <row r="106">
          <cell r="F106" t="str">
            <v>2151-41</v>
          </cell>
          <cell r="H106">
            <v>5</v>
          </cell>
          <cell r="N106">
            <v>3255.8560000000002</v>
          </cell>
          <cell r="AD106">
            <v>2452.2017529949949</v>
          </cell>
          <cell r="AF106">
            <v>38.520967741935486</v>
          </cell>
          <cell r="AH106">
            <v>128.91485475422778</v>
          </cell>
          <cell r="AJ106">
            <v>-12.637575491158259</v>
          </cell>
        </row>
        <row r="107">
          <cell r="F107">
            <v>2151</v>
          </cell>
          <cell r="H107">
            <v>0</v>
          </cell>
          <cell r="N107">
            <v>0</v>
          </cell>
          <cell r="AD107">
            <v>0</v>
          </cell>
          <cell r="AF107">
            <v>0</v>
          </cell>
          <cell r="AH107">
            <v>0</v>
          </cell>
          <cell r="AJ107">
            <v>0</v>
          </cell>
        </row>
        <row r="108">
          <cell r="F108">
            <v>2151</v>
          </cell>
          <cell r="H108">
            <v>1284.1799999999998</v>
          </cell>
          <cell r="N108">
            <v>2473.9155180737903</v>
          </cell>
          <cell r="AD108">
            <v>1925.3963925496021</v>
          </cell>
          <cell r="AF108">
            <v>38.57130355816065</v>
          </cell>
          <cell r="AH108">
            <v>128.91485475422778</v>
          </cell>
          <cell r="AJ108">
            <v>-18.967149594255261</v>
          </cell>
        </row>
        <row r="109">
          <cell r="H109">
            <v>38.239999999999995</v>
          </cell>
          <cell r="N109">
            <v>1421.8255753138078</v>
          </cell>
          <cell r="AD109">
            <v>1305.9506357871437</v>
          </cell>
          <cell r="AF109">
            <v>50.147546161321685</v>
          </cell>
          <cell r="AH109">
            <v>128.9148547542278</v>
          </cell>
          <cell r="AJ109">
            <v>-8.8331203847014876</v>
          </cell>
        </row>
        <row r="110">
          <cell r="F110">
            <v>172</v>
          </cell>
          <cell r="H110">
            <v>0</v>
          </cell>
          <cell r="N110">
            <v>0</v>
          </cell>
          <cell r="AD110">
            <v>0</v>
          </cell>
          <cell r="AF110">
            <v>0</v>
          </cell>
          <cell r="AH110">
            <v>0</v>
          </cell>
          <cell r="AJ110">
            <v>0</v>
          </cell>
        </row>
        <row r="111">
          <cell r="F111" t="str">
            <v>172D</v>
          </cell>
          <cell r="H111">
            <v>0.44</v>
          </cell>
          <cell r="N111">
            <v>1308.840909090909</v>
          </cell>
          <cell r="AD111">
            <v>0</v>
          </cell>
          <cell r="AF111">
            <v>0</v>
          </cell>
          <cell r="AH111">
            <v>0</v>
          </cell>
          <cell r="AJ111">
            <v>1148</v>
          </cell>
        </row>
        <row r="112">
          <cell r="F112" t="str">
            <v>N182</v>
          </cell>
          <cell r="H112">
            <v>37.799999999999997</v>
          </cell>
          <cell r="N112">
            <v>1423.140740740741</v>
          </cell>
          <cell r="AD112">
            <v>1305.9506357871437</v>
          </cell>
          <cell r="AF112">
            <v>50.147546161321685</v>
          </cell>
          <cell r="AH112">
            <v>128.9148547542278</v>
          </cell>
          <cell r="AJ112">
            <v>-5.0130367026931708</v>
          </cell>
        </row>
        <row r="113">
          <cell r="H113">
            <v>1962.5799999999997</v>
          </cell>
          <cell r="N113">
            <v>2440.4755169216037</v>
          </cell>
          <cell r="AD113">
            <v>1969.0779913971633</v>
          </cell>
          <cell r="AF113">
            <v>36.281558282350488</v>
          </cell>
          <cell r="AH113">
            <v>128.9148547542278</v>
          </cell>
          <cell r="AJ113">
            <v>-14.389620119216488</v>
          </cell>
        </row>
        <row r="114">
          <cell r="H114">
            <v>5646.2</v>
          </cell>
          <cell r="N114">
            <v>1758.6532765399736</v>
          </cell>
          <cell r="AD114">
            <v>1445.0896705886014</v>
          </cell>
          <cell r="AF114">
            <v>33.102182228241467</v>
          </cell>
          <cell r="AH114">
            <v>140.08397980404712</v>
          </cell>
          <cell r="AJ114">
            <v>10.862972239015789</v>
          </cell>
        </row>
      </sheetData>
      <sheetData sheetId="8" refreshError="1">
        <row r="7">
          <cell r="H7">
            <v>764.8</v>
          </cell>
          <cell r="N7">
            <v>1445.2847803347281</v>
          </cell>
          <cell r="AD7">
            <v>1247.2167283075842</v>
          </cell>
          <cell r="AF7">
            <v>30.054294346137247</v>
          </cell>
          <cell r="AH7">
            <v>124.64306750182732</v>
          </cell>
        </row>
        <row r="8">
          <cell r="F8">
            <v>510</v>
          </cell>
          <cell r="H8">
            <v>191.84</v>
          </cell>
          <cell r="N8">
            <v>1672.8190158465386</v>
          </cell>
          <cell r="AD8">
            <v>1376.724905097469</v>
          </cell>
          <cell r="AF8">
            <v>29.900000000000002</v>
          </cell>
          <cell r="AH8">
            <v>128.53171661706253</v>
          </cell>
        </row>
        <row r="9">
          <cell r="F9">
            <v>511</v>
          </cell>
          <cell r="H9">
            <v>0</v>
          </cell>
          <cell r="N9">
            <v>0</v>
          </cell>
          <cell r="AD9">
            <v>0</v>
          </cell>
          <cell r="AF9">
            <v>0</v>
          </cell>
          <cell r="AH9">
            <v>0</v>
          </cell>
        </row>
        <row r="10">
          <cell r="F10">
            <v>513</v>
          </cell>
          <cell r="H10">
            <v>0</v>
          </cell>
          <cell r="N10">
            <v>0</v>
          </cell>
          <cell r="AD10">
            <v>0</v>
          </cell>
          <cell r="AF10">
            <v>0</v>
          </cell>
          <cell r="AH10">
            <v>0</v>
          </cell>
        </row>
        <row r="11">
          <cell r="F11" t="str">
            <v>510L</v>
          </cell>
          <cell r="H11">
            <v>17.16</v>
          </cell>
          <cell r="N11">
            <v>1522.9254079254081</v>
          </cell>
          <cell r="AD11">
            <v>1250.2643196159597</v>
          </cell>
          <cell r="AF11">
            <v>29.900000000000002</v>
          </cell>
          <cell r="AH11">
            <v>128.53171661706256</v>
          </cell>
        </row>
        <row r="12">
          <cell r="F12" t="str">
            <v>N510L</v>
          </cell>
          <cell r="H12">
            <v>1.44</v>
          </cell>
          <cell r="N12">
            <v>1650</v>
          </cell>
          <cell r="AD12">
            <v>1248.8586019375</v>
          </cell>
          <cell r="AF12">
            <v>87.1</v>
          </cell>
          <cell r="AH12">
            <v>128.53171661706253</v>
          </cell>
        </row>
        <row r="13">
          <cell r="F13" t="str">
            <v>511L</v>
          </cell>
          <cell r="H13">
            <v>466.6</v>
          </cell>
          <cell r="N13">
            <v>1369.766395199314</v>
          </cell>
          <cell r="AD13">
            <v>1209.0988996308131</v>
          </cell>
          <cell r="AF13">
            <v>29.9</v>
          </cell>
          <cell r="AH13">
            <v>128.53171661706253</v>
          </cell>
        </row>
        <row r="14">
          <cell r="F14" t="str">
            <v>513L</v>
          </cell>
          <cell r="H14">
            <v>22.56</v>
          </cell>
          <cell r="N14">
            <v>1333.5549645390072</v>
          </cell>
          <cell r="AD14">
            <v>1149.1788696161304</v>
          </cell>
          <cell r="AF14">
            <v>29.9</v>
          </cell>
          <cell r="AH14">
            <v>128.53171661706253</v>
          </cell>
        </row>
        <row r="15">
          <cell r="F15">
            <v>710</v>
          </cell>
          <cell r="H15">
            <v>0</v>
          </cell>
          <cell r="N15">
            <v>0</v>
          </cell>
          <cell r="AD15">
            <v>0</v>
          </cell>
          <cell r="AF15">
            <v>0</v>
          </cell>
          <cell r="AH15">
            <v>0</v>
          </cell>
        </row>
        <row r="16">
          <cell r="F16" t="str">
            <v>711L</v>
          </cell>
          <cell r="H16">
            <v>0</v>
          </cell>
          <cell r="N16">
            <v>0</v>
          </cell>
          <cell r="AD16">
            <v>0</v>
          </cell>
          <cell r="AF16">
            <v>0</v>
          </cell>
          <cell r="AH16">
            <v>0</v>
          </cell>
        </row>
        <row r="17">
          <cell r="F17" t="str">
            <v>311L</v>
          </cell>
          <cell r="H17">
            <v>61.08</v>
          </cell>
          <cell r="N17">
            <v>1336.0183366077276</v>
          </cell>
          <cell r="AD17">
            <v>1200.3975210870874</v>
          </cell>
          <cell r="AF17">
            <v>29.9</v>
          </cell>
          <cell r="AH17">
            <v>88.531716617062528</v>
          </cell>
        </row>
        <row r="18">
          <cell r="F18" t="str">
            <v>313L</v>
          </cell>
          <cell r="H18">
            <v>4.12</v>
          </cell>
          <cell r="N18">
            <v>1240</v>
          </cell>
          <cell r="AD18">
            <v>1140.9695634557522</v>
          </cell>
          <cell r="AF18">
            <v>29.900000000000002</v>
          </cell>
          <cell r="AH18">
            <v>88.531716617062528</v>
          </cell>
        </row>
        <row r="19">
          <cell r="H19">
            <v>279.64000000000004</v>
          </cell>
          <cell r="N19">
            <v>1354.5487054784721</v>
          </cell>
          <cell r="AD19">
            <v>1263.8577800462183</v>
          </cell>
          <cell r="AF19">
            <v>29.899999999999991</v>
          </cell>
          <cell r="AH19">
            <v>91.927623120635246</v>
          </cell>
        </row>
        <row r="20">
          <cell r="F20">
            <v>331</v>
          </cell>
          <cell r="H20">
            <v>14.6</v>
          </cell>
          <cell r="N20">
            <v>1610.9589041095892</v>
          </cell>
          <cell r="AD20">
            <v>1382.5380622926746</v>
          </cell>
          <cell r="AF20">
            <v>29.9</v>
          </cell>
          <cell r="AH20">
            <v>88.531716617062514</v>
          </cell>
        </row>
        <row r="21">
          <cell r="F21">
            <v>332</v>
          </cell>
          <cell r="H21">
            <v>49.04</v>
          </cell>
          <cell r="N21">
            <v>1330</v>
          </cell>
          <cell r="AD21">
            <v>1232.3945231958812</v>
          </cell>
          <cell r="AF21">
            <v>29.9</v>
          </cell>
          <cell r="AH21">
            <v>88.531716617062528</v>
          </cell>
        </row>
        <row r="22">
          <cell r="F22">
            <v>334</v>
          </cell>
          <cell r="H22">
            <v>207.08</v>
          </cell>
          <cell r="N22">
            <v>1329.5576588757967</v>
          </cell>
          <cell r="AD22">
            <v>1261.5755425342425</v>
          </cell>
          <cell r="AF22">
            <v>29.9</v>
          </cell>
          <cell r="AH22">
            <v>88.531716617062514</v>
          </cell>
        </row>
        <row r="23">
          <cell r="F23">
            <v>531</v>
          </cell>
          <cell r="H23">
            <v>0</v>
          </cell>
          <cell r="N23">
            <v>0</v>
          </cell>
          <cell r="AD23">
            <v>0</v>
          </cell>
          <cell r="AF23">
            <v>0</v>
          </cell>
          <cell r="AH23">
            <v>0</v>
          </cell>
        </row>
        <row r="24">
          <cell r="F24" t="str">
            <v>531N</v>
          </cell>
          <cell r="H24">
            <v>8.92</v>
          </cell>
          <cell r="N24">
            <v>1650</v>
          </cell>
          <cell r="AD24">
            <v>1376.054301942881</v>
          </cell>
          <cell r="AF24">
            <v>29.900000000000002</v>
          </cell>
          <cell r="AH24">
            <v>128.53171661706253</v>
          </cell>
        </row>
        <row r="25">
          <cell r="F25">
            <v>532</v>
          </cell>
          <cell r="H25">
            <v>0</v>
          </cell>
          <cell r="N25">
            <v>0</v>
          </cell>
          <cell r="AD25">
            <v>0</v>
          </cell>
          <cell r="AF25">
            <v>0</v>
          </cell>
          <cell r="AH25">
            <v>0</v>
          </cell>
        </row>
        <row r="26">
          <cell r="F26" t="str">
            <v>532N</v>
          </cell>
          <cell r="H26">
            <v>0</v>
          </cell>
          <cell r="N26">
            <v>0</v>
          </cell>
          <cell r="AD26">
            <v>0</v>
          </cell>
          <cell r="AF26">
            <v>0</v>
          </cell>
          <cell r="AH26">
            <v>0</v>
          </cell>
        </row>
        <row r="27">
          <cell r="F27" t="str">
            <v>533N</v>
          </cell>
          <cell r="H27">
            <v>0</v>
          </cell>
          <cell r="N27">
            <v>0</v>
          </cell>
          <cell r="AD27">
            <v>0</v>
          </cell>
          <cell r="AF27">
            <v>0</v>
          </cell>
          <cell r="AH27">
            <v>0</v>
          </cell>
        </row>
        <row r="28">
          <cell r="F28">
            <v>534</v>
          </cell>
          <cell r="H28">
            <v>0</v>
          </cell>
          <cell r="N28">
            <v>0</v>
          </cell>
          <cell r="AD28">
            <v>0</v>
          </cell>
          <cell r="AF28">
            <v>0</v>
          </cell>
          <cell r="AH28">
            <v>0</v>
          </cell>
        </row>
        <row r="29">
          <cell r="F29" t="str">
            <v>534N</v>
          </cell>
          <cell r="H29">
            <v>0</v>
          </cell>
          <cell r="N29">
            <v>0</v>
          </cell>
          <cell r="AD29">
            <v>1265.6801996240911</v>
          </cell>
          <cell r="AF29">
            <v>29.9</v>
          </cell>
          <cell r="AH29">
            <v>128.53171661706253</v>
          </cell>
        </row>
        <row r="30">
          <cell r="F30" t="str">
            <v>535N</v>
          </cell>
          <cell r="H30">
            <v>0</v>
          </cell>
          <cell r="N30">
            <v>0</v>
          </cell>
          <cell r="AD30">
            <v>0</v>
          </cell>
          <cell r="AF30">
            <v>0</v>
          </cell>
          <cell r="AH30">
            <v>0</v>
          </cell>
        </row>
        <row r="31">
          <cell r="H31">
            <v>1044.44</v>
          </cell>
          <cell r="N31">
            <v>1420.9909616636667</v>
          </cell>
          <cell r="AD31">
            <v>1252.345126180383</v>
          </cell>
          <cell r="AF31">
            <v>30.00674429888403</v>
          </cell>
          <cell r="AH31">
            <v>114.56090334493921</v>
          </cell>
        </row>
        <row r="32">
          <cell r="H32">
            <v>3237.97</v>
          </cell>
          <cell r="N32">
            <v>1127.2812564662427</v>
          </cell>
          <cell r="AD32">
            <v>1039.4167503567373</v>
          </cell>
          <cell r="AF32">
            <v>28.960876309131788</v>
          </cell>
          <cell r="AH32">
            <v>88.643295768523089</v>
          </cell>
        </row>
        <row r="33">
          <cell r="F33">
            <v>321</v>
          </cell>
          <cell r="H33">
            <v>175.04</v>
          </cell>
          <cell r="N33">
            <v>1594.7099520109689</v>
          </cell>
          <cell r="AD33">
            <v>1250.0497221879834</v>
          </cell>
          <cell r="AF33">
            <v>29.9</v>
          </cell>
          <cell r="AH33">
            <v>88.531716617062528</v>
          </cell>
        </row>
        <row r="34">
          <cell r="F34">
            <v>322</v>
          </cell>
          <cell r="H34">
            <v>682.08</v>
          </cell>
          <cell r="N34">
            <v>1091.2784863945578</v>
          </cell>
          <cell r="AD34">
            <v>1010.9171547009136</v>
          </cell>
          <cell r="AF34">
            <v>29.9</v>
          </cell>
          <cell r="AH34">
            <v>88.531716617062514</v>
          </cell>
        </row>
        <row r="35">
          <cell r="F35" t="str">
            <v>324C</v>
          </cell>
          <cell r="H35">
            <v>2356.85</v>
          </cell>
          <cell r="N35">
            <v>1100.7891168296667</v>
          </cell>
          <cell r="AD35">
            <v>1029.7334620534145</v>
          </cell>
          <cell r="AF35">
            <v>28.588463705327701</v>
          </cell>
          <cell r="AH35">
            <v>88.531716617062528</v>
          </cell>
        </row>
        <row r="36">
          <cell r="F36" t="str">
            <v>324L</v>
          </cell>
          <cell r="H36">
            <v>5.96</v>
          </cell>
          <cell r="N36">
            <v>1060</v>
          </cell>
          <cell r="AD36">
            <v>1029.037550033557</v>
          </cell>
          <cell r="AF36">
            <v>29.899999999999995</v>
          </cell>
          <cell r="AH36">
            <v>88.531716617062528</v>
          </cell>
        </row>
        <row r="37">
          <cell r="F37">
            <v>521</v>
          </cell>
          <cell r="H37">
            <v>9.1999999999999993</v>
          </cell>
          <cell r="N37">
            <v>1702.0434782608695</v>
          </cell>
          <cell r="AD37">
            <v>1254.3899808273543</v>
          </cell>
          <cell r="AF37">
            <v>29.9</v>
          </cell>
          <cell r="AH37">
            <v>128.53171661706253</v>
          </cell>
        </row>
        <row r="38">
          <cell r="F38" t="str">
            <v>N324L</v>
          </cell>
          <cell r="H38">
            <v>0</v>
          </cell>
          <cell r="N38">
            <v>0</v>
          </cell>
          <cell r="AD38">
            <v>0</v>
          </cell>
          <cell r="AF38">
            <v>0</v>
          </cell>
          <cell r="AH38">
            <v>0</v>
          </cell>
        </row>
        <row r="39">
          <cell r="F39" t="str">
            <v>324C-H</v>
          </cell>
          <cell r="H39">
            <v>8.84</v>
          </cell>
          <cell r="N39">
            <v>1160</v>
          </cell>
          <cell r="AD39">
            <v>0</v>
          </cell>
          <cell r="AF39">
            <v>0</v>
          </cell>
          <cell r="AH39">
            <v>0</v>
          </cell>
        </row>
        <row r="40">
          <cell r="H40">
            <v>33</v>
          </cell>
          <cell r="N40">
            <v>1300</v>
          </cell>
          <cell r="AD40">
            <v>1250.3226052363086</v>
          </cell>
          <cell r="AF40">
            <v>29.899999999999995</v>
          </cell>
          <cell r="AH40">
            <v>88.531716617062514</v>
          </cell>
        </row>
        <row r="41">
          <cell r="F41" t="str">
            <v>324BR</v>
          </cell>
          <cell r="H41">
            <v>33</v>
          </cell>
          <cell r="N41">
            <v>1300</v>
          </cell>
          <cell r="AD41">
            <v>1250.3226052363086</v>
          </cell>
          <cell r="AF41">
            <v>29.899999999999995</v>
          </cell>
          <cell r="AH41">
            <v>88.531716617062514</v>
          </cell>
        </row>
        <row r="42">
          <cell r="H42">
            <v>3270.97</v>
          </cell>
          <cell r="N42">
            <v>1129.0237727646538</v>
          </cell>
          <cell r="AD42">
            <v>1042.5255220354991</v>
          </cell>
          <cell r="AF42">
            <v>28.97471907862101</v>
          </cell>
          <cell r="AH42">
            <v>88.641651081578772</v>
          </cell>
        </row>
        <row r="43">
          <cell r="H43">
            <v>4315.41</v>
          </cell>
          <cell r="N43">
            <v>1199.6873275076991</v>
          </cell>
          <cell r="AD43">
            <v>1094.6109427865154</v>
          </cell>
          <cell r="AF43">
            <v>29.23090804648286</v>
          </cell>
          <cell r="AH43">
            <v>95.075821831213077</v>
          </cell>
        </row>
        <row r="44">
          <cell r="H44">
            <v>0</v>
          </cell>
          <cell r="N44">
            <v>0</v>
          </cell>
          <cell r="AD44">
            <v>0</v>
          </cell>
          <cell r="AF44">
            <v>0</v>
          </cell>
          <cell r="AH44">
            <v>0</v>
          </cell>
        </row>
        <row r="45">
          <cell r="F45" t="str">
            <v>548L</v>
          </cell>
          <cell r="H45">
            <v>0</v>
          </cell>
          <cell r="N45">
            <v>0</v>
          </cell>
          <cell r="AD45">
            <v>0</v>
          </cell>
          <cell r="AF45">
            <v>0</v>
          </cell>
          <cell r="AH45">
            <v>0</v>
          </cell>
        </row>
        <row r="46">
          <cell r="H46">
            <v>638.05999999999995</v>
          </cell>
          <cell r="N46">
            <v>1990.4614769770867</v>
          </cell>
          <cell r="AD46">
            <v>1580.5855034295469</v>
          </cell>
          <cell r="AF46">
            <v>39.224980092371389</v>
          </cell>
          <cell r="AH46">
            <v>128.5317166170625</v>
          </cell>
        </row>
        <row r="47">
          <cell r="F47">
            <v>551</v>
          </cell>
          <cell r="H47">
            <v>147.09</v>
          </cell>
          <cell r="N47">
            <v>1975.8166428717111</v>
          </cell>
          <cell r="AD47">
            <v>1594.3669137215134</v>
          </cell>
          <cell r="AF47">
            <v>39.745955644449673</v>
          </cell>
          <cell r="AH47">
            <v>128.53171661706253</v>
          </cell>
        </row>
        <row r="48">
          <cell r="F48" t="str">
            <v>551L</v>
          </cell>
          <cell r="H48">
            <v>105.42</v>
          </cell>
          <cell r="N48">
            <v>1743.1662872320244</v>
          </cell>
          <cell r="AD48">
            <v>1407.3178016399345</v>
          </cell>
          <cell r="AF48">
            <v>47.699343843980678</v>
          </cell>
          <cell r="AH48">
            <v>128.53171661706253</v>
          </cell>
        </row>
        <row r="49">
          <cell r="F49">
            <v>951</v>
          </cell>
          <cell r="H49">
            <v>257.48</v>
          </cell>
          <cell r="N49">
            <v>2071.3035575578683</v>
          </cell>
          <cell r="AD49">
            <v>1609.4445798904935</v>
          </cell>
          <cell r="AF49">
            <v>37.114105746089038</v>
          </cell>
          <cell r="AH49">
            <v>128.53171661706253</v>
          </cell>
        </row>
        <row r="50">
          <cell r="F50">
            <v>552</v>
          </cell>
          <cell r="H50">
            <v>37</v>
          </cell>
          <cell r="N50">
            <v>1727.22</v>
          </cell>
          <cell r="AD50">
            <v>1298.7298430420587</v>
          </cell>
          <cell r="AF50">
            <v>29.9</v>
          </cell>
          <cell r="AH50">
            <v>128.53171661706253</v>
          </cell>
        </row>
        <row r="51">
          <cell r="F51" t="str">
            <v>551S</v>
          </cell>
          <cell r="H51">
            <v>67.290000000000006</v>
          </cell>
          <cell r="N51">
            <v>2140.3791053648383</v>
          </cell>
          <cell r="AD51">
            <v>1627.8259153363988</v>
          </cell>
          <cell r="AF51">
            <v>36.068883971788125</v>
          </cell>
          <cell r="AH51">
            <v>128.53171661706253</v>
          </cell>
        </row>
        <row r="52">
          <cell r="F52" t="str">
            <v>P551S</v>
          </cell>
          <cell r="H52">
            <v>16.260000000000002</v>
          </cell>
          <cell r="N52">
            <v>2258.5369003690034</v>
          </cell>
          <cell r="AD52">
            <v>1648.963539477593</v>
          </cell>
          <cell r="AF52">
            <v>34.667925736235603</v>
          </cell>
          <cell r="AH52">
            <v>128.53171661706253</v>
          </cell>
        </row>
        <row r="53">
          <cell r="F53">
            <v>2551</v>
          </cell>
          <cell r="H53">
            <v>7.52</v>
          </cell>
          <cell r="N53">
            <v>2349.7460106382982</v>
          </cell>
          <cell r="AD53">
            <v>1629.2385110389316</v>
          </cell>
          <cell r="AF53">
            <v>40.881535038932142</v>
          </cell>
          <cell r="AH53">
            <v>128.53171661706253</v>
          </cell>
        </row>
        <row r="54">
          <cell r="F54">
            <v>555</v>
          </cell>
          <cell r="H54">
            <v>0</v>
          </cell>
          <cell r="N54">
            <v>0</v>
          </cell>
          <cell r="AD54">
            <v>0</v>
          </cell>
          <cell r="AF54">
            <v>0</v>
          </cell>
          <cell r="AH54">
            <v>0</v>
          </cell>
        </row>
        <row r="55">
          <cell r="F55">
            <v>550</v>
          </cell>
          <cell r="H55">
            <v>0</v>
          </cell>
          <cell r="N55">
            <v>0</v>
          </cell>
          <cell r="AD55">
            <v>2375.1744692623643</v>
          </cell>
          <cell r="AF55">
            <v>45.95</v>
          </cell>
          <cell r="AH55">
            <v>128.53171661706253</v>
          </cell>
        </row>
        <row r="56">
          <cell r="F56" t="str">
            <v>SC100</v>
          </cell>
          <cell r="H56">
            <v>0</v>
          </cell>
          <cell r="N56">
            <v>0</v>
          </cell>
          <cell r="AD56">
            <v>1648.252246787473</v>
          </cell>
          <cell r="AF56">
            <v>47.233490224475013</v>
          </cell>
          <cell r="AH56">
            <v>128.53171661706253</v>
          </cell>
        </row>
        <row r="57">
          <cell r="F57">
            <v>590</v>
          </cell>
          <cell r="H57">
            <v>471.08000000000004</v>
          </cell>
          <cell r="N57">
            <v>1981.4613229175511</v>
          </cell>
          <cell r="AD57">
            <v>1688.6752035160771</v>
          </cell>
          <cell r="AF57">
            <v>29.900000000000002</v>
          </cell>
          <cell r="AH57">
            <v>128.53171661706253</v>
          </cell>
        </row>
        <row r="58">
          <cell r="F58">
            <v>590</v>
          </cell>
          <cell r="H58">
            <v>13.6</v>
          </cell>
          <cell r="N58">
            <v>2298.0882352941176</v>
          </cell>
          <cell r="AD58">
            <v>0</v>
          </cell>
          <cell r="AF58">
            <v>0</v>
          </cell>
          <cell r="AH58">
            <v>0</v>
          </cell>
        </row>
        <row r="59">
          <cell r="F59">
            <v>591</v>
          </cell>
          <cell r="H59">
            <v>54.64</v>
          </cell>
          <cell r="N59">
            <v>2179.5095168374814</v>
          </cell>
          <cell r="AD59">
            <v>1918.8549852521032</v>
          </cell>
          <cell r="AF59">
            <v>29.9</v>
          </cell>
          <cell r="AH59">
            <v>128.53171661706253</v>
          </cell>
        </row>
        <row r="60">
          <cell r="F60">
            <v>592</v>
          </cell>
          <cell r="H60">
            <v>327.8</v>
          </cell>
          <cell r="N60">
            <v>1954.1317876754119</v>
          </cell>
          <cell r="AD60">
            <v>1681.4172796021335</v>
          </cell>
          <cell r="AF60">
            <v>29.9</v>
          </cell>
          <cell r="AH60">
            <v>128.53171661706253</v>
          </cell>
        </row>
        <row r="61">
          <cell r="F61" t="str">
            <v>592F</v>
          </cell>
          <cell r="H61">
            <v>0</v>
          </cell>
          <cell r="N61">
            <v>0</v>
          </cell>
          <cell r="AD61">
            <v>0</v>
          </cell>
          <cell r="AF61">
            <v>0</v>
          </cell>
          <cell r="AH61">
            <v>0</v>
          </cell>
        </row>
        <row r="62">
          <cell r="F62">
            <v>593</v>
          </cell>
          <cell r="H62">
            <v>75.040000000000006</v>
          </cell>
          <cell r="N62">
            <v>1899.2537313432833</v>
          </cell>
          <cell r="AD62">
            <v>1492.0642670162711</v>
          </cell>
          <cell r="AF62">
            <v>29.899999999999995</v>
          </cell>
          <cell r="AH62">
            <v>128.53171661706253</v>
          </cell>
        </row>
        <row r="63">
          <cell r="F63" t="str">
            <v>N571</v>
          </cell>
          <cell r="H63">
            <v>173.76000000000002</v>
          </cell>
          <cell r="N63">
            <v>1232.0672191528545</v>
          </cell>
          <cell r="AD63">
            <v>972.9295402725495</v>
          </cell>
          <cell r="AF63">
            <v>29.9</v>
          </cell>
          <cell r="AH63">
            <v>90.074990861066695</v>
          </cell>
        </row>
        <row r="64">
          <cell r="F64" t="str">
            <v>N571</v>
          </cell>
          <cell r="H64">
            <v>6.12</v>
          </cell>
          <cell r="N64">
            <v>1400</v>
          </cell>
          <cell r="AD64">
            <v>1079.424768806588</v>
          </cell>
          <cell r="AF64">
            <v>29.9</v>
          </cell>
          <cell r="AH64">
            <v>128.53171661706253</v>
          </cell>
        </row>
        <row r="65">
          <cell r="F65">
            <v>372</v>
          </cell>
          <cell r="H65">
            <v>167.56</v>
          </cell>
          <cell r="N65">
            <v>1225.8056815469085</v>
          </cell>
          <cell r="AD65">
            <v>968.65587058083634</v>
          </cell>
          <cell r="AF65">
            <v>29.9</v>
          </cell>
          <cell r="AH65">
            <v>88.531716617062514</v>
          </cell>
        </row>
        <row r="66">
          <cell r="F66" t="str">
            <v>E548L</v>
          </cell>
          <cell r="H66">
            <v>0.08</v>
          </cell>
          <cell r="N66">
            <v>1500</v>
          </cell>
          <cell r="AD66">
            <v>0</v>
          </cell>
          <cell r="AF66">
            <v>0</v>
          </cell>
          <cell r="AH66">
            <v>0</v>
          </cell>
        </row>
        <row r="67">
          <cell r="F67">
            <v>571</v>
          </cell>
          <cell r="H67">
            <v>0</v>
          </cell>
          <cell r="N67">
            <v>0</v>
          </cell>
          <cell r="AD67">
            <v>0</v>
          </cell>
          <cell r="AF67">
            <v>0</v>
          </cell>
          <cell r="AH67">
            <v>0</v>
          </cell>
        </row>
        <row r="68">
          <cell r="H68">
            <v>0</v>
          </cell>
          <cell r="N68">
            <v>0</v>
          </cell>
          <cell r="AD68">
            <v>0</v>
          </cell>
          <cell r="AF68">
            <v>0</v>
          </cell>
          <cell r="AH68">
            <v>0</v>
          </cell>
        </row>
        <row r="69">
          <cell r="H69">
            <v>644.84</v>
          </cell>
          <cell r="N69">
            <v>1779.5279449165685</v>
          </cell>
          <cell r="AD69">
            <v>1510.1808358004241</v>
          </cell>
          <cell r="AF69">
            <v>29.9</v>
          </cell>
          <cell r="AH69">
            <v>118.9412862438991</v>
          </cell>
        </row>
        <row r="70">
          <cell r="H70">
            <v>5598.3099999999995</v>
          </cell>
          <cell r="N70">
            <v>1356.6035714349509</v>
          </cell>
          <cell r="AD70">
            <v>1203.977542750798</v>
          </cell>
          <cell r="AF70">
            <v>30.62766190940987</v>
          </cell>
          <cell r="AH70">
            <v>102.09163958643494</v>
          </cell>
        </row>
        <row r="71">
          <cell r="F71">
            <v>110</v>
          </cell>
          <cell r="H71">
            <v>926.76</v>
          </cell>
          <cell r="N71">
            <v>2395.7194527169927</v>
          </cell>
          <cell r="AD71">
            <v>2234.8491785005149</v>
          </cell>
          <cell r="AF71">
            <v>29.899999999999995</v>
          </cell>
          <cell r="AH71">
            <v>88.531716617062528</v>
          </cell>
        </row>
        <row r="72">
          <cell r="F72">
            <v>110</v>
          </cell>
          <cell r="H72">
            <v>156.52000000000001</v>
          </cell>
          <cell r="N72">
            <v>2731.1206235624841</v>
          </cell>
          <cell r="AD72">
            <v>2616.6717402284658</v>
          </cell>
          <cell r="AF72">
            <v>29.900000000000002</v>
          </cell>
          <cell r="AH72">
            <v>88.531716617062528</v>
          </cell>
        </row>
        <row r="73">
          <cell r="F73">
            <v>111</v>
          </cell>
          <cell r="H73">
            <v>727.68</v>
          </cell>
          <cell r="N73">
            <v>2331.0921558927002</v>
          </cell>
          <cell r="AD73">
            <v>2187.2708019271226</v>
          </cell>
          <cell r="AF73">
            <v>29.899999999999995</v>
          </cell>
          <cell r="AH73">
            <v>88.531716617062514</v>
          </cell>
        </row>
        <row r="74">
          <cell r="F74">
            <v>113</v>
          </cell>
          <cell r="H74">
            <v>27.64</v>
          </cell>
          <cell r="N74">
            <v>2199.6729377713455</v>
          </cell>
          <cell r="AD74">
            <v>1707.3784963500607</v>
          </cell>
          <cell r="AF74">
            <v>29.899999999999995</v>
          </cell>
          <cell r="AH74">
            <v>88.531716617062514</v>
          </cell>
        </row>
        <row r="75">
          <cell r="F75" t="str">
            <v>P110</v>
          </cell>
          <cell r="H75">
            <v>0</v>
          </cell>
          <cell r="N75">
            <v>0</v>
          </cell>
          <cell r="AD75">
            <v>0</v>
          </cell>
          <cell r="AF75">
            <v>0</v>
          </cell>
          <cell r="AH75">
            <v>0</v>
          </cell>
        </row>
        <row r="76">
          <cell r="F76" t="str">
            <v>P111</v>
          </cell>
          <cell r="H76">
            <v>7.08</v>
          </cell>
          <cell r="N76">
            <v>2401.5819209039551</v>
          </cell>
          <cell r="AD76">
            <v>2178.162817048023</v>
          </cell>
          <cell r="AF76">
            <v>29.899999999999995</v>
          </cell>
          <cell r="AH76">
            <v>88.531716617062514</v>
          </cell>
        </row>
        <row r="77">
          <cell r="F77" t="str">
            <v>113+</v>
          </cell>
          <cell r="H77">
            <v>7.84</v>
          </cell>
          <cell r="N77">
            <v>2384.012755102041</v>
          </cell>
          <cell r="AD77">
            <v>1761.1667416199664</v>
          </cell>
          <cell r="AF77">
            <v>29.899999999999995</v>
          </cell>
          <cell r="AH77">
            <v>88.531716617062528</v>
          </cell>
        </row>
        <row r="78">
          <cell r="H78">
            <v>0</v>
          </cell>
          <cell r="N78">
            <v>0</v>
          </cell>
          <cell r="AD78">
            <v>0</v>
          </cell>
          <cell r="AF78">
            <v>0</v>
          </cell>
          <cell r="AH78">
            <v>0</v>
          </cell>
        </row>
        <row r="79">
          <cell r="F79">
            <v>134</v>
          </cell>
          <cell r="H79">
            <v>0</v>
          </cell>
          <cell r="N79">
            <v>0</v>
          </cell>
          <cell r="AD79">
            <v>0</v>
          </cell>
          <cell r="AF79">
            <v>0</v>
          </cell>
          <cell r="AH79">
            <v>0</v>
          </cell>
        </row>
        <row r="80">
          <cell r="F80">
            <v>134</v>
          </cell>
          <cell r="H80">
            <v>0</v>
          </cell>
          <cell r="N80">
            <v>0</v>
          </cell>
          <cell r="AD80">
            <v>0</v>
          </cell>
          <cell r="AF80">
            <v>0</v>
          </cell>
          <cell r="AH80">
            <v>0</v>
          </cell>
        </row>
        <row r="81">
          <cell r="H81">
            <v>926.76</v>
          </cell>
          <cell r="N81">
            <v>2395.7194527169927</v>
          </cell>
          <cell r="AD81">
            <v>2234.8491785005149</v>
          </cell>
          <cell r="AF81">
            <v>29.899999999999995</v>
          </cell>
          <cell r="AH81">
            <v>88.531716617062528</v>
          </cell>
        </row>
        <row r="82">
          <cell r="F82">
            <v>122</v>
          </cell>
          <cell r="H82">
            <v>73.83</v>
          </cell>
          <cell r="N82">
            <v>1623.2574834078289</v>
          </cell>
          <cell r="AD82">
            <v>1482.7576496914398</v>
          </cell>
          <cell r="AF82">
            <v>38.590341507446958</v>
          </cell>
          <cell r="AH82">
            <v>88.531716617062528</v>
          </cell>
        </row>
        <row r="83">
          <cell r="F83">
            <v>122</v>
          </cell>
          <cell r="H83">
            <v>7.56</v>
          </cell>
          <cell r="N83">
            <v>2000</v>
          </cell>
          <cell r="AD83">
            <v>1536.7834076299998</v>
          </cell>
          <cell r="AF83">
            <v>152.12222222222221</v>
          </cell>
          <cell r="AH83">
            <v>88.531716617062514</v>
          </cell>
        </row>
        <row r="84">
          <cell r="F84">
            <v>124</v>
          </cell>
          <cell r="H84">
            <v>53.95</v>
          </cell>
          <cell r="N84">
            <v>1568.0278035217796</v>
          </cell>
          <cell r="AD84">
            <v>1474.540560271801</v>
          </cell>
          <cell r="AF84">
            <v>20.310262529832936</v>
          </cell>
          <cell r="AH84">
            <v>88.531716617062528</v>
          </cell>
        </row>
        <row r="85">
          <cell r="F85" t="str">
            <v>DJ300</v>
          </cell>
          <cell r="H85">
            <v>11</v>
          </cell>
          <cell r="N85">
            <v>1650</v>
          </cell>
          <cell r="AD85">
            <v>1469.8753294383332</v>
          </cell>
          <cell r="AF85">
            <v>29.900000000000002</v>
          </cell>
          <cell r="AH85">
            <v>88.531716617062514</v>
          </cell>
        </row>
        <row r="86">
          <cell r="F86" t="str">
            <v>N124L</v>
          </cell>
          <cell r="H86">
            <v>1.32</v>
          </cell>
          <cell r="N86">
            <v>1500</v>
          </cell>
          <cell r="AD86">
            <v>0</v>
          </cell>
          <cell r="AF86">
            <v>0</v>
          </cell>
          <cell r="AH86">
            <v>0</v>
          </cell>
        </row>
        <row r="87">
          <cell r="H87">
            <v>0</v>
          </cell>
          <cell r="N87">
            <v>0</v>
          </cell>
          <cell r="AD87">
            <v>0</v>
          </cell>
          <cell r="AF87">
            <v>0</v>
          </cell>
          <cell r="AH87">
            <v>0</v>
          </cell>
        </row>
        <row r="88">
          <cell r="H88">
            <v>0</v>
          </cell>
          <cell r="N88">
            <v>0</v>
          </cell>
          <cell r="AD88">
            <v>0</v>
          </cell>
          <cell r="AF88">
            <v>0</v>
          </cell>
          <cell r="AH88">
            <v>0</v>
          </cell>
        </row>
        <row r="89">
          <cell r="H89">
            <v>73.83</v>
          </cell>
          <cell r="N89">
            <v>1623.2574834078289</v>
          </cell>
          <cell r="AD89">
            <v>1482.7576496914398</v>
          </cell>
          <cell r="AF89">
            <v>38.590341507446958</v>
          </cell>
          <cell r="AH89">
            <v>88.531716617062528</v>
          </cell>
        </row>
        <row r="90">
          <cell r="H90">
            <v>1000.59</v>
          </cell>
          <cell r="N90">
            <v>2338.7222138938027</v>
          </cell>
          <cell r="AD90">
            <v>2183.6907303789221</v>
          </cell>
          <cell r="AF90">
            <v>30.491130691063141</v>
          </cell>
          <cell r="AH90">
            <v>88.531716617062528</v>
          </cell>
        </row>
        <row r="91">
          <cell r="F91">
            <v>149</v>
          </cell>
          <cell r="H91">
            <v>0</v>
          </cell>
          <cell r="N91">
            <v>0</v>
          </cell>
          <cell r="AD91">
            <v>0</v>
          </cell>
          <cell r="AF91">
            <v>0</v>
          </cell>
          <cell r="AH91">
            <v>0</v>
          </cell>
        </row>
        <row r="92">
          <cell r="F92">
            <v>149</v>
          </cell>
          <cell r="H92">
            <v>0</v>
          </cell>
          <cell r="N92">
            <v>0</v>
          </cell>
          <cell r="AD92">
            <v>0</v>
          </cell>
          <cell r="AF92">
            <v>0</v>
          </cell>
          <cell r="AH92">
            <v>0</v>
          </cell>
        </row>
        <row r="93">
          <cell r="F93">
            <v>808</v>
          </cell>
          <cell r="H93">
            <v>1739.03</v>
          </cell>
          <cell r="N93">
            <v>2377.0186425766087</v>
          </cell>
          <cell r="AD93">
            <v>1979.0262305128958</v>
          </cell>
          <cell r="AF93">
            <v>36.22537437238379</v>
          </cell>
          <cell r="AH93">
            <v>88.531716617062528</v>
          </cell>
        </row>
        <row r="94">
          <cell r="F94">
            <v>808</v>
          </cell>
          <cell r="H94">
            <v>72.930000000000007</v>
          </cell>
          <cell r="N94">
            <v>2026.3238722062251</v>
          </cell>
          <cell r="AD94">
            <v>1669.2886148170392</v>
          </cell>
          <cell r="AF94">
            <v>41.665866016138111</v>
          </cell>
          <cell r="AH94">
            <v>88.531716617062528</v>
          </cell>
        </row>
        <row r="95">
          <cell r="F95" t="str">
            <v>N808</v>
          </cell>
          <cell r="H95">
            <v>685.86</v>
          </cell>
          <cell r="N95">
            <v>2262.0671274020933</v>
          </cell>
          <cell r="AD95">
            <v>1822.4003868999528</v>
          </cell>
          <cell r="AF95">
            <v>38.289434779665612</v>
          </cell>
          <cell r="AH95">
            <v>88.531716617062528</v>
          </cell>
        </row>
        <row r="96">
          <cell r="F96" t="str">
            <v>808S</v>
          </cell>
          <cell r="H96">
            <v>109.29</v>
          </cell>
          <cell r="N96">
            <v>2771.7494738768414</v>
          </cell>
          <cell r="AD96">
            <v>2295.5453077308066</v>
          </cell>
          <cell r="AF96">
            <v>38.934129572498897</v>
          </cell>
          <cell r="AH96">
            <v>88.531716617062528</v>
          </cell>
        </row>
        <row r="97">
          <cell r="F97" t="str">
            <v>P800</v>
          </cell>
          <cell r="H97">
            <v>77.52</v>
          </cell>
          <cell r="N97">
            <v>2273.1331269349848</v>
          </cell>
          <cell r="AD97">
            <v>2089.8229887848438</v>
          </cell>
          <cell r="AF97">
            <v>37.163732201533399</v>
          </cell>
          <cell r="AH97">
            <v>88.531716617062514</v>
          </cell>
        </row>
        <row r="98">
          <cell r="F98" t="str">
            <v>N800</v>
          </cell>
          <cell r="H98">
            <v>770.45</v>
          </cell>
          <cell r="N98">
            <v>2473.0276851190861</v>
          </cell>
          <cell r="AD98">
            <v>2092.515264346639</v>
          </cell>
          <cell r="AF98">
            <v>33.575081470993887</v>
          </cell>
          <cell r="AH98">
            <v>88.531716617062528</v>
          </cell>
        </row>
        <row r="99">
          <cell r="F99" t="str">
            <v>P808</v>
          </cell>
          <cell r="H99">
            <v>22.98</v>
          </cell>
          <cell r="N99">
            <v>2175.0918189730201</v>
          </cell>
          <cell r="AD99">
            <v>1767.5956686866166</v>
          </cell>
          <cell r="AF99">
            <v>35.387190812720846</v>
          </cell>
          <cell r="AH99">
            <v>88.531716617062514</v>
          </cell>
        </row>
        <row r="100">
          <cell r="F100">
            <v>156</v>
          </cell>
          <cell r="H100">
            <v>146.69</v>
          </cell>
          <cell r="N100">
            <v>2671.2763651237306</v>
          </cell>
          <cell r="AD100">
            <v>2226.3023955406024</v>
          </cell>
          <cell r="AF100">
            <v>37.730074595184661</v>
          </cell>
          <cell r="AH100">
            <v>88.531716617062514</v>
          </cell>
        </row>
        <row r="101">
          <cell r="F101">
            <v>156</v>
          </cell>
          <cell r="H101">
            <v>6.7</v>
          </cell>
          <cell r="N101">
            <v>1903.3701492537316</v>
          </cell>
          <cell r="AD101">
            <v>1520.9928254933036</v>
          </cell>
          <cell r="AF101">
            <v>42.593638392857137</v>
          </cell>
          <cell r="AH101">
            <v>88.531716617062514</v>
          </cell>
        </row>
        <row r="102">
          <cell r="F102">
            <v>157</v>
          </cell>
          <cell r="H102">
            <v>14.77</v>
          </cell>
          <cell r="N102">
            <v>2267.619498984428</v>
          </cell>
          <cell r="AD102">
            <v>1780.1981201512533</v>
          </cell>
          <cell r="AF102">
            <v>52.381949860724234</v>
          </cell>
          <cell r="AH102">
            <v>88.531716617062528</v>
          </cell>
        </row>
        <row r="103">
          <cell r="F103">
            <v>2150</v>
          </cell>
          <cell r="H103">
            <v>53.64</v>
          </cell>
          <cell r="N103">
            <v>2955.1664802386281</v>
          </cell>
          <cell r="AD103">
            <v>2544.74405989568</v>
          </cell>
          <cell r="AF103">
            <v>36.226880027981814</v>
          </cell>
          <cell r="AH103">
            <v>88.531716617062514</v>
          </cell>
        </row>
        <row r="104">
          <cell r="F104" t="str">
            <v>2151-35</v>
          </cell>
          <cell r="H104">
            <v>9.5399999999999991</v>
          </cell>
          <cell r="N104">
            <v>2177.0649895178199</v>
          </cell>
          <cell r="AD104">
            <v>1908.935812621032</v>
          </cell>
          <cell r="AF104">
            <v>34.294841269841271</v>
          </cell>
          <cell r="AH104">
            <v>88.531716617062528</v>
          </cell>
        </row>
        <row r="105">
          <cell r="F105" t="str">
            <v>2151-37</v>
          </cell>
          <cell r="H105">
            <v>17.600000000000001</v>
          </cell>
          <cell r="N105">
            <v>2418.022727272727</v>
          </cell>
          <cell r="AD105">
            <v>2019.1747185766856</v>
          </cell>
          <cell r="AF105">
            <v>36.149905033238369</v>
          </cell>
          <cell r="AH105">
            <v>88.531716617062528</v>
          </cell>
        </row>
        <row r="106">
          <cell r="F106" t="str">
            <v>2151-39</v>
          </cell>
          <cell r="H106">
            <v>32.479999999999997</v>
          </cell>
          <cell r="N106">
            <v>2702.5726600985222</v>
          </cell>
          <cell r="AD106">
            <v>2225.0555382837933</v>
          </cell>
          <cell r="AF106">
            <v>36.015366509751175</v>
          </cell>
          <cell r="AH106">
            <v>88.531716617062528</v>
          </cell>
        </row>
        <row r="107">
          <cell r="F107" t="str">
            <v>2151-41</v>
          </cell>
          <cell r="H107">
            <v>11.96</v>
          </cell>
          <cell r="N107">
            <v>3008.6220735785955</v>
          </cell>
          <cell r="AD107">
            <v>2583.5889727221097</v>
          </cell>
          <cell r="AF107">
            <v>32.057258064516127</v>
          </cell>
          <cell r="AH107">
            <v>88.531716617062514</v>
          </cell>
        </row>
        <row r="108">
          <cell r="F108">
            <v>2151</v>
          </cell>
          <cell r="H108">
            <v>0</v>
          </cell>
          <cell r="N108">
            <v>0</v>
          </cell>
          <cell r="AD108">
            <v>0</v>
          </cell>
          <cell r="AF108">
            <v>0</v>
          </cell>
          <cell r="AH108">
            <v>0</v>
          </cell>
        </row>
        <row r="109">
          <cell r="H109">
            <v>1885.72</v>
          </cell>
          <cell r="N109">
            <v>2399.9089260335572</v>
          </cell>
          <cell r="AD109">
            <v>1999.5641759064283</v>
          </cell>
          <cell r="AF109">
            <v>36.35034982647197</v>
          </cell>
          <cell r="AH109">
            <v>88.531716617062514</v>
          </cell>
        </row>
      </sheetData>
      <sheetData sheetId="9" refreshError="1">
        <row r="7">
          <cell r="H7">
            <v>865.16</v>
          </cell>
          <cell r="N7">
            <v>1419.4335267464976</v>
          </cell>
          <cell r="AD7">
            <v>1250.280437549477</v>
          </cell>
          <cell r="AF7">
            <v>29.630929501275396</v>
          </cell>
          <cell r="AH7">
            <v>121.9983721544876</v>
          </cell>
          <cell r="AJ7">
            <v>1.8231333270084633</v>
          </cell>
        </row>
        <row r="8">
          <cell r="F8">
            <v>510</v>
          </cell>
          <cell r="H8">
            <v>166.04</v>
          </cell>
          <cell r="N8">
            <v>1657.6114791616478</v>
          </cell>
          <cell r="AD8">
            <v>1433.0905653326906</v>
          </cell>
          <cell r="AF8">
            <v>29.632039537126328</v>
          </cell>
          <cell r="AH8">
            <v>124.73388099431521</v>
          </cell>
          <cell r="AJ8">
            <v>-5.3564858641323099</v>
          </cell>
        </row>
        <row r="9">
          <cell r="F9">
            <v>511</v>
          </cell>
          <cell r="H9">
            <v>47</v>
          </cell>
          <cell r="N9">
            <v>1430</v>
          </cell>
          <cell r="AD9">
            <v>1352.6300710108605</v>
          </cell>
          <cell r="AF9">
            <v>29.624415204678364</v>
          </cell>
          <cell r="AH9">
            <v>124.7338809943152</v>
          </cell>
          <cell r="AJ9">
            <v>1.1632790145768013E-2</v>
          </cell>
        </row>
        <row r="10">
          <cell r="F10">
            <v>513</v>
          </cell>
          <cell r="H10">
            <v>0</v>
          </cell>
          <cell r="N10">
            <v>0</v>
          </cell>
          <cell r="AD10">
            <v>0</v>
          </cell>
          <cell r="AF10">
            <v>0</v>
          </cell>
          <cell r="AH10">
            <v>0</v>
          </cell>
          <cell r="AJ10">
            <v>0</v>
          </cell>
        </row>
        <row r="11">
          <cell r="F11" t="str">
            <v>510L</v>
          </cell>
          <cell r="H11">
            <v>5.12</v>
          </cell>
          <cell r="N11">
            <v>1539.0390625</v>
          </cell>
          <cell r="AD11">
            <v>0</v>
          </cell>
          <cell r="AF11">
            <v>0</v>
          </cell>
          <cell r="AH11">
            <v>0</v>
          </cell>
          <cell r="AJ11">
            <v>1412.4</v>
          </cell>
        </row>
        <row r="12">
          <cell r="F12" t="str">
            <v>N510L</v>
          </cell>
          <cell r="H12">
            <v>1.36</v>
          </cell>
          <cell r="N12">
            <v>1649.9999999999998</v>
          </cell>
          <cell r="AD12">
            <v>0</v>
          </cell>
          <cell r="AF12">
            <v>0</v>
          </cell>
          <cell r="AH12">
            <v>0</v>
          </cell>
          <cell r="AJ12">
            <v>1475</v>
          </cell>
        </row>
        <row r="13">
          <cell r="F13" t="str">
            <v>511L</v>
          </cell>
          <cell r="H13">
            <v>351.44</v>
          </cell>
          <cell r="N13">
            <v>1379.3621101752788</v>
          </cell>
          <cell r="AD13">
            <v>1223.7752365662586</v>
          </cell>
          <cell r="AF13">
            <v>29.630475559969106</v>
          </cell>
          <cell r="AH13">
            <v>124.7338809943152</v>
          </cell>
          <cell r="AJ13">
            <v>-0.6395931205429406</v>
          </cell>
        </row>
        <row r="14">
          <cell r="F14" t="str">
            <v>513L</v>
          </cell>
          <cell r="H14">
            <v>230</v>
          </cell>
          <cell r="N14">
            <v>1321.3391304347826</v>
          </cell>
          <cell r="AD14">
            <v>1147.664541697417</v>
          </cell>
          <cell r="AF14">
            <v>29.631749077490777</v>
          </cell>
          <cell r="AH14">
            <v>124.7338809943152</v>
          </cell>
          <cell r="AJ14">
            <v>-3.0171769222988587E-2</v>
          </cell>
        </row>
        <row r="15">
          <cell r="F15">
            <v>710</v>
          </cell>
          <cell r="H15">
            <v>0</v>
          </cell>
          <cell r="N15">
            <v>0</v>
          </cell>
          <cell r="AD15">
            <v>0</v>
          </cell>
          <cell r="AF15">
            <v>0</v>
          </cell>
          <cell r="AH15">
            <v>0</v>
          </cell>
          <cell r="AJ15">
            <v>0</v>
          </cell>
        </row>
        <row r="16">
          <cell r="F16" t="str">
            <v>711L</v>
          </cell>
          <cell r="H16">
            <v>0</v>
          </cell>
          <cell r="N16">
            <v>0</v>
          </cell>
          <cell r="AD16">
            <v>0</v>
          </cell>
          <cell r="AF16">
            <v>0</v>
          </cell>
          <cell r="AH16">
            <v>0</v>
          </cell>
          <cell r="AJ16">
            <v>0</v>
          </cell>
        </row>
        <row r="17">
          <cell r="F17" t="str">
            <v>311L</v>
          </cell>
          <cell r="H17">
            <v>54.4</v>
          </cell>
          <cell r="N17">
            <v>1360.6691176470588</v>
          </cell>
          <cell r="AD17">
            <v>1293.0233260135133</v>
          </cell>
          <cell r="AF17">
            <v>29.634949324324324</v>
          </cell>
          <cell r="AH17">
            <v>84.7338809943152</v>
          </cell>
          <cell r="AJ17">
            <v>-14.692156332152763</v>
          </cell>
        </row>
        <row r="18">
          <cell r="F18" t="str">
            <v>313L</v>
          </cell>
          <cell r="H18">
            <v>9.8000000000000007</v>
          </cell>
          <cell r="N18">
            <v>1304.2857142857142</v>
          </cell>
          <cell r="AD18">
            <v>1135.2262333333335</v>
          </cell>
          <cell r="AF18">
            <v>29.574999999999999</v>
          </cell>
          <cell r="AH18">
            <v>84.733880994315214</v>
          </cell>
          <cell r="AJ18">
            <v>12.064885672351238</v>
          </cell>
        </row>
        <row r="19">
          <cell r="F19" t="str">
            <v>311L</v>
          </cell>
          <cell r="H19">
            <v>360.20000000000005</v>
          </cell>
          <cell r="N19">
            <v>1398.1243753470294</v>
          </cell>
          <cell r="AD19">
            <v>1307.7885056876939</v>
          </cell>
          <cell r="AF19">
            <v>29.629372055613011</v>
          </cell>
          <cell r="AH19">
            <v>93.57680872038668</v>
          </cell>
          <cell r="AJ19">
            <v>-9.5061911832942769</v>
          </cell>
        </row>
        <row r="20">
          <cell r="F20">
            <v>331</v>
          </cell>
          <cell r="H20">
            <v>19.36</v>
          </cell>
          <cell r="N20">
            <v>1591.7355371900826</v>
          </cell>
          <cell r="AD20">
            <v>1457.4292495784148</v>
          </cell>
          <cell r="AF20">
            <v>29.624873524451942</v>
          </cell>
          <cell r="AH20">
            <v>84.733880994315214</v>
          </cell>
          <cell r="AJ20">
            <v>-12.38800409718192</v>
          </cell>
        </row>
        <row r="21">
          <cell r="F21">
            <v>332</v>
          </cell>
          <cell r="H21">
            <v>94.72</v>
          </cell>
          <cell r="N21">
            <v>1363.1672297297298</v>
          </cell>
          <cell r="AD21">
            <v>1271.3370178997613</v>
          </cell>
          <cell r="AF21">
            <v>29.631467780429599</v>
          </cell>
          <cell r="AH21">
            <v>84.733880994315214</v>
          </cell>
          <cell r="AJ21">
            <v>-6.0023666745059927</v>
          </cell>
        </row>
        <row r="22">
          <cell r="F22">
            <v>334</v>
          </cell>
          <cell r="H22">
            <v>176.36</v>
          </cell>
          <cell r="N22">
            <v>1381.1499206169199</v>
          </cell>
          <cell r="AD22">
            <v>1307.3520569542902</v>
          </cell>
          <cell r="AF22">
            <v>29.632834270349552</v>
          </cell>
          <cell r="AH22">
            <v>84.733880994315214</v>
          </cell>
          <cell r="AJ22">
            <v>-4.6187722189549731</v>
          </cell>
        </row>
        <row r="23">
          <cell r="F23">
            <v>531</v>
          </cell>
          <cell r="H23">
            <v>0</v>
          </cell>
          <cell r="N23">
            <v>0</v>
          </cell>
          <cell r="AD23">
            <v>0</v>
          </cell>
          <cell r="AF23">
            <v>0</v>
          </cell>
          <cell r="AH23">
            <v>0</v>
          </cell>
          <cell r="AJ23">
            <v>0</v>
          </cell>
        </row>
        <row r="24">
          <cell r="F24" t="str">
            <v>531N</v>
          </cell>
          <cell r="H24">
            <v>5.92</v>
          </cell>
          <cell r="N24">
            <v>1650</v>
          </cell>
          <cell r="AD24">
            <v>1450.6807511210761</v>
          </cell>
          <cell r="AF24">
            <v>29.575000000000003</v>
          </cell>
          <cell r="AH24">
            <v>124.73388099431521</v>
          </cell>
          <cell r="AJ24">
            <v>0.91036788460883145</v>
          </cell>
        </row>
        <row r="25">
          <cell r="F25">
            <v>532</v>
          </cell>
          <cell r="H25">
            <v>0</v>
          </cell>
          <cell r="N25">
            <v>0</v>
          </cell>
          <cell r="AD25">
            <v>0</v>
          </cell>
          <cell r="AF25">
            <v>0</v>
          </cell>
          <cell r="AH25">
            <v>0</v>
          </cell>
          <cell r="AJ25">
            <v>0</v>
          </cell>
        </row>
        <row r="26">
          <cell r="F26" t="str">
            <v>532N</v>
          </cell>
          <cell r="H26">
            <v>0</v>
          </cell>
          <cell r="N26">
            <v>0</v>
          </cell>
          <cell r="AD26">
            <v>1265.9680666666666</v>
          </cell>
          <cell r="AF26">
            <v>29.574999999999999</v>
          </cell>
          <cell r="AH26">
            <v>124.7338809943152</v>
          </cell>
          <cell r="AJ26">
            <v>-1420.2769476609819</v>
          </cell>
        </row>
        <row r="27">
          <cell r="F27" t="str">
            <v>533N</v>
          </cell>
          <cell r="H27">
            <v>0</v>
          </cell>
          <cell r="N27">
            <v>0</v>
          </cell>
          <cell r="AD27">
            <v>0</v>
          </cell>
          <cell r="AF27">
            <v>0</v>
          </cell>
          <cell r="AH27">
            <v>0</v>
          </cell>
          <cell r="AJ27">
            <v>0</v>
          </cell>
        </row>
        <row r="28">
          <cell r="F28">
            <v>534</v>
          </cell>
          <cell r="H28">
            <v>0</v>
          </cell>
          <cell r="N28">
            <v>0</v>
          </cell>
          <cell r="AD28">
            <v>0</v>
          </cell>
          <cell r="AF28">
            <v>0</v>
          </cell>
          <cell r="AH28">
            <v>0</v>
          </cell>
          <cell r="AJ28">
            <v>0</v>
          </cell>
        </row>
        <row r="29">
          <cell r="F29" t="str">
            <v>534N</v>
          </cell>
          <cell r="H29">
            <v>51.72</v>
          </cell>
          <cell r="N29">
            <v>1430.0000000000002</v>
          </cell>
          <cell r="AD29">
            <v>1324.5839350180504</v>
          </cell>
          <cell r="AF29">
            <v>29.628384476534297</v>
          </cell>
          <cell r="AH29">
            <v>124.7338809943152</v>
          </cell>
          <cell r="AJ29">
            <v>-19.246200488899831</v>
          </cell>
        </row>
        <row r="30">
          <cell r="F30" t="str">
            <v>535N</v>
          </cell>
          <cell r="H30">
            <v>12.12</v>
          </cell>
          <cell r="N30">
            <v>1350</v>
          </cell>
          <cell r="AD30">
            <v>1184.1162189616255</v>
          </cell>
          <cell r="AF30">
            <v>29.641760722347634</v>
          </cell>
          <cell r="AH30">
            <v>124.7338809943152</v>
          </cell>
          <cell r="AJ30">
            <v>8.1393217117238237E-3</v>
          </cell>
        </row>
        <row r="31">
          <cell r="F31" t="str">
            <v>534N</v>
          </cell>
          <cell r="H31">
            <v>1225.3600000000001</v>
          </cell>
          <cell r="N31">
            <v>1413.1696072990792</v>
          </cell>
          <cell r="AD31">
            <v>1266.1989107852808</v>
          </cell>
          <cell r="AF31">
            <v>29.630498393816993</v>
          </cell>
          <cell r="AH31">
            <v>114.13116479572102</v>
          </cell>
          <cell r="AJ31">
            <v>-1.0083574833388411</v>
          </cell>
        </row>
        <row r="32">
          <cell r="F32" t="str">
            <v>535N</v>
          </cell>
          <cell r="H32">
            <v>3996.2400000000002</v>
          </cell>
          <cell r="N32">
            <v>1148.3550212199466</v>
          </cell>
          <cell r="AD32">
            <v>1045.7186507510496</v>
          </cell>
          <cell r="AF32">
            <v>23.095442034273514</v>
          </cell>
          <cell r="AH32">
            <v>84.821646261406684</v>
          </cell>
          <cell r="AJ32">
            <v>-0.63090300084695627</v>
          </cell>
        </row>
        <row r="33">
          <cell r="F33">
            <v>321</v>
          </cell>
          <cell r="H33">
            <v>202.4</v>
          </cell>
          <cell r="N33">
            <v>1600.3603260869565</v>
          </cell>
          <cell r="AD33">
            <v>1295.5667826774768</v>
          </cell>
          <cell r="AF33">
            <v>29.62763496143959</v>
          </cell>
          <cell r="AH33">
            <v>84.733880994315214</v>
          </cell>
          <cell r="AJ33">
            <v>-4.8282986332319524</v>
          </cell>
        </row>
        <row r="34">
          <cell r="F34">
            <v>322</v>
          </cell>
          <cell r="H34">
            <v>768.16</v>
          </cell>
          <cell r="N34">
            <v>1108.8184492813998</v>
          </cell>
          <cell r="AD34">
            <v>1004.9069847163925</v>
          </cell>
          <cell r="AF34">
            <v>29.630705790549996</v>
          </cell>
          <cell r="AH34">
            <v>84.733880994315214</v>
          </cell>
          <cell r="AJ34">
            <v>1.0284284987424144</v>
          </cell>
        </row>
        <row r="35">
          <cell r="F35" t="str">
            <v>324C</v>
          </cell>
          <cell r="H35">
            <v>2894.12</v>
          </cell>
          <cell r="N35">
            <v>1126.8871919616324</v>
          </cell>
          <cell r="AD35">
            <v>1035.6311471526276</v>
          </cell>
          <cell r="AF35">
            <v>20.82</v>
          </cell>
          <cell r="AH35">
            <v>84.733880994315214</v>
          </cell>
          <cell r="AJ35">
            <v>0.11497185305711355</v>
          </cell>
        </row>
        <row r="36">
          <cell r="F36" t="str">
            <v>324L</v>
          </cell>
          <cell r="H36">
            <v>56</v>
          </cell>
          <cell r="N36">
            <v>1060</v>
          </cell>
          <cell r="AD36">
            <v>1070.3356386946389</v>
          </cell>
          <cell r="AF36">
            <v>29.630151515151521</v>
          </cell>
          <cell r="AH36">
            <v>84.733880994315214</v>
          </cell>
          <cell r="AJ36">
            <v>-9.9671204105789002E-2</v>
          </cell>
        </row>
        <row r="37">
          <cell r="F37">
            <v>521</v>
          </cell>
          <cell r="H37">
            <v>8.32</v>
          </cell>
          <cell r="N37">
            <v>1650</v>
          </cell>
          <cell r="AD37">
            <v>1298.0980915178568</v>
          </cell>
          <cell r="AF37">
            <v>29.574999999999999</v>
          </cell>
          <cell r="AH37">
            <v>124.73388099431519</v>
          </cell>
          <cell r="AJ37">
            <v>-0.3069725121722513</v>
          </cell>
        </row>
        <row r="38">
          <cell r="F38">
            <v>324</v>
          </cell>
          <cell r="H38">
            <v>13.05</v>
          </cell>
          <cell r="N38">
            <v>1142.4137931034481</v>
          </cell>
          <cell r="AD38">
            <v>1137.0111684210524</v>
          </cell>
          <cell r="AF38">
            <v>20.82</v>
          </cell>
          <cell r="AH38">
            <v>84.733880994315214</v>
          </cell>
          <cell r="AJ38">
            <v>3.4950584632269965E-2</v>
          </cell>
        </row>
        <row r="39">
          <cell r="F39" t="str">
            <v>324C-H</v>
          </cell>
          <cell r="H39">
            <v>54.19</v>
          </cell>
          <cell r="N39">
            <v>1182.8031002029895</v>
          </cell>
          <cell r="AD39">
            <v>1091.9356482183473</v>
          </cell>
          <cell r="AF39">
            <v>22.749567854435178</v>
          </cell>
          <cell r="AH39">
            <v>84.733880994315214</v>
          </cell>
          <cell r="AJ39">
            <v>0.58090293290229056</v>
          </cell>
        </row>
        <row r="40">
          <cell r="F40">
            <v>324</v>
          </cell>
          <cell r="H40">
            <v>75.400000000000006</v>
          </cell>
          <cell r="N40">
            <v>1300</v>
          </cell>
          <cell r="AD40">
            <v>1302.1163256395996</v>
          </cell>
          <cell r="AF40">
            <v>29.624346496106785</v>
          </cell>
          <cell r="AH40">
            <v>84.733880994315214</v>
          </cell>
          <cell r="AJ40">
            <v>-10.074553130021513</v>
          </cell>
        </row>
        <row r="41">
          <cell r="F41" t="str">
            <v>324BR</v>
          </cell>
          <cell r="H41">
            <v>75.400000000000006</v>
          </cell>
          <cell r="N41">
            <v>1300</v>
          </cell>
          <cell r="AD41">
            <v>1302.1163256395996</v>
          </cell>
          <cell r="AF41">
            <v>29.624346496106785</v>
          </cell>
          <cell r="AH41">
            <v>84.733880994315214</v>
          </cell>
          <cell r="AJ41">
            <v>-10.074553130021513</v>
          </cell>
        </row>
        <row r="42">
          <cell r="H42">
            <v>4071.6400000000003</v>
          </cell>
          <cell r="N42">
            <v>1151.1632339794282</v>
          </cell>
          <cell r="AD42">
            <v>1050.1561295812342</v>
          </cell>
          <cell r="AF42">
            <v>23.208437892548261</v>
          </cell>
          <cell r="AH42">
            <v>84.820127306467199</v>
          </cell>
          <cell r="AJ42">
            <v>-0.48740179756987345</v>
          </cell>
        </row>
        <row r="43">
          <cell r="F43" t="str">
            <v>324BR</v>
          </cell>
          <cell r="H43">
            <v>5297</v>
          </cell>
          <cell r="N43">
            <v>1211.7734151406455</v>
          </cell>
          <cell r="AD43">
            <v>1100.3491849301154</v>
          </cell>
          <cell r="AF43">
            <v>24.700470333519299</v>
          </cell>
          <cell r="AH43">
            <v>91.629938394955872</v>
          </cell>
          <cell r="AJ43">
            <v>-0.85926252776198453</v>
          </cell>
        </row>
        <row r="44">
          <cell r="H44">
            <v>0</v>
          </cell>
          <cell r="N44">
            <v>0</v>
          </cell>
          <cell r="AD44">
            <v>0</v>
          </cell>
          <cell r="AF44">
            <v>0</v>
          </cell>
          <cell r="AH44">
            <v>0</v>
          </cell>
          <cell r="AJ44">
            <v>0</v>
          </cell>
        </row>
        <row r="45">
          <cell r="F45" t="str">
            <v>548L</v>
          </cell>
          <cell r="H45">
            <v>0</v>
          </cell>
          <cell r="N45">
            <v>0</v>
          </cell>
          <cell r="AD45">
            <v>0</v>
          </cell>
          <cell r="AF45">
            <v>0</v>
          </cell>
          <cell r="AH45">
            <v>0</v>
          </cell>
          <cell r="AJ45">
            <v>0</v>
          </cell>
        </row>
        <row r="46">
          <cell r="H46">
            <v>557.59</v>
          </cell>
          <cell r="N46">
            <v>2096.3081654979469</v>
          </cell>
          <cell r="AD46">
            <v>1607.6385491491822</v>
          </cell>
          <cell r="AF46">
            <v>37.236833893202643</v>
          </cell>
          <cell r="AH46">
            <v>124.7338809943152</v>
          </cell>
          <cell r="AJ46">
            <v>-0.19845681275410243</v>
          </cell>
        </row>
        <row r="47">
          <cell r="F47">
            <v>551</v>
          </cell>
          <cell r="H47">
            <v>123.91</v>
          </cell>
          <cell r="N47">
            <v>2092.5035913162783</v>
          </cell>
          <cell r="AD47">
            <v>1625.5223255997703</v>
          </cell>
          <cell r="AF47">
            <v>37.256119810372077</v>
          </cell>
          <cell r="AH47">
            <v>124.7338809943152</v>
          </cell>
          <cell r="AJ47">
            <v>-3.5123264044573261</v>
          </cell>
        </row>
        <row r="48">
          <cell r="F48" t="str">
            <v>551L</v>
          </cell>
          <cell r="H48">
            <v>89.33</v>
          </cell>
          <cell r="N48">
            <v>1831.2393372887047</v>
          </cell>
          <cell r="AD48">
            <v>1436.9564087123636</v>
          </cell>
          <cell r="AF48">
            <v>47.82356181934658</v>
          </cell>
          <cell r="AH48">
            <v>124.73388099431521</v>
          </cell>
          <cell r="AJ48">
            <v>-10.913851526025383</v>
          </cell>
        </row>
        <row r="49">
          <cell r="F49">
            <v>951</v>
          </cell>
          <cell r="H49">
            <v>198.69</v>
          </cell>
          <cell r="N49">
            <v>2155.5017867029042</v>
          </cell>
          <cell r="AD49">
            <v>1683.7020879312161</v>
          </cell>
          <cell r="AF49">
            <v>35.836981749129656</v>
          </cell>
          <cell r="AH49">
            <v>124.73388099431519</v>
          </cell>
          <cell r="AJ49">
            <v>-17.672950674660797</v>
          </cell>
        </row>
        <row r="50">
          <cell r="F50">
            <v>552</v>
          </cell>
          <cell r="H50">
            <v>55.48</v>
          </cell>
          <cell r="N50">
            <v>1762.1485219899064</v>
          </cell>
          <cell r="AD50">
            <v>1362.5395998071358</v>
          </cell>
          <cell r="AF50">
            <v>29.632039537126328</v>
          </cell>
          <cell r="AH50">
            <v>124.73388099431521</v>
          </cell>
          <cell r="AJ50">
            <v>-27.905520338577389</v>
          </cell>
        </row>
        <row r="51">
          <cell r="F51" t="str">
            <v>551S</v>
          </cell>
          <cell r="H51">
            <v>53.7</v>
          </cell>
          <cell r="N51">
            <v>2340.7996275605215</v>
          </cell>
          <cell r="AD51">
            <v>1681.0313757315648</v>
          </cell>
          <cell r="AF51">
            <v>33.514397190792046</v>
          </cell>
          <cell r="AH51">
            <v>124.73388099431521</v>
          </cell>
          <cell r="AJ51">
            <v>-12.679653916672123</v>
          </cell>
        </row>
        <row r="52">
          <cell r="F52" t="str">
            <v>P551S</v>
          </cell>
          <cell r="H52">
            <v>11.78</v>
          </cell>
          <cell r="N52">
            <v>2338.5067911714773</v>
          </cell>
          <cell r="AD52">
            <v>1660.3297756183747</v>
          </cell>
          <cell r="AF52">
            <v>32.39399293286219</v>
          </cell>
          <cell r="AH52">
            <v>124.7338809943152</v>
          </cell>
          <cell r="AJ52">
            <v>2.0423504544478419</v>
          </cell>
        </row>
        <row r="53">
          <cell r="F53">
            <v>2551</v>
          </cell>
          <cell r="H53">
            <v>3.72</v>
          </cell>
          <cell r="N53">
            <v>2416.9354838709678</v>
          </cell>
          <cell r="AD53">
            <v>1767.2897757575756</v>
          </cell>
          <cell r="AF53">
            <v>36.927272727272729</v>
          </cell>
          <cell r="AH53">
            <v>124.73388099431521</v>
          </cell>
          <cell r="AJ53">
            <v>-34.25092947916346</v>
          </cell>
        </row>
        <row r="54">
          <cell r="F54">
            <v>555</v>
          </cell>
          <cell r="H54">
            <v>2</v>
          </cell>
          <cell r="N54">
            <v>1350</v>
          </cell>
          <cell r="AD54">
            <v>969.10580000000027</v>
          </cell>
          <cell r="AF54">
            <v>29.574999999999999</v>
          </cell>
          <cell r="AH54">
            <v>124.7338809943152</v>
          </cell>
          <cell r="AJ54">
            <v>-1.4680994315313001E-2</v>
          </cell>
        </row>
        <row r="55">
          <cell r="F55">
            <v>550</v>
          </cell>
          <cell r="H55">
            <v>18.98</v>
          </cell>
          <cell r="N55">
            <v>2899.5542676501582</v>
          </cell>
          <cell r="AD55">
            <v>0</v>
          </cell>
          <cell r="AF55">
            <v>0</v>
          </cell>
          <cell r="AH55">
            <v>0</v>
          </cell>
          <cell r="AJ55">
            <v>2549.6999999999998</v>
          </cell>
        </row>
        <row r="56">
          <cell r="F56" t="str">
            <v>SC100</v>
          </cell>
          <cell r="H56">
            <v>0</v>
          </cell>
          <cell r="N56">
            <v>0</v>
          </cell>
          <cell r="AD56">
            <v>1734.6731582852431</v>
          </cell>
          <cell r="AF56">
            <v>38.164839241549878</v>
          </cell>
          <cell r="AH56">
            <v>124.73388099431519</v>
          </cell>
          <cell r="AJ56">
            <v>-1897.5718785211084</v>
          </cell>
        </row>
        <row r="57">
          <cell r="F57">
            <v>590</v>
          </cell>
          <cell r="H57">
            <v>143.04</v>
          </cell>
          <cell r="N57">
            <v>2040.2321029082775</v>
          </cell>
          <cell r="AD57">
            <v>1835.8065638138139</v>
          </cell>
          <cell r="AF57">
            <v>29.628288288288289</v>
          </cell>
          <cell r="AH57">
            <v>124.73388099431523</v>
          </cell>
          <cell r="AJ57">
            <v>-65.941564193441991</v>
          </cell>
        </row>
        <row r="58">
          <cell r="F58">
            <v>590</v>
          </cell>
          <cell r="H58">
            <v>1.04</v>
          </cell>
          <cell r="N58">
            <v>2664.6153846153843</v>
          </cell>
          <cell r="AD58">
            <v>0</v>
          </cell>
          <cell r="AF58">
            <v>0</v>
          </cell>
          <cell r="AH58">
            <v>0</v>
          </cell>
          <cell r="AJ58">
            <v>2527.6</v>
          </cell>
        </row>
        <row r="59">
          <cell r="F59">
            <v>591</v>
          </cell>
          <cell r="H59">
            <v>42.72</v>
          </cell>
          <cell r="N59">
            <v>2066.3389513108614</v>
          </cell>
          <cell r="AD59">
            <v>1987.3829803215078</v>
          </cell>
          <cell r="AF59">
            <v>29.640576496674061</v>
          </cell>
          <cell r="AH59">
            <v>124.73388099431521</v>
          </cell>
          <cell r="AJ59">
            <v>20.634562187502524</v>
          </cell>
        </row>
        <row r="60">
          <cell r="F60">
            <v>592</v>
          </cell>
          <cell r="H60">
            <v>84.96</v>
          </cell>
          <cell r="N60">
            <v>2029.2984934086628</v>
          </cell>
          <cell r="AD60">
            <v>1671.9097638081396</v>
          </cell>
          <cell r="AF60">
            <v>29.61798691860465</v>
          </cell>
          <cell r="AH60">
            <v>124.7338809943152</v>
          </cell>
          <cell r="AJ60">
            <v>16.337473738940389</v>
          </cell>
        </row>
        <row r="61">
          <cell r="F61" t="str">
            <v>592F</v>
          </cell>
          <cell r="H61">
            <v>0</v>
          </cell>
          <cell r="N61">
            <v>0</v>
          </cell>
          <cell r="AD61">
            <v>0</v>
          </cell>
          <cell r="AF61">
            <v>0</v>
          </cell>
          <cell r="AH61">
            <v>0</v>
          </cell>
          <cell r="AJ61">
            <v>0</v>
          </cell>
        </row>
        <row r="62">
          <cell r="F62">
            <v>593</v>
          </cell>
          <cell r="H62">
            <v>14.32</v>
          </cell>
          <cell r="N62">
            <v>1981.8715083798884</v>
          </cell>
          <cell r="AD62">
            <v>1516.3275066666672</v>
          </cell>
          <cell r="AF62">
            <v>29.574999999999999</v>
          </cell>
          <cell r="AH62">
            <v>124.7338809943152</v>
          </cell>
          <cell r="AJ62">
            <v>-16.436387660982291</v>
          </cell>
        </row>
        <row r="63">
          <cell r="F63" t="str">
            <v>N571</v>
          </cell>
          <cell r="H63">
            <v>231.44</v>
          </cell>
          <cell r="N63">
            <v>1210.2661596958176</v>
          </cell>
          <cell r="AD63">
            <v>987.0142533304122</v>
          </cell>
          <cell r="AF63">
            <v>29.626840490797548</v>
          </cell>
          <cell r="AH63">
            <v>85.785590021484367</v>
          </cell>
          <cell r="AJ63">
            <v>0.68009113138123212</v>
          </cell>
        </row>
        <row r="64">
          <cell r="F64" t="str">
            <v>N571</v>
          </cell>
          <cell r="H64">
            <v>6</v>
          </cell>
          <cell r="N64">
            <v>1400</v>
          </cell>
          <cell r="AD64">
            <v>1096.7167683333334</v>
          </cell>
          <cell r="AF64">
            <v>29.574999999999999</v>
          </cell>
          <cell r="AH64">
            <v>124.7338809943152</v>
          </cell>
          <cell r="AJ64">
            <v>-2.0256493276485799</v>
          </cell>
        </row>
        <row r="65">
          <cell r="F65">
            <v>372</v>
          </cell>
          <cell r="H65">
            <v>224.52</v>
          </cell>
          <cell r="N65">
            <v>1204.0085515766968</v>
          </cell>
          <cell r="AD65">
            <v>984.05198919892018</v>
          </cell>
          <cell r="AF65">
            <v>29.628240324032408</v>
          </cell>
          <cell r="AH65">
            <v>84.733880994315214</v>
          </cell>
          <cell r="AJ65">
            <v>-0.31411051726786354</v>
          </cell>
        </row>
        <row r="66">
          <cell r="F66" t="str">
            <v>E548L</v>
          </cell>
          <cell r="H66">
            <v>0.92</v>
          </cell>
          <cell r="N66">
            <v>1500</v>
          </cell>
          <cell r="AD66">
            <v>0</v>
          </cell>
          <cell r="AF66">
            <v>0</v>
          </cell>
          <cell r="AH66">
            <v>0</v>
          </cell>
          <cell r="AJ66">
            <v>1373.5</v>
          </cell>
        </row>
        <row r="67">
          <cell r="F67">
            <v>571</v>
          </cell>
          <cell r="H67">
            <v>0</v>
          </cell>
          <cell r="N67">
            <v>0</v>
          </cell>
          <cell r="AD67">
            <v>0</v>
          </cell>
          <cell r="AF67">
            <v>0</v>
          </cell>
          <cell r="AH67">
            <v>0</v>
          </cell>
          <cell r="AJ67">
            <v>0</v>
          </cell>
        </row>
        <row r="68">
          <cell r="F68" t="str">
            <v>E548L</v>
          </cell>
          <cell r="H68">
            <v>0</v>
          </cell>
          <cell r="N68">
            <v>0</v>
          </cell>
          <cell r="AD68">
            <v>0</v>
          </cell>
          <cell r="AF68">
            <v>0</v>
          </cell>
          <cell r="AH68">
            <v>0</v>
          </cell>
          <cell r="AJ68">
            <v>0</v>
          </cell>
        </row>
        <row r="69">
          <cell r="F69">
            <v>571</v>
          </cell>
          <cell r="H69">
            <v>374.48</v>
          </cell>
          <cell r="N69">
            <v>1527.2879726554156</v>
          </cell>
          <cell r="AD69">
            <v>1178.7699109905022</v>
          </cell>
          <cell r="AF69">
            <v>29.62716757123474</v>
          </cell>
          <cell r="AH69">
            <v>94.584627262971949</v>
          </cell>
          <cell r="AJ69">
            <v>113.76815061590628</v>
          </cell>
        </row>
        <row r="70">
          <cell r="F70">
            <v>572</v>
          </cell>
          <cell r="H70">
            <v>6229.07</v>
          </cell>
          <cell r="N70">
            <v>1309.9199479215999</v>
          </cell>
          <cell r="AD70">
            <v>1148.2440243188998</v>
          </cell>
          <cell r="AF70">
            <v>26.024979568989643</v>
          </cell>
          <cell r="AH70">
            <v>94.653420396978035</v>
          </cell>
          <cell r="AJ70">
            <v>8.5316021171281591</v>
          </cell>
        </row>
        <row r="71">
          <cell r="F71">
            <v>110</v>
          </cell>
          <cell r="H71">
            <v>590.08000000000004</v>
          </cell>
          <cell r="N71">
            <v>2639.7125305043378</v>
          </cell>
          <cell r="AD71">
            <v>2447.984773905624</v>
          </cell>
          <cell r="AF71">
            <v>29.629347968760253</v>
          </cell>
          <cell r="AH71">
            <v>84.7338809943152</v>
          </cell>
          <cell r="AJ71">
            <v>-36.883665829655001</v>
          </cell>
        </row>
        <row r="72">
          <cell r="F72">
            <v>110</v>
          </cell>
          <cell r="H72">
            <v>110.96</v>
          </cell>
          <cell r="N72">
            <v>2996.6584354722422</v>
          </cell>
          <cell r="AD72">
            <v>2774.7086714513548</v>
          </cell>
          <cell r="AF72">
            <v>29.631602870813399</v>
          </cell>
          <cell r="AH72">
            <v>84.7338809943152</v>
          </cell>
          <cell r="AJ72">
            <v>-20.474155316483575</v>
          </cell>
        </row>
        <row r="73">
          <cell r="F73">
            <v>111</v>
          </cell>
          <cell r="H73">
            <v>438.76</v>
          </cell>
          <cell r="N73">
            <v>2574.6957562220805</v>
          </cell>
          <cell r="AD73">
            <v>2401.0456423931546</v>
          </cell>
          <cell r="AF73">
            <v>29.630646895439479</v>
          </cell>
          <cell r="AH73">
            <v>84.7338809943152</v>
          </cell>
          <cell r="AJ73">
            <v>-28.610170282909621</v>
          </cell>
        </row>
        <row r="74">
          <cell r="F74">
            <v>113</v>
          </cell>
          <cell r="H74">
            <v>32.36</v>
          </cell>
          <cell r="N74">
            <v>2317.6572929542644</v>
          </cell>
          <cell r="AD74">
            <v>1847.4539438642296</v>
          </cell>
          <cell r="AF74">
            <v>29.613609660574411</v>
          </cell>
          <cell r="AH74">
            <v>84.733880994315214</v>
          </cell>
          <cell r="AJ74">
            <v>-19.101434519119039</v>
          </cell>
        </row>
        <row r="75">
          <cell r="F75" t="str">
            <v>P110</v>
          </cell>
          <cell r="H75">
            <v>0</v>
          </cell>
          <cell r="N75">
            <v>0</v>
          </cell>
          <cell r="AD75">
            <v>0</v>
          </cell>
          <cell r="AF75">
            <v>0</v>
          </cell>
          <cell r="AH75">
            <v>0</v>
          </cell>
          <cell r="AJ75">
            <v>0</v>
          </cell>
        </row>
        <row r="76">
          <cell r="F76" t="str">
            <v>P111</v>
          </cell>
          <cell r="H76">
            <v>4</v>
          </cell>
          <cell r="N76">
            <v>2604.8625000000002</v>
          </cell>
          <cell r="AD76">
            <v>2449.5425525000001</v>
          </cell>
          <cell r="AF76">
            <v>29.574999999999999</v>
          </cell>
          <cell r="AH76">
            <v>84.733880994315214</v>
          </cell>
          <cell r="AJ76">
            <v>4.856650568490295E-2</v>
          </cell>
        </row>
        <row r="77">
          <cell r="F77" t="str">
            <v>113+</v>
          </cell>
          <cell r="H77">
            <v>4</v>
          </cell>
          <cell r="N77">
            <v>2510</v>
          </cell>
          <cell r="AD77">
            <v>1907.4389866666663</v>
          </cell>
          <cell r="AF77">
            <v>29.574999999999999</v>
          </cell>
          <cell r="AH77">
            <v>84.733880994315214</v>
          </cell>
          <cell r="AJ77">
            <v>-97.647867660981774</v>
          </cell>
        </row>
        <row r="78">
          <cell r="F78" t="str">
            <v>P111</v>
          </cell>
          <cell r="H78">
            <v>0</v>
          </cell>
          <cell r="N78">
            <v>0</v>
          </cell>
          <cell r="AD78">
            <v>0</v>
          </cell>
          <cell r="AF78">
            <v>0</v>
          </cell>
          <cell r="AH78">
            <v>0</v>
          </cell>
          <cell r="AJ78">
            <v>0</v>
          </cell>
        </row>
        <row r="79">
          <cell r="F79">
            <v>134</v>
          </cell>
          <cell r="H79">
            <v>0</v>
          </cell>
          <cell r="N79">
            <v>0</v>
          </cell>
          <cell r="AD79">
            <v>0</v>
          </cell>
          <cell r="AF79">
            <v>0</v>
          </cell>
          <cell r="AH79">
            <v>0</v>
          </cell>
          <cell r="AJ79">
            <v>0</v>
          </cell>
        </row>
        <row r="80">
          <cell r="F80">
            <v>134</v>
          </cell>
          <cell r="H80">
            <v>0</v>
          </cell>
          <cell r="N80">
            <v>0</v>
          </cell>
          <cell r="AD80">
            <v>0</v>
          </cell>
          <cell r="AF80">
            <v>0</v>
          </cell>
          <cell r="AH80">
            <v>0</v>
          </cell>
          <cell r="AJ80">
            <v>0</v>
          </cell>
        </row>
        <row r="81">
          <cell r="H81">
            <v>590.08000000000004</v>
          </cell>
          <cell r="N81">
            <v>2639.7125305043378</v>
          </cell>
          <cell r="AD81">
            <v>2447.984773905624</v>
          </cell>
          <cell r="AF81">
            <v>29.629347968760253</v>
          </cell>
          <cell r="AH81">
            <v>84.7338809943152</v>
          </cell>
          <cell r="AJ81">
            <v>-36.883665829655001</v>
          </cell>
        </row>
        <row r="82">
          <cell r="F82">
            <v>122</v>
          </cell>
          <cell r="H82">
            <v>44.07</v>
          </cell>
          <cell r="N82">
            <v>1644.9332879509873</v>
          </cell>
          <cell r="AD82">
            <v>1512.5518073811936</v>
          </cell>
          <cell r="AF82">
            <v>36.586501516683519</v>
          </cell>
          <cell r="AH82">
            <v>84.7338809943152</v>
          </cell>
          <cell r="AJ82">
            <v>-11.053288144972157</v>
          </cell>
        </row>
        <row r="83">
          <cell r="F83">
            <v>122</v>
          </cell>
          <cell r="H83">
            <v>3.76</v>
          </cell>
          <cell r="N83">
            <v>2000</v>
          </cell>
          <cell r="AD83">
            <v>1638.4509</v>
          </cell>
          <cell r="AF83">
            <v>29.574999999999999</v>
          </cell>
          <cell r="AH83">
            <v>84.733880994315214</v>
          </cell>
          <cell r="AJ83">
            <v>3.3402190056845029</v>
          </cell>
        </row>
        <row r="84">
          <cell r="F84">
            <v>124</v>
          </cell>
          <cell r="H84">
            <v>37.630000000000003</v>
          </cell>
          <cell r="N84">
            <v>1609.1259633271327</v>
          </cell>
          <cell r="AD84">
            <v>1502.2209190371996</v>
          </cell>
          <cell r="AF84">
            <v>37.161843544857767</v>
          </cell>
          <cell r="AH84">
            <v>84.733880994315214</v>
          </cell>
          <cell r="AJ84">
            <v>-9.8166435763725985</v>
          </cell>
        </row>
        <row r="85">
          <cell r="F85" t="str">
            <v>DJ300</v>
          </cell>
          <cell r="H85">
            <v>2.64</v>
          </cell>
          <cell r="N85">
            <v>1650</v>
          </cell>
          <cell r="AD85">
            <v>0</v>
          </cell>
          <cell r="AF85">
            <v>0</v>
          </cell>
          <cell r="AH85">
            <v>0</v>
          </cell>
          <cell r="AJ85">
            <v>1556.6</v>
          </cell>
        </row>
        <row r="86">
          <cell r="F86" t="str">
            <v>N124L</v>
          </cell>
          <cell r="H86">
            <v>0.04</v>
          </cell>
          <cell r="N86">
            <v>1620</v>
          </cell>
          <cell r="AD86">
            <v>0</v>
          </cell>
          <cell r="AF86">
            <v>0</v>
          </cell>
          <cell r="AH86">
            <v>0</v>
          </cell>
          <cell r="AJ86">
            <v>1479</v>
          </cell>
        </row>
        <row r="87">
          <cell r="F87" t="str">
            <v>DJ300</v>
          </cell>
          <cell r="H87">
            <v>0</v>
          </cell>
          <cell r="N87">
            <v>0</v>
          </cell>
          <cell r="AD87">
            <v>0</v>
          </cell>
          <cell r="AF87">
            <v>0</v>
          </cell>
          <cell r="AH87">
            <v>0</v>
          </cell>
          <cell r="AJ87">
            <v>0</v>
          </cell>
        </row>
        <row r="88">
          <cell r="F88" t="str">
            <v>N124L</v>
          </cell>
          <cell r="H88">
            <v>0</v>
          </cell>
          <cell r="N88">
            <v>0</v>
          </cell>
          <cell r="AD88">
            <v>0</v>
          </cell>
          <cell r="AF88">
            <v>0</v>
          </cell>
          <cell r="AH88">
            <v>0</v>
          </cell>
          <cell r="AJ88">
            <v>0</v>
          </cell>
        </row>
        <row r="89">
          <cell r="H89">
            <v>44.07</v>
          </cell>
          <cell r="N89">
            <v>1644.9332879509873</v>
          </cell>
          <cell r="AD89">
            <v>1512.5518073811936</v>
          </cell>
          <cell r="AF89">
            <v>36.586501516683519</v>
          </cell>
          <cell r="AH89">
            <v>84.7338809943152</v>
          </cell>
          <cell r="AJ89">
            <v>-11.053288144972157</v>
          </cell>
        </row>
        <row r="90">
          <cell r="H90">
            <v>634.15000000000009</v>
          </cell>
          <cell r="N90">
            <v>2570.5807458803115</v>
          </cell>
          <cell r="AD90">
            <v>2390.9686760446193</v>
          </cell>
          <cell r="AF90">
            <v>30.053397325280415</v>
          </cell>
          <cell r="AH90">
            <v>84.733880994315214</v>
          </cell>
          <cell r="AJ90">
            <v>-43.020599952799785</v>
          </cell>
        </row>
        <row r="91">
          <cell r="F91">
            <v>149</v>
          </cell>
          <cell r="H91">
            <v>0</v>
          </cell>
          <cell r="N91">
            <v>0</v>
          </cell>
          <cell r="AD91">
            <v>0</v>
          </cell>
          <cell r="AF91">
            <v>0</v>
          </cell>
          <cell r="AH91">
            <v>0</v>
          </cell>
          <cell r="AJ91">
            <v>0</v>
          </cell>
        </row>
        <row r="92">
          <cell r="F92">
            <v>149</v>
          </cell>
          <cell r="H92">
            <v>0</v>
          </cell>
          <cell r="N92">
            <v>0</v>
          </cell>
          <cell r="AD92">
            <v>0</v>
          </cell>
          <cell r="AF92">
            <v>0</v>
          </cell>
          <cell r="AH92">
            <v>0</v>
          </cell>
          <cell r="AJ92">
            <v>0</v>
          </cell>
        </row>
        <row r="93">
          <cell r="F93">
            <v>808</v>
          </cell>
          <cell r="H93">
            <v>1432.9499999999998</v>
          </cell>
          <cell r="N93">
            <v>2557.8683903834753</v>
          </cell>
          <cell r="AD93">
            <v>2141.3289412765507</v>
          </cell>
          <cell r="AF93">
            <v>34.624811920142491</v>
          </cell>
          <cell r="AH93">
            <v>84.733880994315214</v>
          </cell>
          <cell r="AJ93">
            <v>-21.886435265713772</v>
          </cell>
        </row>
        <row r="94">
          <cell r="F94">
            <v>808</v>
          </cell>
          <cell r="H94">
            <v>43.94</v>
          </cell>
          <cell r="N94">
            <v>2137.1463359126083</v>
          </cell>
          <cell r="AD94">
            <v>1827.6109210526317</v>
          </cell>
          <cell r="AF94">
            <v>40.723214285714285</v>
          </cell>
          <cell r="AH94">
            <v>84.7338809943152</v>
          </cell>
          <cell r="AJ94">
            <v>-28.368016332661227</v>
          </cell>
        </row>
        <row r="95">
          <cell r="F95" t="str">
            <v>N808</v>
          </cell>
          <cell r="H95">
            <v>612.23</v>
          </cell>
          <cell r="N95">
            <v>2419.1174395243615</v>
          </cell>
          <cell r="AD95">
            <v>1995.4402247262581</v>
          </cell>
          <cell r="AF95">
            <v>36.128654190299983</v>
          </cell>
          <cell r="AH95">
            <v>84.733880994315214</v>
          </cell>
          <cell r="AJ95">
            <v>-29.302759910873192</v>
          </cell>
        </row>
        <row r="96">
          <cell r="F96" t="str">
            <v>808S</v>
          </cell>
          <cell r="H96">
            <v>83.8</v>
          </cell>
          <cell r="N96">
            <v>2946.9612171837712</v>
          </cell>
          <cell r="AD96">
            <v>2493.5835870862716</v>
          </cell>
          <cell r="AF96">
            <v>33.783418339663591</v>
          </cell>
          <cell r="AH96">
            <v>84.7338809943152</v>
          </cell>
          <cell r="AJ96">
            <v>-29.400886420250572</v>
          </cell>
        </row>
        <row r="97">
          <cell r="F97" t="str">
            <v>P800</v>
          </cell>
          <cell r="H97">
            <v>50.66</v>
          </cell>
          <cell r="N97">
            <v>2606.7684563758394</v>
          </cell>
          <cell r="AD97">
            <v>2280.611940246406</v>
          </cell>
          <cell r="AF97">
            <v>37.318706365503076</v>
          </cell>
          <cell r="AH97">
            <v>84.733880994315214</v>
          </cell>
          <cell r="AJ97">
            <v>-7.6645276062245102</v>
          </cell>
        </row>
        <row r="98">
          <cell r="F98" t="str">
            <v>N800</v>
          </cell>
          <cell r="H98">
            <v>627.78</v>
          </cell>
          <cell r="N98">
            <v>2668.5531874223457</v>
          </cell>
          <cell r="AD98">
            <v>2259.9355040113032</v>
          </cell>
          <cell r="AF98">
            <v>32.475637020174268</v>
          </cell>
          <cell r="AH98">
            <v>84.7338809943152</v>
          </cell>
          <cell r="AJ98">
            <v>-21.645022025792969</v>
          </cell>
        </row>
        <row r="99">
          <cell r="F99" t="str">
            <v>P808</v>
          </cell>
          <cell r="H99">
            <v>14.54</v>
          </cell>
          <cell r="N99">
            <v>2479.8122420907844</v>
          </cell>
          <cell r="AD99">
            <v>2008.1892769230769</v>
          </cell>
          <cell r="AF99">
            <v>34.570279720279721</v>
          </cell>
          <cell r="AH99">
            <v>84.733880994315214</v>
          </cell>
          <cell r="AJ99">
            <v>-112.49343763767183</v>
          </cell>
        </row>
        <row r="100">
          <cell r="F100">
            <v>156</v>
          </cell>
          <cell r="H100">
            <v>202.34</v>
          </cell>
          <cell r="N100">
            <v>2793.0145794207774</v>
          </cell>
          <cell r="AD100">
            <v>2534.7598633277489</v>
          </cell>
          <cell r="AF100">
            <v>32.990997266554977</v>
          </cell>
          <cell r="AH100">
            <v>84.733880994315228</v>
          </cell>
          <cell r="AJ100">
            <v>-12.223735361476884</v>
          </cell>
        </row>
        <row r="101">
          <cell r="F101">
            <v>156</v>
          </cell>
          <cell r="H101">
            <v>5.29</v>
          </cell>
          <cell r="N101">
            <v>2025.0699432892252</v>
          </cell>
          <cell r="AD101">
            <v>1583.7413696369642</v>
          </cell>
          <cell r="AF101">
            <v>43.482013201320129</v>
          </cell>
          <cell r="AH101">
            <v>84.733880994315228</v>
          </cell>
          <cell r="AJ101">
            <v>-30.657263832599483</v>
          </cell>
        </row>
        <row r="102">
          <cell r="F102">
            <v>157</v>
          </cell>
          <cell r="H102">
            <v>9.91</v>
          </cell>
          <cell r="N102">
            <v>2333.9061553985871</v>
          </cell>
          <cell r="AD102">
            <v>1866.5896325167034</v>
          </cell>
          <cell r="AF102">
            <v>46.112026726057906</v>
          </cell>
          <cell r="AH102">
            <v>84.733880994315214</v>
          </cell>
          <cell r="AJ102">
            <v>-26.335540237076657</v>
          </cell>
        </row>
        <row r="103">
          <cell r="F103">
            <v>2150</v>
          </cell>
          <cell r="H103">
            <v>113.4</v>
          </cell>
          <cell r="N103">
            <v>2845.8548500881834</v>
          </cell>
          <cell r="AD103">
            <v>2751.8108115570071</v>
          </cell>
          <cell r="AF103">
            <v>32.637618603204231</v>
          </cell>
          <cell r="AH103">
            <v>84.733880994315214</v>
          </cell>
          <cell r="AJ103">
            <v>-15.482311154526542</v>
          </cell>
        </row>
        <row r="104">
          <cell r="F104" t="str">
            <v>2151-35</v>
          </cell>
          <cell r="H104">
            <v>8.8000000000000007</v>
          </cell>
          <cell r="N104">
            <v>2649.431818181818</v>
          </cell>
          <cell r="AD104">
            <v>2081.1798187919467</v>
          </cell>
          <cell r="AF104">
            <v>29.674244966442956</v>
          </cell>
          <cell r="AH104">
            <v>84.733880994315214</v>
          </cell>
          <cell r="AJ104">
            <v>-27.987944752704607</v>
          </cell>
        </row>
        <row r="105">
          <cell r="F105" t="str">
            <v>2151-37</v>
          </cell>
          <cell r="H105">
            <v>24.08</v>
          </cell>
          <cell r="N105">
            <v>2627.7408637873755</v>
          </cell>
          <cell r="AD105">
            <v>2223.8361467722289</v>
          </cell>
          <cell r="AF105">
            <v>31.554445797807549</v>
          </cell>
          <cell r="AH105">
            <v>84.733880994315214</v>
          </cell>
          <cell r="AJ105">
            <v>-21.524473564351865</v>
          </cell>
        </row>
        <row r="106">
          <cell r="F106" t="str">
            <v>2151-39</v>
          </cell>
          <cell r="H106">
            <v>30.7</v>
          </cell>
          <cell r="N106">
            <v>2917.1335504885992</v>
          </cell>
          <cell r="AD106">
            <v>2449.3613215739483</v>
          </cell>
          <cell r="AF106">
            <v>31.809837177747625</v>
          </cell>
          <cell r="AH106">
            <v>84.7338809943152</v>
          </cell>
          <cell r="AJ106">
            <v>-12.805039746011062</v>
          </cell>
        </row>
        <row r="107">
          <cell r="F107" t="str">
            <v>2151-41</v>
          </cell>
          <cell r="H107">
            <v>10.16</v>
          </cell>
          <cell r="N107">
            <v>3191.9291338582675</v>
          </cell>
          <cell r="AD107">
            <v>2756.8455569196426</v>
          </cell>
          <cell r="AF107">
            <v>31.380245535714288</v>
          </cell>
          <cell r="AH107">
            <v>84.7338809943152</v>
          </cell>
          <cell r="AJ107">
            <v>-27.859683449672502</v>
          </cell>
        </row>
        <row r="108">
          <cell r="F108">
            <v>2151</v>
          </cell>
          <cell r="H108">
            <v>0</v>
          </cell>
          <cell r="N108">
            <v>0</v>
          </cell>
          <cell r="AD108">
            <v>0</v>
          </cell>
          <cell r="AF108">
            <v>0</v>
          </cell>
          <cell r="AH108">
            <v>0</v>
          </cell>
          <cell r="AJ108">
            <v>0</v>
          </cell>
        </row>
        <row r="109">
          <cell r="F109" t="str">
            <v>2151-41</v>
          </cell>
          <cell r="H109">
            <v>1635.2899999999997</v>
          </cell>
          <cell r="N109">
            <v>2586.9638290456132</v>
          </cell>
          <cell r="AD109">
            <v>2192.8669151371646</v>
          </cell>
          <cell r="AF109">
            <v>34.410788333814622</v>
          </cell>
          <cell r="AH109">
            <v>84.733880994315214</v>
          </cell>
          <cell r="AJ109">
            <v>-23.53639657813028</v>
          </cell>
        </row>
      </sheetData>
      <sheetData sheetId="10" refreshError="1">
        <row r="7">
          <cell r="H7">
            <v>989.99999999999989</v>
          </cell>
          <cell r="N7">
            <v>1384.5563737373736</v>
          </cell>
          <cell r="AD7">
            <v>1202.8692385747177</v>
          </cell>
          <cell r="AF7">
            <v>29.999999999999996</v>
          </cell>
          <cell r="AH7">
            <v>125.27879246203457</v>
          </cell>
          <cell r="AJ7">
            <v>0.7718073470859963</v>
          </cell>
        </row>
        <row r="8">
          <cell r="F8">
            <v>510</v>
          </cell>
          <cell r="H8">
            <v>125.12</v>
          </cell>
          <cell r="N8">
            <v>1626.6906969309464</v>
          </cell>
          <cell r="AD8">
            <v>1388.9574010327024</v>
          </cell>
          <cell r="AF8">
            <v>30</v>
          </cell>
          <cell r="AH8">
            <v>127.96388007862906</v>
          </cell>
          <cell r="AJ8">
            <v>4.1787188886685271</v>
          </cell>
        </row>
        <row r="9">
          <cell r="F9">
            <v>511</v>
          </cell>
          <cell r="H9">
            <v>130.63999999999999</v>
          </cell>
          <cell r="N9">
            <v>1432.7250459277407</v>
          </cell>
          <cell r="AD9">
            <v>1313.8044207317075</v>
          </cell>
          <cell r="AF9">
            <v>30.000000000000004</v>
          </cell>
          <cell r="AH9">
            <v>127.96388007862906</v>
          </cell>
          <cell r="AJ9">
            <v>0.23169918966345904</v>
          </cell>
        </row>
        <row r="10">
          <cell r="F10">
            <v>513</v>
          </cell>
          <cell r="H10">
            <v>0</v>
          </cell>
          <cell r="N10">
            <v>0</v>
          </cell>
          <cell r="AD10">
            <v>0</v>
          </cell>
          <cell r="AF10">
            <v>0</v>
          </cell>
          <cell r="AH10">
            <v>0</v>
          </cell>
          <cell r="AJ10">
            <v>0</v>
          </cell>
        </row>
        <row r="11">
          <cell r="F11" t="str">
            <v>510L</v>
          </cell>
          <cell r="H11">
            <v>2.08</v>
          </cell>
          <cell r="N11">
            <v>1494.778846153846</v>
          </cell>
          <cell r="AD11">
            <v>1220.3625827814569</v>
          </cell>
          <cell r="AF11">
            <v>29.999999999999996</v>
          </cell>
          <cell r="AH11">
            <v>127.96388007862905</v>
          </cell>
          <cell r="AJ11">
            <v>14.773537139913969</v>
          </cell>
        </row>
        <row r="12">
          <cell r="F12" t="str">
            <v>N510L</v>
          </cell>
          <cell r="H12">
            <v>0</v>
          </cell>
          <cell r="N12">
            <v>0</v>
          </cell>
          <cell r="AD12">
            <v>0</v>
          </cell>
          <cell r="AF12">
            <v>0</v>
          </cell>
          <cell r="AH12">
            <v>0</v>
          </cell>
          <cell r="AJ12">
            <v>0</v>
          </cell>
        </row>
        <row r="13">
          <cell r="F13" t="str">
            <v>511L</v>
          </cell>
          <cell r="H13">
            <v>280</v>
          </cell>
          <cell r="N13">
            <v>1369.7261785714286</v>
          </cell>
          <cell r="AD13">
            <v>1186.2625431169645</v>
          </cell>
          <cell r="AF13">
            <v>30</v>
          </cell>
          <cell r="AH13">
            <v>127.96388007862905</v>
          </cell>
          <cell r="AJ13">
            <v>5.8735768044064116</v>
          </cell>
        </row>
        <row r="14">
          <cell r="F14" t="str">
            <v>513L</v>
          </cell>
          <cell r="H14">
            <v>402.56</v>
          </cell>
          <cell r="N14">
            <v>1306.7378775834659</v>
          </cell>
          <cell r="AD14">
            <v>1108.6476715686274</v>
          </cell>
          <cell r="AF14">
            <v>30</v>
          </cell>
          <cell r="AH14">
            <v>127.96388007862906</v>
          </cell>
          <cell r="AJ14">
            <v>3.5884483527433986</v>
          </cell>
        </row>
        <row r="15">
          <cell r="F15">
            <v>710</v>
          </cell>
          <cell r="H15">
            <v>0</v>
          </cell>
          <cell r="N15">
            <v>0</v>
          </cell>
          <cell r="AD15">
            <v>0</v>
          </cell>
          <cell r="AF15">
            <v>0</v>
          </cell>
          <cell r="AH15">
            <v>0</v>
          </cell>
          <cell r="AJ15">
            <v>0</v>
          </cell>
        </row>
        <row r="16">
          <cell r="F16" t="str">
            <v>711L</v>
          </cell>
          <cell r="H16">
            <v>0</v>
          </cell>
          <cell r="N16">
            <v>0</v>
          </cell>
          <cell r="AD16">
            <v>0</v>
          </cell>
          <cell r="AF16">
            <v>0</v>
          </cell>
          <cell r="AH16">
            <v>0</v>
          </cell>
          <cell r="AJ16">
            <v>0</v>
          </cell>
        </row>
        <row r="17">
          <cell r="F17">
            <v>310</v>
          </cell>
          <cell r="H17">
            <v>0</v>
          </cell>
          <cell r="N17">
            <v>0</v>
          </cell>
          <cell r="AD17">
            <v>1368.4932885906042</v>
          </cell>
          <cell r="AF17">
            <v>30.000000000000004</v>
          </cell>
          <cell r="AH17">
            <v>87.963880078629046</v>
          </cell>
          <cell r="AJ17">
            <v>-1486.4571686692332</v>
          </cell>
        </row>
        <row r="18">
          <cell r="F18">
            <v>311</v>
          </cell>
          <cell r="H18">
            <v>10</v>
          </cell>
          <cell r="N18">
            <v>1430</v>
          </cell>
          <cell r="AD18">
            <v>1311.6419001218026</v>
          </cell>
          <cell r="AF18">
            <v>30</v>
          </cell>
          <cell r="AH18">
            <v>87.963880078629046</v>
          </cell>
          <cell r="AJ18">
            <v>-5.780200431445337E-3</v>
          </cell>
        </row>
        <row r="19">
          <cell r="F19" t="str">
            <v>311L</v>
          </cell>
          <cell r="H19">
            <v>32.44</v>
          </cell>
          <cell r="N19">
            <v>1336.6337854500619</v>
          </cell>
          <cell r="AD19">
            <v>1182.8420833333332</v>
          </cell>
          <cell r="AF19">
            <v>30</v>
          </cell>
          <cell r="AH19">
            <v>87.96388007862906</v>
          </cell>
          <cell r="AJ19">
            <v>38.594036588037625</v>
          </cell>
        </row>
        <row r="20">
          <cell r="F20" t="str">
            <v>313L</v>
          </cell>
          <cell r="H20">
            <v>7.16</v>
          </cell>
          <cell r="N20">
            <v>1351.2290502793294</v>
          </cell>
          <cell r="AD20">
            <v>1124.4933333333333</v>
          </cell>
          <cell r="AF20">
            <v>30</v>
          </cell>
          <cell r="AH20">
            <v>87.96388007862906</v>
          </cell>
          <cell r="AJ20">
            <v>7.7427865880376885</v>
          </cell>
        </row>
        <row r="21">
          <cell r="F21">
            <v>332</v>
          </cell>
          <cell r="H21">
            <v>378.84000000000009</v>
          </cell>
          <cell r="N21">
            <v>1368.4738939921863</v>
          </cell>
          <cell r="AD21">
            <v>1235.508787847366</v>
          </cell>
          <cell r="AF21">
            <v>30</v>
          </cell>
          <cell r="AH21">
            <v>92.617550754697078</v>
          </cell>
          <cell r="AJ21">
            <v>10.939515056473283</v>
          </cell>
        </row>
        <row r="22">
          <cell r="F22">
            <v>331</v>
          </cell>
          <cell r="H22">
            <v>11.92</v>
          </cell>
          <cell r="N22">
            <v>1600</v>
          </cell>
          <cell r="AD22">
            <v>1352.6026785714284</v>
          </cell>
          <cell r="AF22">
            <v>30</v>
          </cell>
          <cell r="AH22">
            <v>87.963880078629046</v>
          </cell>
          <cell r="AJ22">
            <v>44.433441349942768</v>
          </cell>
        </row>
        <row r="23">
          <cell r="F23">
            <v>332</v>
          </cell>
          <cell r="H23">
            <v>77.12</v>
          </cell>
          <cell r="N23">
            <v>1341.7558350622405</v>
          </cell>
          <cell r="AD23">
            <v>1214.6948387096775</v>
          </cell>
          <cell r="AF23">
            <v>30</v>
          </cell>
          <cell r="AH23">
            <v>87.96388007862906</v>
          </cell>
          <cell r="AJ23">
            <v>2.6412812116934674</v>
          </cell>
        </row>
        <row r="24">
          <cell r="F24">
            <v>334</v>
          </cell>
          <cell r="H24">
            <v>219.36</v>
          </cell>
          <cell r="N24">
            <v>1353.3295951859955</v>
          </cell>
          <cell r="AD24">
            <v>1238.1176544450027</v>
          </cell>
          <cell r="AF24">
            <v>30.000000000000004</v>
          </cell>
          <cell r="AH24">
            <v>87.96388007862906</v>
          </cell>
          <cell r="AJ24">
            <v>1.9184654763685103</v>
          </cell>
        </row>
        <row r="25">
          <cell r="F25">
            <v>531</v>
          </cell>
          <cell r="H25">
            <v>0</v>
          </cell>
          <cell r="N25">
            <v>0</v>
          </cell>
          <cell r="AD25">
            <v>0</v>
          </cell>
          <cell r="AF25">
            <v>0</v>
          </cell>
          <cell r="AH25">
            <v>0</v>
          </cell>
          <cell r="AJ25">
            <v>0</v>
          </cell>
        </row>
        <row r="26">
          <cell r="F26" t="str">
            <v>531N</v>
          </cell>
          <cell r="H26">
            <v>1.72</v>
          </cell>
          <cell r="N26">
            <v>1650</v>
          </cell>
          <cell r="AD26">
            <v>0</v>
          </cell>
          <cell r="AF26">
            <v>0</v>
          </cell>
          <cell r="AH26">
            <v>0</v>
          </cell>
          <cell r="AJ26">
            <v>1605.9</v>
          </cell>
        </row>
        <row r="27">
          <cell r="F27">
            <v>532</v>
          </cell>
          <cell r="H27">
            <v>0</v>
          </cell>
          <cell r="N27">
            <v>0</v>
          </cell>
          <cell r="AD27">
            <v>0</v>
          </cell>
          <cell r="AF27">
            <v>0</v>
          </cell>
          <cell r="AH27">
            <v>0</v>
          </cell>
          <cell r="AJ27">
            <v>0</v>
          </cell>
        </row>
        <row r="28">
          <cell r="F28" t="str">
            <v>532N</v>
          </cell>
          <cell r="H28">
            <v>0</v>
          </cell>
          <cell r="N28">
            <v>0</v>
          </cell>
          <cell r="AD28">
            <v>0</v>
          </cell>
          <cell r="AF28">
            <v>0</v>
          </cell>
          <cell r="AH28">
            <v>0</v>
          </cell>
          <cell r="AJ28">
            <v>0</v>
          </cell>
        </row>
        <row r="29">
          <cell r="F29" t="str">
            <v>533N</v>
          </cell>
          <cell r="H29">
            <v>0</v>
          </cell>
          <cell r="N29">
            <v>0</v>
          </cell>
          <cell r="AD29">
            <v>0</v>
          </cell>
          <cell r="AF29">
            <v>0</v>
          </cell>
          <cell r="AH29">
            <v>0</v>
          </cell>
          <cell r="AJ29">
            <v>0</v>
          </cell>
        </row>
        <row r="30">
          <cell r="F30">
            <v>534</v>
          </cell>
          <cell r="H30">
            <v>0</v>
          </cell>
          <cell r="N30">
            <v>0</v>
          </cell>
          <cell r="AD30">
            <v>0</v>
          </cell>
          <cell r="AF30">
            <v>0</v>
          </cell>
          <cell r="AH30">
            <v>0</v>
          </cell>
          <cell r="AJ30">
            <v>0</v>
          </cell>
        </row>
        <row r="31">
          <cell r="F31" t="str">
            <v>534N</v>
          </cell>
          <cell r="H31">
            <v>60.28</v>
          </cell>
          <cell r="N31">
            <v>1407.6177836761779</v>
          </cell>
          <cell r="AD31">
            <v>1248.9328859060404</v>
          </cell>
          <cell r="AF31">
            <v>30</v>
          </cell>
          <cell r="AH31">
            <v>127.96388007862906</v>
          </cell>
          <cell r="AJ31">
            <v>16.303234015330645</v>
          </cell>
        </row>
        <row r="32">
          <cell r="F32" t="str">
            <v>535N</v>
          </cell>
          <cell r="H32">
            <v>8.44</v>
          </cell>
          <cell r="N32">
            <v>1342.2819905213271</v>
          </cell>
          <cell r="AD32">
            <v>1141.5759493670887</v>
          </cell>
          <cell r="AF32">
            <v>29.999999999999996</v>
          </cell>
          <cell r="AH32">
            <v>127.96388007862905</v>
          </cell>
          <cell r="AJ32">
            <v>24.660170554282331</v>
          </cell>
        </row>
        <row r="33">
          <cell r="F33">
            <v>321</v>
          </cell>
          <cell r="H33">
            <v>1368.84</v>
          </cell>
          <cell r="N33">
            <v>1380.1053885041347</v>
          </cell>
          <cell r="AD33">
            <v>1211.7947443785974</v>
          </cell>
          <cell r="AF33">
            <v>30</v>
          </cell>
          <cell r="AH33">
            <v>116.34735471497464</v>
          </cell>
          <cell r="AJ33">
            <v>3.5857493036112373</v>
          </cell>
        </row>
        <row r="34">
          <cell r="F34">
            <v>322</v>
          </cell>
          <cell r="H34">
            <v>4012.7500000000005</v>
          </cell>
          <cell r="N34">
            <v>1130.6791850975017</v>
          </cell>
          <cell r="AD34">
            <v>1004.1396795968458</v>
          </cell>
          <cell r="AF34">
            <v>22.269677009302594</v>
          </cell>
          <cell r="AH34">
            <v>88.028191829843053</v>
          </cell>
          <cell r="AJ34">
            <v>3.0468433153009755</v>
          </cell>
        </row>
        <row r="35">
          <cell r="F35">
            <v>321</v>
          </cell>
          <cell r="H35">
            <v>193.84</v>
          </cell>
          <cell r="N35">
            <v>1595.9159100288898</v>
          </cell>
          <cell r="AD35">
            <v>1230.9385445314151</v>
          </cell>
          <cell r="AF35">
            <v>29.999999999999996</v>
          </cell>
          <cell r="AH35">
            <v>87.963880078629046</v>
          </cell>
          <cell r="AJ35">
            <v>6.8975753899558185</v>
          </cell>
        </row>
        <row r="36">
          <cell r="F36">
            <v>322</v>
          </cell>
          <cell r="H36">
            <v>857.16</v>
          </cell>
          <cell r="N36">
            <v>1090.5878599094685</v>
          </cell>
          <cell r="AD36">
            <v>975.38803004548174</v>
          </cell>
          <cell r="AF36">
            <v>30.000000000000004</v>
          </cell>
          <cell r="AH36">
            <v>87.96388007862906</v>
          </cell>
          <cell r="AJ36">
            <v>1.2480898758890362</v>
          </cell>
        </row>
        <row r="37">
          <cell r="F37" t="str">
            <v>324C</v>
          </cell>
          <cell r="H37">
            <v>2867.75</v>
          </cell>
          <cell r="N37">
            <v>1110.1018533693662</v>
          </cell>
          <cell r="AD37">
            <v>996.87718311826654</v>
          </cell>
          <cell r="AF37">
            <v>19.420000000000002</v>
          </cell>
          <cell r="AH37">
            <v>87.96388007862906</v>
          </cell>
          <cell r="AJ37">
            <v>1.6389368031045706</v>
          </cell>
        </row>
        <row r="38">
          <cell r="F38" t="str">
            <v>324L</v>
          </cell>
          <cell r="H38">
            <v>35.799999999999997</v>
          </cell>
          <cell r="N38">
            <v>1060</v>
          </cell>
          <cell r="AD38">
            <v>998.32666666666671</v>
          </cell>
          <cell r="AF38">
            <v>30</v>
          </cell>
          <cell r="AH38">
            <v>87.96388007862906</v>
          </cell>
          <cell r="AJ38">
            <v>57.009453254704113</v>
          </cell>
        </row>
        <row r="39">
          <cell r="F39">
            <v>521</v>
          </cell>
          <cell r="H39">
            <v>6.4</v>
          </cell>
          <cell r="N39">
            <v>1650</v>
          </cell>
          <cell r="AD39">
            <v>1246.6500000000001</v>
          </cell>
          <cell r="AF39">
            <v>30</v>
          </cell>
          <cell r="AH39">
            <v>127.96388007862905</v>
          </cell>
          <cell r="AJ39">
            <v>-1.3880078629199488E-2</v>
          </cell>
        </row>
        <row r="40">
          <cell r="F40">
            <v>324</v>
          </cell>
          <cell r="H40">
            <v>23.4</v>
          </cell>
          <cell r="N40">
            <v>1162.2572649572651</v>
          </cell>
          <cell r="AD40">
            <v>1042.6107382550335</v>
          </cell>
          <cell r="AF40">
            <v>19.419999999999998</v>
          </cell>
          <cell r="AH40">
            <v>87.96388007862906</v>
          </cell>
          <cell r="AJ40">
            <v>38.105381666337507</v>
          </cell>
        </row>
        <row r="41">
          <cell r="F41" t="str">
            <v>324C-H</v>
          </cell>
          <cell r="H41">
            <v>28.4</v>
          </cell>
          <cell r="N41">
            <v>1189.1852112676056</v>
          </cell>
          <cell r="AD41">
            <v>1032.5697674418604</v>
          </cell>
          <cell r="AF41">
            <v>19.420000000000002</v>
          </cell>
          <cell r="AH41">
            <v>87.96388007862906</v>
          </cell>
          <cell r="AJ41">
            <v>18.146352479510369</v>
          </cell>
        </row>
        <row r="42">
          <cell r="F42" t="str">
            <v>324BR</v>
          </cell>
          <cell r="H42">
            <v>45.4</v>
          </cell>
          <cell r="N42">
            <v>1299.8669603524229</v>
          </cell>
          <cell r="AD42">
            <v>1209.1690830721002</v>
          </cell>
          <cell r="AF42">
            <v>30</v>
          </cell>
          <cell r="AH42">
            <v>87.96388007862906</v>
          </cell>
          <cell r="AJ42">
            <v>18.367036849270789</v>
          </cell>
        </row>
        <row r="43">
          <cell r="F43" t="str">
            <v>324BR</v>
          </cell>
          <cell r="H43">
            <v>45.4</v>
          </cell>
          <cell r="N43">
            <v>1299.8669603524229</v>
          </cell>
          <cell r="AD43">
            <v>1209.1690830721002</v>
          </cell>
          <cell r="AF43">
            <v>30</v>
          </cell>
          <cell r="AH43">
            <v>87.96388007862906</v>
          </cell>
          <cell r="AJ43">
            <v>18.367036849270789</v>
          </cell>
        </row>
        <row r="44">
          <cell r="H44">
            <v>4058.1500000000005</v>
          </cell>
          <cell r="N44">
            <v>1132.5719502729075</v>
          </cell>
          <cell r="AD44">
            <v>1006.7353168057743</v>
          </cell>
          <cell r="AF44">
            <v>22.367541577269851</v>
          </cell>
          <cell r="AH44">
            <v>88.027377654063415</v>
          </cell>
          <cell r="AJ44">
            <v>2.9050492529872827</v>
          </cell>
        </row>
        <row r="45">
          <cell r="F45" t="str">
            <v>548L</v>
          </cell>
          <cell r="H45">
            <v>5426.9900000000007</v>
          </cell>
          <cell r="N45">
            <v>1195.0068675269347</v>
          </cell>
          <cell r="AD45">
            <v>1059.887777845151</v>
          </cell>
          <cell r="AF45">
            <v>24.34591415809038</v>
          </cell>
          <cell r="AH45">
            <v>95.36806174346745</v>
          </cell>
          <cell r="AJ45">
            <v>1.395215291376644</v>
          </cell>
        </row>
        <row r="46">
          <cell r="F46" t="str">
            <v>548L</v>
          </cell>
          <cell r="H46">
            <v>0</v>
          </cell>
          <cell r="N46">
            <v>0</v>
          </cell>
          <cell r="AD46">
            <v>0</v>
          </cell>
          <cell r="AF46">
            <v>0</v>
          </cell>
          <cell r="AH46">
            <v>0</v>
          </cell>
          <cell r="AJ46">
            <v>0</v>
          </cell>
        </row>
        <row r="47">
          <cell r="F47" t="str">
            <v>548L</v>
          </cell>
          <cell r="H47">
            <v>0</v>
          </cell>
          <cell r="N47">
            <v>0</v>
          </cell>
          <cell r="AD47">
            <v>0</v>
          </cell>
          <cell r="AF47">
            <v>0</v>
          </cell>
          <cell r="AH47">
            <v>0</v>
          </cell>
          <cell r="AJ47">
            <v>0</v>
          </cell>
        </row>
        <row r="48">
          <cell r="F48" t="str">
            <v>551L</v>
          </cell>
          <cell r="H48">
            <v>429.27999999999992</v>
          </cell>
          <cell r="N48">
            <v>2060.55432351845</v>
          </cell>
          <cell r="AD48">
            <v>1543.2586448544444</v>
          </cell>
          <cell r="AF48">
            <v>38.596911977575076</v>
          </cell>
          <cell r="AH48">
            <v>127.96388007862905</v>
          </cell>
          <cell r="AJ48">
            <v>16.29667611581408</v>
          </cell>
        </row>
        <row r="49">
          <cell r="F49">
            <v>551</v>
          </cell>
          <cell r="H49">
            <v>82.49</v>
          </cell>
          <cell r="N49">
            <v>2068.3522851254697</v>
          </cell>
          <cell r="AD49">
            <v>1540.2691941624366</v>
          </cell>
          <cell r="AF49">
            <v>39.954663705583762</v>
          </cell>
          <cell r="AH49">
            <v>127.96388007862905</v>
          </cell>
          <cell r="AJ49">
            <v>32.912262053350332</v>
          </cell>
        </row>
        <row r="50">
          <cell r="F50" t="str">
            <v>551L</v>
          </cell>
          <cell r="H50">
            <v>54.9</v>
          </cell>
          <cell r="N50">
            <v>1800.714207650273</v>
          </cell>
          <cell r="AD50">
            <v>1371.2378746199508</v>
          </cell>
          <cell r="AF50">
            <v>50.02872448240916</v>
          </cell>
          <cell r="AH50">
            <v>127.96388007862905</v>
          </cell>
          <cell r="AJ50">
            <v>11.76952081901095</v>
          </cell>
        </row>
        <row r="51">
          <cell r="F51">
            <v>951</v>
          </cell>
          <cell r="H51">
            <v>163.52000000000001</v>
          </cell>
          <cell r="N51">
            <v>2112.0129647749509</v>
          </cell>
          <cell r="AD51">
            <v>1577.4635847637285</v>
          </cell>
          <cell r="AF51">
            <v>36.983649046023388</v>
          </cell>
          <cell r="AH51">
            <v>127.96388007862906</v>
          </cell>
          <cell r="AJ51">
            <v>23.388886111618831</v>
          </cell>
        </row>
        <row r="52">
          <cell r="F52">
            <v>552</v>
          </cell>
          <cell r="H52">
            <v>59</v>
          </cell>
          <cell r="N52">
            <v>1750</v>
          </cell>
          <cell r="AD52">
            <v>1325.2807933194156</v>
          </cell>
          <cell r="AF52">
            <v>30.000000000000004</v>
          </cell>
          <cell r="AH52">
            <v>127.96388007862906</v>
          </cell>
          <cell r="AJ52">
            <v>1.0553266019555849</v>
          </cell>
        </row>
        <row r="53">
          <cell r="F53" t="str">
            <v>551S</v>
          </cell>
          <cell r="H53">
            <v>37.21</v>
          </cell>
          <cell r="N53">
            <v>2265.6476753560869</v>
          </cell>
          <cell r="AD53">
            <v>1609.9344877344879</v>
          </cell>
          <cell r="AF53">
            <v>34.962077922077931</v>
          </cell>
          <cell r="AH53">
            <v>127.96388007862906</v>
          </cell>
          <cell r="AJ53">
            <v>17.739554264805065</v>
          </cell>
        </row>
        <row r="54">
          <cell r="F54" t="str">
            <v>P551S</v>
          </cell>
          <cell r="H54">
            <v>8.52</v>
          </cell>
          <cell r="N54">
            <v>2337.8063380281687</v>
          </cell>
          <cell r="AD54">
            <v>1593.9666666666667</v>
          </cell>
          <cell r="AF54">
            <v>37.258645833333333</v>
          </cell>
          <cell r="AH54">
            <v>127.96388007862905</v>
          </cell>
          <cell r="AJ54">
            <v>10.31080742137101</v>
          </cell>
        </row>
        <row r="55">
          <cell r="F55">
            <v>2551</v>
          </cell>
          <cell r="H55">
            <v>4.78</v>
          </cell>
          <cell r="N55">
            <v>2337.3012552301252</v>
          </cell>
          <cell r="AD55">
            <v>1606.959731543624</v>
          </cell>
          <cell r="AF55">
            <v>37.6761744966443</v>
          </cell>
          <cell r="AH55">
            <v>127.96388007862905</v>
          </cell>
          <cell r="AJ55">
            <v>77.600213881102718</v>
          </cell>
        </row>
        <row r="56">
          <cell r="F56">
            <v>555</v>
          </cell>
          <cell r="H56">
            <v>2</v>
          </cell>
          <cell r="N56">
            <v>1350</v>
          </cell>
          <cell r="AD56">
            <v>948.99333333333334</v>
          </cell>
          <cell r="AF56">
            <v>30</v>
          </cell>
          <cell r="AH56">
            <v>127.96388007862906</v>
          </cell>
          <cell r="AJ56">
            <v>-8.2572134119623115</v>
          </cell>
        </row>
        <row r="57">
          <cell r="F57">
            <v>550</v>
          </cell>
          <cell r="H57">
            <v>16.86</v>
          </cell>
          <cell r="N57">
            <v>2869.2556346381971</v>
          </cell>
          <cell r="AD57">
            <v>2349.1482530689332</v>
          </cell>
          <cell r="AF57">
            <v>45.25</v>
          </cell>
          <cell r="AH57">
            <v>127.96388007862905</v>
          </cell>
          <cell r="AJ57">
            <v>4.4378668524382192</v>
          </cell>
        </row>
        <row r="58">
          <cell r="F58" t="str">
            <v>SC100</v>
          </cell>
          <cell r="H58">
            <v>0</v>
          </cell>
          <cell r="N58">
            <v>0</v>
          </cell>
          <cell r="AD58">
            <v>1590.5664285714286</v>
          </cell>
          <cell r="AF58">
            <v>34.357142857142854</v>
          </cell>
          <cell r="AH58">
            <v>127.96388007862905</v>
          </cell>
          <cell r="AJ58">
            <v>-1752.8874515072005</v>
          </cell>
        </row>
        <row r="59">
          <cell r="F59">
            <v>592</v>
          </cell>
          <cell r="H59">
            <v>9.8000000000000007</v>
          </cell>
          <cell r="N59">
            <v>2171.8367346938776</v>
          </cell>
          <cell r="AD59">
            <v>1878.0633333333333</v>
          </cell>
          <cell r="AF59">
            <v>30</v>
          </cell>
          <cell r="AH59">
            <v>127.96388007862906</v>
          </cell>
          <cell r="AJ59">
            <v>-148.84016443432961</v>
          </cell>
        </row>
        <row r="60">
          <cell r="F60">
            <v>590</v>
          </cell>
          <cell r="H60">
            <v>0.04</v>
          </cell>
          <cell r="N60">
            <v>2780</v>
          </cell>
          <cell r="AD60">
            <v>0</v>
          </cell>
          <cell r="AF60">
            <v>0</v>
          </cell>
          <cell r="AH60">
            <v>0</v>
          </cell>
          <cell r="AJ60">
            <v>3198.1</v>
          </cell>
        </row>
        <row r="61">
          <cell r="F61">
            <v>591</v>
          </cell>
          <cell r="H61">
            <v>5.72</v>
          </cell>
          <cell r="N61">
            <v>2250</v>
          </cell>
          <cell r="AD61">
            <v>1878.0633333333333</v>
          </cell>
          <cell r="AF61">
            <v>30</v>
          </cell>
          <cell r="AH61">
            <v>127.96388007862906</v>
          </cell>
          <cell r="AJ61">
            <v>-165.1338567719622</v>
          </cell>
        </row>
        <row r="62">
          <cell r="F62">
            <v>592</v>
          </cell>
          <cell r="H62">
            <v>4.04</v>
          </cell>
          <cell r="N62">
            <v>2055.1485148514853</v>
          </cell>
          <cell r="AD62">
            <v>0</v>
          </cell>
          <cell r="AF62">
            <v>0</v>
          </cell>
          <cell r="AH62">
            <v>0</v>
          </cell>
          <cell r="AJ62">
            <v>1897.277</v>
          </cell>
        </row>
        <row r="63">
          <cell r="F63" t="str">
            <v>592F</v>
          </cell>
          <cell r="H63">
            <v>0</v>
          </cell>
          <cell r="N63">
            <v>0</v>
          </cell>
          <cell r="AD63">
            <v>0</v>
          </cell>
          <cell r="AF63">
            <v>0</v>
          </cell>
          <cell r="AH63">
            <v>0</v>
          </cell>
          <cell r="AJ63">
            <v>0</v>
          </cell>
        </row>
        <row r="64">
          <cell r="F64">
            <v>593</v>
          </cell>
          <cell r="H64">
            <v>0</v>
          </cell>
          <cell r="N64">
            <v>0</v>
          </cell>
          <cell r="AD64">
            <v>0</v>
          </cell>
          <cell r="AF64">
            <v>0</v>
          </cell>
          <cell r="AH64">
            <v>0</v>
          </cell>
          <cell r="AJ64">
            <v>0</v>
          </cell>
        </row>
        <row r="65">
          <cell r="F65" t="str">
            <v>E548L</v>
          </cell>
          <cell r="H65">
            <v>131.86000000000001</v>
          </cell>
          <cell r="N65">
            <v>1232.2051418170786</v>
          </cell>
          <cell r="AD65">
            <v>977.9414233257562</v>
          </cell>
          <cell r="AF65">
            <v>30.871585941598177</v>
          </cell>
          <cell r="AH65">
            <v>91.20220845771631</v>
          </cell>
          <cell r="AJ65">
            <v>24.439931675809021</v>
          </cell>
        </row>
        <row r="66">
          <cell r="F66" t="str">
            <v>N571</v>
          </cell>
          <cell r="H66">
            <v>8.98</v>
          </cell>
          <cell r="N66">
            <v>1409.9799554565702</v>
          </cell>
          <cell r="AD66">
            <v>1082.3390928725701</v>
          </cell>
          <cell r="AF66">
            <v>40.765874730021594</v>
          </cell>
          <cell r="AH66">
            <v>127.96388007862905</v>
          </cell>
          <cell r="AJ66">
            <v>-6.8847681220859158E-2</v>
          </cell>
        </row>
        <row r="67">
          <cell r="F67">
            <v>372</v>
          </cell>
          <cell r="H67">
            <v>101.4</v>
          </cell>
          <cell r="N67">
            <v>1197.8634122287967</v>
          </cell>
          <cell r="AD67">
            <v>968.74505327245049</v>
          </cell>
          <cell r="AF67">
            <v>29.999999999999996</v>
          </cell>
          <cell r="AH67">
            <v>87.963880078629046</v>
          </cell>
          <cell r="AJ67">
            <v>1.4910666489204232</v>
          </cell>
        </row>
        <row r="68">
          <cell r="F68" t="str">
            <v>E548L</v>
          </cell>
          <cell r="H68">
            <v>0</v>
          </cell>
          <cell r="N68">
            <v>0</v>
          </cell>
          <cell r="AD68">
            <v>0</v>
          </cell>
          <cell r="AF68">
            <v>0</v>
          </cell>
          <cell r="AH68">
            <v>0</v>
          </cell>
          <cell r="AJ68">
            <v>0</v>
          </cell>
        </row>
        <row r="69">
          <cell r="F69">
            <v>571</v>
          </cell>
          <cell r="H69">
            <v>0</v>
          </cell>
          <cell r="N69">
            <v>0</v>
          </cell>
          <cell r="AD69">
            <v>0</v>
          </cell>
          <cell r="AF69">
            <v>0</v>
          </cell>
          <cell r="AH69">
            <v>0</v>
          </cell>
          <cell r="AJ69">
            <v>0</v>
          </cell>
        </row>
        <row r="70">
          <cell r="F70">
            <v>572</v>
          </cell>
          <cell r="H70">
            <v>21.48</v>
          </cell>
          <cell r="N70">
            <v>1320</v>
          </cell>
          <cell r="AD70">
            <v>0</v>
          </cell>
          <cell r="AF70">
            <v>0</v>
          </cell>
          <cell r="AH70">
            <v>0</v>
          </cell>
          <cell r="AJ70">
            <v>1242.7</v>
          </cell>
        </row>
        <row r="71">
          <cell r="F71">
            <v>110</v>
          </cell>
          <cell r="H71">
            <v>141.66000000000003</v>
          </cell>
          <cell r="N71">
            <v>1297.2085980516729</v>
          </cell>
          <cell r="AD71">
            <v>1000.9467541318793</v>
          </cell>
          <cell r="AF71">
            <v>30.849309933549151</v>
          </cell>
          <cell r="AH71">
            <v>92.141763874846461</v>
          </cell>
          <cell r="AJ71">
            <v>53.282905364686485</v>
          </cell>
        </row>
        <row r="72">
          <cell r="F72">
            <v>111</v>
          </cell>
          <cell r="H72">
            <v>5997.93</v>
          </cell>
          <cell r="N72">
            <v>1259.3690906696143</v>
          </cell>
          <cell r="AD72">
            <v>1093.8262334568822</v>
          </cell>
          <cell r="AF72">
            <v>25.507865800158136</v>
          </cell>
          <cell r="AH72">
            <v>97.671333364233234</v>
          </cell>
          <cell r="AJ72">
            <v>2.9172665566063642</v>
          </cell>
        </row>
        <row r="73">
          <cell r="F73">
            <v>113</v>
          </cell>
          <cell r="H73">
            <v>645.72</v>
          </cell>
          <cell r="N73">
            <v>2501.4870996716841</v>
          </cell>
          <cell r="AD73">
            <v>2255.3121522594656</v>
          </cell>
          <cell r="AF73">
            <v>30.000000000000004</v>
          </cell>
          <cell r="AH73">
            <v>87.963880078629046</v>
          </cell>
          <cell r="AJ73">
            <v>28.513207580135713</v>
          </cell>
        </row>
        <row r="74">
          <cell r="F74">
            <v>110</v>
          </cell>
          <cell r="H74">
            <v>129.84</v>
          </cell>
          <cell r="N74">
            <v>2808.858133086876</v>
          </cell>
          <cell r="AD74">
            <v>2608.1703467451753</v>
          </cell>
          <cell r="AF74">
            <v>30</v>
          </cell>
          <cell r="AH74">
            <v>87.963880078629046</v>
          </cell>
          <cell r="AJ74">
            <v>30.665773176196126</v>
          </cell>
        </row>
        <row r="75">
          <cell r="F75">
            <v>111</v>
          </cell>
          <cell r="H75">
            <v>486.44</v>
          </cell>
          <cell r="N75">
            <v>2438.2079804292407</v>
          </cell>
          <cell r="AD75">
            <v>2192.6644354168589</v>
          </cell>
          <cell r="AF75">
            <v>30</v>
          </cell>
          <cell r="AH75">
            <v>87.963880078629046</v>
          </cell>
          <cell r="AJ75">
            <v>26.27168450451245</v>
          </cell>
        </row>
        <row r="76">
          <cell r="F76">
            <v>113</v>
          </cell>
          <cell r="H76">
            <v>28.44</v>
          </cell>
          <cell r="N76">
            <v>2177.8431786216597</v>
          </cell>
          <cell r="AD76">
            <v>1775.1063636363638</v>
          </cell>
          <cell r="AF76">
            <v>30</v>
          </cell>
          <cell r="AH76">
            <v>87.963880078629046</v>
          </cell>
          <cell r="AJ76">
            <v>4.4297562850074428</v>
          </cell>
        </row>
        <row r="77">
          <cell r="F77" t="str">
            <v>P110</v>
          </cell>
          <cell r="H77">
            <v>0</v>
          </cell>
          <cell r="N77">
            <v>0</v>
          </cell>
          <cell r="AD77">
            <v>0</v>
          </cell>
          <cell r="AF77">
            <v>0</v>
          </cell>
          <cell r="AH77">
            <v>0</v>
          </cell>
          <cell r="AJ77">
            <v>0</v>
          </cell>
        </row>
        <row r="78">
          <cell r="F78" t="str">
            <v>P111</v>
          </cell>
          <cell r="H78">
            <v>1</v>
          </cell>
          <cell r="N78">
            <v>2578.36</v>
          </cell>
          <cell r="AD78">
            <v>2096.1</v>
          </cell>
          <cell r="AF78">
            <v>30</v>
          </cell>
          <cell r="AH78">
            <v>87.96388007862906</v>
          </cell>
          <cell r="AJ78">
            <v>-0.16388007862906306</v>
          </cell>
        </row>
        <row r="79">
          <cell r="F79" t="str">
            <v>113+</v>
          </cell>
          <cell r="H79">
            <v>0</v>
          </cell>
          <cell r="N79">
            <v>0</v>
          </cell>
          <cell r="AD79">
            <v>0</v>
          </cell>
          <cell r="AF79">
            <v>0</v>
          </cell>
          <cell r="AH79">
            <v>0</v>
          </cell>
          <cell r="AJ79">
            <v>0</v>
          </cell>
        </row>
        <row r="80">
          <cell r="F80">
            <v>134</v>
          </cell>
          <cell r="H80">
            <v>0</v>
          </cell>
          <cell r="N80">
            <v>0</v>
          </cell>
          <cell r="AD80">
            <v>0</v>
          </cell>
          <cell r="AF80">
            <v>0</v>
          </cell>
          <cell r="AH80">
            <v>0</v>
          </cell>
          <cell r="AJ80">
            <v>0</v>
          </cell>
        </row>
        <row r="81">
          <cell r="F81">
            <v>134</v>
          </cell>
          <cell r="H81">
            <v>0</v>
          </cell>
          <cell r="N81">
            <v>0</v>
          </cell>
          <cell r="AD81">
            <v>0</v>
          </cell>
          <cell r="AF81">
            <v>0</v>
          </cell>
          <cell r="AH81">
            <v>0</v>
          </cell>
          <cell r="AJ81">
            <v>0</v>
          </cell>
        </row>
        <row r="82">
          <cell r="F82">
            <v>134</v>
          </cell>
          <cell r="H82">
            <v>0</v>
          </cell>
          <cell r="N82">
            <v>0</v>
          </cell>
          <cell r="AD82">
            <v>0</v>
          </cell>
          <cell r="AF82">
            <v>0</v>
          </cell>
          <cell r="AH82">
            <v>0</v>
          </cell>
          <cell r="AJ82">
            <v>0</v>
          </cell>
        </row>
        <row r="83">
          <cell r="F83">
            <v>124</v>
          </cell>
          <cell r="H83">
            <v>645.72</v>
          </cell>
          <cell r="N83">
            <v>2501.4870996716841</v>
          </cell>
          <cell r="AD83">
            <v>2255.3121522594656</v>
          </cell>
          <cell r="AF83">
            <v>30.000000000000004</v>
          </cell>
          <cell r="AH83">
            <v>87.963880078629046</v>
          </cell>
          <cell r="AJ83">
            <v>28.513207580135713</v>
          </cell>
        </row>
        <row r="84">
          <cell r="F84" t="str">
            <v>DJ300</v>
          </cell>
          <cell r="H84">
            <v>38.92</v>
          </cell>
          <cell r="N84">
            <v>1589.3920863309352</v>
          </cell>
          <cell r="AD84">
            <v>1395.1725543478265</v>
          </cell>
          <cell r="AF84">
            <v>30.000000000000004</v>
          </cell>
          <cell r="AH84">
            <v>87.96388007862906</v>
          </cell>
          <cell r="AJ84">
            <v>23.625949951756411</v>
          </cell>
        </row>
        <row r="85">
          <cell r="F85">
            <v>122</v>
          </cell>
          <cell r="H85">
            <v>3.28</v>
          </cell>
          <cell r="N85">
            <v>1958.021341463415</v>
          </cell>
          <cell r="AD85">
            <v>1576.6133333333335</v>
          </cell>
          <cell r="AF85">
            <v>30</v>
          </cell>
          <cell r="AH85">
            <v>87.96388007862906</v>
          </cell>
          <cell r="AJ85">
            <v>24.322786588037616</v>
          </cell>
        </row>
        <row r="86">
          <cell r="F86">
            <v>124</v>
          </cell>
          <cell r="H86">
            <v>35.64</v>
          </cell>
          <cell r="N86">
            <v>1555.4666105499439</v>
          </cell>
          <cell r="AD86">
            <v>1379.0683431952664</v>
          </cell>
          <cell r="AF86">
            <v>30.000000000000004</v>
          </cell>
          <cell r="AH86">
            <v>87.96388007862906</v>
          </cell>
          <cell r="AJ86">
            <v>22.967776726104603</v>
          </cell>
        </row>
        <row r="87">
          <cell r="F87" t="str">
            <v>DJ300</v>
          </cell>
          <cell r="H87">
            <v>0</v>
          </cell>
          <cell r="N87">
            <v>0</v>
          </cell>
          <cell r="AD87">
            <v>0</v>
          </cell>
          <cell r="AF87">
            <v>0</v>
          </cell>
          <cell r="AH87">
            <v>0</v>
          </cell>
          <cell r="AJ87">
            <v>0</v>
          </cell>
        </row>
        <row r="88">
          <cell r="F88" t="str">
            <v>N124L</v>
          </cell>
          <cell r="H88">
            <v>0</v>
          </cell>
          <cell r="N88">
            <v>0</v>
          </cell>
          <cell r="AD88">
            <v>0</v>
          </cell>
          <cell r="AF88">
            <v>0</v>
          </cell>
          <cell r="AH88">
            <v>0</v>
          </cell>
          <cell r="AJ88">
            <v>0</v>
          </cell>
        </row>
        <row r="89">
          <cell r="H89">
            <v>0</v>
          </cell>
          <cell r="N89">
            <v>0</v>
          </cell>
          <cell r="AD89">
            <v>0</v>
          </cell>
          <cell r="AF89">
            <v>0</v>
          </cell>
          <cell r="AH89">
            <v>0</v>
          </cell>
          <cell r="AJ89">
            <v>0</v>
          </cell>
        </row>
        <row r="90">
          <cell r="H90">
            <v>0</v>
          </cell>
          <cell r="N90">
            <v>0</v>
          </cell>
          <cell r="AD90">
            <v>0</v>
          </cell>
          <cell r="AF90">
            <v>0</v>
          </cell>
          <cell r="AH90">
            <v>0</v>
          </cell>
          <cell r="AJ90">
            <v>0</v>
          </cell>
        </row>
        <row r="91">
          <cell r="F91">
            <v>149</v>
          </cell>
          <cell r="H91">
            <v>38.92</v>
          </cell>
          <cell r="N91">
            <v>1589.3920863309352</v>
          </cell>
          <cell r="AD91">
            <v>1395.1725543478265</v>
          </cell>
          <cell r="AF91">
            <v>30.000000000000004</v>
          </cell>
          <cell r="AH91">
            <v>87.96388007862906</v>
          </cell>
          <cell r="AJ91">
            <v>23.625949951756411</v>
          </cell>
        </row>
        <row r="92">
          <cell r="F92">
            <v>149</v>
          </cell>
          <cell r="H92">
            <v>684.64</v>
          </cell>
          <cell r="N92">
            <v>2449.6368748539376</v>
          </cell>
          <cell r="AD92">
            <v>2204.7738695874318</v>
          </cell>
          <cell r="AF92">
            <v>30.000000000000007</v>
          </cell>
          <cell r="AH92">
            <v>87.963880078629046</v>
          </cell>
          <cell r="AJ92">
            <v>29.876967557589523</v>
          </cell>
        </row>
        <row r="93">
          <cell r="F93">
            <v>808</v>
          </cell>
          <cell r="H93">
            <v>0</v>
          </cell>
          <cell r="N93">
            <v>0</v>
          </cell>
          <cell r="AD93">
            <v>0</v>
          </cell>
          <cell r="AF93">
            <v>0</v>
          </cell>
          <cell r="AH93">
            <v>0</v>
          </cell>
          <cell r="AJ93">
            <v>0</v>
          </cell>
        </row>
        <row r="94">
          <cell r="F94">
            <v>149</v>
          </cell>
          <cell r="H94">
            <v>0</v>
          </cell>
          <cell r="N94">
            <v>0</v>
          </cell>
          <cell r="AD94">
            <v>0</v>
          </cell>
          <cell r="AF94">
            <v>0</v>
          </cell>
          <cell r="AH94">
            <v>0</v>
          </cell>
          <cell r="AJ94">
            <v>0</v>
          </cell>
        </row>
        <row r="95">
          <cell r="F95" t="str">
            <v>808S</v>
          </cell>
          <cell r="H95">
            <v>1424.33</v>
          </cell>
          <cell r="N95">
            <v>2518.6355479418394</v>
          </cell>
          <cell r="AD95">
            <v>2011.6851222228738</v>
          </cell>
          <cell r="AF95">
            <v>34.278931942083361</v>
          </cell>
          <cell r="AH95">
            <v>87.96388007862906</v>
          </cell>
          <cell r="AJ95">
            <v>17.975336065963347</v>
          </cell>
        </row>
        <row r="96">
          <cell r="F96">
            <v>808</v>
          </cell>
          <cell r="H96">
            <v>21.26</v>
          </cell>
          <cell r="N96">
            <v>2037.3447789275633</v>
          </cell>
          <cell r="AD96">
            <v>1684.1739130434783</v>
          </cell>
          <cell r="AF96">
            <v>37.963628762541802</v>
          </cell>
          <cell r="AH96">
            <v>87.96388007862906</v>
          </cell>
          <cell r="AJ96">
            <v>71.398578115351256</v>
          </cell>
        </row>
        <row r="97">
          <cell r="F97" t="str">
            <v>N808</v>
          </cell>
          <cell r="H97">
            <v>577.04999999999995</v>
          </cell>
          <cell r="N97">
            <v>2386.1521012044018</v>
          </cell>
          <cell r="AD97">
            <v>1844.0673374043556</v>
          </cell>
          <cell r="AF97">
            <v>36.771900750441439</v>
          </cell>
          <cell r="AH97">
            <v>87.96388007862906</v>
          </cell>
          <cell r="AJ97">
            <v>29.696881766573824</v>
          </cell>
        </row>
        <row r="98">
          <cell r="F98" t="str">
            <v>808S</v>
          </cell>
          <cell r="H98">
            <v>84.95</v>
          </cell>
          <cell r="N98">
            <v>2915.4036492054151</v>
          </cell>
          <cell r="AD98">
            <v>2284.0087171633877</v>
          </cell>
          <cell r="AF98">
            <v>36.482989751443043</v>
          </cell>
          <cell r="AH98">
            <v>87.96388007862906</v>
          </cell>
          <cell r="AJ98">
            <v>33.144413006539708</v>
          </cell>
        </row>
        <row r="99">
          <cell r="F99" t="str">
            <v>P800</v>
          </cell>
          <cell r="H99">
            <v>44.06</v>
          </cell>
          <cell r="N99">
            <v>2571.7607807535178</v>
          </cell>
          <cell r="AD99">
            <v>2070.2216010733455</v>
          </cell>
          <cell r="AF99">
            <v>32.232155635062611</v>
          </cell>
          <cell r="AH99">
            <v>87.96388007862906</v>
          </cell>
          <cell r="AJ99">
            <v>0.38236321296290043</v>
          </cell>
        </row>
        <row r="100">
          <cell r="F100" t="str">
            <v>N800</v>
          </cell>
          <cell r="H100">
            <v>684.25</v>
          </cell>
          <cell r="N100">
            <v>2593.7800949945195</v>
          </cell>
          <cell r="AD100">
            <v>2117.5519646733032</v>
          </cell>
          <cell r="AF100">
            <v>32.041802260309858</v>
          </cell>
          <cell r="AH100">
            <v>87.96388007862906</v>
          </cell>
          <cell r="AJ100">
            <v>16.242352987758295</v>
          </cell>
        </row>
        <row r="101">
          <cell r="F101" t="str">
            <v>P808</v>
          </cell>
          <cell r="H101">
            <v>12.76</v>
          </cell>
          <cell r="N101">
            <v>2457.3510971786832</v>
          </cell>
          <cell r="AD101">
            <v>1888.0271453590194</v>
          </cell>
          <cell r="AF101">
            <v>34.234938704028025</v>
          </cell>
          <cell r="AH101">
            <v>87.96388007862906</v>
          </cell>
          <cell r="AJ101">
            <v>2.474035858323532</v>
          </cell>
        </row>
        <row r="102">
          <cell r="F102">
            <v>2150</v>
          </cell>
          <cell r="H102">
            <v>223.52</v>
          </cell>
          <cell r="N102">
            <v>2674.00666607015</v>
          </cell>
          <cell r="AD102">
            <v>2313.6299209138838</v>
          </cell>
          <cell r="AF102">
            <v>32.406533391915644</v>
          </cell>
          <cell r="AH102">
            <v>87.96388007862906</v>
          </cell>
          <cell r="AJ102">
            <v>36.554318443058492</v>
          </cell>
        </row>
        <row r="103">
          <cell r="F103">
            <v>156</v>
          </cell>
          <cell r="H103">
            <v>13.48</v>
          </cell>
          <cell r="N103">
            <v>1976.330118694362</v>
          </cell>
          <cell r="AD103">
            <v>1512.3983263598327</v>
          </cell>
          <cell r="AF103">
            <v>36.903765690376574</v>
          </cell>
          <cell r="AH103">
            <v>87.96388007862906</v>
          </cell>
          <cell r="AJ103">
            <v>13.53402787116147</v>
          </cell>
        </row>
        <row r="104">
          <cell r="F104">
            <v>157</v>
          </cell>
          <cell r="H104">
            <v>7.46</v>
          </cell>
          <cell r="N104">
            <v>2300.9825737265419</v>
          </cell>
          <cell r="AD104">
            <v>1764.7199341021417</v>
          </cell>
          <cell r="AF104">
            <v>45.691598023064252</v>
          </cell>
          <cell r="AH104">
            <v>87.963880078629046</v>
          </cell>
          <cell r="AJ104">
            <v>30.724587796164997</v>
          </cell>
        </row>
        <row r="105">
          <cell r="F105">
            <v>2150</v>
          </cell>
          <cell r="H105">
            <v>114.36</v>
          </cell>
          <cell r="N105">
            <v>2819.1500524658973</v>
          </cell>
          <cell r="AD105">
            <v>2559.2212643678158</v>
          </cell>
          <cell r="AF105">
            <v>33.177919911012239</v>
          </cell>
          <cell r="AH105">
            <v>87.96388007862906</v>
          </cell>
          <cell r="AJ105">
            <v>33.236935642542903</v>
          </cell>
        </row>
        <row r="106">
          <cell r="F106" t="str">
            <v>2151-35</v>
          </cell>
          <cell r="H106">
            <v>13.26</v>
          </cell>
          <cell r="N106">
            <v>2117.269984917044</v>
          </cell>
          <cell r="AD106">
            <v>1903.1077008928571</v>
          </cell>
          <cell r="AF106">
            <v>30</v>
          </cell>
          <cell r="AH106">
            <v>87.963880078629046</v>
          </cell>
          <cell r="AJ106">
            <v>43.228419028514054</v>
          </cell>
        </row>
        <row r="107">
          <cell r="F107" t="str">
            <v>2151-37</v>
          </cell>
          <cell r="H107">
            <v>29.12</v>
          </cell>
          <cell r="N107">
            <v>2449.0796703296701</v>
          </cell>
          <cell r="AD107">
            <v>2036.8842034805891</v>
          </cell>
          <cell r="AF107">
            <v>30</v>
          </cell>
          <cell r="AH107">
            <v>87.963880078629046</v>
          </cell>
          <cell r="AJ107">
            <v>51.75191644078177</v>
          </cell>
        </row>
        <row r="108">
          <cell r="F108" t="str">
            <v>2151-39</v>
          </cell>
          <cell r="H108">
            <v>30.88</v>
          </cell>
          <cell r="N108">
            <v>2794.2846502590673</v>
          </cell>
          <cell r="AD108">
            <v>2247.4502793296092</v>
          </cell>
          <cell r="AF108">
            <v>30.153351955307265</v>
          </cell>
          <cell r="AH108">
            <v>87.963880078629074</v>
          </cell>
          <cell r="AJ108">
            <v>9.5324886364542181</v>
          </cell>
        </row>
        <row r="109">
          <cell r="F109" t="str">
            <v>2151-41</v>
          </cell>
          <cell r="H109">
            <v>14.96</v>
          </cell>
          <cell r="N109">
            <v>3062.1657754010694</v>
          </cell>
          <cell r="AD109">
            <v>2557.1193370165743</v>
          </cell>
          <cell r="AF109">
            <v>31.196408839779</v>
          </cell>
          <cell r="AH109">
            <v>87.96388007862906</v>
          </cell>
          <cell r="AJ109">
            <v>15.920374065017313</v>
          </cell>
        </row>
      </sheetData>
      <sheetData sheetId="11" refreshError="1">
        <row r="7">
          <cell r="H7">
            <v>434.6</v>
          </cell>
          <cell r="N7">
            <v>1402.2454670961802</v>
          </cell>
          <cell r="AD7">
            <v>1219.463383796375</v>
          </cell>
          <cell r="AF7">
            <v>29.524999999999999</v>
          </cell>
          <cell r="AH7">
            <v>129.1407802609009</v>
          </cell>
          <cell r="AJ7">
            <v>4.2457001857060277</v>
          </cell>
        </row>
        <row r="8">
          <cell r="F8">
            <v>510</v>
          </cell>
          <cell r="H8">
            <v>83.56</v>
          </cell>
          <cell r="N8">
            <v>1624.9747486835804</v>
          </cell>
          <cell r="AD8">
            <v>1376.0408625680157</v>
          </cell>
          <cell r="AF8">
            <v>29.525000000000002</v>
          </cell>
          <cell r="AH8">
            <v>129.1407802609009</v>
          </cell>
          <cell r="AJ8">
            <v>4.9933571710837441</v>
          </cell>
        </row>
        <row r="9">
          <cell r="F9">
            <v>511</v>
          </cell>
          <cell r="H9">
            <v>74</v>
          </cell>
          <cell r="N9">
            <v>1429.1828378378377</v>
          </cell>
          <cell r="AD9">
            <v>1315.2054225522782</v>
          </cell>
          <cell r="AF9">
            <v>29.525000000000006</v>
          </cell>
          <cell r="AH9">
            <v>129.1407802609009</v>
          </cell>
          <cell r="AJ9">
            <v>-7.1202813179297664E-2</v>
          </cell>
        </row>
        <row r="10">
          <cell r="F10">
            <v>513</v>
          </cell>
          <cell r="H10">
            <v>0</v>
          </cell>
          <cell r="N10">
            <v>0</v>
          </cell>
          <cell r="AD10">
            <v>0</v>
          </cell>
          <cell r="AF10">
            <v>0</v>
          </cell>
          <cell r="AH10">
            <v>0</v>
          </cell>
          <cell r="AJ10">
            <v>0</v>
          </cell>
        </row>
        <row r="11">
          <cell r="F11" t="str">
            <v>510L</v>
          </cell>
          <cell r="H11">
            <v>6.16</v>
          </cell>
          <cell r="N11">
            <v>1514.2597402597403</v>
          </cell>
          <cell r="AD11">
            <v>1223.0837844687503</v>
          </cell>
          <cell r="AF11">
            <v>29.524999999999995</v>
          </cell>
          <cell r="AH11">
            <v>129.14078026090087</v>
          </cell>
          <cell r="AJ11">
            <v>5.4504352703488621</v>
          </cell>
        </row>
        <row r="12">
          <cell r="F12" t="str">
            <v>N510L</v>
          </cell>
          <cell r="H12">
            <v>0</v>
          </cell>
          <cell r="N12">
            <v>0</v>
          </cell>
          <cell r="AD12">
            <v>0</v>
          </cell>
          <cell r="AF12">
            <v>0</v>
          </cell>
          <cell r="AH12">
            <v>0</v>
          </cell>
          <cell r="AJ12">
            <v>0</v>
          </cell>
        </row>
        <row r="13">
          <cell r="F13" t="str">
            <v>511L</v>
          </cell>
          <cell r="H13">
            <v>141.88</v>
          </cell>
          <cell r="N13">
            <v>1358.3366929799831</v>
          </cell>
          <cell r="AD13">
            <v>1183.6151796689633</v>
          </cell>
          <cell r="AF13">
            <v>29.525000000000006</v>
          </cell>
          <cell r="AH13">
            <v>129.1407802609009</v>
          </cell>
          <cell r="AJ13">
            <v>1.1190400701361796</v>
          </cell>
        </row>
        <row r="14">
          <cell r="F14" t="str">
            <v>513L</v>
          </cell>
          <cell r="H14">
            <v>118.72</v>
          </cell>
          <cell r="N14">
            <v>1288.2682783018868</v>
          </cell>
          <cell r="AD14">
            <v>1101.1813329990566</v>
          </cell>
          <cell r="AF14">
            <v>29.525000000000002</v>
          </cell>
          <cell r="AH14">
            <v>129.1407802609009</v>
          </cell>
          <cell r="AJ14">
            <v>3.9528867400426861</v>
          </cell>
        </row>
        <row r="15">
          <cell r="F15">
            <v>710</v>
          </cell>
          <cell r="H15">
            <v>0</v>
          </cell>
          <cell r="N15">
            <v>0</v>
          </cell>
          <cell r="AD15">
            <v>0</v>
          </cell>
          <cell r="AF15">
            <v>0</v>
          </cell>
          <cell r="AH15">
            <v>0</v>
          </cell>
          <cell r="AJ15">
            <v>0</v>
          </cell>
        </row>
        <row r="16">
          <cell r="F16" t="str">
            <v>711L</v>
          </cell>
          <cell r="H16">
            <v>0</v>
          </cell>
          <cell r="N16">
            <v>0</v>
          </cell>
          <cell r="AD16">
            <v>0</v>
          </cell>
          <cell r="AF16">
            <v>0</v>
          </cell>
          <cell r="AH16">
            <v>0</v>
          </cell>
          <cell r="AJ16">
            <v>0</v>
          </cell>
        </row>
        <row r="17">
          <cell r="F17">
            <v>310</v>
          </cell>
          <cell r="H17">
            <v>0</v>
          </cell>
          <cell r="N17">
            <v>0</v>
          </cell>
          <cell r="AD17">
            <v>0</v>
          </cell>
          <cell r="AF17">
            <v>0</v>
          </cell>
          <cell r="AH17">
            <v>0</v>
          </cell>
          <cell r="AJ17">
            <v>0</v>
          </cell>
        </row>
        <row r="18">
          <cell r="F18">
            <v>311</v>
          </cell>
          <cell r="H18">
            <v>4</v>
          </cell>
          <cell r="N18">
            <v>1380</v>
          </cell>
          <cell r="AD18">
            <v>0</v>
          </cell>
          <cell r="AF18">
            <v>0</v>
          </cell>
          <cell r="AH18">
            <v>0</v>
          </cell>
          <cell r="AJ18">
            <v>1429.6</v>
          </cell>
        </row>
        <row r="19">
          <cell r="F19" t="str">
            <v>311L</v>
          </cell>
          <cell r="H19">
            <v>3.44</v>
          </cell>
          <cell r="N19">
            <v>1310</v>
          </cell>
          <cell r="AD19">
            <v>0</v>
          </cell>
          <cell r="AF19">
            <v>0</v>
          </cell>
          <cell r="AH19">
            <v>0</v>
          </cell>
          <cell r="AJ19">
            <v>1339.4</v>
          </cell>
        </row>
        <row r="20">
          <cell r="F20" t="str">
            <v>313L</v>
          </cell>
          <cell r="H20">
            <v>2.84</v>
          </cell>
          <cell r="N20">
            <v>1005.3521126760563</v>
          </cell>
          <cell r="AD20">
            <v>0</v>
          </cell>
          <cell r="AF20">
            <v>0</v>
          </cell>
          <cell r="AH20">
            <v>0</v>
          </cell>
          <cell r="AJ20">
            <v>1250.2</v>
          </cell>
        </row>
        <row r="21">
          <cell r="F21">
            <v>332</v>
          </cell>
          <cell r="H21">
            <v>288.2</v>
          </cell>
          <cell r="N21">
            <v>1364.4403192227621</v>
          </cell>
          <cell r="AD21">
            <v>1227.2328839765353</v>
          </cell>
          <cell r="AF21">
            <v>29.524999999999999</v>
          </cell>
          <cell r="AH21">
            <v>91.490386560113464</v>
          </cell>
          <cell r="AJ21">
            <v>-1.3984162687791013</v>
          </cell>
        </row>
        <row r="22">
          <cell r="F22">
            <v>331</v>
          </cell>
          <cell r="H22">
            <v>28.6</v>
          </cell>
          <cell r="N22">
            <v>1600</v>
          </cell>
          <cell r="AD22">
            <v>1342.4830918356706</v>
          </cell>
          <cell r="AF22">
            <v>29.525000000000002</v>
          </cell>
          <cell r="AH22">
            <v>89.140780260900897</v>
          </cell>
          <cell r="AJ22">
            <v>7.9511279034284144</v>
          </cell>
        </row>
        <row r="23">
          <cell r="F23">
            <v>332</v>
          </cell>
          <cell r="H23">
            <v>116.48</v>
          </cell>
          <cell r="N23">
            <v>1336.8655563186812</v>
          </cell>
          <cell r="AD23">
            <v>1196.2077845923914</v>
          </cell>
          <cell r="AF23">
            <v>29.525000000000006</v>
          </cell>
          <cell r="AH23">
            <v>89.140780260900897</v>
          </cell>
          <cell r="AJ23">
            <v>3.426435146707945</v>
          </cell>
        </row>
        <row r="24">
          <cell r="F24">
            <v>334</v>
          </cell>
          <cell r="H24">
            <v>128.68</v>
          </cell>
          <cell r="N24">
            <v>1328.0354367423065</v>
          </cell>
          <cell r="AD24">
            <v>1212.6571898302761</v>
          </cell>
          <cell r="AF24">
            <v>29.524999999999999</v>
          </cell>
          <cell r="AH24">
            <v>89.140780260900883</v>
          </cell>
          <cell r="AJ24">
            <v>5.5770299088228512</v>
          </cell>
        </row>
        <row r="25">
          <cell r="F25">
            <v>531</v>
          </cell>
          <cell r="H25">
            <v>0</v>
          </cell>
          <cell r="N25">
            <v>0</v>
          </cell>
          <cell r="AD25">
            <v>0</v>
          </cell>
          <cell r="AF25">
            <v>0</v>
          </cell>
          <cell r="AH25">
            <v>0</v>
          </cell>
          <cell r="AJ25">
            <v>0</v>
          </cell>
        </row>
        <row r="26">
          <cell r="F26" t="str">
            <v>531N</v>
          </cell>
          <cell r="H26">
            <v>5.76</v>
          </cell>
          <cell r="N26">
            <v>1650</v>
          </cell>
          <cell r="AD26">
            <v>1332.5473757165551</v>
          </cell>
          <cell r="AF26">
            <v>29.524999999999999</v>
          </cell>
          <cell r="AH26">
            <v>129.1407802609009</v>
          </cell>
          <cell r="AJ26">
            <v>0.98684402254411907</v>
          </cell>
        </row>
        <row r="27">
          <cell r="F27">
            <v>532</v>
          </cell>
          <cell r="H27">
            <v>0</v>
          </cell>
          <cell r="N27">
            <v>0</v>
          </cell>
          <cell r="AD27">
            <v>0</v>
          </cell>
          <cell r="AF27">
            <v>0</v>
          </cell>
          <cell r="AH27">
            <v>0</v>
          </cell>
          <cell r="AJ27">
            <v>0</v>
          </cell>
        </row>
        <row r="28">
          <cell r="F28" t="str">
            <v>532N</v>
          </cell>
          <cell r="H28">
            <v>6</v>
          </cell>
          <cell r="N28">
            <v>1410</v>
          </cell>
          <cell r="AD28">
            <v>0</v>
          </cell>
          <cell r="AF28">
            <v>0</v>
          </cell>
          <cell r="AH28">
            <v>0</v>
          </cell>
          <cell r="AJ28">
            <v>1420.3</v>
          </cell>
        </row>
        <row r="29">
          <cell r="F29" t="str">
            <v>533N</v>
          </cell>
          <cell r="H29">
            <v>0</v>
          </cell>
          <cell r="N29">
            <v>0</v>
          </cell>
          <cell r="AD29">
            <v>0</v>
          </cell>
          <cell r="AF29">
            <v>0</v>
          </cell>
          <cell r="AH29">
            <v>0</v>
          </cell>
          <cell r="AJ29">
            <v>0</v>
          </cell>
        </row>
        <row r="30">
          <cell r="F30">
            <v>534</v>
          </cell>
          <cell r="H30">
            <v>0</v>
          </cell>
          <cell r="N30">
            <v>0</v>
          </cell>
          <cell r="AD30">
            <v>0</v>
          </cell>
          <cell r="AF30">
            <v>0</v>
          </cell>
          <cell r="AH30">
            <v>0</v>
          </cell>
          <cell r="AJ30">
            <v>0</v>
          </cell>
        </row>
        <row r="31">
          <cell r="F31" t="str">
            <v>534N</v>
          </cell>
          <cell r="H31">
            <v>0</v>
          </cell>
          <cell r="N31">
            <v>0</v>
          </cell>
          <cell r="AD31">
            <v>0</v>
          </cell>
          <cell r="AF31">
            <v>0</v>
          </cell>
          <cell r="AH31">
            <v>0</v>
          </cell>
          <cell r="AJ31">
            <v>0</v>
          </cell>
        </row>
        <row r="32">
          <cell r="F32" t="str">
            <v>535N</v>
          </cell>
          <cell r="H32">
            <v>2.68</v>
          </cell>
          <cell r="N32">
            <v>1350</v>
          </cell>
          <cell r="AD32">
            <v>1123.2192592635133</v>
          </cell>
          <cell r="AF32">
            <v>29.525000000000002</v>
          </cell>
          <cell r="AH32">
            <v>129.1407802609009</v>
          </cell>
          <cell r="AJ32">
            <v>2.1149604755858036</v>
          </cell>
        </row>
        <row r="33">
          <cell r="F33">
            <v>321</v>
          </cell>
          <cell r="H33">
            <v>722.8</v>
          </cell>
          <cell r="N33">
            <v>1387.1715273934697</v>
          </cell>
          <cell r="AD33">
            <v>1222.3636439894274</v>
          </cell>
          <cell r="AF33">
            <v>29.524999999999999</v>
          </cell>
          <cell r="AH33">
            <v>115.08634489554903</v>
          </cell>
          <cell r="AJ33">
            <v>1.2350885915036542</v>
          </cell>
        </row>
        <row r="34">
          <cell r="F34">
            <v>322</v>
          </cell>
          <cell r="H34">
            <v>4220.01</v>
          </cell>
          <cell r="N34">
            <v>1116.8051355328541</v>
          </cell>
          <cell r="AD34">
            <v>1008.5279490562943</v>
          </cell>
          <cell r="AF34">
            <v>21.758148945666029</v>
          </cell>
          <cell r="AH34">
            <v>89.25341432442319</v>
          </cell>
          <cell r="AJ34">
            <v>0.46610258922100911</v>
          </cell>
        </row>
        <row r="35">
          <cell r="F35">
            <v>321</v>
          </cell>
          <cell r="H35">
            <v>158.28</v>
          </cell>
          <cell r="N35">
            <v>1590.1591483447057</v>
          </cell>
          <cell r="AD35">
            <v>1228.139640701587</v>
          </cell>
          <cell r="AF35">
            <v>29.525000000000002</v>
          </cell>
          <cell r="AH35">
            <v>89.140780260900883</v>
          </cell>
          <cell r="AJ35">
            <v>1.1945790375120851</v>
          </cell>
        </row>
        <row r="36">
          <cell r="F36">
            <v>322</v>
          </cell>
          <cell r="H36">
            <v>936.28</v>
          </cell>
          <cell r="N36">
            <v>1081.9892233092664</v>
          </cell>
          <cell r="AD36">
            <v>990.44555332210859</v>
          </cell>
          <cell r="AF36">
            <v>29.524999999999999</v>
          </cell>
          <cell r="AH36">
            <v>89.140780260900883</v>
          </cell>
          <cell r="AJ36">
            <v>-0.81133358300962755</v>
          </cell>
        </row>
        <row r="37">
          <cell r="F37" t="str">
            <v>324C</v>
          </cell>
          <cell r="H37">
            <v>3057.3</v>
          </cell>
          <cell r="N37">
            <v>1100.4141235730874</v>
          </cell>
          <cell r="AD37">
            <v>1002.0387297120039</v>
          </cell>
          <cell r="AF37">
            <v>19.119999999999997</v>
          </cell>
          <cell r="AH37">
            <v>89.140780260900883</v>
          </cell>
          <cell r="AJ37">
            <v>-9.9509972904797905E-2</v>
          </cell>
        </row>
        <row r="38">
          <cell r="F38" t="str">
            <v>324L</v>
          </cell>
          <cell r="H38">
            <v>8.9600000000000009</v>
          </cell>
          <cell r="N38">
            <v>1046.7779017857142</v>
          </cell>
          <cell r="AD38">
            <v>1010.443143611607</v>
          </cell>
          <cell r="AF38">
            <v>29.524999999999995</v>
          </cell>
          <cell r="AH38">
            <v>89.140780260900883</v>
          </cell>
          <cell r="AJ38">
            <v>0.79107612749226064</v>
          </cell>
        </row>
        <row r="39">
          <cell r="F39">
            <v>521</v>
          </cell>
          <cell r="H39">
            <v>10.44</v>
          </cell>
          <cell r="N39">
            <v>1650</v>
          </cell>
          <cell r="AD39">
            <v>1201.08976785049</v>
          </cell>
          <cell r="AF39">
            <v>29.525000000000002</v>
          </cell>
          <cell r="AH39">
            <v>129.1407802609009</v>
          </cell>
          <cell r="AJ39">
            <v>4.4451888609046364E-2</v>
          </cell>
        </row>
        <row r="40">
          <cell r="F40">
            <v>324</v>
          </cell>
          <cell r="H40">
            <v>24.95</v>
          </cell>
          <cell r="N40">
            <v>1164.0248496993988</v>
          </cell>
          <cell r="AD40">
            <v>1058.7505373568774</v>
          </cell>
          <cell r="AF40">
            <v>19.12</v>
          </cell>
          <cell r="AH40">
            <v>89.140780260900883</v>
          </cell>
          <cell r="AJ40">
            <v>1.4886823822216684</v>
          </cell>
        </row>
        <row r="41">
          <cell r="F41" t="str">
            <v>324C-H</v>
          </cell>
          <cell r="H41">
            <v>23.8</v>
          </cell>
          <cell r="N41">
            <v>1186.9718487394957</v>
          </cell>
          <cell r="AD41">
            <v>1060.7566979944445</v>
          </cell>
          <cell r="AF41">
            <v>19.12</v>
          </cell>
          <cell r="AH41">
            <v>89.140780260900883</v>
          </cell>
          <cell r="AJ41">
            <v>-4.9174782553452587</v>
          </cell>
        </row>
        <row r="42">
          <cell r="F42" t="str">
            <v>324BR</v>
          </cell>
          <cell r="H42">
            <v>32.92</v>
          </cell>
          <cell r="N42">
            <v>1300</v>
          </cell>
          <cell r="AD42">
            <v>1215.0461366416669</v>
          </cell>
          <cell r="AF42">
            <v>29.525000000000002</v>
          </cell>
          <cell r="AH42">
            <v>89.140780260900883</v>
          </cell>
          <cell r="AJ42">
            <v>5.5880830974324454</v>
          </cell>
        </row>
        <row r="43">
          <cell r="F43" t="str">
            <v>324BR</v>
          </cell>
          <cell r="H43">
            <v>32.92</v>
          </cell>
          <cell r="N43">
            <v>1300</v>
          </cell>
          <cell r="AD43">
            <v>1215.0461366416669</v>
          </cell>
          <cell r="AF43">
            <v>29.525000000000002</v>
          </cell>
          <cell r="AH43">
            <v>89.140780260900883</v>
          </cell>
          <cell r="AJ43">
            <v>5.5880830974324454</v>
          </cell>
        </row>
        <row r="44">
          <cell r="H44">
            <v>4252.93</v>
          </cell>
          <cell r="N44">
            <v>1118.2231637953128</v>
          </cell>
          <cell r="AD44">
            <v>1009.6619322681514</v>
          </cell>
          <cell r="AF44">
            <v>21.800796418063431</v>
          </cell>
          <cell r="AH44">
            <v>89.252795855228726</v>
          </cell>
          <cell r="AJ44">
            <v>0.9875486339908548</v>
          </cell>
        </row>
        <row r="45">
          <cell r="F45" t="str">
            <v>548L</v>
          </cell>
          <cell r="H45">
            <v>4975.7300000000005</v>
          </cell>
          <cell r="N45">
            <v>1157.2919792673636</v>
          </cell>
          <cell r="AD45">
            <v>1038.3143383457686</v>
          </cell>
          <cell r="AF45">
            <v>22.841300586388346</v>
          </cell>
          <cell r="AH45">
            <v>92.732755332467178</v>
          </cell>
          <cell r="AJ45">
            <v>3.6235477016803088</v>
          </cell>
        </row>
        <row r="46">
          <cell r="F46" t="str">
            <v>548L</v>
          </cell>
          <cell r="H46">
            <v>60.04</v>
          </cell>
          <cell r="N46">
            <v>1500</v>
          </cell>
          <cell r="AD46">
            <v>1065.2570723397737</v>
          </cell>
          <cell r="AF46">
            <v>29.525000000000002</v>
          </cell>
          <cell r="AH46">
            <v>129.1407802609009</v>
          </cell>
          <cell r="AJ46">
            <v>-2.285260067424133E-2</v>
          </cell>
        </row>
        <row r="47">
          <cell r="F47">
            <v>549</v>
          </cell>
          <cell r="H47">
            <v>60.04</v>
          </cell>
          <cell r="N47">
            <v>1500</v>
          </cell>
          <cell r="AD47">
            <v>1065.2570723397737</v>
          </cell>
          <cell r="AF47">
            <v>29.525000000000002</v>
          </cell>
          <cell r="AH47">
            <v>129.1407802609009</v>
          </cell>
          <cell r="AJ47">
            <v>-2.285260067424133E-2</v>
          </cell>
        </row>
        <row r="48">
          <cell r="F48" t="str">
            <v>551L</v>
          </cell>
          <cell r="H48">
            <v>295.08999999999997</v>
          </cell>
          <cell r="N48">
            <v>2078.4013690738416</v>
          </cell>
          <cell r="AD48">
            <v>1598.2096643512336</v>
          </cell>
          <cell r="AF48">
            <v>35.50114003743407</v>
          </cell>
          <cell r="AH48">
            <v>129.1407802609009</v>
          </cell>
          <cell r="AJ48">
            <v>-16.28793627110781</v>
          </cell>
        </row>
        <row r="49">
          <cell r="F49">
            <v>551</v>
          </cell>
          <cell r="H49">
            <v>52.55</v>
          </cell>
          <cell r="N49">
            <v>2056.3394862036157</v>
          </cell>
          <cell r="AD49">
            <v>1584.4329516815349</v>
          </cell>
          <cell r="AF49">
            <v>35.468091203588337</v>
          </cell>
          <cell r="AH49">
            <v>129.14078026090087</v>
          </cell>
          <cell r="AJ49">
            <v>-2.041823146023944</v>
          </cell>
        </row>
        <row r="50">
          <cell r="F50" t="str">
            <v>551L</v>
          </cell>
          <cell r="H50">
            <v>32.54</v>
          </cell>
          <cell r="N50">
            <v>1780.7612169637371</v>
          </cell>
          <cell r="AD50">
            <v>1336.1682731734006</v>
          </cell>
          <cell r="AF50">
            <v>47.653086419753087</v>
          </cell>
          <cell r="AH50">
            <v>129.1407802609009</v>
          </cell>
          <cell r="AJ50">
            <v>32.137860145945297</v>
          </cell>
        </row>
        <row r="51">
          <cell r="F51">
            <v>951</v>
          </cell>
          <cell r="H51">
            <v>123.57</v>
          </cell>
          <cell r="N51">
            <v>2115.5128267378814</v>
          </cell>
          <cell r="AD51">
            <v>1618.358230068297</v>
          </cell>
          <cell r="AF51">
            <v>34.48305035971223</v>
          </cell>
          <cell r="AH51">
            <v>129.1407802609009</v>
          </cell>
          <cell r="AJ51">
            <v>-4.2820606889101782</v>
          </cell>
        </row>
        <row r="52">
          <cell r="F52">
            <v>552</v>
          </cell>
          <cell r="H52">
            <v>33.479999999999997</v>
          </cell>
          <cell r="N52">
            <v>1750.0000000000002</v>
          </cell>
          <cell r="AD52">
            <v>1263.4656494049532</v>
          </cell>
          <cell r="AF52">
            <v>29.525000000000002</v>
          </cell>
          <cell r="AH52">
            <v>129.1407802609009</v>
          </cell>
          <cell r="AJ52">
            <v>16.068570334145988</v>
          </cell>
        </row>
        <row r="53">
          <cell r="F53" t="str">
            <v>551S</v>
          </cell>
          <cell r="H53">
            <v>27.65</v>
          </cell>
          <cell r="N53">
            <v>2234.1772151898731</v>
          </cell>
          <cell r="AD53">
            <v>1651.8288871357586</v>
          </cell>
          <cell r="AF53">
            <v>34.180479148181014</v>
          </cell>
          <cell r="AH53">
            <v>129.1407802609009</v>
          </cell>
          <cell r="AJ53">
            <v>-9.5501465448407998</v>
          </cell>
        </row>
        <row r="54">
          <cell r="F54" t="str">
            <v>P551S</v>
          </cell>
          <cell r="H54">
            <v>5.0999999999999996</v>
          </cell>
          <cell r="N54">
            <v>2100.6274509803925</v>
          </cell>
          <cell r="AD54">
            <v>1617.7860552093023</v>
          </cell>
          <cell r="AF54">
            <v>30.555813953488371</v>
          </cell>
          <cell r="AH54">
            <v>129.1407802609009</v>
          </cell>
          <cell r="AJ54">
            <v>-4.382649423691646</v>
          </cell>
        </row>
        <row r="55">
          <cell r="F55">
            <v>2551</v>
          </cell>
          <cell r="H55">
            <v>6.36</v>
          </cell>
          <cell r="N55">
            <v>2336.635220125786</v>
          </cell>
          <cell r="AD55">
            <v>1649.1861953617022</v>
          </cell>
          <cell r="AF55">
            <v>32.197074468085106</v>
          </cell>
          <cell r="AH55">
            <v>129.1407802609009</v>
          </cell>
          <cell r="AJ55">
            <v>0.47594990931202119</v>
          </cell>
        </row>
        <row r="56">
          <cell r="F56">
            <v>555</v>
          </cell>
          <cell r="H56">
            <v>0</v>
          </cell>
          <cell r="N56">
            <v>0</v>
          </cell>
          <cell r="AD56">
            <v>0</v>
          </cell>
          <cell r="AF56">
            <v>0</v>
          </cell>
          <cell r="AH56">
            <v>0</v>
          </cell>
          <cell r="AJ56">
            <v>0</v>
          </cell>
        </row>
        <row r="57">
          <cell r="F57">
            <v>550</v>
          </cell>
          <cell r="H57">
            <v>13.84</v>
          </cell>
          <cell r="N57">
            <v>2886.9747109826594</v>
          </cell>
          <cell r="AD57">
            <v>2357.2308539260002</v>
          </cell>
          <cell r="AF57">
            <v>44.3</v>
          </cell>
          <cell r="AH57">
            <v>129.1407802609009</v>
          </cell>
          <cell r="AJ57">
            <v>-1.4716341869016105</v>
          </cell>
        </row>
        <row r="58">
          <cell r="F58" t="str">
            <v>SC100</v>
          </cell>
          <cell r="H58">
            <v>0</v>
          </cell>
          <cell r="N58">
            <v>0</v>
          </cell>
          <cell r="AD58">
            <v>1644.5820938835714</v>
          </cell>
          <cell r="AF58">
            <v>35.943857142857141</v>
          </cell>
          <cell r="AH58">
            <v>129.1407802609009</v>
          </cell>
          <cell r="AJ58">
            <v>-1809.6667312873294</v>
          </cell>
        </row>
        <row r="59">
          <cell r="F59">
            <v>592</v>
          </cell>
          <cell r="H59">
            <v>0</v>
          </cell>
          <cell r="N59">
            <v>0</v>
          </cell>
          <cell r="AD59">
            <v>0</v>
          </cell>
          <cell r="AF59">
            <v>0</v>
          </cell>
          <cell r="AH59">
            <v>0</v>
          </cell>
          <cell r="AJ59">
            <v>0</v>
          </cell>
        </row>
        <row r="60">
          <cell r="F60">
            <v>590</v>
          </cell>
          <cell r="H60">
            <v>0</v>
          </cell>
          <cell r="N60">
            <v>0</v>
          </cell>
          <cell r="AD60">
            <v>0</v>
          </cell>
          <cell r="AF60">
            <v>0</v>
          </cell>
          <cell r="AH60">
            <v>0</v>
          </cell>
          <cell r="AJ60">
            <v>0</v>
          </cell>
        </row>
        <row r="61">
          <cell r="F61">
            <v>591</v>
          </cell>
          <cell r="H61">
            <v>0</v>
          </cell>
          <cell r="N61">
            <v>0</v>
          </cell>
          <cell r="AD61">
            <v>0</v>
          </cell>
          <cell r="AF61">
            <v>0</v>
          </cell>
          <cell r="AH61">
            <v>0</v>
          </cell>
          <cell r="AJ61">
            <v>0</v>
          </cell>
        </row>
        <row r="62">
          <cell r="F62">
            <v>592</v>
          </cell>
          <cell r="H62">
            <v>0</v>
          </cell>
          <cell r="N62">
            <v>0</v>
          </cell>
          <cell r="AD62">
            <v>0</v>
          </cell>
          <cell r="AF62">
            <v>0</v>
          </cell>
          <cell r="AH62">
            <v>0</v>
          </cell>
          <cell r="AJ62">
            <v>0</v>
          </cell>
        </row>
        <row r="63">
          <cell r="F63" t="str">
            <v>592F</v>
          </cell>
          <cell r="H63">
            <v>0</v>
          </cell>
          <cell r="N63">
            <v>0</v>
          </cell>
          <cell r="AD63">
            <v>0</v>
          </cell>
          <cell r="AF63">
            <v>0</v>
          </cell>
          <cell r="AH63">
            <v>0</v>
          </cell>
          <cell r="AJ63">
            <v>0</v>
          </cell>
        </row>
        <row r="64">
          <cell r="F64">
            <v>593</v>
          </cell>
          <cell r="H64">
            <v>0</v>
          </cell>
          <cell r="N64">
            <v>0</v>
          </cell>
          <cell r="AD64">
            <v>0</v>
          </cell>
          <cell r="AF64">
            <v>0</v>
          </cell>
          <cell r="AH64">
            <v>0</v>
          </cell>
          <cell r="AJ64">
            <v>0</v>
          </cell>
        </row>
        <row r="65">
          <cell r="F65" t="str">
            <v>E548L</v>
          </cell>
          <cell r="H65">
            <v>116.23</v>
          </cell>
          <cell r="N65">
            <v>1269.239611115891</v>
          </cell>
          <cell r="AD65">
            <v>984.09646747218073</v>
          </cell>
          <cell r="AF65">
            <v>35.535621402685997</v>
          </cell>
          <cell r="AH65">
            <v>99.705691793623117</v>
          </cell>
          <cell r="AJ65">
            <v>32.415604860203302</v>
          </cell>
        </row>
        <row r="66">
          <cell r="F66" t="str">
            <v>N571</v>
          </cell>
          <cell r="H66">
            <v>20.71</v>
          </cell>
          <cell r="N66">
            <v>1426.0096571704489</v>
          </cell>
          <cell r="AD66">
            <v>1059.247946811138</v>
          </cell>
          <cell r="AF66">
            <v>52.281920903954799</v>
          </cell>
          <cell r="AH66">
            <v>129.1407802609009</v>
          </cell>
          <cell r="AJ66">
            <v>0.12935202400626622</v>
          </cell>
        </row>
        <row r="67">
          <cell r="F67">
            <v>372</v>
          </cell>
          <cell r="H67">
            <v>66.319999999999993</v>
          </cell>
          <cell r="N67">
            <v>1197.9351628468035</v>
          </cell>
          <cell r="AD67">
            <v>957.12292086123978</v>
          </cell>
          <cell r="AF67">
            <v>29.524999999999999</v>
          </cell>
          <cell r="AH67">
            <v>89.140780260900883</v>
          </cell>
          <cell r="AJ67">
            <v>2.6112988778595536</v>
          </cell>
        </row>
        <row r="68">
          <cell r="F68" t="str">
            <v>E548L</v>
          </cell>
          <cell r="H68">
            <v>0</v>
          </cell>
          <cell r="N68">
            <v>0</v>
          </cell>
          <cell r="AD68">
            <v>0</v>
          </cell>
          <cell r="AF68">
            <v>0</v>
          </cell>
          <cell r="AH68">
            <v>0</v>
          </cell>
          <cell r="AJ68">
            <v>0</v>
          </cell>
        </row>
        <row r="69">
          <cell r="F69">
            <v>571</v>
          </cell>
          <cell r="H69">
            <v>0</v>
          </cell>
          <cell r="N69">
            <v>0</v>
          </cell>
          <cell r="AD69">
            <v>0</v>
          </cell>
          <cell r="AF69">
            <v>0</v>
          </cell>
          <cell r="AH69">
            <v>0</v>
          </cell>
          <cell r="AJ69">
            <v>0</v>
          </cell>
        </row>
        <row r="70">
          <cell r="F70">
            <v>572</v>
          </cell>
          <cell r="H70">
            <v>29.2</v>
          </cell>
          <cell r="N70">
            <v>1320</v>
          </cell>
          <cell r="AD70">
            <v>0</v>
          </cell>
          <cell r="AF70">
            <v>0</v>
          </cell>
          <cell r="AH70">
            <v>0</v>
          </cell>
          <cell r="AJ70">
            <v>1255.2</v>
          </cell>
        </row>
        <row r="71">
          <cell r="F71">
            <v>110</v>
          </cell>
          <cell r="H71">
            <v>116.23</v>
          </cell>
          <cell r="N71">
            <v>1269.239611115891</v>
          </cell>
          <cell r="AD71">
            <v>984.09646747218073</v>
          </cell>
          <cell r="AF71">
            <v>35.535621402685997</v>
          </cell>
          <cell r="AH71">
            <v>99.705691793623117</v>
          </cell>
          <cell r="AJ71">
            <v>32.415604860203302</v>
          </cell>
        </row>
        <row r="72">
          <cell r="F72">
            <v>111</v>
          </cell>
          <cell r="H72">
            <v>5447.09</v>
          </cell>
          <cell r="N72">
            <v>1213.3582518372193</v>
          </cell>
          <cell r="AD72">
            <v>1067.6027619324307</v>
          </cell>
          <cell r="AF72">
            <v>23.807365924891386</v>
          </cell>
          <cell r="AH72">
            <v>95.194786738477589</v>
          </cell>
          <cell r="AJ72">
            <v>3.4271234281732177</v>
          </cell>
        </row>
        <row r="73">
          <cell r="F73">
            <v>113</v>
          </cell>
          <cell r="H73">
            <v>641.79999999999995</v>
          </cell>
          <cell r="N73">
            <v>2473.1453723901527</v>
          </cell>
          <cell r="AD73">
            <v>2193.2648834888519</v>
          </cell>
          <cell r="AF73">
            <v>29.525000000000002</v>
          </cell>
          <cell r="AH73">
            <v>89.140780260900897</v>
          </cell>
          <cell r="AJ73">
            <v>15.580685580257523</v>
          </cell>
        </row>
        <row r="74">
          <cell r="F74">
            <v>110</v>
          </cell>
          <cell r="H74">
            <v>101.6</v>
          </cell>
          <cell r="N74">
            <v>2797.3102362204727</v>
          </cell>
          <cell r="AD74">
            <v>2525.0329258880192</v>
          </cell>
          <cell r="AF74">
            <v>29.525000000000002</v>
          </cell>
          <cell r="AH74">
            <v>89.140780260900897</v>
          </cell>
          <cell r="AJ74">
            <v>26.001293851079936</v>
          </cell>
        </row>
        <row r="75">
          <cell r="F75">
            <v>111</v>
          </cell>
          <cell r="H75">
            <v>476.32</v>
          </cell>
          <cell r="N75">
            <v>2441.2988327175008</v>
          </cell>
          <cell r="AD75">
            <v>2192.4993301203449</v>
          </cell>
          <cell r="AF75">
            <v>29.524999999999999</v>
          </cell>
          <cell r="AH75">
            <v>89.140780260900883</v>
          </cell>
          <cell r="AJ75">
            <v>1.1348896187546416</v>
          </cell>
        </row>
        <row r="76">
          <cell r="F76">
            <v>113</v>
          </cell>
          <cell r="H76">
            <v>58.76</v>
          </cell>
          <cell r="N76">
            <v>2169.8808713410485</v>
          </cell>
          <cell r="AD76">
            <v>1743.4488776901408</v>
          </cell>
          <cell r="AF76">
            <v>29.525000000000002</v>
          </cell>
          <cell r="AH76">
            <v>89.140780260900897</v>
          </cell>
          <cell r="AJ76">
            <v>3.8853420489583641</v>
          </cell>
        </row>
        <row r="77">
          <cell r="F77" t="str">
            <v>P110</v>
          </cell>
          <cell r="H77">
            <v>0</v>
          </cell>
          <cell r="N77">
            <v>0</v>
          </cell>
          <cell r="AD77">
            <v>0</v>
          </cell>
          <cell r="AF77">
            <v>0</v>
          </cell>
          <cell r="AH77">
            <v>0</v>
          </cell>
          <cell r="AJ77">
            <v>0</v>
          </cell>
        </row>
        <row r="78">
          <cell r="F78" t="str">
            <v>P111</v>
          </cell>
          <cell r="H78">
            <v>5.12</v>
          </cell>
          <cell r="N78">
            <v>2483.65625</v>
          </cell>
          <cell r="AD78">
            <v>2130.1937581484372</v>
          </cell>
          <cell r="AF78">
            <v>29.525000000000002</v>
          </cell>
          <cell r="AH78">
            <v>89.140780260900883</v>
          </cell>
          <cell r="AJ78">
            <v>4.0461590661834634E-2</v>
          </cell>
        </row>
        <row r="79">
          <cell r="F79" t="str">
            <v>113+</v>
          </cell>
          <cell r="H79">
            <v>0</v>
          </cell>
          <cell r="N79">
            <v>0</v>
          </cell>
          <cell r="AD79">
            <v>0</v>
          </cell>
          <cell r="AF79">
            <v>0</v>
          </cell>
          <cell r="AH79">
            <v>0</v>
          </cell>
          <cell r="AJ79">
            <v>0</v>
          </cell>
        </row>
        <row r="80">
          <cell r="H80">
            <v>0</v>
          </cell>
          <cell r="N80">
            <v>0</v>
          </cell>
          <cell r="AD80">
            <v>0</v>
          </cell>
          <cell r="AF80">
            <v>0</v>
          </cell>
          <cell r="AH80">
            <v>0</v>
          </cell>
          <cell r="AJ80">
            <v>0</v>
          </cell>
        </row>
        <row r="81">
          <cell r="F81">
            <v>134</v>
          </cell>
          <cell r="H81">
            <v>0</v>
          </cell>
          <cell r="N81">
            <v>0</v>
          </cell>
          <cell r="AD81">
            <v>0</v>
          </cell>
          <cell r="AF81">
            <v>0</v>
          </cell>
          <cell r="AH81">
            <v>0</v>
          </cell>
          <cell r="AJ81">
            <v>0</v>
          </cell>
        </row>
        <row r="82">
          <cell r="F82">
            <v>134</v>
          </cell>
          <cell r="H82">
            <v>0</v>
          </cell>
          <cell r="N82">
            <v>0</v>
          </cell>
          <cell r="AD82">
            <v>0</v>
          </cell>
          <cell r="AF82">
            <v>0</v>
          </cell>
          <cell r="AH82">
            <v>0</v>
          </cell>
          <cell r="AJ82">
            <v>0</v>
          </cell>
        </row>
        <row r="83">
          <cell r="F83">
            <v>124</v>
          </cell>
          <cell r="H83">
            <v>641.79999999999995</v>
          </cell>
          <cell r="N83">
            <v>2473.1453723901527</v>
          </cell>
          <cell r="AD83">
            <v>2193.2648834888519</v>
          </cell>
          <cell r="AF83">
            <v>29.525000000000002</v>
          </cell>
          <cell r="AH83">
            <v>89.140780260900897</v>
          </cell>
          <cell r="AJ83">
            <v>15.580685580257523</v>
          </cell>
        </row>
        <row r="84">
          <cell r="F84" t="str">
            <v>DJ300</v>
          </cell>
          <cell r="H84">
            <v>132.96</v>
          </cell>
          <cell r="N84">
            <v>1535.1723826714799</v>
          </cell>
          <cell r="AD84">
            <v>1389.1547656435982</v>
          </cell>
          <cell r="AF84">
            <v>29.525000000000002</v>
          </cell>
          <cell r="AH84">
            <v>89.140780260900911</v>
          </cell>
          <cell r="AJ84">
            <v>-0.8340838106364572</v>
          </cell>
        </row>
        <row r="85">
          <cell r="F85">
            <v>122</v>
          </cell>
          <cell r="H85">
            <v>15.68</v>
          </cell>
          <cell r="N85">
            <v>1795.3801020408164</v>
          </cell>
          <cell r="AD85">
            <v>1507.3894975650096</v>
          </cell>
          <cell r="AF85">
            <v>29.524999999999999</v>
          </cell>
          <cell r="AH85">
            <v>89.140780260900883</v>
          </cell>
          <cell r="AJ85">
            <v>6.9447221740892928</v>
          </cell>
        </row>
        <row r="86">
          <cell r="F86">
            <v>124</v>
          </cell>
          <cell r="H86">
            <v>111.28</v>
          </cell>
          <cell r="N86">
            <v>1496.0905823148812</v>
          </cell>
          <cell r="AD86">
            <v>1365.5074709165553</v>
          </cell>
          <cell r="AF86">
            <v>29.525000000000002</v>
          </cell>
          <cell r="AH86">
            <v>89.140780260900897</v>
          </cell>
          <cell r="AJ86">
            <v>1.8267488225437774</v>
          </cell>
        </row>
        <row r="87">
          <cell r="F87" t="str">
            <v>DJ300</v>
          </cell>
          <cell r="H87">
            <v>6</v>
          </cell>
          <cell r="N87">
            <v>1580</v>
          </cell>
          <cell r="AD87">
            <v>1448.2790752366666</v>
          </cell>
          <cell r="AF87">
            <v>29.525000000000002</v>
          </cell>
          <cell r="AH87">
            <v>89.140780260900883</v>
          </cell>
          <cell r="AJ87">
            <v>-4.4855497567596103E-2</v>
          </cell>
        </row>
        <row r="88">
          <cell r="F88" t="str">
            <v>N124L</v>
          </cell>
          <cell r="H88">
            <v>0</v>
          </cell>
          <cell r="N88">
            <v>0</v>
          </cell>
          <cell r="AD88">
            <v>0</v>
          </cell>
          <cell r="AF88">
            <v>0</v>
          </cell>
          <cell r="AH88">
            <v>0</v>
          </cell>
          <cell r="AJ88">
            <v>0</v>
          </cell>
        </row>
        <row r="89">
          <cell r="H89">
            <v>0</v>
          </cell>
          <cell r="N89">
            <v>0</v>
          </cell>
          <cell r="AD89">
            <v>0</v>
          </cell>
          <cell r="AF89">
            <v>0</v>
          </cell>
          <cell r="AH89">
            <v>0</v>
          </cell>
          <cell r="AJ89">
            <v>0</v>
          </cell>
        </row>
        <row r="90">
          <cell r="H90">
            <v>0</v>
          </cell>
          <cell r="N90">
            <v>0</v>
          </cell>
          <cell r="AD90">
            <v>0</v>
          </cell>
          <cell r="AF90">
            <v>0</v>
          </cell>
          <cell r="AH90">
            <v>0</v>
          </cell>
          <cell r="AJ90">
            <v>0</v>
          </cell>
        </row>
        <row r="91">
          <cell r="F91">
            <v>149</v>
          </cell>
          <cell r="H91">
            <v>132.96</v>
          </cell>
          <cell r="N91">
            <v>1535.1723826714799</v>
          </cell>
          <cell r="AD91">
            <v>1389.1547656435982</v>
          </cell>
          <cell r="AF91">
            <v>29.525000000000002</v>
          </cell>
          <cell r="AH91">
            <v>89.140780260900911</v>
          </cell>
          <cell r="AJ91">
            <v>-0.8340838106364572</v>
          </cell>
        </row>
        <row r="92">
          <cell r="H92">
            <v>774.76</v>
          </cell>
          <cell r="N92">
            <v>2312.1756673034229</v>
          </cell>
          <cell r="AD92">
            <v>2043.0402003824529</v>
          </cell>
          <cell r="AF92">
            <v>29.525000000000002</v>
          </cell>
          <cell r="AH92">
            <v>89.140780260900897</v>
          </cell>
          <cell r="AJ92">
            <v>24.991453400737555</v>
          </cell>
        </row>
        <row r="93">
          <cell r="F93">
            <v>808</v>
          </cell>
          <cell r="H93">
            <v>0</v>
          </cell>
          <cell r="N93">
            <v>0</v>
          </cell>
          <cell r="AD93">
            <v>0</v>
          </cell>
          <cell r="AF93">
            <v>0</v>
          </cell>
          <cell r="AH93">
            <v>0</v>
          </cell>
          <cell r="AJ93">
            <v>0</v>
          </cell>
        </row>
        <row r="94">
          <cell r="F94">
            <v>149</v>
          </cell>
          <cell r="H94">
            <v>0</v>
          </cell>
          <cell r="N94">
            <v>0</v>
          </cell>
          <cell r="AD94">
            <v>0</v>
          </cell>
          <cell r="AF94">
            <v>0</v>
          </cell>
          <cell r="AH94">
            <v>0</v>
          </cell>
          <cell r="AJ94">
            <v>0</v>
          </cell>
        </row>
        <row r="95">
          <cell r="F95" t="str">
            <v>808S</v>
          </cell>
          <cell r="H95">
            <v>1531.81</v>
          </cell>
          <cell r="N95">
            <v>2497.2712281549284</v>
          </cell>
          <cell r="AD95">
            <v>1950.7350688371346</v>
          </cell>
          <cell r="AF95">
            <v>33.01664130934423</v>
          </cell>
          <cell r="AH95">
            <v>89.140780260900897</v>
          </cell>
          <cell r="AJ95">
            <v>20.287803493299634</v>
          </cell>
        </row>
        <row r="96">
          <cell r="F96">
            <v>808</v>
          </cell>
          <cell r="H96">
            <v>35.96</v>
          </cell>
          <cell r="N96">
            <v>2096.2138487208008</v>
          </cell>
          <cell r="AD96">
            <v>1644.8566634806184</v>
          </cell>
          <cell r="AF96">
            <v>35.843589048522631</v>
          </cell>
          <cell r="AH96">
            <v>89.140780260900883</v>
          </cell>
          <cell r="AJ96">
            <v>22.7589672099582</v>
          </cell>
        </row>
        <row r="97">
          <cell r="F97" t="str">
            <v>N808</v>
          </cell>
          <cell r="H97">
            <v>584.1</v>
          </cell>
          <cell r="N97">
            <v>2364.2375449409351</v>
          </cell>
          <cell r="AD97">
            <v>1796.7611310426244</v>
          </cell>
          <cell r="AF97">
            <v>34.68819406158935</v>
          </cell>
          <cell r="AH97">
            <v>89.140780260900883</v>
          </cell>
          <cell r="AJ97">
            <v>14.809894634885495</v>
          </cell>
        </row>
        <row r="98">
          <cell r="F98" t="str">
            <v>808S</v>
          </cell>
          <cell r="H98">
            <v>83.15</v>
          </cell>
          <cell r="N98">
            <v>2857.4425736620565</v>
          </cell>
          <cell r="AD98">
            <v>2184.9250672581261</v>
          </cell>
          <cell r="AF98">
            <v>34.165488886033664</v>
          </cell>
          <cell r="AH98">
            <v>89.140780260900897</v>
          </cell>
          <cell r="AJ98">
            <v>27.168663594939062</v>
          </cell>
        </row>
        <row r="99">
          <cell r="F99" t="str">
            <v>P800</v>
          </cell>
          <cell r="H99">
            <v>42.36</v>
          </cell>
          <cell r="N99">
            <v>2540.9445231350333</v>
          </cell>
          <cell r="AD99">
            <v>2069.3268003733165</v>
          </cell>
          <cell r="AF99">
            <v>32.5098798076923</v>
          </cell>
          <cell r="AH99">
            <v>89.140780260900883</v>
          </cell>
          <cell r="AJ99">
            <v>2.2539558090556966E-2</v>
          </cell>
        </row>
        <row r="100">
          <cell r="F100" t="str">
            <v>N800</v>
          </cell>
          <cell r="H100">
            <v>772.24</v>
          </cell>
          <cell r="N100">
            <v>2577.0134543665181</v>
          </cell>
          <cell r="AD100">
            <v>2070.0762088753586</v>
          </cell>
          <cell r="AF100">
            <v>31.326399794227545</v>
          </cell>
          <cell r="AH100">
            <v>89.140780260900897</v>
          </cell>
          <cell r="AJ100">
            <v>6.9566110695132011</v>
          </cell>
        </row>
        <row r="101">
          <cell r="F101" t="str">
            <v>P808</v>
          </cell>
          <cell r="H101">
            <v>14</v>
          </cell>
          <cell r="N101">
            <v>2407.8864285714285</v>
          </cell>
          <cell r="AD101">
            <v>1795.9773924464046</v>
          </cell>
          <cell r="AF101">
            <v>34.016824966078701</v>
          </cell>
          <cell r="AH101">
            <v>89.140780260900897</v>
          </cell>
          <cell r="AJ101">
            <v>40.065002326615968</v>
          </cell>
        </row>
        <row r="102">
          <cell r="F102">
            <v>2150</v>
          </cell>
          <cell r="H102">
            <v>282.18</v>
          </cell>
          <cell r="N102">
            <v>2695.7313416967891</v>
          </cell>
          <cell r="AD102">
            <v>2260.8175371270058</v>
          </cell>
          <cell r="AF102">
            <v>32.227711585122954</v>
          </cell>
          <cell r="AH102">
            <v>89.140780260900883</v>
          </cell>
          <cell r="AJ102">
            <v>3.9096833193070779E-2</v>
          </cell>
        </row>
        <row r="103">
          <cell r="F103">
            <v>156</v>
          </cell>
          <cell r="H103">
            <v>7.22</v>
          </cell>
          <cell r="N103">
            <v>1977.314404432133</v>
          </cell>
          <cell r="AD103">
            <v>1532.922797147661</v>
          </cell>
          <cell r="AF103">
            <v>40.457163742690057</v>
          </cell>
          <cell r="AH103">
            <v>89.140780260900883</v>
          </cell>
          <cell r="AJ103">
            <v>-3.4207411512522867</v>
          </cell>
        </row>
        <row r="104">
          <cell r="F104">
            <v>157</v>
          </cell>
          <cell r="H104">
            <v>8.7200000000000006</v>
          </cell>
          <cell r="N104">
            <v>2295.5068807339449</v>
          </cell>
          <cell r="AD104">
            <v>1715.1000464564497</v>
          </cell>
          <cell r="AF104">
            <v>43.307497243660414</v>
          </cell>
          <cell r="AH104">
            <v>89.140780260900883</v>
          </cell>
          <cell r="AJ104">
            <v>19.951676038989262</v>
          </cell>
        </row>
        <row r="105">
          <cell r="F105">
            <v>2150</v>
          </cell>
          <cell r="H105">
            <v>131.44</v>
          </cell>
          <cell r="N105">
            <v>2831.5524954351795</v>
          </cell>
          <cell r="AD105">
            <v>2459.1298374103108</v>
          </cell>
          <cell r="AF105">
            <v>31.98346474601971</v>
          </cell>
          <cell r="AH105">
            <v>89.140780260900883</v>
          </cell>
          <cell r="AJ105">
            <v>16.945917582768288</v>
          </cell>
        </row>
        <row r="106">
          <cell r="F106" t="str">
            <v>2151-35</v>
          </cell>
          <cell r="H106">
            <v>17.600000000000001</v>
          </cell>
          <cell r="N106">
            <v>2205.9090909090905</v>
          </cell>
          <cell r="AD106">
            <v>1819.4970488606007</v>
          </cell>
          <cell r="AF106">
            <v>30.141652754590982</v>
          </cell>
          <cell r="AH106">
            <v>89.140780260900897</v>
          </cell>
          <cell r="AJ106">
            <v>62.920518123907414</v>
          </cell>
        </row>
        <row r="107">
          <cell r="F107" t="str">
            <v>2151-37</v>
          </cell>
          <cell r="H107">
            <v>42.46</v>
          </cell>
          <cell r="N107">
            <v>2464.7070183702308</v>
          </cell>
          <cell r="AD107">
            <v>1921.7425459734191</v>
          </cell>
          <cell r="AF107">
            <v>31.575881365416897</v>
          </cell>
          <cell r="AH107">
            <v>89.140780260900883</v>
          </cell>
          <cell r="AJ107">
            <v>47.240792400262762</v>
          </cell>
        </row>
        <row r="108">
          <cell r="F108" t="str">
            <v>2151-39</v>
          </cell>
          <cell r="H108">
            <v>56.26</v>
          </cell>
          <cell r="N108">
            <v>2750.4393885531463</v>
          </cell>
          <cell r="AD108">
            <v>2187.1238364268811</v>
          </cell>
          <cell r="AF108">
            <v>31.098657718120808</v>
          </cell>
          <cell r="AH108">
            <v>89.140780260900897</v>
          </cell>
          <cell r="AJ108">
            <v>7.136725594096788</v>
          </cell>
        </row>
        <row r="109">
          <cell r="F109" t="str">
            <v>2151-41</v>
          </cell>
          <cell r="H109">
            <v>18.48</v>
          </cell>
          <cell r="N109">
            <v>3029.9783549783551</v>
          </cell>
          <cell r="AD109">
            <v>2483.8851860583823</v>
          </cell>
          <cell r="AF109">
            <v>31.712593828190162</v>
          </cell>
          <cell r="AH109">
            <v>89.140780260900883</v>
          </cell>
          <cell r="AJ109">
            <v>14.561439852526746</v>
          </cell>
        </row>
      </sheetData>
      <sheetData sheetId="12" refreshError="1">
        <row r="7">
          <cell r="H7">
            <v>0</v>
          </cell>
          <cell r="N7">
            <v>0</v>
          </cell>
          <cell r="AD7">
            <v>0</v>
          </cell>
          <cell r="AF7">
            <v>0</v>
          </cell>
          <cell r="AH7">
            <v>0</v>
          </cell>
          <cell r="AJ7">
            <v>0</v>
          </cell>
        </row>
        <row r="8">
          <cell r="F8">
            <v>510</v>
          </cell>
          <cell r="H8">
            <v>0</v>
          </cell>
          <cell r="N8">
            <v>0</v>
          </cell>
          <cell r="AD8">
            <v>0</v>
          </cell>
          <cell r="AF8">
            <v>0</v>
          </cell>
          <cell r="AH8">
            <v>0</v>
          </cell>
          <cell r="AJ8">
            <v>0</v>
          </cell>
        </row>
        <row r="9">
          <cell r="F9">
            <v>511</v>
          </cell>
          <cell r="H9">
            <v>0</v>
          </cell>
          <cell r="N9">
            <v>0</v>
          </cell>
          <cell r="AD9">
            <v>0</v>
          </cell>
          <cell r="AF9">
            <v>0</v>
          </cell>
          <cell r="AH9">
            <v>0</v>
          </cell>
          <cell r="AJ9">
            <v>0</v>
          </cell>
        </row>
        <row r="10">
          <cell r="F10">
            <v>513</v>
          </cell>
          <cell r="H10">
            <v>0</v>
          </cell>
          <cell r="N10">
            <v>0</v>
          </cell>
          <cell r="AD10">
            <v>0</v>
          </cell>
          <cell r="AF10">
            <v>0</v>
          </cell>
          <cell r="AH10">
            <v>0</v>
          </cell>
          <cell r="AJ10">
            <v>0</v>
          </cell>
        </row>
        <row r="11">
          <cell r="F11" t="str">
            <v>510L</v>
          </cell>
          <cell r="H11">
            <v>0</v>
          </cell>
          <cell r="N11">
            <v>0</v>
          </cell>
          <cell r="AD11">
            <v>0</v>
          </cell>
          <cell r="AF11">
            <v>0</v>
          </cell>
          <cell r="AH11">
            <v>0</v>
          </cell>
          <cell r="AJ11">
            <v>0</v>
          </cell>
        </row>
        <row r="12">
          <cell r="F12" t="str">
            <v>N510L</v>
          </cell>
          <cell r="H12">
            <v>0</v>
          </cell>
          <cell r="N12">
            <v>0</v>
          </cell>
          <cell r="AD12">
            <v>0</v>
          </cell>
          <cell r="AF12">
            <v>0</v>
          </cell>
          <cell r="AH12">
            <v>0</v>
          </cell>
          <cell r="AJ12">
            <v>0</v>
          </cell>
        </row>
        <row r="13">
          <cell r="F13" t="str">
            <v>511L</v>
          </cell>
          <cell r="H13">
            <v>0</v>
          </cell>
          <cell r="N13">
            <v>0</v>
          </cell>
          <cell r="AD13">
            <v>0</v>
          </cell>
          <cell r="AF13">
            <v>0</v>
          </cell>
          <cell r="AH13">
            <v>0</v>
          </cell>
          <cell r="AJ13">
            <v>0</v>
          </cell>
        </row>
        <row r="14">
          <cell r="F14" t="str">
            <v>513L</v>
          </cell>
          <cell r="H14">
            <v>0</v>
          </cell>
          <cell r="N14">
            <v>0</v>
          </cell>
          <cell r="AD14">
            <v>0</v>
          </cell>
          <cell r="AF14">
            <v>0</v>
          </cell>
          <cell r="AH14">
            <v>0</v>
          </cell>
          <cell r="AJ14">
            <v>0</v>
          </cell>
        </row>
        <row r="15">
          <cell r="F15">
            <v>710</v>
          </cell>
          <cell r="H15">
            <v>0</v>
          </cell>
          <cell r="N15">
            <v>0</v>
          </cell>
          <cell r="AD15">
            <v>0</v>
          </cell>
          <cell r="AF15">
            <v>0</v>
          </cell>
          <cell r="AH15">
            <v>0</v>
          </cell>
          <cell r="AJ15">
            <v>0</v>
          </cell>
        </row>
        <row r="16">
          <cell r="F16" t="str">
            <v>711L</v>
          </cell>
          <cell r="H16">
            <v>0</v>
          </cell>
          <cell r="N16">
            <v>0</v>
          </cell>
          <cell r="AD16">
            <v>0</v>
          </cell>
          <cell r="AF16">
            <v>0</v>
          </cell>
          <cell r="AH16">
            <v>0</v>
          </cell>
          <cell r="AJ16">
            <v>0</v>
          </cell>
        </row>
        <row r="17">
          <cell r="F17">
            <v>310</v>
          </cell>
          <cell r="H17">
            <v>0</v>
          </cell>
          <cell r="N17">
            <v>0</v>
          </cell>
          <cell r="AD17">
            <v>0</v>
          </cell>
          <cell r="AF17">
            <v>0</v>
          </cell>
          <cell r="AH17">
            <v>0</v>
          </cell>
          <cell r="AJ17">
            <v>0</v>
          </cell>
        </row>
        <row r="18">
          <cell r="F18">
            <v>311</v>
          </cell>
          <cell r="H18">
            <v>0</v>
          </cell>
          <cell r="N18">
            <v>0</v>
          </cell>
          <cell r="AD18">
            <v>0</v>
          </cell>
          <cell r="AF18">
            <v>0</v>
          </cell>
          <cell r="AH18">
            <v>0</v>
          </cell>
          <cell r="AJ18">
            <v>0</v>
          </cell>
        </row>
        <row r="19">
          <cell r="F19" t="str">
            <v>311L</v>
          </cell>
          <cell r="H19">
            <v>0</v>
          </cell>
          <cell r="N19">
            <v>0</v>
          </cell>
          <cell r="AD19">
            <v>0</v>
          </cell>
          <cell r="AF19">
            <v>0</v>
          </cell>
          <cell r="AH19">
            <v>0</v>
          </cell>
          <cell r="AJ19">
            <v>0</v>
          </cell>
        </row>
        <row r="20">
          <cell r="F20" t="str">
            <v>313L</v>
          </cell>
          <cell r="H20">
            <v>0</v>
          </cell>
          <cell r="N20">
            <v>0</v>
          </cell>
          <cell r="AD20">
            <v>0</v>
          </cell>
          <cell r="AF20">
            <v>0</v>
          </cell>
          <cell r="AH20">
            <v>0</v>
          </cell>
          <cell r="AJ20">
            <v>0</v>
          </cell>
        </row>
        <row r="21">
          <cell r="F21">
            <v>332</v>
          </cell>
          <cell r="H21">
            <v>0</v>
          </cell>
          <cell r="N21">
            <v>0</v>
          </cell>
          <cell r="AD21">
            <v>0</v>
          </cell>
          <cell r="AF21">
            <v>0</v>
          </cell>
          <cell r="AH21">
            <v>0</v>
          </cell>
          <cell r="AJ21">
            <v>0</v>
          </cell>
        </row>
        <row r="22">
          <cell r="F22">
            <v>331</v>
          </cell>
          <cell r="H22">
            <v>0</v>
          </cell>
          <cell r="N22">
            <v>0</v>
          </cell>
          <cell r="AD22">
            <v>0</v>
          </cell>
          <cell r="AF22">
            <v>0</v>
          </cell>
          <cell r="AH22">
            <v>0</v>
          </cell>
          <cell r="AJ22">
            <v>0</v>
          </cell>
        </row>
        <row r="23">
          <cell r="F23">
            <v>332</v>
          </cell>
          <cell r="H23">
            <v>0</v>
          </cell>
          <cell r="N23">
            <v>0</v>
          </cell>
          <cell r="AD23">
            <v>0</v>
          </cell>
          <cell r="AF23">
            <v>0</v>
          </cell>
          <cell r="AH23">
            <v>0</v>
          </cell>
          <cell r="AJ23">
            <v>0</v>
          </cell>
        </row>
        <row r="24">
          <cell r="F24">
            <v>334</v>
          </cell>
          <cell r="H24">
            <v>0</v>
          </cell>
          <cell r="N24">
            <v>0</v>
          </cell>
          <cell r="AD24">
            <v>0</v>
          </cell>
          <cell r="AF24">
            <v>0</v>
          </cell>
          <cell r="AH24">
            <v>0</v>
          </cell>
          <cell r="AJ24">
            <v>0</v>
          </cell>
        </row>
        <row r="25">
          <cell r="F25">
            <v>531</v>
          </cell>
          <cell r="H25">
            <v>0</v>
          </cell>
          <cell r="N25">
            <v>0</v>
          </cell>
          <cell r="AD25">
            <v>0</v>
          </cell>
          <cell r="AF25">
            <v>0</v>
          </cell>
          <cell r="AH25">
            <v>0</v>
          </cell>
          <cell r="AJ25">
            <v>0</v>
          </cell>
        </row>
        <row r="26">
          <cell r="F26" t="str">
            <v>531N</v>
          </cell>
          <cell r="H26">
            <v>0</v>
          </cell>
          <cell r="N26">
            <v>0</v>
          </cell>
          <cell r="AD26">
            <v>0</v>
          </cell>
          <cell r="AF26">
            <v>0</v>
          </cell>
          <cell r="AH26">
            <v>0</v>
          </cell>
          <cell r="AJ26">
            <v>0</v>
          </cell>
        </row>
        <row r="27">
          <cell r="F27">
            <v>532</v>
          </cell>
          <cell r="H27">
            <v>0</v>
          </cell>
          <cell r="N27">
            <v>0</v>
          </cell>
          <cell r="AD27">
            <v>0</v>
          </cell>
          <cell r="AF27">
            <v>0</v>
          </cell>
          <cell r="AH27">
            <v>0</v>
          </cell>
          <cell r="AJ27">
            <v>0</v>
          </cell>
        </row>
        <row r="28">
          <cell r="F28" t="str">
            <v>532N</v>
          </cell>
          <cell r="H28">
            <v>0</v>
          </cell>
          <cell r="N28">
            <v>0</v>
          </cell>
          <cell r="AD28">
            <v>0</v>
          </cell>
          <cell r="AF28">
            <v>0</v>
          </cell>
          <cell r="AH28">
            <v>0</v>
          </cell>
          <cell r="AJ28">
            <v>0</v>
          </cell>
        </row>
        <row r="29">
          <cell r="F29" t="str">
            <v>533N</v>
          </cell>
          <cell r="H29">
            <v>0</v>
          </cell>
          <cell r="N29">
            <v>0</v>
          </cell>
          <cell r="AD29">
            <v>0</v>
          </cell>
          <cell r="AF29">
            <v>0</v>
          </cell>
          <cell r="AH29">
            <v>0</v>
          </cell>
          <cell r="AJ29">
            <v>0</v>
          </cell>
        </row>
        <row r="30">
          <cell r="F30">
            <v>534</v>
          </cell>
          <cell r="H30">
            <v>0</v>
          </cell>
          <cell r="N30">
            <v>0</v>
          </cell>
          <cell r="AD30">
            <v>0</v>
          </cell>
          <cell r="AF30">
            <v>0</v>
          </cell>
          <cell r="AH30">
            <v>0</v>
          </cell>
          <cell r="AJ30">
            <v>0</v>
          </cell>
        </row>
        <row r="31">
          <cell r="F31" t="str">
            <v>534N</v>
          </cell>
          <cell r="H31">
            <v>0</v>
          </cell>
          <cell r="N31">
            <v>0</v>
          </cell>
          <cell r="AD31">
            <v>0</v>
          </cell>
          <cell r="AF31">
            <v>0</v>
          </cell>
          <cell r="AH31">
            <v>0</v>
          </cell>
          <cell r="AJ31">
            <v>0</v>
          </cell>
        </row>
        <row r="32">
          <cell r="F32" t="str">
            <v>535N</v>
          </cell>
          <cell r="H32">
            <v>0</v>
          </cell>
          <cell r="N32">
            <v>0</v>
          </cell>
          <cell r="AD32">
            <v>0</v>
          </cell>
          <cell r="AF32">
            <v>0</v>
          </cell>
          <cell r="AH32">
            <v>0</v>
          </cell>
          <cell r="AJ32">
            <v>0</v>
          </cell>
        </row>
        <row r="33">
          <cell r="F33">
            <v>321</v>
          </cell>
          <cell r="H33">
            <v>0</v>
          </cell>
          <cell r="N33">
            <v>0</v>
          </cell>
          <cell r="AD33">
            <v>0</v>
          </cell>
          <cell r="AF33">
            <v>0</v>
          </cell>
          <cell r="AH33">
            <v>0</v>
          </cell>
          <cell r="AJ33">
            <v>0</v>
          </cell>
        </row>
        <row r="34">
          <cell r="F34">
            <v>322</v>
          </cell>
          <cell r="H34">
            <v>0</v>
          </cell>
          <cell r="N34">
            <v>0</v>
          </cell>
          <cell r="AD34">
            <v>0</v>
          </cell>
          <cell r="AF34">
            <v>0</v>
          </cell>
          <cell r="AH34">
            <v>0</v>
          </cell>
          <cell r="AJ34">
            <v>0</v>
          </cell>
        </row>
        <row r="35">
          <cell r="F35">
            <v>321</v>
          </cell>
          <cell r="H35">
            <v>0</v>
          </cell>
          <cell r="N35">
            <v>0</v>
          </cell>
          <cell r="AD35">
            <v>0</v>
          </cell>
          <cell r="AF35">
            <v>0</v>
          </cell>
          <cell r="AH35">
            <v>0</v>
          </cell>
          <cell r="AJ35">
            <v>0</v>
          </cell>
        </row>
        <row r="36">
          <cell r="F36">
            <v>322</v>
          </cell>
          <cell r="H36">
            <v>0</v>
          </cell>
          <cell r="N36">
            <v>0</v>
          </cell>
          <cell r="AD36">
            <v>0</v>
          </cell>
          <cell r="AF36">
            <v>0</v>
          </cell>
          <cell r="AH36">
            <v>0</v>
          </cell>
          <cell r="AJ36">
            <v>0</v>
          </cell>
        </row>
        <row r="37">
          <cell r="F37" t="str">
            <v>324C</v>
          </cell>
          <cell r="H37">
            <v>0</v>
          </cell>
          <cell r="N37">
            <v>0</v>
          </cell>
          <cell r="AD37">
            <v>0</v>
          </cell>
          <cell r="AF37">
            <v>0</v>
          </cell>
          <cell r="AH37">
            <v>0</v>
          </cell>
          <cell r="AJ37">
            <v>0</v>
          </cell>
        </row>
        <row r="38">
          <cell r="F38" t="str">
            <v>324L</v>
          </cell>
          <cell r="H38">
            <v>0</v>
          </cell>
          <cell r="N38">
            <v>0</v>
          </cell>
          <cell r="AD38">
            <v>0</v>
          </cell>
          <cell r="AF38">
            <v>0</v>
          </cell>
          <cell r="AH38">
            <v>0</v>
          </cell>
          <cell r="AJ38">
            <v>0</v>
          </cell>
        </row>
        <row r="39">
          <cell r="F39">
            <v>521</v>
          </cell>
          <cell r="H39">
            <v>0</v>
          </cell>
          <cell r="N39">
            <v>0</v>
          </cell>
          <cell r="AD39">
            <v>0</v>
          </cell>
          <cell r="AF39">
            <v>0</v>
          </cell>
          <cell r="AH39">
            <v>0</v>
          </cell>
          <cell r="AJ39">
            <v>0</v>
          </cell>
        </row>
        <row r="40">
          <cell r="F40">
            <v>324</v>
          </cell>
          <cell r="H40">
            <v>0</v>
          </cell>
          <cell r="N40">
            <v>0</v>
          </cell>
          <cell r="AD40">
            <v>0</v>
          </cell>
          <cell r="AF40">
            <v>0</v>
          </cell>
          <cell r="AH40">
            <v>0</v>
          </cell>
          <cell r="AJ40">
            <v>0</v>
          </cell>
        </row>
        <row r="41">
          <cell r="F41" t="str">
            <v>324C-H</v>
          </cell>
          <cell r="H41">
            <v>0</v>
          </cell>
          <cell r="N41">
            <v>0</v>
          </cell>
          <cell r="AD41">
            <v>0</v>
          </cell>
          <cell r="AF41">
            <v>0</v>
          </cell>
          <cell r="AH41">
            <v>0</v>
          </cell>
          <cell r="AJ41">
            <v>0</v>
          </cell>
        </row>
        <row r="42">
          <cell r="F42" t="str">
            <v>324BR</v>
          </cell>
          <cell r="H42">
            <v>0</v>
          </cell>
          <cell r="N42">
            <v>0</v>
          </cell>
          <cell r="AD42">
            <v>0</v>
          </cell>
          <cell r="AF42">
            <v>0</v>
          </cell>
          <cell r="AH42">
            <v>0</v>
          </cell>
          <cell r="AJ42">
            <v>0</v>
          </cell>
        </row>
        <row r="43">
          <cell r="F43" t="str">
            <v>324BR</v>
          </cell>
          <cell r="H43">
            <v>0</v>
          </cell>
          <cell r="N43">
            <v>0</v>
          </cell>
          <cell r="AD43">
            <v>0</v>
          </cell>
          <cell r="AF43">
            <v>0</v>
          </cell>
          <cell r="AH43">
            <v>0</v>
          </cell>
          <cell r="AJ43">
            <v>0</v>
          </cell>
        </row>
        <row r="44">
          <cell r="F44" t="str">
            <v>324BR</v>
          </cell>
          <cell r="H44">
            <v>0</v>
          </cell>
          <cell r="N44">
            <v>0</v>
          </cell>
          <cell r="AD44">
            <v>0</v>
          </cell>
          <cell r="AF44">
            <v>0</v>
          </cell>
          <cell r="AH44">
            <v>0</v>
          </cell>
          <cell r="AJ44">
            <v>0</v>
          </cell>
        </row>
        <row r="45">
          <cell r="F45" t="str">
            <v>548L</v>
          </cell>
          <cell r="H45">
            <v>0</v>
          </cell>
          <cell r="N45">
            <v>0</v>
          </cell>
          <cell r="AD45">
            <v>0</v>
          </cell>
          <cell r="AF45">
            <v>0</v>
          </cell>
          <cell r="AH45">
            <v>0</v>
          </cell>
          <cell r="AJ45">
            <v>0</v>
          </cell>
        </row>
        <row r="46">
          <cell r="F46" t="str">
            <v>548L</v>
          </cell>
          <cell r="H46">
            <v>0</v>
          </cell>
          <cell r="N46">
            <v>0</v>
          </cell>
          <cell r="AD46">
            <v>0</v>
          </cell>
          <cell r="AF46">
            <v>0</v>
          </cell>
          <cell r="AH46">
            <v>0</v>
          </cell>
          <cell r="AJ46">
            <v>0</v>
          </cell>
        </row>
        <row r="47">
          <cell r="F47">
            <v>549</v>
          </cell>
          <cell r="H47">
            <v>0</v>
          </cell>
          <cell r="N47">
            <v>0</v>
          </cell>
          <cell r="AD47">
            <v>0</v>
          </cell>
          <cell r="AF47">
            <v>0</v>
          </cell>
          <cell r="AH47">
            <v>0</v>
          </cell>
          <cell r="AJ47">
            <v>0</v>
          </cell>
        </row>
        <row r="48">
          <cell r="F48" t="str">
            <v>551L</v>
          </cell>
          <cell r="H48">
            <v>0</v>
          </cell>
          <cell r="N48">
            <v>0</v>
          </cell>
          <cell r="AD48">
            <v>0</v>
          </cell>
          <cell r="AF48">
            <v>0</v>
          </cell>
          <cell r="AH48">
            <v>0</v>
          </cell>
          <cell r="AJ48">
            <v>0</v>
          </cell>
        </row>
        <row r="49">
          <cell r="F49">
            <v>551</v>
          </cell>
          <cell r="H49">
            <v>0</v>
          </cell>
          <cell r="N49">
            <v>0</v>
          </cell>
          <cell r="AD49">
            <v>0</v>
          </cell>
          <cell r="AF49">
            <v>0</v>
          </cell>
          <cell r="AH49">
            <v>0</v>
          </cell>
          <cell r="AJ49">
            <v>0</v>
          </cell>
        </row>
        <row r="50">
          <cell r="F50" t="str">
            <v>551L</v>
          </cell>
          <cell r="H50">
            <v>0</v>
          </cell>
          <cell r="N50">
            <v>0</v>
          </cell>
          <cell r="AD50">
            <v>0</v>
          </cell>
          <cell r="AF50">
            <v>0</v>
          </cell>
          <cell r="AH50">
            <v>0</v>
          </cell>
          <cell r="AJ50">
            <v>0</v>
          </cell>
        </row>
        <row r="51">
          <cell r="F51">
            <v>951</v>
          </cell>
          <cell r="H51">
            <v>0</v>
          </cell>
          <cell r="N51">
            <v>0</v>
          </cell>
          <cell r="AD51">
            <v>0</v>
          </cell>
          <cell r="AF51">
            <v>0</v>
          </cell>
          <cell r="AH51">
            <v>0</v>
          </cell>
          <cell r="AJ51">
            <v>0</v>
          </cell>
        </row>
        <row r="52">
          <cell r="F52">
            <v>552</v>
          </cell>
          <cell r="H52">
            <v>0</v>
          </cell>
          <cell r="N52">
            <v>0</v>
          </cell>
          <cell r="AD52">
            <v>0</v>
          </cell>
          <cell r="AF52">
            <v>0</v>
          </cell>
          <cell r="AH52">
            <v>0</v>
          </cell>
          <cell r="AJ52">
            <v>0</v>
          </cell>
        </row>
        <row r="53">
          <cell r="F53" t="str">
            <v>551S</v>
          </cell>
          <cell r="H53">
            <v>0</v>
          </cell>
          <cell r="N53">
            <v>0</v>
          </cell>
          <cell r="AD53">
            <v>0</v>
          </cell>
          <cell r="AF53">
            <v>0</v>
          </cell>
          <cell r="AH53">
            <v>0</v>
          </cell>
          <cell r="AJ53">
            <v>0</v>
          </cell>
        </row>
        <row r="54">
          <cell r="F54" t="str">
            <v>P551S</v>
          </cell>
          <cell r="H54">
            <v>0</v>
          </cell>
          <cell r="N54">
            <v>0</v>
          </cell>
          <cell r="AD54">
            <v>0</v>
          </cell>
          <cell r="AF54">
            <v>0</v>
          </cell>
          <cell r="AH54">
            <v>0</v>
          </cell>
          <cell r="AJ54">
            <v>0</v>
          </cell>
        </row>
        <row r="55">
          <cell r="F55">
            <v>2551</v>
          </cell>
          <cell r="H55">
            <v>0</v>
          </cell>
          <cell r="N55">
            <v>0</v>
          </cell>
          <cell r="AD55">
            <v>0</v>
          </cell>
          <cell r="AF55">
            <v>0</v>
          </cell>
          <cell r="AH55">
            <v>0</v>
          </cell>
          <cell r="AJ55">
            <v>0</v>
          </cell>
        </row>
        <row r="56">
          <cell r="F56">
            <v>555</v>
          </cell>
          <cell r="H56">
            <v>0</v>
          </cell>
          <cell r="N56">
            <v>0</v>
          </cell>
          <cell r="AD56">
            <v>0</v>
          </cell>
          <cell r="AF56">
            <v>0</v>
          </cell>
          <cell r="AH56">
            <v>0</v>
          </cell>
          <cell r="AJ56">
            <v>0</v>
          </cell>
        </row>
        <row r="57">
          <cell r="F57">
            <v>550</v>
          </cell>
          <cell r="H57">
            <v>0</v>
          </cell>
          <cell r="N57">
            <v>0</v>
          </cell>
          <cell r="AD57">
            <v>0</v>
          </cell>
          <cell r="AF57">
            <v>0</v>
          </cell>
          <cell r="AH57">
            <v>0</v>
          </cell>
          <cell r="AJ57">
            <v>0</v>
          </cell>
        </row>
        <row r="58">
          <cell r="F58" t="str">
            <v>SC100</v>
          </cell>
          <cell r="H58">
            <v>0</v>
          </cell>
          <cell r="N58">
            <v>0</v>
          </cell>
          <cell r="AD58">
            <v>0</v>
          </cell>
          <cell r="AF58">
            <v>0</v>
          </cell>
          <cell r="AH58">
            <v>0</v>
          </cell>
          <cell r="AJ58">
            <v>0</v>
          </cell>
        </row>
        <row r="59">
          <cell r="F59">
            <v>592</v>
          </cell>
          <cell r="H59">
            <v>0</v>
          </cell>
          <cell r="N59">
            <v>0</v>
          </cell>
          <cell r="AD59">
            <v>0</v>
          </cell>
          <cell r="AF59">
            <v>0</v>
          </cell>
          <cell r="AH59">
            <v>0</v>
          </cell>
          <cell r="AJ59">
            <v>0</v>
          </cell>
        </row>
        <row r="60">
          <cell r="F60">
            <v>590</v>
          </cell>
          <cell r="H60">
            <v>0</v>
          </cell>
          <cell r="N60">
            <v>0</v>
          </cell>
          <cell r="AD60">
            <v>0</v>
          </cell>
          <cell r="AF60">
            <v>0</v>
          </cell>
          <cell r="AH60">
            <v>0</v>
          </cell>
          <cell r="AJ60">
            <v>0</v>
          </cell>
        </row>
        <row r="61">
          <cell r="F61">
            <v>591</v>
          </cell>
          <cell r="H61">
            <v>0</v>
          </cell>
          <cell r="N61">
            <v>0</v>
          </cell>
          <cell r="AD61">
            <v>0</v>
          </cell>
          <cell r="AF61">
            <v>0</v>
          </cell>
          <cell r="AH61">
            <v>0</v>
          </cell>
          <cell r="AJ61">
            <v>0</v>
          </cell>
        </row>
        <row r="62">
          <cell r="F62">
            <v>592</v>
          </cell>
          <cell r="H62">
            <v>0</v>
          </cell>
          <cell r="N62">
            <v>0</v>
          </cell>
          <cell r="AD62">
            <v>0</v>
          </cell>
          <cell r="AF62">
            <v>0</v>
          </cell>
          <cell r="AH62">
            <v>0</v>
          </cell>
          <cell r="AJ62">
            <v>0</v>
          </cell>
        </row>
        <row r="63">
          <cell r="F63" t="str">
            <v>592F</v>
          </cell>
          <cell r="H63">
            <v>0</v>
          </cell>
          <cell r="N63">
            <v>0</v>
          </cell>
          <cell r="AD63">
            <v>0</v>
          </cell>
          <cell r="AF63">
            <v>0</v>
          </cell>
          <cell r="AH63">
            <v>0</v>
          </cell>
          <cell r="AJ63">
            <v>0</v>
          </cell>
        </row>
        <row r="64">
          <cell r="F64">
            <v>593</v>
          </cell>
          <cell r="H64">
            <v>0</v>
          </cell>
          <cell r="N64">
            <v>0</v>
          </cell>
          <cell r="AD64">
            <v>0</v>
          </cell>
          <cell r="AF64">
            <v>0</v>
          </cell>
          <cell r="AH64">
            <v>0</v>
          </cell>
          <cell r="AJ64">
            <v>0</v>
          </cell>
        </row>
        <row r="65">
          <cell r="F65" t="str">
            <v>E548L</v>
          </cell>
          <cell r="H65">
            <v>0</v>
          </cell>
          <cell r="N65">
            <v>0</v>
          </cell>
          <cell r="AD65">
            <v>0</v>
          </cell>
          <cell r="AF65">
            <v>0</v>
          </cell>
          <cell r="AH65">
            <v>0</v>
          </cell>
          <cell r="AJ65">
            <v>0</v>
          </cell>
        </row>
        <row r="66">
          <cell r="F66" t="str">
            <v>N571</v>
          </cell>
          <cell r="H66">
            <v>0</v>
          </cell>
          <cell r="N66">
            <v>0</v>
          </cell>
          <cell r="AD66">
            <v>0</v>
          </cell>
          <cell r="AF66">
            <v>0</v>
          </cell>
          <cell r="AH66">
            <v>0</v>
          </cell>
          <cell r="AJ66">
            <v>0</v>
          </cell>
        </row>
        <row r="67">
          <cell r="F67">
            <v>372</v>
          </cell>
          <cell r="H67">
            <v>0</v>
          </cell>
          <cell r="N67">
            <v>0</v>
          </cell>
          <cell r="AD67">
            <v>0</v>
          </cell>
          <cell r="AF67">
            <v>0</v>
          </cell>
          <cell r="AH67">
            <v>0</v>
          </cell>
          <cell r="AJ67">
            <v>0</v>
          </cell>
        </row>
        <row r="68">
          <cell r="F68" t="str">
            <v>E548L</v>
          </cell>
          <cell r="H68">
            <v>0</v>
          </cell>
          <cell r="N68">
            <v>0</v>
          </cell>
          <cell r="AD68">
            <v>0</v>
          </cell>
          <cell r="AF68">
            <v>0</v>
          </cell>
          <cell r="AH68">
            <v>0</v>
          </cell>
          <cell r="AJ68">
            <v>0</v>
          </cell>
        </row>
        <row r="69">
          <cell r="F69">
            <v>571</v>
          </cell>
          <cell r="H69">
            <v>0</v>
          </cell>
          <cell r="N69">
            <v>0</v>
          </cell>
          <cell r="AD69">
            <v>0</v>
          </cell>
          <cell r="AF69">
            <v>0</v>
          </cell>
          <cell r="AH69">
            <v>0</v>
          </cell>
          <cell r="AJ69">
            <v>0</v>
          </cell>
        </row>
        <row r="70">
          <cell r="F70">
            <v>572</v>
          </cell>
          <cell r="H70">
            <v>0</v>
          </cell>
          <cell r="N70">
            <v>0</v>
          </cell>
          <cell r="AD70">
            <v>0</v>
          </cell>
          <cell r="AF70">
            <v>0</v>
          </cell>
          <cell r="AH70">
            <v>0</v>
          </cell>
          <cell r="AJ70">
            <v>0</v>
          </cell>
        </row>
        <row r="71">
          <cell r="F71">
            <v>110</v>
          </cell>
          <cell r="H71">
            <v>0</v>
          </cell>
          <cell r="N71">
            <v>0</v>
          </cell>
          <cell r="AD71">
            <v>0</v>
          </cell>
          <cell r="AF71">
            <v>0</v>
          </cell>
          <cell r="AH71">
            <v>0</v>
          </cell>
          <cell r="AJ71">
            <v>0</v>
          </cell>
        </row>
        <row r="72">
          <cell r="F72">
            <v>111</v>
          </cell>
          <cell r="H72">
            <v>0</v>
          </cell>
          <cell r="N72">
            <v>0</v>
          </cell>
          <cell r="AD72">
            <v>0</v>
          </cell>
          <cell r="AF72">
            <v>0</v>
          </cell>
          <cell r="AH72">
            <v>0</v>
          </cell>
          <cell r="AJ72">
            <v>0</v>
          </cell>
        </row>
        <row r="73">
          <cell r="F73">
            <v>113</v>
          </cell>
          <cell r="H73">
            <v>0</v>
          </cell>
          <cell r="N73">
            <v>0</v>
          </cell>
          <cell r="AD73">
            <v>0</v>
          </cell>
          <cell r="AF73">
            <v>0</v>
          </cell>
          <cell r="AH73">
            <v>0</v>
          </cell>
          <cell r="AJ73">
            <v>0</v>
          </cell>
        </row>
        <row r="74">
          <cell r="F74">
            <v>110</v>
          </cell>
          <cell r="H74">
            <v>0</v>
          </cell>
          <cell r="N74">
            <v>0</v>
          </cell>
          <cell r="AD74">
            <v>0</v>
          </cell>
          <cell r="AF74">
            <v>0</v>
          </cell>
          <cell r="AH74">
            <v>0</v>
          </cell>
          <cell r="AJ74">
            <v>0</v>
          </cell>
        </row>
        <row r="75">
          <cell r="F75">
            <v>111</v>
          </cell>
          <cell r="H75">
            <v>0</v>
          </cell>
          <cell r="N75">
            <v>0</v>
          </cell>
          <cell r="AD75">
            <v>0</v>
          </cell>
          <cell r="AF75">
            <v>0</v>
          </cell>
          <cell r="AH75">
            <v>0</v>
          </cell>
          <cell r="AJ75">
            <v>0</v>
          </cell>
        </row>
        <row r="76">
          <cell r="F76">
            <v>113</v>
          </cell>
          <cell r="H76">
            <v>0</v>
          </cell>
          <cell r="N76">
            <v>0</v>
          </cell>
          <cell r="AD76">
            <v>0</v>
          </cell>
          <cell r="AF76">
            <v>0</v>
          </cell>
          <cell r="AH76">
            <v>0</v>
          </cell>
          <cell r="AJ76">
            <v>0</v>
          </cell>
        </row>
        <row r="77">
          <cell r="F77" t="str">
            <v>P110</v>
          </cell>
          <cell r="H77">
            <v>0</v>
          </cell>
          <cell r="N77">
            <v>0</v>
          </cell>
          <cell r="AD77">
            <v>0</v>
          </cell>
          <cell r="AF77">
            <v>0</v>
          </cell>
          <cell r="AH77">
            <v>0</v>
          </cell>
          <cell r="AJ77">
            <v>0</v>
          </cell>
        </row>
        <row r="78">
          <cell r="F78" t="str">
            <v>P111</v>
          </cell>
          <cell r="H78">
            <v>0</v>
          </cell>
          <cell r="N78">
            <v>0</v>
          </cell>
          <cell r="AD78">
            <v>0</v>
          </cell>
          <cell r="AF78">
            <v>0</v>
          </cell>
          <cell r="AH78">
            <v>0</v>
          </cell>
          <cell r="AJ78">
            <v>0</v>
          </cell>
        </row>
        <row r="79">
          <cell r="F79" t="str">
            <v>113+</v>
          </cell>
          <cell r="H79">
            <v>0</v>
          </cell>
          <cell r="N79">
            <v>0</v>
          </cell>
          <cell r="AD79">
            <v>0</v>
          </cell>
          <cell r="AF79">
            <v>0</v>
          </cell>
          <cell r="AH79">
            <v>0</v>
          </cell>
          <cell r="AJ79">
            <v>0</v>
          </cell>
        </row>
        <row r="80">
          <cell r="F80" t="str">
            <v>113+</v>
          </cell>
          <cell r="H80">
            <v>0</v>
          </cell>
          <cell r="N80">
            <v>0</v>
          </cell>
          <cell r="AD80">
            <v>0</v>
          </cell>
          <cell r="AF80">
            <v>0</v>
          </cell>
          <cell r="AH80">
            <v>0</v>
          </cell>
          <cell r="AJ80">
            <v>0</v>
          </cell>
        </row>
        <row r="81">
          <cell r="F81">
            <v>134</v>
          </cell>
          <cell r="H81">
            <v>0</v>
          </cell>
          <cell r="N81">
            <v>0</v>
          </cell>
          <cell r="AD81">
            <v>0</v>
          </cell>
          <cell r="AF81">
            <v>0</v>
          </cell>
          <cell r="AH81">
            <v>0</v>
          </cell>
          <cell r="AJ81">
            <v>0</v>
          </cell>
        </row>
        <row r="82">
          <cell r="F82">
            <v>134</v>
          </cell>
          <cell r="H82">
            <v>0</v>
          </cell>
          <cell r="N82">
            <v>0</v>
          </cell>
          <cell r="AD82">
            <v>0</v>
          </cell>
          <cell r="AF82">
            <v>0</v>
          </cell>
          <cell r="AH82">
            <v>0</v>
          </cell>
          <cell r="AJ82">
            <v>0</v>
          </cell>
        </row>
        <row r="83">
          <cell r="F83">
            <v>124</v>
          </cell>
          <cell r="H83">
            <v>0</v>
          </cell>
          <cell r="N83">
            <v>0</v>
          </cell>
          <cell r="AD83">
            <v>0</v>
          </cell>
          <cell r="AF83">
            <v>0</v>
          </cell>
          <cell r="AH83">
            <v>0</v>
          </cell>
          <cell r="AJ83">
            <v>0</v>
          </cell>
        </row>
        <row r="84">
          <cell r="F84" t="str">
            <v>DJ300</v>
          </cell>
          <cell r="H84">
            <v>0</v>
          </cell>
          <cell r="N84">
            <v>0</v>
          </cell>
          <cell r="AD84">
            <v>0</v>
          </cell>
          <cell r="AF84">
            <v>0</v>
          </cell>
          <cell r="AH84">
            <v>0</v>
          </cell>
          <cell r="AJ84">
            <v>0</v>
          </cell>
        </row>
        <row r="85">
          <cell r="F85">
            <v>122</v>
          </cell>
          <cell r="H85">
            <v>0</v>
          </cell>
          <cell r="N85">
            <v>0</v>
          </cell>
          <cell r="AD85">
            <v>0</v>
          </cell>
          <cell r="AF85">
            <v>0</v>
          </cell>
          <cell r="AH85">
            <v>0</v>
          </cell>
          <cell r="AJ85">
            <v>0</v>
          </cell>
        </row>
        <row r="86">
          <cell r="F86">
            <v>124</v>
          </cell>
          <cell r="H86">
            <v>0</v>
          </cell>
          <cell r="N86">
            <v>0</v>
          </cell>
          <cell r="AD86">
            <v>0</v>
          </cell>
          <cell r="AF86">
            <v>0</v>
          </cell>
          <cell r="AH86">
            <v>0</v>
          </cell>
          <cell r="AJ86">
            <v>0</v>
          </cell>
        </row>
        <row r="87">
          <cell r="F87" t="str">
            <v>DJ300</v>
          </cell>
          <cell r="H87">
            <v>0</v>
          </cell>
          <cell r="N87">
            <v>0</v>
          </cell>
          <cell r="AD87">
            <v>0</v>
          </cell>
          <cell r="AF87">
            <v>0</v>
          </cell>
          <cell r="AH87">
            <v>0</v>
          </cell>
          <cell r="AJ87">
            <v>0</v>
          </cell>
        </row>
        <row r="88">
          <cell r="F88" t="str">
            <v>N124L</v>
          </cell>
          <cell r="H88">
            <v>0</v>
          </cell>
          <cell r="N88">
            <v>0</v>
          </cell>
          <cell r="AD88">
            <v>0</v>
          </cell>
          <cell r="AF88">
            <v>0</v>
          </cell>
          <cell r="AH88">
            <v>0</v>
          </cell>
          <cell r="AJ88">
            <v>0</v>
          </cell>
        </row>
        <row r="89">
          <cell r="F89" t="str">
            <v>N124L</v>
          </cell>
          <cell r="H89">
            <v>0</v>
          </cell>
          <cell r="N89">
            <v>0</v>
          </cell>
          <cell r="AD89">
            <v>0</v>
          </cell>
          <cell r="AF89">
            <v>0</v>
          </cell>
          <cell r="AH89">
            <v>0</v>
          </cell>
          <cell r="AJ89">
            <v>0</v>
          </cell>
        </row>
        <row r="90">
          <cell r="F90">
            <v>149</v>
          </cell>
          <cell r="H90">
            <v>0</v>
          </cell>
          <cell r="N90">
            <v>0</v>
          </cell>
          <cell r="AD90">
            <v>0</v>
          </cell>
          <cell r="AF90">
            <v>0</v>
          </cell>
          <cell r="AH90">
            <v>0</v>
          </cell>
          <cell r="AJ90">
            <v>0</v>
          </cell>
        </row>
        <row r="91">
          <cell r="F91">
            <v>149</v>
          </cell>
          <cell r="H91">
            <v>0</v>
          </cell>
          <cell r="N91">
            <v>0</v>
          </cell>
          <cell r="AD91">
            <v>0</v>
          </cell>
          <cell r="AF91">
            <v>0</v>
          </cell>
          <cell r="AH91">
            <v>0</v>
          </cell>
          <cell r="AJ91">
            <v>0</v>
          </cell>
        </row>
        <row r="92">
          <cell r="F92">
            <v>808</v>
          </cell>
          <cell r="H92">
            <v>0</v>
          </cell>
          <cell r="N92">
            <v>0</v>
          </cell>
          <cell r="AD92">
            <v>0</v>
          </cell>
          <cell r="AF92">
            <v>0</v>
          </cell>
          <cell r="AH92">
            <v>0</v>
          </cell>
          <cell r="AJ92">
            <v>0</v>
          </cell>
        </row>
        <row r="93">
          <cell r="F93">
            <v>808</v>
          </cell>
          <cell r="H93">
            <v>0</v>
          </cell>
          <cell r="N93">
            <v>0</v>
          </cell>
          <cell r="AD93">
            <v>0</v>
          </cell>
          <cell r="AF93">
            <v>0</v>
          </cell>
          <cell r="AH93">
            <v>0</v>
          </cell>
          <cell r="AJ93">
            <v>0</v>
          </cell>
        </row>
        <row r="94">
          <cell r="F94">
            <v>149</v>
          </cell>
          <cell r="H94">
            <v>0</v>
          </cell>
          <cell r="N94">
            <v>0</v>
          </cell>
          <cell r="AD94">
            <v>0</v>
          </cell>
          <cell r="AF94">
            <v>0</v>
          </cell>
          <cell r="AH94">
            <v>0</v>
          </cell>
          <cell r="AJ94">
            <v>0</v>
          </cell>
        </row>
        <row r="95">
          <cell r="F95" t="str">
            <v>808S</v>
          </cell>
          <cell r="H95">
            <v>0</v>
          </cell>
          <cell r="N95">
            <v>0</v>
          </cell>
          <cell r="AD95">
            <v>0</v>
          </cell>
          <cell r="AF95">
            <v>0</v>
          </cell>
          <cell r="AH95">
            <v>0</v>
          </cell>
          <cell r="AJ95">
            <v>0</v>
          </cell>
        </row>
        <row r="96">
          <cell r="F96">
            <v>808</v>
          </cell>
          <cell r="H96">
            <v>0</v>
          </cell>
          <cell r="N96">
            <v>0</v>
          </cell>
          <cell r="AD96">
            <v>0</v>
          </cell>
          <cell r="AF96">
            <v>0</v>
          </cell>
          <cell r="AH96">
            <v>0</v>
          </cell>
          <cell r="AJ96">
            <v>0</v>
          </cell>
        </row>
        <row r="97">
          <cell r="F97" t="str">
            <v>N808</v>
          </cell>
          <cell r="H97">
            <v>0</v>
          </cell>
          <cell r="N97">
            <v>0</v>
          </cell>
          <cell r="AD97">
            <v>0</v>
          </cell>
          <cell r="AF97">
            <v>0</v>
          </cell>
          <cell r="AH97">
            <v>0</v>
          </cell>
          <cell r="AJ97">
            <v>0</v>
          </cell>
        </row>
        <row r="98">
          <cell r="F98" t="str">
            <v>808S</v>
          </cell>
          <cell r="H98">
            <v>0</v>
          </cell>
          <cell r="N98">
            <v>0</v>
          </cell>
          <cell r="AD98">
            <v>0</v>
          </cell>
          <cell r="AF98">
            <v>0</v>
          </cell>
          <cell r="AH98">
            <v>0</v>
          </cell>
          <cell r="AJ98">
            <v>0</v>
          </cell>
        </row>
        <row r="99">
          <cell r="F99" t="str">
            <v>P800</v>
          </cell>
          <cell r="H99">
            <v>0</v>
          </cell>
          <cell r="N99">
            <v>0</v>
          </cell>
          <cell r="AD99">
            <v>0</v>
          </cell>
          <cell r="AF99">
            <v>0</v>
          </cell>
          <cell r="AH99">
            <v>0</v>
          </cell>
          <cell r="AJ99">
            <v>0</v>
          </cell>
        </row>
        <row r="100">
          <cell r="F100" t="str">
            <v>N800</v>
          </cell>
          <cell r="H100">
            <v>0</v>
          </cell>
          <cell r="N100">
            <v>0</v>
          </cell>
          <cell r="AD100">
            <v>0</v>
          </cell>
          <cell r="AF100">
            <v>0</v>
          </cell>
          <cell r="AH100">
            <v>0</v>
          </cell>
          <cell r="AJ100">
            <v>0</v>
          </cell>
        </row>
        <row r="101">
          <cell r="F101" t="str">
            <v>P808</v>
          </cell>
          <cell r="H101">
            <v>0</v>
          </cell>
          <cell r="N101">
            <v>0</v>
          </cell>
          <cell r="AD101">
            <v>0</v>
          </cell>
          <cell r="AF101">
            <v>0</v>
          </cell>
          <cell r="AH101">
            <v>0</v>
          </cell>
          <cell r="AJ101">
            <v>0</v>
          </cell>
        </row>
        <row r="102">
          <cell r="F102">
            <v>2150</v>
          </cell>
          <cell r="H102">
            <v>0</v>
          </cell>
          <cell r="N102">
            <v>0</v>
          </cell>
          <cell r="AD102">
            <v>0</v>
          </cell>
          <cell r="AF102">
            <v>0</v>
          </cell>
          <cell r="AH102">
            <v>0</v>
          </cell>
          <cell r="AJ102">
            <v>0</v>
          </cell>
        </row>
        <row r="103">
          <cell r="F103">
            <v>156</v>
          </cell>
          <cell r="H103">
            <v>0</v>
          </cell>
          <cell r="N103">
            <v>0</v>
          </cell>
          <cell r="AD103">
            <v>0</v>
          </cell>
          <cell r="AF103">
            <v>0</v>
          </cell>
          <cell r="AH103">
            <v>0</v>
          </cell>
          <cell r="AJ103">
            <v>0</v>
          </cell>
        </row>
        <row r="104">
          <cell r="F104">
            <v>157</v>
          </cell>
          <cell r="H104">
            <v>0</v>
          </cell>
          <cell r="N104">
            <v>0</v>
          </cell>
          <cell r="AD104">
            <v>0</v>
          </cell>
          <cell r="AF104">
            <v>0</v>
          </cell>
          <cell r="AH104">
            <v>0</v>
          </cell>
          <cell r="AJ104">
            <v>0</v>
          </cell>
        </row>
        <row r="105">
          <cell r="F105">
            <v>2150</v>
          </cell>
          <cell r="H105">
            <v>0</v>
          </cell>
          <cell r="N105">
            <v>0</v>
          </cell>
          <cell r="AD105">
            <v>0</v>
          </cell>
          <cell r="AF105">
            <v>0</v>
          </cell>
          <cell r="AH105">
            <v>0</v>
          </cell>
          <cell r="AJ105">
            <v>0</v>
          </cell>
        </row>
        <row r="106">
          <cell r="F106" t="str">
            <v>2151-35</v>
          </cell>
          <cell r="H106">
            <v>0</v>
          </cell>
          <cell r="N106">
            <v>0</v>
          </cell>
          <cell r="AD106">
            <v>0</v>
          </cell>
          <cell r="AF106">
            <v>0</v>
          </cell>
          <cell r="AH106">
            <v>0</v>
          </cell>
          <cell r="AJ106">
            <v>0</v>
          </cell>
        </row>
        <row r="107">
          <cell r="F107" t="str">
            <v>2151-37</v>
          </cell>
          <cell r="H107">
            <v>0</v>
          </cell>
          <cell r="N107">
            <v>0</v>
          </cell>
          <cell r="AD107">
            <v>0</v>
          </cell>
          <cell r="AF107">
            <v>0</v>
          </cell>
          <cell r="AH107">
            <v>0</v>
          </cell>
          <cell r="AJ107">
            <v>0</v>
          </cell>
        </row>
        <row r="108">
          <cell r="F108" t="str">
            <v>2151-39</v>
          </cell>
          <cell r="H108">
            <v>0</v>
          </cell>
          <cell r="N108">
            <v>0</v>
          </cell>
          <cell r="AD108">
            <v>0</v>
          </cell>
          <cell r="AF108">
            <v>0</v>
          </cell>
          <cell r="AH108">
            <v>0</v>
          </cell>
          <cell r="AJ108">
            <v>0</v>
          </cell>
        </row>
        <row r="109">
          <cell r="F109" t="str">
            <v>2151-41</v>
          </cell>
          <cell r="H109">
            <v>0</v>
          </cell>
          <cell r="N109">
            <v>0</v>
          </cell>
          <cell r="AD109">
            <v>0</v>
          </cell>
          <cell r="AF109">
            <v>0</v>
          </cell>
          <cell r="AH109">
            <v>0</v>
          </cell>
          <cell r="AJ109">
            <v>0</v>
          </cell>
        </row>
      </sheetData>
      <sheetData sheetId="13" refreshError="1">
        <row r="7">
          <cell r="H7">
            <v>5806.12</v>
          </cell>
          <cell r="N7">
            <v>1446.1930721376757</v>
          </cell>
          <cell r="AD7">
            <v>1224.4309684864356</v>
          </cell>
          <cell r="AF7">
            <v>31.110511174157587</v>
          </cell>
          <cell r="AH7">
            <v>145.61976736121818</v>
          </cell>
          <cell r="AJ7">
            <v>0.72378803625224464</v>
          </cell>
        </row>
        <row r="8">
          <cell r="F8">
            <v>510</v>
          </cell>
          <cell r="H8">
            <v>1410</v>
          </cell>
          <cell r="N8">
            <v>1683.5712695035463</v>
          </cell>
          <cell r="AD8">
            <v>1350.2793013743355</v>
          </cell>
          <cell r="AF8">
            <v>30.761819922061932</v>
          </cell>
          <cell r="AH8">
            <v>152.23913605504583</v>
          </cell>
          <cell r="AJ8">
            <v>-0.211456936652894</v>
          </cell>
        </row>
        <row r="9">
          <cell r="F9">
            <v>511</v>
          </cell>
          <cell r="H9">
            <v>251.64</v>
          </cell>
          <cell r="N9">
            <v>1431.1744158321414</v>
          </cell>
          <cell r="AD9">
            <v>1321.5877083489843</v>
          </cell>
          <cell r="AF9">
            <v>29.791232735354821</v>
          </cell>
          <cell r="AH9">
            <v>127.69050386465472</v>
          </cell>
          <cell r="AJ9">
            <v>-3.0008224639459513E-3</v>
          </cell>
        </row>
        <row r="10">
          <cell r="F10">
            <v>513</v>
          </cell>
          <cell r="H10">
            <v>0</v>
          </cell>
          <cell r="N10">
            <v>0</v>
          </cell>
          <cell r="AD10">
            <v>0</v>
          </cell>
          <cell r="AF10">
            <v>0</v>
          </cell>
          <cell r="AH10">
            <v>0</v>
          </cell>
          <cell r="AJ10">
            <v>0</v>
          </cell>
        </row>
        <row r="11">
          <cell r="F11" t="str">
            <v>510L</v>
          </cell>
          <cell r="H11">
            <v>154.6</v>
          </cell>
          <cell r="N11">
            <v>1511.2441138421734</v>
          </cell>
          <cell r="AD11">
            <v>1202.0117063641969</v>
          </cell>
          <cell r="AF11">
            <v>31.039964178414603</v>
          </cell>
          <cell r="AH11">
            <v>160.23356703238645</v>
          </cell>
          <cell r="AJ11">
            <v>-8.7680068560757718E-2</v>
          </cell>
        </row>
        <row r="12">
          <cell r="F12" t="str">
            <v>N510L</v>
          </cell>
          <cell r="H12">
            <v>57.039999999999992</v>
          </cell>
          <cell r="N12">
            <v>1681.3846423562413</v>
          </cell>
          <cell r="AD12">
            <v>1228.155147822363</v>
          </cell>
          <cell r="AF12">
            <v>88.860490126939339</v>
          </cell>
          <cell r="AH12">
            <v>158.40364713203499</v>
          </cell>
          <cell r="AJ12">
            <v>11.227654793107149</v>
          </cell>
        </row>
        <row r="13">
          <cell r="F13" t="str">
            <v>511L</v>
          </cell>
          <cell r="H13">
            <v>2557.92</v>
          </cell>
          <cell r="N13">
            <v>1369.9670630825044</v>
          </cell>
          <cell r="AD13">
            <v>1190.6752384571612</v>
          </cell>
          <cell r="AF13">
            <v>30.598722655652452</v>
          </cell>
          <cell r="AH13">
            <v>149.85327614219756</v>
          </cell>
          <cell r="AJ13">
            <v>0.69031388559392326</v>
          </cell>
        </row>
        <row r="14">
          <cell r="F14" t="str">
            <v>513L</v>
          </cell>
          <cell r="H14">
            <v>1054.2</v>
          </cell>
          <cell r="N14">
            <v>1308.9905046480744</v>
          </cell>
          <cell r="AD14">
            <v>1117.0541634609908</v>
          </cell>
          <cell r="AF14">
            <v>30.304264054453125</v>
          </cell>
          <cell r="AH14">
            <v>139.44051921647818</v>
          </cell>
          <cell r="AJ14">
            <v>2.1770795796551283</v>
          </cell>
        </row>
        <row r="15">
          <cell r="F15">
            <v>710</v>
          </cell>
          <cell r="H15">
            <v>39.36</v>
          </cell>
          <cell r="N15">
            <v>1736.3036077235774</v>
          </cell>
          <cell r="AD15">
            <v>1313.8267117497887</v>
          </cell>
          <cell r="AF15">
            <v>32.014581572273883</v>
          </cell>
          <cell r="AH15">
            <v>150.79797125950972</v>
          </cell>
          <cell r="AJ15">
            <v>0.43914374207997753</v>
          </cell>
        </row>
        <row r="16">
          <cell r="F16" t="str">
            <v>711L</v>
          </cell>
          <cell r="H16">
            <v>54.760000000000005</v>
          </cell>
          <cell r="N16">
            <v>1408.1303871439006</v>
          </cell>
          <cell r="AD16">
            <v>1166.3583585476549</v>
          </cell>
          <cell r="AF16">
            <v>32.062027231467475</v>
          </cell>
          <cell r="AH16">
            <v>146.82469742813919</v>
          </cell>
          <cell r="AJ16">
            <v>-0.17435658842214252</v>
          </cell>
        </row>
        <row r="17">
          <cell r="F17">
            <v>310</v>
          </cell>
          <cell r="H17">
            <v>0</v>
          </cell>
          <cell r="N17">
            <v>0</v>
          </cell>
          <cell r="AD17">
            <v>1368.4932885906042</v>
          </cell>
          <cell r="AF17">
            <v>30.000000000000004</v>
          </cell>
          <cell r="AH17">
            <v>87.963880078629046</v>
          </cell>
          <cell r="AJ17">
            <v>-1486.4571686692332</v>
          </cell>
        </row>
        <row r="18">
          <cell r="F18">
            <v>311</v>
          </cell>
          <cell r="H18">
            <v>14</v>
          </cell>
          <cell r="N18">
            <v>1415.7142857142858</v>
          </cell>
          <cell r="AD18">
            <v>1311.6419001218026</v>
          </cell>
          <cell r="AF18">
            <v>30</v>
          </cell>
          <cell r="AH18">
            <v>87.963880078629046</v>
          </cell>
          <cell r="AJ18">
            <v>-5.7802004312179633E-3</v>
          </cell>
        </row>
        <row r="19">
          <cell r="F19" t="str">
            <v>311L</v>
          </cell>
          <cell r="H19">
            <v>188.68</v>
          </cell>
          <cell r="N19">
            <v>1342.775651897392</v>
          </cell>
          <cell r="AD19">
            <v>1224.4322471894859</v>
          </cell>
          <cell r="AF19">
            <v>30.014723137093455</v>
          </cell>
          <cell r="AH19">
            <v>96.669036386406177</v>
          </cell>
          <cell r="AJ19">
            <v>0.35596699911934593</v>
          </cell>
        </row>
        <row r="20">
          <cell r="F20" t="str">
            <v>313L</v>
          </cell>
          <cell r="H20">
            <v>23.92</v>
          </cell>
          <cell r="N20">
            <v>1271.7725752508361</v>
          </cell>
          <cell r="AD20">
            <v>1131.0316579011367</v>
          </cell>
          <cell r="AF20">
            <v>30.099667221297839</v>
          </cell>
          <cell r="AH20">
            <v>96.312041176725685</v>
          </cell>
          <cell r="AJ20">
            <v>-2.3633857688764692E-2</v>
          </cell>
        </row>
        <row r="21">
          <cell r="F21">
            <v>332</v>
          </cell>
          <cell r="H21">
            <v>1545.64</v>
          </cell>
          <cell r="N21">
            <v>1392.6900960120076</v>
          </cell>
          <cell r="AD21">
            <v>1252.8561153666674</v>
          </cell>
          <cell r="AF21">
            <v>30.587467870474416</v>
          </cell>
          <cell r="AH21">
            <v>101.58032141045194</v>
          </cell>
          <cell r="AJ21">
            <v>-0.19009235888324838</v>
          </cell>
        </row>
        <row r="22">
          <cell r="F22">
            <v>331</v>
          </cell>
          <cell r="H22">
            <v>87.92</v>
          </cell>
          <cell r="N22">
            <v>1600.9181073703367</v>
          </cell>
          <cell r="AD22">
            <v>1371.5943851124064</v>
          </cell>
          <cell r="AF22">
            <v>29.832086213908095</v>
          </cell>
          <cell r="AH22">
            <v>95.157390647470663</v>
          </cell>
          <cell r="AJ22">
            <v>3.098394623121294</v>
          </cell>
        </row>
        <row r="23">
          <cell r="F23">
            <v>332</v>
          </cell>
          <cell r="H23">
            <v>337.36</v>
          </cell>
          <cell r="N23">
            <v>1344.3701387242115</v>
          </cell>
          <cell r="AD23">
            <v>1225.6239933950296</v>
          </cell>
          <cell r="AF23">
            <v>29.758820651548291</v>
          </cell>
          <cell r="AH23">
            <v>87.892269047587931</v>
          </cell>
          <cell r="AJ23">
            <v>0.68562356933898627</v>
          </cell>
        </row>
        <row r="24">
          <cell r="F24">
            <v>334</v>
          </cell>
          <cell r="H24">
            <v>803.24</v>
          </cell>
          <cell r="N24">
            <v>1354.3354788108161</v>
          </cell>
          <cell r="AD24">
            <v>1251.2808751359003</v>
          </cell>
          <cell r="AF24">
            <v>29.961456856453502</v>
          </cell>
          <cell r="AH24">
            <v>91.323907706654879</v>
          </cell>
          <cell r="AJ24">
            <v>6.1131334931133097E-2</v>
          </cell>
        </row>
        <row r="25">
          <cell r="F25">
            <v>531</v>
          </cell>
          <cell r="H25">
            <v>0</v>
          </cell>
          <cell r="N25">
            <v>0</v>
          </cell>
          <cell r="AD25">
            <v>0</v>
          </cell>
          <cell r="AF25">
            <v>0</v>
          </cell>
          <cell r="AH25">
            <v>0</v>
          </cell>
          <cell r="AJ25">
            <v>0</v>
          </cell>
        </row>
        <row r="26">
          <cell r="F26" t="str">
            <v>531N</v>
          </cell>
          <cell r="H26">
            <v>33.919999999999995</v>
          </cell>
          <cell r="N26">
            <v>1663.3219339622644</v>
          </cell>
          <cell r="AD26">
            <v>1351.1439764365682</v>
          </cell>
          <cell r="AF26">
            <v>31.872290874524719</v>
          </cell>
          <cell r="AH26">
            <v>145.52314248247217</v>
          </cell>
          <cell r="AJ26">
            <v>4.3746060820894854</v>
          </cell>
        </row>
        <row r="27">
          <cell r="F27">
            <v>532</v>
          </cell>
          <cell r="H27">
            <v>0</v>
          </cell>
          <cell r="N27">
            <v>0</v>
          </cell>
          <cell r="AD27">
            <v>0</v>
          </cell>
          <cell r="AF27">
            <v>0</v>
          </cell>
          <cell r="AH27">
            <v>0</v>
          </cell>
          <cell r="AJ27">
            <v>0</v>
          </cell>
        </row>
        <row r="28">
          <cell r="F28" t="str">
            <v>532N</v>
          </cell>
          <cell r="H28">
            <v>22.68</v>
          </cell>
          <cell r="N28">
            <v>1549.7354497354497</v>
          </cell>
          <cell r="AD28">
            <v>1195.0825537634407</v>
          </cell>
          <cell r="AF28">
            <v>35.459005376344081</v>
          </cell>
          <cell r="AH28">
            <v>159.60304341168623</v>
          </cell>
          <cell r="AJ28">
            <v>-2.8901933803952033</v>
          </cell>
        </row>
        <row r="29">
          <cell r="F29" t="str">
            <v>533N</v>
          </cell>
          <cell r="H29">
            <v>0</v>
          </cell>
          <cell r="N29">
            <v>0</v>
          </cell>
          <cell r="AD29">
            <v>0</v>
          </cell>
          <cell r="AF29">
            <v>0</v>
          </cell>
          <cell r="AH29">
            <v>0</v>
          </cell>
          <cell r="AJ29">
            <v>0</v>
          </cell>
        </row>
        <row r="30">
          <cell r="F30">
            <v>534</v>
          </cell>
          <cell r="H30">
            <v>0</v>
          </cell>
          <cell r="N30">
            <v>0</v>
          </cell>
          <cell r="AD30">
            <v>0</v>
          </cell>
          <cell r="AF30">
            <v>0</v>
          </cell>
          <cell r="AH30">
            <v>0</v>
          </cell>
          <cell r="AJ30">
            <v>0</v>
          </cell>
        </row>
        <row r="31">
          <cell r="F31" t="str">
            <v>534N</v>
          </cell>
          <cell r="H31">
            <v>227.68</v>
          </cell>
          <cell r="N31">
            <v>1459.1308854532676</v>
          </cell>
          <cell r="AD31">
            <v>1247.0341923004326</v>
          </cell>
          <cell r="AF31">
            <v>33.916605113636365</v>
          </cell>
          <cell r="AH31">
            <v>148.05383234635272</v>
          </cell>
          <cell r="AJ31">
            <v>1.3689853929456604</v>
          </cell>
        </row>
        <row r="32">
          <cell r="F32" t="str">
            <v>535N</v>
          </cell>
          <cell r="H32">
            <v>32.839999999999996</v>
          </cell>
          <cell r="N32">
            <v>1421.0980511571256</v>
          </cell>
          <cell r="AD32">
            <v>1154.1544271218709</v>
          </cell>
          <cell r="AF32">
            <v>31.77061923583663</v>
          </cell>
          <cell r="AH32">
            <v>138.04798886166009</v>
          </cell>
          <cell r="AJ32">
            <v>1.4787918208273823</v>
          </cell>
        </row>
        <row r="33">
          <cell r="F33">
            <v>321</v>
          </cell>
          <cell r="H33">
            <v>7351.76</v>
          </cell>
          <cell r="N33">
            <v>1434.9445629345898</v>
          </cell>
          <cell r="AD33">
            <v>1230.2408540065301</v>
          </cell>
          <cell r="AF33">
            <v>31.00360506988115</v>
          </cell>
          <cell r="AH33">
            <v>136.61843693994001</v>
          </cell>
          <cell r="AJ33">
            <v>0.43727609290067448</v>
          </cell>
        </row>
        <row r="34">
          <cell r="F34">
            <v>322</v>
          </cell>
          <cell r="H34">
            <v>27155.38</v>
          </cell>
          <cell r="N34">
            <v>1122.2709952871219</v>
          </cell>
          <cell r="AD34">
            <v>1020.1833612919964</v>
          </cell>
          <cell r="AF34">
            <v>26.209883529328721</v>
          </cell>
          <cell r="AH34">
            <v>107.24126978121818</v>
          </cell>
          <cell r="AJ34">
            <v>0.72124368892741586</v>
          </cell>
        </row>
        <row r="35">
          <cell r="F35">
            <v>321</v>
          </cell>
          <cell r="H35">
            <v>1417</v>
          </cell>
          <cell r="N35">
            <v>1631.334735356387</v>
          </cell>
          <cell r="AD35">
            <v>1215.3421139627617</v>
          </cell>
          <cell r="AF35">
            <v>30.708962962962968</v>
          </cell>
          <cell r="AH35">
            <v>108.16447047439398</v>
          </cell>
          <cell r="AJ35">
            <v>7.5910636071284898E-2</v>
          </cell>
        </row>
        <row r="36">
          <cell r="F36">
            <v>322</v>
          </cell>
          <cell r="H36">
            <v>4431.88</v>
          </cell>
          <cell r="N36">
            <v>1093.530826646931</v>
          </cell>
          <cell r="AD36">
            <v>996.49697534653978</v>
          </cell>
          <cell r="AF36">
            <v>30.149189243742718</v>
          </cell>
          <cell r="AH36">
            <v>97.99874415505451</v>
          </cell>
          <cell r="AJ36">
            <v>0.62922660775825534</v>
          </cell>
        </row>
        <row r="37">
          <cell r="F37">
            <v>324</v>
          </cell>
          <cell r="H37">
            <v>61.400000000000006</v>
          </cell>
          <cell r="N37">
            <v>1158.757980456026</v>
          </cell>
          <cell r="AD37">
            <v>1083.4371427139588</v>
          </cell>
          <cell r="AF37">
            <v>19.804134248665143</v>
          </cell>
          <cell r="AH37">
            <v>87.276559508845068</v>
          </cell>
          <cell r="AJ37">
            <v>1.2011374698988675</v>
          </cell>
        </row>
        <row r="38">
          <cell r="F38" t="str">
            <v>324L</v>
          </cell>
          <cell r="H38">
            <v>107.52000000000001</v>
          </cell>
          <cell r="N38">
            <v>1059.7055431547619</v>
          </cell>
          <cell r="AD38">
            <v>1058.9523253838083</v>
          </cell>
          <cell r="AF38">
            <v>29.657187031484263</v>
          </cell>
          <cell r="AH38">
            <v>85.497570202018224</v>
          </cell>
          <cell r="AJ38">
            <v>9.6513814159379763E-2</v>
          </cell>
        </row>
        <row r="39">
          <cell r="F39">
            <v>521</v>
          </cell>
          <cell r="H39">
            <v>70.759999999999991</v>
          </cell>
          <cell r="N39">
            <v>1684.9471452798193</v>
          </cell>
          <cell r="AD39">
            <v>1222.2341877854265</v>
          </cell>
          <cell r="AF39">
            <v>30.522249357326483</v>
          </cell>
          <cell r="AH39">
            <v>142.91097616091838</v>
          </cell>
          <cell r="AJ39">
            <v>0.83478730090610043</v>
          </cell>
        </row>
        <row r="40">
          <cell r="F40" t="str">
            <v>N324L</v>
          </cell>
          <cell r="H40">
            <v>0</v>
          </cell>
          <cell r="N40">
            <v>0</v>
          </cell>
          <cell r="AD40">
            <v>0</v>
          </cell>
          <cell r="AF40">
            <v>0</v>
          </cell>
          <cell r="AH40">
            <v>0</v>
          </cell>
          <cell r="AJ40">
            <v>0</v>
          </cell>
        </row>
        <row r="41">
          <cell r="F41" t="str">
            <v>324C</v>
          </cell>
          <cell r="H41">
            <v>20949.59</v>
          </cell>
          <cell r="N41">
            <v>1091.8919802249113</v>
          </cell>
          <cell r="AD41">
            <v>1010.4998460738756</v>
          </cell>
          <cell r="AF41">
            <v>25.08150953817858</v>
          </cell>
          <cell r="AH41">
            <v>109.27545230132975</v>
          </cell>
          <cell r="AJ41">
            <v>0.92726085187541685</v>
          </cell>
        </row>
        <row r="42">
          <cell r="F42" t="str">
            <v>324C-H</v>
          </cell>
          <cell r="H42">
            <v>117.23</v>
          </cell>
          <cell r="N42">
            <v>1183.0859848161733</v>
          </cell>
          <cell r="AD42">
            <v>1070.8855240247931</v>
          </cell>
          <cell r="AF42">
            <v>22.194910155940786</v>
          </cell>
          <cell r="AH42">
            <v>90.426032636902988</v>
          </cell>
          <cell r="AJ42">
            <v>1.4586445019911025</v>
          </cell>
        </row>
        <row r="43">
          <cell r="F43" t="str">
            <v>324BR</v>
          </cell>
          <cell r="H43">
            <v>212.60000000000002</v>
          </cell>
          <cell r="N43">
            <v>1297.7613828786452</v>
          </cell>
          <cell r="AD43">
            <v>1247.0456288733417</v>
          </cell>
          <cell r="AF43">
            <v>29.915375378046608</v>
          </cell>
          <cell r="AH43">
            <v>91.743906912200273</v>
          </cell>
          <cell r="AJ43">
            <v>1.687356004802723</v>
          </cell>
        </row>
        <row r="44">
          <cell r="F44" t="str">
            <v>324BR</v>
          </cell>
          <cell r="H44">
            <v>212.60000000000002</v>
          </cell>
          <cell r="N44">
            <v>1297.7613828786452</v>
          </cell>
          <cell r="AD44">
            <v>1247.0456288733417</v>
          </cell>
          <cell r="AF44">
            <v>29.915375378046608</v>
          </cell>
          <cell r="AH44">
            <v>91.743906912200273</v>
          </cell>
          <cell r="AJ44">
            <v>1.687356004802723</v>
          </cell>
        </row>
        <row r="45">
          <cell r="F45" t="str">
            <v>548L</v>
          </cell>
          <cell r="H45">
            <v>27367.98</v>
          </cell>
          <cell r="N45">
            <v>1123.6342400864078</v>
          </cell>
          <cell r="AD45">
            <v>1022.0338288360025</v>
          </cell>
          <cell r="AF45">
            <v>26.240108442769525</v>
          </cell>
          <cell r="AH45">
            <v>107.11486106939255</v>
          </cell>
          <cell r="AJ45">
            <v>0.64517520753975077</v>
          </cell>
        </row>
        <row r="46">
          <cell r="F46" t="str">
            <v>548L</v>
          </cell>
          <cell r="H46">
            <v>34719.74</v>
          </cell>
          <cell r="N46">
            <v>1189.5529013178095</v>
          </cell>
          <cell r="AD46">
            <v>1066.9198883281972</v>
          </cell>
          <cell r="AF46">
            <v>27.2670410970365</v>
          </cell>
          <cell r="AH46">
            <v>113.47535376013261</v>
          </cell>
          <cell r="AJ46">
            <v>-0.32945348321231904</v>
          </cell>
        </row>
        <row r="47">
          <cell r="F47">
            <v>551</v>
          </cell>
          <cell r="H47">
            <v>60.04</v>
          </cell>
          <cell r="N47">
            <v>1500</v>
          </cell>
          <cell r="AD47">
            <v>1065.2570723397737</v>
          </cell>
          <cell r="AF47">
            <v>29.525000000000002</v>
          </cell>
          <cell r="AH47">
            <v>129.1407802609009</v>
          </cell>
          <cell r="AJ47">
            <v>-2.285260067424133E-2</v>
          </cell>
        </row>
        <row r="48">
          <cell r="F48">
            <v>549</v>
          </cell>
          <cell r="H48">
            <v>60.04</v>
          </cell>
          <cell r="N48">
            <v>1500</v>
          </cell>
          <cell r="AD48">
            <v>1065.2570723397737</v>
          </cell>
          <cell r="AF48">
            <v>29.525000000000002</v>
          </cell>
          <cell r="AH48">
            <v>129.1407802609009</v>
          </cell>
          <cell r="AJ48">
            <v>-2.285260067424133E-2</v>
          </cell>
        </row>
        <row r="49">
          <cell r="F49">
            <v>951</v>
          </cell>
          <cell r="H49">
            <v>6056.75</v>
          </cell>
          <cell r="N49">
            <v>2040.0030660007428</v>
          </cell>
          <cell r="AD49">
            <v>1485.6279556837869</v>
          </cell>
          <cell r="AF49">
            <v>41.45825877374714</v>
          </cell>
          <cell r="AH49">
            <v>162.2591030029221</v>
          </cell>
          <cell r="AJ49">
            <v>-6.9018858736060338</v>
          </cell>
        </row>
        <row r="50">
          <cell r="F50">
            <v>551</v>
          </cell>
          <cell r="H50">
            <v>1491.1999999999998</v>
          </cell>
          <cell r="N50">
            <v>2043.542221030043</v>
          </cell>
          <cell r="AD50">
            <v>1505.9921894100526</v>
          </cell>
          <cell r="AF50">
            <v>41.641176093903091</v>
          </cell>
          <cell r="AH50">
            <v>164.34646626674274</v>
          </cell>
          <cell r="AJ50">
            <v>-1.3281603196794549</v>
          </cell>
        </row>
        <row r="51">
          <cell r="F51" t="str">
            <v>551L</v>
          </cell>
          <cell r="H51">
            <v>1025.3599999999999</v>
          </cell>
          <cell r="N51">
            <v>1816.609756573301</v>
          </cell>
          <cell r="AD51">
            <v>1284.0581525094287</v>
          </cell>
          <cell r="AF51">
            <v>53.030565754180394</v>
          </cell>
          <cell r="AH51">
            <v>165.09199947567186</v>
          </cell>
          <cell r="AJ51">
            <v>-0.28804830972921991</v>
          </cell>
        </row>
        <row r="52">
          <cell r="F52">
            <v>951</v>
          </cell>
          <cell r="H52">
            <v>2177.6700000000005</v>
          </cell>
          <cell r="N52">
            <v>2118.5669637732071</v>
          </cell>
          <cell r="AD52">
            <v>1546.3058872181889</v>
          </cell>
          <cell r="AF52">
            <v>39.402425762340798</v>
          </cell>
          <cell r="AH52">
            <v>161.7407131601764</v>
          </cell>
          <cell r="AJ52">
            <v>0.13425889449081296</v>
          </cell>
        </row>
        <row r="53">
          <cell r="F53">
            <v>552</v>
          </cell>
          <cell r="H53">
            <v>435.92</v>
          </cell>
          <cell r="N53">
            <v>1691.3315746008441</v>
          </cell>
          <cell r="AD53">
            <v>1246.6760373821769</v>
          </cell>
          <cell r="AF53">
            <v>31.270791534818997</v>
          </cell>
          <cell r="AH53">
            <v>151.45195376659348</v>
          </cell>
          <cell r="AJ53">
            <v>-1.9886062432935887</v>
          </cell>
        </row>
        <row r="54">
          <cell r="F54" t="str">
            <v>551S</v>
          </cell>
          <cell r="H54">
            <v>626.1400000000001</v>
          </cell>
          <cell r="N54">
            <v>2246.4147794422965</v>
          </cell>
          <cell r="AD54">
            <v>1578.9795606582961</v>
          </cell>
          <cell r="AF54">
            <v>38.026286792682555</v>
          </cell>
          <cell r="AH54">
            <v>165.16811315360377</v>
          </cell>
          <cell r="AJ54">
            <v>0.86191703864119518</v>
          </cell>
        </row>
        <row r="55">
          <cell r="F55" t="str">
            <v>P551S</v>
          </cell>
          <cell r="H55">
            <v>192.60999999999999</v>
          </cell>
          <cell r="N55">
            <v>2261.1175432220548</v>
          </cell>
          <cell r="AD55">
            <v>1561.7192085954341</v>
          </cell>
          <cell r="AF55">
            <v>37.189850352112678</v>
          </cell>
          <cell r="AH55">
            <v>166.61824182466168</v>
          </cell>
          <cell r="AJ55">
            <v>-0.68981463206978333</v>
          </cell>
        </row>
        <row r="56">
          <cell r="F56">
            <v>2551</v>
          </cell>
          <cell r="H56">
            <v>32.1</v>
          </cell>
          <cell r="N56">
            <v>2345.8003115264796</v>
          </cell>
          <cell r="AD56">
            <v>1629.5904050490235</v>
          </cell>
          <cell r="AF56">
            <v>37.704399022439461</v>
          </cell>
          <cell r="AH56">
            <v>141.15482262680612</v>
          </cell>
          <cell r="AJ56">
            <v>3.7983483796124347</v>
          </cell>
        </row>
        <row r="57">
          <cell r="F57">
            <v>555</v>
          </cell>
          <cell r="H57">
            <v>26.07</v>
          </cell>
          <cell r="N57">
            <v>1312.0575373993095</v>
          </cell>
          <cell r="AD57">
            <v>967.71579825834544</v>
          </cell>
          <cell r="AF57">
            <v>34.939949201741655</v>
          </cell>
          <cell r="AH57">
            <v>174.98125120532777</v>
          </cell>
          <cell r="AJ57">
            <v>4.2039955991851912</v>
          </cell>
        </row>
        <row r="58">
          <cell r="F58">
            <v>550</v>
          </cell>
          <cell r="H58">
            <v>49.680000000000007</v>
          </cell>
          <cell r="N58">
            <v>2885.7673107890496</v>
          </cell>
          <cell r="AD58">
            <v>2361.5104204778481</v>
          </cell>
          <cell r="AF58">
            <v>45.290839440373084</v>
          </cell>
          <cell r="AH58">
            <v>128.48356832881393</v>
          </cell>
          <cell r="AJ58">
            <v>0.93260331496094295</v>
          </cell>
        </row>
        <row r="59">
          <cell r="F59" t="str">
            <v>SC100</v>
          </cell>
          <cell r="H59">
            <v>0</v>
          </cell>
          <cell r="N59">
            <v>0</v>
          </cell>
          <cell r="AD59">
            <v>1583.844130384294</v>
          </cell>
          <cell r="AF59">
            <v>41.504273804917517</v>
          </cell>
          <cell r="AH59">
            <v>160.35412036871023</v>
          </cell>
          <cell r="AJ59">
            <v>-1785.7024893825724</v>
          </cell>
        </row>
        <row r="60">
          <cell r="F60">
            <v>592</v>
          </cell>
          <cell r="H60">
            <v>1582.8000000000002</v>
          </cell>
          <cell r="N60">
            <v>2013.6219673995449</v>
          </cell>
          <cell r="AD60">
            <v>1701.0357209485778</v>
          </cell>
          <cell r="AF60">
            <v>30.610532660001013</v>
          </cell>
          <cell r="AH60">
            <v>150.84111642939183</v>
          </cell>
          <cell r="AJ60">
            <v>10.172647518309304</v>
          </cell>
        </row>
        <row r="61">
          <cell r="F61">
            <v>590</v>
          </cell>
          <cell r="H61">
            <v>25.119999999999997</v>
          </cell>
          <cell r="N61">
            <v>2432.7659235668789</v>
          </cell>
          <cell r="AD61">
            <v>0</v>
          </cell>
          <cell r="AF61">
            <v>0</v>
          </cell>
          <cell r="AH61">
            <v>0</v>
          </cell>
          <cell r="AJ61">
            <v>2373.4374203821653</v>
          </cell>
        </row>
        <row r="62">
          <cell r="F62">
            <v>591</v>
          </cell>
          <cell r="H62">
            <v>352.72</v>
          </cell>
          <cell r="N62">
            <v>2163.6518201406211</v>
          </cell>
          <cell r="AD62">
            <v>1882.6629592286024</v>
          </cell>
          <cell r="AF62">
            <v>30.74444986232217</v>
          </cell>
          <cell r="AH62">
            <v>150.41293546356664</v>
          </cell>
          <cell r="AJ62">
            <v>1.0694007321371828</v>
          </cell>
        </row>
        <row r="63">
          <cell r="F63">
            <v>592</v>
          </cell>
          <cell r="H63">
            <v>1041.08</v>
          </cell>
          <cell r="N63">
            <v>1968.3588100818386</v>
          </cell>
          <cell r="AD63">
            <v>1677.6185833214499</v>
          </cell>
          <cell r="AF63">
            <v>30.581335253107</v>
          </cell>
          <cell r="AH63">
            <v>151.40409481745579</v>
          </cell>
          <cell r="AJ63">
            <v>0.55055104500115704</v>
          </cell>
        </row>
        <row r="64">
          <cell r="F64" t="str">
            <v>592F</v>
          </cell>
          <cell r="H64">
            <v>0</v>
          </cell>
          <cell r="N64">
            <v>0</v>
          </cell>
          <cell r="AD64">
            <v>0</v>
          </cell>
          <cell r="AF64">
            <v>0</v>
          </cell>
          <cell r="AH64">
            <v>0</v>
          </cell>
          <cell r="AJ64">
            <v>0</v>
          </cell>
        </row>
        <row r="65">
          <cell r="F65">
            <v>593</v>
          </cell>
          <cell r="H65">
            <v>163.88</v>
          </cell>
          <cell r="N65">
            <v>1914.0072614107889</v>
          </cell>
          <cell r="AD65">
            <v>1476.5038659942891</v>
          </cell>
          <cell r="AF65">
            <v>30.51824685900419</v>
          </cell>
          <cell r="AH65">
            <v>148.25244720657858</v>
          </cell>
          <cell r="AJ65">
            <v>-0.50337042639625906</v>
          </cell>
        </row>
        <row r="66">
          <cell r="F66" t="str">
            <v>E548L</v>
          </cell>
          <cell r="H66">
            <v>1215.8000000000002</v>
          </cell>
          <cell r="N66">
            <v>1239.5135959861816</v>
          </cell>
          <cell r="AD66">
            <v>978.72520449912827</v>
          </cell>
          <cell r="AF66">
            <v>36.147181631857144</v>
          </cell>
          <cell r="AH66">
            <v>113.20207838931911</v>
          </cell>
          <cell r="AJ66">
            <v>4.117004595290382</v>
          </cell>
        </row>
        <row r="67">
          <cell r="F67" t="str">
            <v>N571</v>
          </cell>
          <cell r="H67">
            <v>115.04000000000002</v>
          </cell>
          <cell r="N67">
            <v>1424.4381084840052</v>
          </cell>
          <cell r="AD67">
            <v>1042.5347396583159</v>
          </cell>
          <cell r="AF67">
            <v>58.688106890390749</v>
          </cell>
          <cell r="AH67">
            <v>160.46210625959631</v>
          </cell>
          <cell r="AJ67">
            <v>0.51582553687876498</v>
          </cell>
        </row>
        <row r="68">
          <cell r="F68">
            <v>372</v>
          </cell>
          <cell r="H68">
            <v>994.96</v>
          </cell>
          <cell r="N68">
            <v>1199.5341119240973</v>
          </cell>
          <cell r="AD68">
            <v>963.17955183517847</v>
          </cell>
          <cell r="AF68">
            <v>30.381584834569644</v>
          </cell>
          <cell r="AH68">
            <v>104.43319958456118</v>
          </cell>
          <cell r="AJ68">
            <v>0.4104914674264819</v>
          </cell>
        </row>
        <row r="69">
          <cell r="F69" t="str">
            <v>E548L</v>
          </cell>
          <cell r="H69">
            <v>54.879999999999995</v>
          </cell>
          <cell r="N69">
            <v>1499.9127186588923</v>
          </cell>
          <cell r="AD69">
            <v>1112.011471234784</v>
          </cell>
          <cell r="AF69">
            <v>88.110359888190089</v>
          </cell>
          <cell r="AH69">
            <v>163.0467173640973</v>
          </cell>
          <cell r="AJ69">
            <v>-0.21323287610766783</v>
          </cell>
        </row>
        <row r="70">
          <cell r="F70">
            <v>571</v>
          </cell>
          <cell r="H70">
            <v>0.24</v>
          </cell>
          <cell r="N70">
            <v>1800</v>
          </cell>
          <cell r="AD70">
            <v>0</v>
          </cell>
          <cell r="AF70">
            <v>0</v>
          </cell>
          <cell r="AH70">
            <v>0</v>
          </cell>
          <cell r="AJ70">
            <v>1258</v>
          </cell>
        </row>
        <row r="71">
          <cell r="F71">
            <v>572</v>
          </cell>
          <cell r="H71">
            <v>50.68</v>
          </cell>
          <cell r="N71">
            <v>1320.0000000000002</v>
          </cell>
          <cell r="AD71">
            <v>0</v>
          </cell>
          <cell r="AF71">
            <v>0</v>
          </cell>
          <cell r="AH71">
            <v>0</v>
          </cell>
          <cell r="AJ71">
            <v>1249.9020520915551</v>
          </cell>
        </row>
        <row r="72">
          <cell r="F72">
            <v>111</v>
          </cell>
          <cell r="H72">
            <v>2798.6000000000004</v>
          </cell>
          <cell r="N72">
            <v>1677.3249053097977</v>
          </cell>
          <cell r="AD72">
            <v>1388.0683441922583</v>
          </cell>
          <cell r="AF72">
            <v>33.009487770415298</v>
          </cell>
          <cell r="AH72">
            <v>134.53263035481964</v>
          </cell>
          <cell r="AJ72">
            <v>6.6780619322780694</v>
          </cell>
        </row>
        <row r="73">
          <cell r="F73">
            <v>113</v>
          </cell>
          <cell r="H73">
            <v>43635.13</v>
          </cell>
          <cell r="N73">
            <v>1339.3102644589349</v>
          </cell>
          <cell r="AD73">
            <v>1148.8544218741918</v>
          </cell>
          <cell r="AF73">
            <v>29.726262990909476</v>
          </cell>
          <cell r="AH73">
            <v>122.02201267597249</v>
          </cell>
          <cell r="AJ73">
            <v>-4.5340295410808267</v>
          </cell>
        </row>
        <row r="74">
          <cell r="F74" t="str">
            <v>P110</v>
          </cell>
          <cell r="H74">
            <v>6261</v>
          </cell>
          <cell r="N74">
            <v>2449.1121450247565</v>
          </cell>
          <cell r="AD74">
            <v>2163.643102512217</v>
          </cell>
          <cell r="AF74">
            <v>30.777705472693828</v>
          </cell>
          <cell r="AH74">
            <v>112.75475448992087</v>
          </cell>
          <cell r="AJ74">
            <v>-1.8042644277197724</v>
          </cell>
        </row>
        <row r="75">
          <cell r="F75">
            <v>110</v>
          </cell>
          <cell r="H75">
            <v>1257.8799999999999</v>
          </cell>
          <cell r="N75">
            <v>2816.0732422806627</v>
          </cell>
          <cell r="AD75">
            <v>2554.9524994864391</v>
          </cell>
          <cell r="AF75">
            <v>30.863944695795233</v>
          </cell>
          <cell r="AH75">
            <v>114.69290357787823</v>
          </cell>
          <cell r="AJ75">
            <v>-1.6718959363738577</v>
          </cell>
        </row>
        <row r="76">
          <cell r="F76">
            <v>111</v>
          </cell>
          <cell r="H76">
            <v>4596.5199999999995</v>
          </cell>
          <cell r="N76">
            <v>2366.9284697988919</v>
          </cell>
          <cell r="AD76">
            <v>2099.6552542306085</v>
          </cell>
          <cell r="AF76">
            <v>30.747142018013317</v>
          </cell>
          <cell r="AH76">
            <v>112.09089999875121</v>
          </cell>
          <cell r="AJ76">
            <v>-2.9574704869742163</v>
          </cell>
        </row>
        <row r="77">
          <cell r="F77">
            <v>113</v>
          </cell>
          <cell r="H77">
            <v>354.76000000000005</v>
          </cell>
          <cell r="N77">
            <v>2209.7065903709549</v>
          </cell>
          <cell r="AD77">
            <v>1641.5752267690195</v>
          </cell>
          <cell r="AF77">
            <v>31.115552706241818</v>
          </cell>
          <cell r="AH77">
            <v>113.97178927159376</v>
          </cell>
          <cell r="AJ77">
            <v>-1.4328664523829957</v>
          </cell>
        </row>
        <row r="78">
          <cell r="F78" t="str">
            <v>P110</v>
          </cell>
          <cell r="H78">
            <v>3</v>
          </cell>
          <cell r="N78">
            <v>2881.77</v>
          </cell>
          <cell r="AD78">
            <v>2296.4266666666667</v>
          </cell>
          <cell r="AF78">
            <v>32.096666666666671</v>
          </cell>
          <cell r="AH78">
            <v>143.16333333333333</v>
          </cell>
          <cell r="AJ78">
            <v>2.6666666735764011E-4</v>
          </cell>
        </row>
        <row r="79">
          <cell r="F79" t="str">
            <v>P111</v>
          </cell>
          <cell r="H79">
            <v>37</v>
          </cell>
          <cell r="N79">
            <v>2450.9027027027028</v>
          </cell>
          <cell r="AD79">
            <v>2071.1252223608972</v>
          </cell>
          <cell r="AF79">
            <v>30.892190775681346</v>
          </cell>
          <cell r="AH79">
            <v>117.87109997500511</v>
          </cell>
          <cell r="AJ79">
            <v>-0.85026006433463408</v>
          </cell>
        </row>
        <row r="80">
          <cell r="F80" t="str">
            <v>113+</v>
          </cell>
          <cell r="H80">
            <v>11.84</v>
          </cell>
          <cell r="N80">
            <v>2426.5760135135133</v>
          </cell>
          <cell r="AD80">
            <v>1756.1050778604397</v>
          </cell>
          <cell r="AF80">
            <v>24.045788770053477</v>
          </cell>
          <cell r="AH80">
            <v>103.9665643413105</v>
          </cell>
          <cell r="AJ80">
            <v>-9.3485120528846437</v>
          </cell>
        </row>
        <row r="81">
          <cell r="F81">
            <v>122</v>
          </cell>
          <cell r="H81">
            <v>0</v>
          </cell>
          <cell r="N81">
            <v>0</v>
          </cell>
          <cell r="AD81">
            <v>0</v>
          </cell>
          <cell r="AF81">
            <v>0</v>
          </cell>
          <cell r="AH81">
            <v>0</v>
          </cell>
          <cell r="AJ81">
            <v>0</v>
          </cell>
        </row>
        <row r="82">
          <cell r="F82">
            <v>122</v>
          </cell>
          <cell r="H82">
            <v>0</v>
          </cell>
          <cell r="N82">
            <v>0</v>
          </cell>
          <cell r="AD82">
            <v>0</v>
          </cell>
          <cell r="AF82">
            <v>0</v>
          </cell>
          <cell r="AH82">
            <v>0</v>
          </cell>
          <cell r="AJ82">
            <v>0</v>
          </cell>
        </row>
        <row r="83">
          <cell r="F83">
            <v>134</v>
          </cell>
          <cell r="H83">
            <v>0</v>
          </cell>
          <cell r="N83">
            <v>0</v>
          </cell>
          <cell r="AD83">
            <v>0</v>
          </cell>
          <cell r="AF83">
            <v>0</v>
          </cell>
          <cell r="AH83">
            <v>0</v>
          </cell>
          <cell r="AJ83">
            <v>0</v>
          </cell>
        </row>
        <row r="84">
          <cell r="F84" t="str">
            <v>DJ300</v>
          </cell>
          <cell r="H84">
            <v>6261</v>
          </cell>
          <cell r="N84">
            <v>2449.1121450247565</v>
          </cell>
          <cell r="AD84">
            <v>2163.643102512217</v>
          </cell>
          <cell r="AF84">
            <v>30.777705472693828</v>
          </cell>
          <cell r="AH84">
            <v>112.75475448992087</v>
          </cell>
          <cell r="AJ84">
            <v>-1.8042644277197724</v>
          </cell>
        </row>
        <row r="85">
          <cell r="F85" t="str">
            <v>N124L</v>
          </cell>
          <cell r="H85">
            <v>1308.8400000000001</v>
          </cell>
          <cell r="N85">
            <v>1506.169264386785</v>
          </cell>
          <cell r="AD85">
            <v>1296.8069162757104</v>
          </cell>
          <cell r="AF85">
            <v>45.027750994201433</v>
          </cell>
          <cell r="AH85">
            <v>127.14971284675819</v>
          </cell>
          <cell r="AJ85">
            <v>-2.3777881960800187</v>
          </cell>
        </row>
        <row r="86">
          <cell r="F86">
            <v>122</v>
          </cell>
          <cell r="H86">
            <v>58.68</v>
          </cell>
          <cell r="N86">
            <v>1942.9412065439672</v>
          </cell>
          <cell r="AD86">
            <v>1502.7451742687065</v>
          </cell>
          <cell r="AF86">
            <v>46.887688593844295</v>
          </cell>
          <cell r="AH86">
            <v>104.10736186125132</v>
          </cell>
          <cell r="AJ86">
            <v>2.9476340835362862</v>
          </cell>
        </row>
        <row r="87">
          <cell r="F87">
            <v>124</v>
          </cell>
          <cell r="H87">
            <v>1066.08</v>
          </cell>
          <cell r="N87">
            <v>1478.4401452048626</v>
          </cell>
          <cell r="AD87">
            <v>1280.9566409908077</v>
          </cell>
          <cell r="AF87">
            <v>42.607267622339407</v>
          </cell>
          <cell r="AH87">
            <v>128.79405804583948</v>
          </cell>
          <cell r="AJ87">
            <v>-0.54509813365893933</v>
          </cell>
        </row>
        <row r="88">
          <cell r="F88" t="str">
            <v>DJ300</v>
          </cell>
          <cell r="H88">
            <v>93.2</v>
          </cell>
          <cell r="N88">
            <v>1555.9282188841203</v>
          </cell>
          <cell r="AD88">
            <v>1389.3761268146814</v>
          </cell>
          <cell r="AF88">
            <v>31.329941860465112</v>
          </cell>
          <cell r="AH88">
            <v>120.59181480793595</v>
          </cell>
          <cell r="AJ88">
            <v>-0.69711694944703595</v>
          </cell>
        </row>
        <row r="89">
          <cell r="F89" t="str">
            <v>N124L</v>
          </cell>
          <cell r="H89">
            <v>90.88</v>
          </cell>
          <cell r="N89">
            <v>1498.4023987676057</v>
          </cell>
          <cell r="AD89">
            <v>1219.6078910901622</v>
          </cell>
          <cell r="AF89">
            <v>89.290137915936953</v>
          </cell>
          <cell r="AH89">
            <v>132.5916086457286</v>
          </cell>
          <cell r="AJ89">
            <v>4.0655665974782096E-2</v>
          </cell>
        </row>
        <row r="90">
          <cell r="F90">
            <v>149</v>
          </cell>
          <cell r="H90">
            <v>0</v>
          </cell>
          <cell r="N90">
            <v>0</v>
          </cell>
          <cell r="AD90">
            <v>0</v>
          </cell>
          <cell r="AF90">
            <v>0</v>
          </cell>
          <cell r="AH90">
            <v>0</v>
          </cell>
          <cell r="AJ90">
            <v>0</v>
          </cell>
        </row>
        <row r="91">
          <cell r="F91">
            <v>149</v>
          </cell>
          <cell r="H91">
            <v>0</v>
          </cell>
          <cell r="N91">
            <v>0</v>
          </cell>
          <cell r="AD91">
            <v>0</v>
          </cell>
          <cell r="AF91">
            <v>0</v>
          </cell>
          <cell r="AH91">
            <v>0</v>
          </cell>
          <cell r="AJ91">
            <v>0</v>
          </cell>
        </row>
        <row r="92">
          <cell r="F92">
            <v>808</v>
          </cell>
          <cell r="H92">
            <v>1308.8400000000001</v>
          </cell>
          <cell r="N92">
            <v>1506.169264386785</v>
          </cell>
          <cell r="AD92">
            <v>1296.8069162757104</v>
          </cell>
          <cell r="AF92">
            <v>45.027750994201433</v>
          </cell>
          <cell r="AH92">
            <v>127.14971284675819</v>
          </cell>
          <cell r="AJ92">
            <v>-2.3777881960800187</v>
          </cell>
        </row>
        <row r="93">
          <cell r="F93">
            <v>808</v>
          </cell>
          <cell r="H93">
            <v>7569.84</v>
          </cell>
          <cell r="N93">
            <v>2286.0754943301308</v>
          </cell>
          <cell r="AD93">
            <v>2010.3117200373918</v>
          </cell>
          <cell r="AF93">
            <v>33.298342260629909</v>
          </cell>
          <cell r="AH93">
            <v>115.30102436255305</v>
          </cell>
          <cell r="AJ93">
            <v>1.4361689043598744</v>
          </cell>
        </row>
        <row r="94">
          <cell r="F94" t="str">
            <v>N808</v>
          </cell>
          <cell r="H94">
            <v>0</v>
          </cell>
          <cell r="N94">
            <v>0</v>
          </cell>
          <cell r="AD94">
            <v>0</v>
          </cell>
          <cell r="AF94">
            <v>0</v>
          </cell>
          <cell r="AH94">
            <v>0</v>
          </cell>
          <cell r="AJ94">
            <v>0</v>
          </cell>
        </row>
        <row r="95">
          <cell r="F95">
            <v>149</v>
          </cell>
          <cell r="H95">
            <v>0</v>
          </cell>
          <cell r="N95">
            <v>0</v>
          </cell>
          <cell r="AD95">
            <v>0</v>
          </cell>
          <cell r="AF95">
            <v>0</v>
          </cell>
          <cell r="AH95">
            <v>0</v>
          </cell>
          <cell r="AJ95">
            <v>0</v>
          </cell>
        </row>
        <row r="96">
          <cell r="F96">
            <v>800</v>
          </cell>
          <cell r="H96">
            <v>16680.789999999997</v>
          </cell>
          <cell r="N96">
            <v>2418.1527745388562</v>
          </cell>
          <cell r="AD96">
            <v>1860.1162871922245</v>
          </cell>
          <cell r="AF96">
            <v>37.170937747173639</v>
          </cell>
          <cell r="AH96">
            <v>117.98850464507663</v>
          </cell>
          <cell r="AJ96">
            <v>-1.6041960170643961</v>
          </cell>
        </row>
        <row r="97">
          <cell r="F97">
            <v>808</v>
          </cell>
          <cell r="H97">
            <v>383.71999999999997</v>
          </cell>
          <cell r="N97">
            <v>2056.351063275305</v>
          </cell>
          <cell r="AD97">
            <v>1604.3992156433203</v>
          </cell>
          <cell r="AF97">
            <v>39.887490297542044</v>
          </cell>
          <cell r="AH97">
            <v>111.98891785574351</v>
          </cell>
          <cell r="AJ97">
            <v>-1.4651904275847301</v>
          </cell>
        </row>
        <row r="98">
          <cell r="F98" t="str">
            <v>N808</v>
          </cell>
          <cell r="H98">
            <v>7151.6799999999994</v>
          </cell>
          <cell r="N98">
            <v>2299.4465831804555</v>
          </cell>
          <cell r="AD98">
            <v>1707.5676796360785</v>
          </cell>
          <cell r="AF98">
            <v>39.414571110161937</v>
          </cell>
          <cell r="AH98">
            <v>118.85038082173811</v>
          </cell>
          <cell r="AJ98">
            <v>-3.4745182274577928</v>
          </cell>
        </row>
        <row r="99">
          <cell r="F99" t="str">
            <v>808S</v>
          </cell>
          <cell r="H99">
            <v>1059.56</v>
          </cell>
          <cell r="N99">
            <v>2795.8295802031034</v>
          </cell>
          <cell r="AD99">
            <v>2184.8916363783997</v>
          </cell>
          <cell r="AF99">
            <v>37.991022032053451</v>
          </cell>
          <cell r="AH99">
            <v>120.47718365952095</v>
          </cell>
          <cell r="AJ99">
            <v>-2.1982169907746538</v>
          </cell>
        </row>
        <row r="100">
          <cell r="F100">
            <v>800</v>
          </cell>
          <cell r="H100">
            <v>0</v>
          </cell>
          <cell r="N100">
            <v>0</v>
          </cell>
          <cell r="AD100">
            <v>0</v>
          </cell>
          <cell r="AF100">
            <v>0</v>
          </cell>
          <cell r="AH100">
            <v>0</v>
          </cell>
          <cell r="AJ100">
            <v>0</v>
          </cell>
        </row>
        <row r="101">
          <cell r="F101" t="str">
            <v>P800</v>
          </cell>
          <cell r="H101">
            <v>744.18</v>
          </cell>
          <cell r="N101">
            <v>2420.1547340697148</v>
          </cell>
          <cell r="AD101">
            <v>1952.2849568839563</v>
          </cell>
          <cell r="AF101">
            <v>38.8641460450729</v>
          </cell>
          <cell r="AH101">
            <v>121.83247040499586</v>
          </cell>
          <cell r="AJ101">
            <v>-0.19133037176698053</v>
          </cell>
        </row>
        <row r="102">
          <cell r="F102" t="str">
            <v>N800</v>
          </cell>
          <cell r="H102">
            <v>6924.23</v>
          </cell>
          <cell r="N102">
            <v>2510.619836429466</v>
          </cell>
          <cell r="AD102">
            <v>1987.7329952661071</v>
          </cell>
          <cell r="AF102">
            <v>34.356125055144069</v>
          </cell>
          <cell r="AH102">
            <v>115.78808592604257</v>
          </cell>
          <cell r="AJ102">
            <v>-1.2041585694655623</v>
          </cell>
        </row>
        <row r="103">
          <cell r="F103" t="str">
            <v>P808</v>
          </cell>
          <cell r="H103">
            <v>417.41999999999996</v>
          </cell>
          <cell r="N103">
            <v>2288.4392698002016</v>
          </cell>
          <cell r="AD103">
            <v>1629.7743291428712</v>
          </cell>
          <cell r="AF103">
            <v>37.457729755402511</v>
          </cell>
          <cell r="AH103">
            <v>131.88398985333231</v>
          </cell>
          <cell r="AJ103">
            <v>-3.3856628147809715</v>
          </cell>
        </row>
        <row r="104">
          <cell r="F104" t="str">
            <v>2151-35</v>
          </cell>
          <cell r="H104">
            <v>1186.07</v>
          </cell>
          <cell r="N104">
            <v>2684.5045233417932</v>
          </cell>
          <cell r="AD104">
            <v>2230.090904504114</v>
          </cell>
          <cell r="AF104">
            <v>36.774850881592656</v>
          </cell>
          <cell r="AH104">
            <v>99.469387372382144</v>
          </cell>
          <cell r="AJ104">
            <v>11.080970374081971</v>
          </cell>
        </row>
        <row r="105">
          <cell r="F105">
            <v>156</v>
          </cell>
          <cell r="H105">
            <v>60.83</v>
          </cell>
          <cell r="N105">
            <v>2048.0660858129213</v>
          </cell>
          <cell r="AD105">
            <v>1474.4436565858821</v>
          </cell>
          <cell r="AF105">
            <v>53.080096067247069</v>
          </cell>
          <cell r="AH105">
            <v>110.52765942658426</v>
          </cell>
          <cell r="AJ105">
            <v>2.444234100387348</v>
          </cell>
        </row>
        <row r="106">
          <cell r="F106">
            <v>157</v>
          </cell>
          <cell r="H106">
            <v>102.09999999999998</v>
          </cell>
          <cell r="N106">
            <v>2311.6375122428994</v>
          </cell>
          <cell r="AD106">
            <v>1677.5096163822836</v>
          </cell>
          <cell r="AF106">
            <v>58.800306113261918</v>
          </cell>
          <cell r="AH106">
            <v>118.29702929480015</v>
          </cell>
          <cell r="AJ106">
            <v>3.7917469542321669</v>
          </cell>
        </row>
        <row r="107">
          <cell r="F107">
            <v>2150</v>
          </cell>
          <cell r="H107">
            <v>530.62000000000012</v>
          </cell>
          <cell r="N107">
            <v>2887.8172326712147</v>
          </cell>
          <cell r="AD107">
            <v>2541.1987367135125</v>
          </cell>
          <cell r="AF107">
            <v>34.643970886442645</v>
          </cell>
          <cell r="AH107">
            <v>95.564241376336426</v>
          </cell>
          <cell r="AJ107">
            <v>3.0846750603377586</v>
          </cell>
        </row>
        <row r="108">
          <cell r="F108" t="str">
            <v>2151-35</v>
          </cell>
          <cell r="H108">
            <v>75.8</v>
          </cell>
          <cell r="N108">
            <v>2133.1394459102903</v>
          </cell>
          <cell r="AD108">
            <v>1817.1361841920232</v>
          </cell>
          <cell r="AF108">
            <v>32.465524280189079</v>
          </cell>
          <cell r="AH108">
            <v>101.14350843259152</v>
          </cell>
          <cell r="AJ108">
            <v>18.363794131407758</v>
          </cell>
        </row>
        <row r="109">
          <cell r="F109" t="str">
            <v>2151-37</v>
          </cell>
          <cell r="H109">
            <v>157.70000000000002</v>
          </cell>
          <cell r="N109">
            <v>2478.1977805960682</v>
          </cell>
          <cell r="AD109">
            <v>1973.1654222858458</v>
          </cell>
          <cell r="AF109">
            <v>32.449853509902724</v>
          </cell>
          <cell r="AH109">
            <v>97.842204770074446</v>
          </cell>
          <cell r="AJ109">
            <v>5.5965138562060019</v>
          </cell>
        </row>
        <row r="110">
          <cell r="F110" t="str">
            <v>2151-39</v>
          </cell>
          <cell r="H110">
            <v>193.42</v>
          </cell>
          <cell r="N110">
            <v>2776.8408127391172</v>
          </cell>
          <cell r="AD110">
            <v>2208.6778701600224</v>
          </cell>
          <cell r="AF110">
            <v>32.602994717977737</v>
          </cell>
          <cell r="AH110">
            <v>97.790588276217051</v>
          </cell>
          <cell r="AJ110">
            <v>6.2899198854547649</v>
          </cell>
        </row>
        <row r="111">
          <cell r="F111" t="str">
            <v>2151-41</v>
          </cell>
          <cell r="H111">
            <v>65.599999999999994</v>
          </cell>
          <cell r="N111">
            <v>3071.2551829268295</v>
          </cell>
          <cell r="AD111">
            <v>2526.3474862083049</v>
          </cell>
          <cell r="AF111">
            <v>33.093855368234237</v>
          </cell>
          <cell r="AH111">
            <v>97.326999605506089</v>
          </cell>
          <cell r="AJ111">
            <v>20.262935760666096</v>
          </cell>
        </row>
        <row r="112">
          <cell r="F112" t="str">
            <v>N182</v>
          </cell>
          <cell r="H112">
            <v>17866.859999999997</v>
          </cell>
          <cell r="N112">
            <v>2435.8342148536458</v>
          </cell>
          <cell r="AD112">
            <v>1886.7949617347813</v>
          </cell>
          <cell r="AF112">
            <v>37.142376132179088</v>
          </cell>
          <cell r="AH112">
            <v>116.65310086488388</v>
          </cell>
          <cell r="AJ112">
            <v>-2.7721589282291461</v>
          </cell>
        </row>
        <row r="113">
          <cell r="H113">
            <v>529.95000000000005</v>
          </cell>
          <cell r="N113">
            <v>1558.5811302953109</v>
          </cell>
          <cell r="AD113">
            <v>1282.1371992249265</v>
          </cell>
          <cell r="AF113">
            <v>51.550528017241376</v>
          </cell>
          <cell r="AH113">
            <v>106.14488055262301</v>
          </cell>
          <cell r="AJ113">
            <v>2.3660403231162945</v>
          </cell>
        </row>
        <row r="114">
          <cell r="F114">
            <v>172</v>
          </cell>
          <cell r="H114">
            <v>4.47</v>
          </cell>
          <cell r="N114">
            <v>1734.7472035794183</v>
          </cell>
          <cell r="AD114">
            <v>1157.026936026936</v>
          </cell>
          <cell r="AF114">
            <v>50.570707070707073</v>
          </cell>
          <cell r="AH114">
            <v>133.87373737373738</v>
          </cell>
          <cell r="AJ114">
            <v>-57.480914441747245</v>
          </cell>
        </row>
      </sheetData>
      <sheetData sheetId="14"/>
      <sheetData sheetId="15"/>
      <sheetData sheetId="16"/>
      <sheetData sheetId="17" refreshError="1"/>
      <sheetData sheetId="18" refreshError="1"/>
      <sheetData sheetId="19" refreshError="1"/>
      <sheetData sheetId="20" refreshError="1"/>
      <sheetData sheetId="2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生产部用量"/>
      <sheetName val="生产部金额"/>
      <sheetName val="原料耗用"/>
      <sheetName val="实际原料耗用"/>
      <sheetName val="产量计算"/>
      <sheetName val="成本表"/>
      <sheetName val="单位销售成本"/>
      <sheetName val="销售效益"/>
      <sheetName val="Sheet14"/>
      <sheetName val="Sheet15"/>
      <sheetName val="Sheet16"/>
      <sheetName val="PRICE"/>
      <sheetName val="schedule "/>
      <sheetName val="Chi tiet"/>
      <sheetName val="BOQ1 (2)"/>
      <sheetName val="CB990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5"/>
      <sheetName val="6"/>
      <sheetName val="甘1"/>
      <sheetName val="甘2"/>
      <sheetName val="宣1"/>
      <sheetName val="宣2"/>
      <sheetName val="宣3"/>
      <sheetName val="Sheet12"/>
      <sheetName val="Sheet13"/>
      <sheetName val="Sheet14"/>
      <sheetName val="Sheet15"/>
      <sheetName val="Sheet16"/>
      <sheetName val="Sheet7"/>
      <sheetName val="FFGM06-1"/>
      <sheetName val="7"/>
      <sheetName val="8"/>
      <sheetName val="9"/>
      <sheetName val="10"/>
      <sheetName val="11"/>
      <sheetName val="12"/>
      <sheetName val="TOTAL"/>
      <sheetName val="AGRO-DATA"/>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row r="6">
          <cell r="D6" t="str">
            <v>成都</v>
          </cell>
        </row>
        <row r="12">
          <cell r="D12" t="str">
            <v>清水4</v>
          </cell>
        </row>
        <row r="13">
          <cell r="A13" t="str">
            <v>眉山</v>
          </cell>
          <cell r="B13">
            <v>0</v>
          </cell>
          <cell r="C13">
            <v>0</v>
          </cell>
          <cell r="D13" t="str">
            <v>文宫4</v>
          </cell>
        </row>
        <row r="14">
          <cell r="B14" t="str">
            <v>2  龙正</v>
          </cell>
        </row>
        <row r="15">
          <cell r="I15" t="str">
            <v>资阳</v>
          </cell>
        </row>
        <row r="16">
          <cell r="G16" t="str">
            <v>龙马1</v>
          </cell>
        </row>
        <row r="17">
          <cell r="D17" t="str">
            <v>仁寿3</v>
          </cell>
        </row>
        <row r="18">
          <cell r="C18">
            <v>1</v>
          </cell>
          <cell r="D18">
            <v>0</v>
          </cell>
          <cell r="E18">
            <v>0</v>
          </cell>
          <cell r="F18" t="str">
            <v>2     富加</v>
          </cell>
          <cell r="G18">
            <v>1</v>
          </cell>
          <cell r="H18" t="str">
            <v>北斗</v>
          </cell>
        </row>
        <row r="19">
          <cell r="E19">
            <v>1</v>
          </cell>
        </row>
        <row r="21">
          <cell r="G21">
            <v>1</v>
          </cell>
          <cell r="H21" t="str">
            <v>中农</v>
          </cell>
        </row>
        <row r="22">
          <cell r="H22" t="str">
            <v>2  禾加</v>
          </cell>
        </row>
        <row r="23">
          <cell r="D23" t="str">
            <v xml:space="preserve">    钟祥   1</v>
          </cell>
        </row>
        <row r="25">
          <cell r="E25" t="str">
            <v>宝飞  4</v>
          </cell>
          <cell r="F25">
            <v>0</v>
          </cell>
          <cell r="G25" t="str">
            <v>禄加    1</v>
          </cell>
        </row>
        <row r="27">
          <cell r="F27" t="str">
            <v>彰加</v>
          </cell>
        </row>
        <row r="28">
          <cell r="D28" t="str">
            <v>慈航  1</v>
          </cell>
        </row>
        <row r="29">
          <cell r="H29" t="str">
            <v>汪洋</v>
          </cell>
        </row>
        <row r="30">
          <cell r="H30">
            <v>1</v>
          </cell>
        </row>
        <row r="31">
          <cell r="C31" t="str">
            <v>井研</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月"/>
      <sheetName val="2月"/>
      <sheetName val="3月"/>
      <sheetName val="4月"/>
      <sheetName val="5月"/>
      <sheetName val="6月"/>
      <sheetName val="7月"/>
      <sheetName val="客户毛利计算表"/>
      <sheetName val="客户毛利表"/>
      <sheetName val="产销量表"/>
      <sheetName val="折旧计算"/>
      <sheetName val="本月饲料利润"/>
      <sheetName val="本年饲料利润"/>
      <sheetName val="饲料成本"/>
      <sheetName val="8月"/>
      <sheetName val="9月"/>
      <sheetName val="10月"/>
      <sheetName val="11月"/>
      <sheetName val="12月"/>
      <sheetName val="产品代码"/>
      <sheetName val="每月销量"/>
      <sheetName val="每吨净售价"/>
      <sheetName val="净销售收入"/>
      <sheetName val="每吨折扣数"/>
      <sheetName val="总回扣"/>
      <sheetName val="每吨总售价"/>
      <sheetName val="总销售收入"/>
      <sheetName val="每包净售价"/>
      <sheetName val="每吨成本"/>
      <sheetName val="成本"/>
      <sheetName val="每吨原料成本"/>
      <sheetName val="原料成本"/>
      <sheetName val="每吨包装"/>
      <sheetName val="包装成本"/>
      <sheetName val="每吨制造费用"/>
      <sheetName val="制造费用"/>
      <sheetName val="每吨毛利"/>
      <sheetName val="毛利"/>
      <sheetName val="1(分品种)"/>
      <sheetName val="生产部金额"/>
      <sheetName val="schedul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1.bin"/><Relationship Id="rId1" Type="http://schemas.openxmlformats.org/officeDocument/2006/relationships/hyperlink" Target="mailto:natchaya.kha@pantavanij.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5"/>
  <sheetViews>
    <sheetView tabSelected="1" topLeftCell="A6" zoomScale="85" zoomScaleNormal="85" zoomScaleSheetLayoutView="100" workbookViewId="0">
      <selection activeCell="J14" sqref="J14:M18"/>
    </sheetView>
  </sheetViews>
  <sheetFormatPr defaultColWidth="8.8984375" defaultRowHeight="19.8" x14ac:dyDescent="0.5"/>
  <cols>
    <col min="1" max="1" width="9" style="2" customWidth="1"/>
    <col min="2" max="2" width="62.69921875" style="2" customWidth="1"/>
    <col min="3" max="3" width="8.3984375" style="2" customWidth="1"/>
    <col min="4" max="4" width="11.69921875" style="2" customWidth="1"/>
    <col min="5" max="5" width="17.69921875" style="2" customWidth="1"/>
    <col min="6" max="6" width="18.09765625" style="2" customWidth="1"/>
    <col min="7" max="7" width="20.3984375" style="2" customWidth="1"/>
    <col min="8" max="8" width="15.09765625" style="2" customWidth="1"/>
    <col min="9" max="16384" width="8.8984375" style="2"/>
  </cols>
  <sheetData>
    <row r="1" spans="1:10" ht="23.4" x14ac:dyDescent="0.5">
      <c r="A1" s="1"/>
      <c r="B1" s="238"/>
      <c r="C1" s="82" t="s">
        <v>8</v>
      </c>
      <c r="D1" s="8" t="str">
        <f>'Detail '!D1</f>
        <v>งานติดตั้งระบบแจ้งเหตุเพลิงไหม้ โรงฉ่ำวัตถุดิบ</v>
      </c>
      <c r="G1" s="16" t="s">
        <v>23</v>
      </c>
    </row>
    <row r="2" spans="1:10" ht="23.4" x14ac:dyDescent="0.5">
      <c r="A2" s="1"/>
      <c r="B2" s="238"/>
      <c r="C2" s="82" t="s">
        <v>9</v>
      </c>
      <c r="D2" s="8" t="str">
        <f>'Detail '!D2</f>
        <v>โรงงานผลิตอาหารสัตว์บกโคกกรวด</v>
      </c>
      <c r="G2" s="16" t="s">
        <v>24</v>
      </c>
    </row>
    <row r="3" spans="1:10" ht="23.4" x14ac:dyDescent="0.5">
      <c r="A3" s="1"/>
      <c r="B3" s="238"/>
      <c r="C3" s="83" t="s">
        <v>10</v>
      </c>
      <c r="D3" s="8" t="s">
        <v>36</v>
      </c>
      <c r="G3" s="16" t="s">
        <v>25</v>
      </c>
    </row>
    <row r="4" spans="1:10" ht="23.4" x14ac:dyDescent="0.5">
      <c r="A4" s="3"/>
      <c r="B4" s="238"/>
      <c r="C4" s="83" t="s">
        <v>11</v>
      </c>
      <c r="D4" s="95">
        <v>1</v>
      </c>
      <c r="G4" s="16" t="s">
        <v>26</v>
      </c>
    </row>
    <row r="5" spans="1:10" ht="24" thickBot="1" x14ac:dyDescent="0.65">
      <c r="A5" s="3"/>
      <c r="B5" s="5"/>
      <c r="C5" s="83" t="s">
        <v>12</v>
      </c>
      <c r="D5" s="208">
        <v>46072</v>
      </c>
      <c r="E5" s="15"/>
      <c r="F5" s="4"/>
      <c r="G5" s="4"/>
    </row>
    <row r="6" spans="1:10" ht="18" customHeight="1" x14ac:dyDescent="0.5">
      <c r="A6" s="3"/>
      <c r="B6" s="5"/>
      <c r="C6" s="244" t="s">
        <v>86</v>
      </c>
      <c r="D6" s="245"/>
      <c r="E6" s="245"/>
      <c r="F6" s="245"/>
      <c r="G6" s="246"/>
    </row>
    <row r="7" spans="1:10" ht="21" customHeight="1" thickBot="1" x14ac:dyDescent="0.55000000000000004">
      <c r="A7" s="239"/>
      <c r="B7" s="239"/>
      <c r="C7" s="247"/>
      <c r="D7" s="248"/>
      <c r="E7" s="248"/>
      <c r="F7" s="248"/>
      <c r="G7" s="249"/>
    </row>
    <row r="8" spans="1:10" ht="24" thickBot="1" x14ac:dyDescent="0.55000000000000004">
      <c r="A8" s="250" t="s">
        <v>3</v>
      </c>
      <c r="B8" s="250" t="s">
        <v>4</v>
      </c>
      <c r="C8" s="252" t="s">
        <v>13</v>
      </c>
      <c r="D8" s="253"/>
      <c r="E8" s="28" t="s">
        <v>46</v>
      </c>
      <c r="F8" s="28" t="s">
        <v>1</v>
      </c>
      <c r="G8" s="240" t="s">
        <v>14</v>
      </c>
      <c r="H8" s="242" t="s">
        <v>45</v>
      </c>
    </row>
    <row r="9" spans="1:10" ht="24" thickBot="1" x14ac:dyDescent="0.55000000000000004">
      <c r="A9" s="251"/>
      <c r="B9" s="251"/>
      <c r="C9" s="28" t="s">
        <v>15</v>
      </c>
      <c r="D9" s="28" t="s">
        <v>5</v>
      </c>
      <c r="E9" s="28" t="s">
        <v>6</v>
      </c>
      <c r="F9" s="28" t="s">
        <v>6</v>
      </c>
      <c r="G9" s="241"/>
      <c r="H9" s="243"/>
    </row>
    <row r="10" spans="1:10" ht="24" thickBot="1" x14ac:dyDescent="0.6">
      <c r="A10" s="32">
        <v>1</v>
      </c>
      <c r="B10" s="34" t="str">
        <f>'Detail '!B11</f>
        <v>โรงเก็บเชื่อเพลิง+หอพกชั้น2</v>
      </c>
      <c r="C10" s="39">
        <v>1</v>
      </c>
      <c r="D10" s="29" t="s">
        <v>7</v>
      </c>
      <c r="E10" s="222">
        <f>'Detail '!F19</f>
        <v>0</v>
      </c>
      <c r="F10" s="222">
        <f>'Detail '!H19</f>
        <v>0</v>
      </c>
      <c r="G10" s="41">
        <f>'Detail '!I19</f>
        <v>0</v>
      </c>
      <c r="H10" s="229"/>
    </row>
    <row r="11" spans="1:10" ht="24" thickBot="1" x14ac:dyDescent="0.6">
      <c r="A11" s="32">
        <v>2</v>
      </c>
      <c r="B11" s="35" t="str">
        <f>'Detail '!B21</f>
        <v>วิศวกรรม</v>
      </c>
      <c r="C11" s="39">
        <v>1</v>
      </c>
      <c r="D11" s="29" t="s">
        <v>7</v>
      </c>
      <c r="E11" s="222">
        <f>'Detail '!F28</f>
        <v>0</v>
      </c>
      <c r="F11" s="222">
        <f>'Detail '!H28</f>
        <v>0</v>
      </c>
      <c r="G11" s="41">
        <f>'Detail '!I28</f>
        <v>0</v>
      </c>
      <c r="H11" s="230"/>
    </row>
    <row r="12" spans="1:10" ht="24" thickBot="1" x14ac:dyDescent="0.65">
      <c r="A12" s="32">
        <v>3</v>
      </c>
      <c r="B12" s="35" t="str">
        <f>'Detail '!B30</f>
        <v>ห้อง Battery อสร.</v>
      </c>
      <c r="C12" s="39">
        <v>1</v>
      </c>
      <c r="D12" s="29" t="s">
        <v>7</v>
      </c>
      <c r="E12" s="223">
        <f>'Detail '!F37</f>
        <v>0</v>
      </c>
      <c r="F12" s="223">
        <f>'Detail '!H37</f>
        <v>0</v>
      </c>
      <c r="G12" s="41">
        <f>'Detail '!I37</f>
        <v>0</v>
      </c>
      <c r="H12" s="24"/>
    </row>
    <row r="13" spans="1:10" ht="24" thickBot="1" x14ac:dyDescent="0.65">
      <c r="A13" s="32">
        <v>4</v>
      </c>
      <c r="B13" s="35" t="str">
        <f>'Detail '!B39</f>
        <v>ห้องควบคุมโรบอท</v>
      </c>
      <c r="C13" s="39">
        <v>1</v>
      </c>
      <c r="D13" s="29" t="s">
        <v>7</v>
      </c>
      <c r="E13" s="223">
        <f>'Detail '!F47</f>
        <v>0</v>
      </c>
      <c r="F13" s="223">
        <f>'Detail '!H47</f>
        <v>0</v>
      </c>
      <c r="G13" s="41">
        <f>'Detail '!I47</f>
        <v>0</v>
      </c>
      <c r="H13" s="24"/>
    </row>
    <row r="14" spans="1:10" ht="24" thickBot="1" x14ac:dyDescent="0.65">
      <c r="A14" s="32">
        <v>5</v>
      </c>
      <c r="B14" s="35" t="str">
        <f>'Detail '!B49</f>
        <v>ห้องเก็บเอกสาร</v>
      </c>
      <c r="C14" s="39">
        <v>1</v>
      </c>
      <c r="D14" s="29" t="s">
        <v>7</v>
      </c>
      <c r="E14" s="223">
        <f>'Detail '!F56</f>
        <v>0</v>
      </c>
      <c r="F14" s="223">
        <f>'Detail '!H56</f>
        <v>0</v>
      </c>
      <c r="G14" s="41">
        <f>'Detail '!I56</f>
        <v>0</v>
      </c>
      <c r="H14" s="24"/>
      <c r="J14" s="273" t="s">
        <v>90</v>
      </c>
    </row>
    <row r="15" spans="1:10" ht="24" thickBot="1" x14ac:dyDescent="0.65">
      <c r="A15" s="32">
        <v>6</v>
      </c>
      <c r="B15" s="35" t="str">
        <f>'Detail '!B58</f>
        <v>Office คลัง+ Office จป.</v>
      </c>
      <c r="C15" s="39">
        <v>1</v>
      </c>
      <c r="D15" s="29" t="s">
        <v>7</v>
      </c>
      <c r="E15" s="223">
        <f>'Detail '!F65</f>
        <v>0</v>
      </c>
      <c r="F15" s="223">
        <f>'Detail '!H65</f>
        <v>0</v>
      </c>
      <c r="G15" s="41">
        <f>'Detail '!I65</f>
        <v>0</v>
      </c>
      <c r="H15" s="24"/>
      <c r="J15" s="274" t="s">
        <v>91</v>
      </c>
    </row>
    <row r="16" spans="1:10" ht="24" thickBot="1" x14ac:dyDescent="0.65">
      <c r="A16" s="32">
        <v>7</v>
      </c>
      <c r="B16" s="35" t="str">
        <f>'Detail '!B67</f>
        <v>ห้อง Inverter</v>
      </c>
      <c r="C16" s="39">
        <v>1</v>
      </c>
      <c r="D16" s="29" t="s">
        <v>7</v>
      </c>
      <c r="E16" s="223">
        <f>'Detail '!F74</f>
        <v>0</v>
      </c>
      <c r="F16" s="223">
        <f>'Detail '!H74</f>
        <v>0</v>
      </c>
      <c r="G16" s="41">
        <f>'Detail '!I74</f>
        <v>0</v>
      </c>
      <c r="H16" s="24"/>
      <c r="J16" s="275" t="s">
        <v>92</v>
      </c>
    </row>
    <row r="17" spans="1:10" ht="24" thickBot="1" x14ac:dyDescent="0.65">
      <c r="A17" s="32">
        <v>8</v>
      </c>
      <c r="B17" s="35" t="str">
        <f>'Detail '!B76</f>
        <v>ห้องเก็บวัตถุดิบ</v>
      </c>
      <c r="C17" s="39">
        <v>1</v>
      </c>
      <c r="D17" s="29" t="s">
        <v>7</v>
      </c>
      <c r="E17" s="223">
        <f>'Detail '!F83</f>
        <v>0</v>
      </c>
      <c r="F17" s="223">
        <f>'Detail '!H83</f>
        <v>0</v>
      </c>
      <c r="G17" s="41">
        <f>'Detail '!I83</f>
        <v>0</v>
      </c>
      <c r="H17" s="24"/>
      <c r="J17" s="275" t="s">
        <v>93</v>
      </c>
    </row>
    <row r="18" spans="1:10" ht="24" thickBot="1" x14ac:dyDescent="0.65">
      <c r="A18" s="32">
        <v>9</v>
      </c>
      <c r="B18" s="35" t="str">
        <f>'Detail '!B85</f>
        <v>ห้องควบคุมผลิต ชั้น2</v>
      </c>
      <c r="C18" s="39">
        <v>1</v>
      </c>
      <c r="D18" s="29" t="s">
        <v>7</v>
      </c>
      <c r="E18" s="223">
        <f>'Detail '!F93</f>
        <v>0</v>
      </c>
      <c r="F18" s="223">
        <f>'Detail '!H93</f>
        <v>0</v>
      </c>
      <c r="G18" s="41">
        <f>'Detail '!I93</f>
        <v>0</v>
      </c>
      <c r="H18" s="24"/>
      <c r="J18" s="277" t="s">
        <v>94</v>
      </c>
    </row>
    <row r="19" spans="1:10" ht="24" thickBot="1" x14ac:dyDescent="0.65">
      <c r="A19" s="32">
        <v>10</v>
      </c>
      <c r="B19" s="35" t="str">
        <f>'Detail '!B95</f>
        <v>ห้องไฟฟ้าอาคารผลิต ชั้น2</v>
      </c>
      <c r="C19" s="39">
        <v>1</v>
      </c>
      <c r="D19" s="29" t="s">
        <v>7</v>
      </c>
      <c r="E19" s="223">
        <f>'Detail '!F102</f>
        <v>0</v>
      </c>
      <c r="F19" s="223">
        <f>'Detail '!H102</f>
        <v>0</v>
      </c>
      <c r="G19" s="41">
        <f>'Detail '!I102</f>
        <v>0</v>
      </c>
      <c r="H19" s="24"/>
      <c r="J19"/>
    </row>
    <row r="20" spans="1:10" ht="24" thickBot="1" x14ac:dyDescent="0.65">
      <c r="A20" s="32">
        <v>11</v>
      </c>
      <c r="B20" s="35" t="str">
        <f>'Detail '!B104</f>
        <v>ห้องไฟฟ้าอาคารผลิต ชั้น1</v>
      </c>
      <c r="C20" s="39">
        <v>1</v>
      </c>
      <c r="D20" s="29" t="s">
        <v>7</v>
      </c>
      <c r="E20" s="223">
        <f>'Detail '!F111</f>
        <v>0</v>
      </c>
      <c r="F20" s="223">
        <f>'Detail '!H111</f>
        <v>0</v>
      </c>
      <c r="G20" s="41">
        <f>'Detail '!I111</f>
        <v>0</v>
      </c>
      <c r="H20" s="24"/>
    </row>
    <row r="21" spans="1:10" ht="24" thickBot="1" x14ac:dyDescent="0.65">
      <c r="A21" s="32">
        <v>12</v>
      </c>
      <c r="B21" s="35" t="str">
        <f>'Detail '!B113</f>
        <v>ห้องน้ำยาเอนไซม์</v>
      </c>
      <c r="C21" s="39">
        <v>1</v>
      </c>
      <c r="D21" s="29" t="s">
        <v>7</v>
      </c>
      <c r="E21" s="223">
        <f>'Detail '!F120</f>
        <v>0</v>
      </c>
      <c r="F21" s="223">
        <f>'Detail '!H120</f>
        <v>0</v>
      </c>
      <c r="G21" s="41">
        <f>'Detail '!I120</f>
        <v>0</v>
      </c>
      <c r="H21" s="24"/>
    </row>
    <row r="22" spans="1:10" ht="24" thickBot="1" x14ac:dyDescent="0.65">
      <c r="A22" s="32">
        <v>13</v>
      </c>
      <c r="B22" s="35" t="str">
        <f>'Detail '!B122</f>
        <v>ห้องหม้อแปลง</v>
      </c>
      <c r="C22" s="39">
        <v>1</v>
      </c>
      <c r="D22" s="29" t="s">
        <v>7</v>
      </c>
      <c r="E22" s="223">
        <f>'Detail '!F129</f>
        <v>0</v>
      </c>
      <c r="F22" s="223">
        <f>'Detail '!H129</f>
        <v>0</v>
      </c>
      <c r="G22" s="41">
        <f>'Detail '!I129</f>
        <v>0</v>
      </c>
      <c r="H22" s="24"/>
      <c r="J22"/>
    </row>
    <row r="23" spans="1:10" ht="24" thickBot="1" x14ac:dyDescent="0.65">
      <c r="A23" s="32">
        <v>14</v>
      </c>
      <c r="B23" s="36" t="str">
        <f>'Detail '!B131</f>
        <v>Other</v>
      </c>
      <c r="C23" s="39">
        <v>1</v>
      </c>
      <c r="D23" s="29" t="s">
        <v>7</v>
      </c>
      <c r="E23" s="223">
        <f>'Detail '!F138</f>
        <v>0</v>
      </c>
      <c r="F23" s="223">
        <f>'Detail '!H138</f>
        <v>0</v>
      </c>
      <c r="G23" s="41">
        <f>'Detail '!I138</f>
        <v>0</v>
      </c>
      <c r="H23" s="24"/>
      <c r="J23" s="276"/>
    </row>
    <row r="24" spans="1:10" ht="23.4" thickBot="1" x14ac:dyDescent="0.6">
      <c r="A24" s="30"/>
      <c r="B24" s="27"/>
      <c r="C24" s="31"/>
      <c r="D24" s="30"/>
      <c r="E24" s="228"/>
      <c r="F24" s="228"/>
      <c r="G24" s="27"/>
      <c r="H24" s="24"/>
      <c r="J24" s="275"/>
    </row>
    <row r="25" spans="1:10" ht="24" thickBot="1" x14ac:dyDescent="0.65">
      <c r="A25" s="33"/>
      <c r="B25" s="37" t="s">
        <v>63</v>
      </c>
      <c r="C25" s="40"/>
      <c r="D25" s="26"/>
      <c r="E25" s="224"/>
      <c r="F25" s="224"/>
      <c r="G25" s="42">
        <f>'Detail '!I140</f>
        <v>0</v>
      </c>
      <c r="H25" s="24"/>
      <c r="J25" s="276"/>
    </row>
    <row r="26" spans="1:10" ht="24" thickBot="1" x14ac:dyDescent="0.65">
      <c r="A26" s="30"/>
      <c r="B26" s="38" t="s">
        <v>16</v>
      </c>
      <c r="C26" s="9"/>
      <c r="D26" s="24"/>
      <c r="E26" s="225"/>
      <c r="F26" s="225"/>
      <c r="G26" s="43">
        <f>'Detail '!I141</f>
        <v>0</v>
      </c>
      <c r="H26" s="24"/>
    </row>
    <row r="27" spans="1:10" ht="24" thickBot="1" x14ac:dyDescent="0.65">
      <c r="A27" s="26"/>
      <c r="B27" s="37" t="s">
        <v>22</v>
      </c>
      <c r="C27" s="40"/>
      <c r="D27" s="26"/>
      <c r="E27" s="224"/>
      <c r="F27" s="224"/>
      <c r="G27" s="42">
        <f>'Detail '!I142</f>
        <v>0</v>
      </c>
      <c r="H27" s="24"/>
    </row>
    <row r="28" spans="1:10" ht="24" thickBot="1" x14ac:dyDescent="0.65">
      <c r="A28" s="24"/>
      <c r="B28" s="38" t="s">
        <v>17</v>
      </c>
      <c r="C28" s="9"/>
      <c r="D28" s="24"/>
      <c r="E28" s="226"/>
      <c r="F28" s="226"/>
      <c r="G28" s="43">
        <f>'Detail '!I143</f>
        <v>0</v>
      </c>
      <c r="H28" s="24"/>
    </row>
    <row r="29" spans="1:10" ht="24" thickBot="1" x14ac:dyDescent="0.65">
      <c r="A29" s="26"/>
      <c r="B29" s="37" t="s">
        <v>18</v>
      </c>
      <c r="C29" s="40"/>
      <c r="D29" s="26"/>
      <c r="E29" s="227"/>
      <c r="F29" s="227"/>
      <c r="G29" s="42">
        <f>'Detail '!I144</f>
        <v>0</v>
      </c>
      <c r="H29" s="231"/>
    </row>
    <row r="30" spans="1:10" ht="6.6" customHeight="1" x14ac:dyDescent="0.5">
      <c r="A30" s="15"/>
      <c r="B30" s="17"/>
      <c r="C30" s="15"/>
      <c r="D30" s="15"/>
      <c r="E30" s="15"/>
    </row>
    <row r="31" spans="1:10" x14ac:dyDescent="0.5">
      <c r="A31" s="81"/>
      <c r="B31" s="81"/>
      <c r="C31" s="81"/>
      <c r="D31" s="81"/>
      <c r="E31" s="81"/>
      <c r="F31" s="81"/>
      <c r="G31" s="81"/>
      <c r="H31" s="81"/>
    </row>
    <row r="32" spans="1:10" ht="22.8" x14ac:dyDescent="0.55000000000000004">
      <c r="A32" s="80" t="s">
        <v>47</v>
      </c>
      <c r="B32" s="18" t="s">
        <v>87</v>
      </c>
      <c r="C32" s="15"/>
      <c r="D32" s="80"/>
      <c r="E32" s="15"/>
    </row>
    <row r="33" spans="1:5" ht="22.8" x14ac:dyDescent="0.55000000000000004">
      <c r="A33" s="18"/>
      <c r="B33" s="18" t="s">
        <v>88</v>
      </c>
      <c r="C33" s="15"/>
      <c r="D33" s="18"/>
      <c r="E33" s="15"/>
    </row>
    <row r="34" spans="1:5" ht="22.8" x14ac:dyDescent="0.55000000000000004">
      <c r="A34" s="18"/>
      <c r="B34" s="18" t="s">
        <v>89</v>
      </c>
      <c r="C34" s="15"/>
      <c r="D34" s="18"/>
      <c r="E34" s="15"/>
    </row>
    <row r="35" spans="1:5" ht="18.75" customHeight="1" x14ac:dyDescent="0.55000000000000004">
      <c r="B35" s="175"/>
    </row>
    <row r="36" spans="1:5" x14ac:dyDescent="0.5">
      <c r="A36" s="237" t="s">
        <v>85</v>
      </c>
      <c r="C36" s="233"/>
    </row>
    <row r="37" spans="1:5" x14ac:dyDescent="0.5">
      <c r="C37" s="235"/>
    </row>
    <row r="38" spans="1:5" x14ac:dyDescent="0.5">
      <c r="C38" s="235"/>
    </row>
    <row r="39" spans="1:5" x14ac:dyDescent="0.5">
      <c r="C39" s="235"/>
    </row>
    <row r="40" spans="1:5" x14ac:dyDescent="0.5">
      <c r="C40" s="236"/>
    </row>
    <row r="41" spans="1:5" x14ac:dyDescent="0.5">
      <c r="C41" s="236"/>
    </row>
    <row r="42" spans="1:5" x14ac:dyDescent="0.5">
      <c r="C42" s="236"/>
    </row>
    <row r="43" spans="1:5" x14ac:dyDescent="0.5">
      <c r="C43" s="235"/>
    </row>
    <row r="44" spans="1:5" x14ac:dyDescent="0.5">
      <c r="C44" s="236"/>
    </row>
    <row r="45" spans="1:5" x14ac:dyDescent="0.5">
      <c r="B45" s="234"/>
      <c r="C45" s="236"/>
    </row>
  </sheetData>
  <mergeCells count="8">
    <mergeCell ref="B1:B4"/>
    <mergeCell ref="A7:B7"/>
    <mergeCell ref="G8:G9"/>
    <mergeCell ref="H8:H9"/>
    <mergeCell ref="C6:G7"/>
    <mergeCell ref="A8:A9"/>
    <mergeCell ref="B8:B9"/>
    <mergeCell ref="C8:D8"/>
  </mergeCells>
  <hyperlinks>
    <hyperlink ref="J18" r:id="rId1" tooltip="mailto:natchaya.kha@pantavanij.com" display="mailto:natchaya.kha@pantavanij.com" xr:uid="{0DABDD1B-0418-4A60-B34D-88974A3DE561}"/>
  </hyperlinks>
  <pageMargins left="0.95" right="0.7" top="0.75" bottom="0.75" header="0.3" footer="0.3"/>
  <pageSetup paperSize="9" scale="64" orientation="landscape" r:id="rId2"/>
  <customProperties>
    <customPr name="EpmWorksheetKeyString_GUID" r:id="rId3"/>
  </customPropertie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5"/>
  <sheetViews>
    <sheetView showGridLines="0" topLeftCell="A24" zoomScale="55" zoomScaleNormal="55" zoomScaleSheetLayoutView="55" workbookViewId="0">
      <selection activeCell="O9" sqref="O9"/>
    </sheetView>
  </sheetViews>
  <sheetFormatPr defaultColWidth="8.8984375" defaultRowHeight="22.8" x14ac:dyDescent="0.55000000000000004"/>
  <cols>
    <col min="1" max="1" width="10.59765625" style="13" customWidth="1"/>
    <col min="2" max="2" width="72.8984375" style="9" customWidth="1"/>
    <col min="3" max="3" width="12" style="9" customWidth="1"/>
    <col min="4" max="4" width="8.8984375" style="9"/>
    <col min="5" max="5" width="19.59765625" style="9" customWidth="1"/>
    <col min="6" max="6" width="26.8984375" style="9" customWidth="1"/>
    <col min="7" max="7" width="22.09765625" style="9" customWidth="1"/>
    <col min="8" max="8" width="22.69921875" style="9" customWidth="1"/>
    <col min="9" max="9" width="31.59765625" style="9" customWidth="1"/>
    <col min="10" max="10" width="18.59765625" customWidth="1"/>
    <col min="17" max="16384" width="8.8984375" style="9"/>
  </cols>
  <sheetData>
    <row r="1" spans="1:10" ht="31.8" x14ac:dyDescent="0.7">
      <c r="A1" s="6"/>
      <c r="B1" s="7"/>
      <c r="C1" s="212" t="s">
        <v>8</v>
      </c>
      <c r="D1" s="214" t="s">
        <v>39</v>
      </c>
      <c r="E1" s="209"/>
      <c r="F1" s="60"/>
      <c r="G1" s="211" t="s">
        <v>23</v>
      </c>
    </row>
    <row r="2" spans="1:10" ht="30.6" customHeight="1" x14ac:dyDescent="0.55000000000000004">
      <c r="A2" s="6"/>
      <c r="B2" s="7"/>
      <c r="C2" s="212" t="s">
        <v>9</v>
      </c>
      <c r="D2" s="214" t="s">
        <v>48</v>
      </c>
      <c r="E2" s="216"/>
      <c r="F2" s="216"/>
      <c r="G2" s="211" t="s">
        <v>24</v>
      </c>
    </row>
    <row r="3" spans="1:10" ht="31.8" x14ac:dyDescent="0.7">
      <c r="A3" s="6"/>
      <c r="B3" s="7"/>
      <c r="C3" s="213" t="s">
        <v>10</v>
      </c>
      <c r="D3" s="214" t="s">
        <v>36</v>
      </c>
      <c r="E3" s="209"/>
      <c r="F3" s="60"/>
      <c r="G3" s="211" t="s">
        <v>25</v>
      </c>
    </row>
    <row r="4" spans="1:10" ht="31.8" x14ac:dyDescent="0.7">
      <c r="A4" s="10"/>
      <c r="B4" s="11"/>
      <c r="C4" s="213" t="s">
        <v>11</v>
      </c>
      <c r="D4" s="215">
        <v>1</v>
      </c>
      <c r="E4" s="210"/>
      <c r="F4" s="60"/>
      <c r="G4" s="211" t="s">
        <v>28</v>
      </c>
    </row>
    <row r="5" spans="1:10" ht="32.4" thickBot="1" x14ac:dyDescent="0.6">
      <c r="A5" s="10"/>
      <c r="B5" s="11"/>
      <c r="C5" s="213" t="s">
        <v>12</v>
      </c>
      <c r="D5" s="256">
        <v>46072</v>
      </c>
      <c r="E5" s="256"/>
      <c r="F5" s="214"/>
      <c r="G5" s="214" t="s">
        <v>27</v>
      </c>
    </row>
    <row r="6" spans="1:10" ht="27.6" customHeight="1" x14ac:dyDescent="0.6">
      <c r="A6" s="12"/>
      <c r="B6" s="12"/>
      <c r="C6" s="261" t="str">
        <f>SUM!C6</f>
        <v>บริษัทxxx</v>
      </c>
      <c r="D6" s="262"/>
      <c r="E6" s="262"/>
      <c r="F6" s="262"/>
      <c r="G6" s="262"/>
      <c r="H6" s="262"/>
      <c r="I6" s="263"/>
    </row>
    <row r="7" spans="1:10" ht="33" customHeight="1" thickBot="1" x14ac:dyDescent="0.65">
      <c r="A7" s="12"/>
      <c r="C7" s="264"/>
      <c r="D7" s="265"/>
      <c r="E7" s="265"/>
      <c r="F7" s="265"/>
      <c r="G7" s="265"/>
      <c r="H7" s="265"/>
      <c r="I7" s="266"/>
    </row>
    <row r="8" spans="1:10" ht="28.2" customHeight="1" thickBot="1" x14ac:dyDescent="0.85">
      <c r="A8" s="257" t="s">
        <v>3</v>
      </c>
      <c r="B8" s="259" t="s">
        <v>4</v>
      </c>
      <c r="C8" s="267" t="s">
        <v>13</v>
      </c>
      <c r="D8" s="268"/>
      <c r="E8" s="269" t="s">
        <v>0</v>
      </c>
      <c r="F8" s="270"/>
      <c r="G8" s="269" t="s">
        <v>1</v>
      </c>
      <c r="H8" s="270"/>
      <c r="I8" s="271" t="s">
        <v>14</v>
      </c>
      <c r="J8" s="254" t="s">
        <v>45</v>
      </c>
    </row>
    <row r="9" spans="1:10" ht="31.95" customHeight="1" thickBot="1" x14ac:dyDescent="0.85">
      <c r="A9" s="258"/>
      <c r="B9" s="260"/>
      <c r="C9" s="177" t="s">
        <v>15</v>
      </c>
      <c r="D9" s="22" t="s">
        <v>5</v>
      </c>
      <c r="E9" s="64" t="s">
        <v>6</v>
      </c>
      <c r="F9" s="22" t="s">
        <v>2</v>
      </c>
      <c r="G9" s="64" t="s">
        <v>6</v>
      </c>
      <c r="H9" s="22" t="s">
        <v>2</v>
      </c>
      <c r="I9" s="272"/>
      <c r="J9" s="255"/>
    </row>
    <row r="10" spans="1:10" ht="26.4" customHeight="1" thickBot="1" x14ac:dyDescent="0.65">
      <c r="A10" s="19"/>
      <c r="B10" s="84"/>
      <c r="C10" s="21"/>
      <c r="D10" s="180"/>
      <c r="E10" s="65"/>
      <c r="F10" s="21"/>
      <c r="G10" s="69"/>
      <c r="H10" s="23"/>
      <c r="I10" s="203"/>
      <c r="J10" s="217"/>
    </row>
    <row r="11" spans="1:10" s="18" customFormat="1" ht="26.4" customHeight="1" thickBot="1" x14ac:dyDescent="0.8">
      <c r="A11" s="131" t="s">
        <v>42</v>
      </c>
      <c r="B11" s="132" t="s">
        <v>49</v>
      </c>
      <c r="C11" s="191"/>
      <c r="D11" s="181"/>
      <c r="E11" s="123"/>
      <c r="F11" s="124"/>
      <c r="G11" s="133"/>
      <c r="H11" s="134"/>
      <c r="I11" s="134"/>
      <c r="J11" s="218"/>
    </row>
    <row r="12" spans="1:10" s="18" customFormat="1" ht="28.2" customHeight="1" x14ac:dyDescent="0.65">
      <c r="A12" s="135"/>
      <c r="B12" s="136" t="s">
        <v>75</v>
      </c>
      <c r="C12" s="192">
        <v>3</v>
      </c>
      <c r="D12" s="182" t="s">
        <v>32</v>
      </c>
      <c r="E12" s="142"/>
      <c r="F12" s="137">
        <f>C12*E12</f>
        <v>0</v>
      </c>
      <c r="G12" s="138"/>
      <c r="H12" s="139">
        <f t="shared" ref="H12:H14" si="0">C12*G12</f>
        <v>0</v>
      </c>
      <c r="I12" s="139">
        <f>H12+F12</f>
        <v>0</v>
      </c>
      <c r="J12" s="218"/>
    </row>
    <row r="13" spans="1:10" s="18" customFormat="1" ht="30.6" x14ac:dyDescent="0.65">
      <c r="A13" s="140"/>
      <c r="B13" s="141" t="s">
        <v>76</v>
      </c>
      <c r="C13" s="193">
        <v>1</v>
      </c>
      <c r="D13" s="183" t="s">
        <v>43</v>
      </c>
      <c r="E13" s="142"/>
      <c r="F13" s="137">
        <f t="shared" ref="F13:F14" si="1">C13*E13</f>
        <v>0</v>
      </c>
      <c r="G13" s="138"/>
      <c r="H13" s="139">
        <f t="shared" si="0"/>
        <v>0</v>
      </c>
      <c r="I13" s="139">
        <f t="shared" ref="I13:I14" si="2">H13+F13</f>
        <v>0</v>
      </c>
      <c r="J13" s="218"/>
    </row>
    <row r="14" spans="1:10" s="18" customFormat="1" ht="27" customHeight="1" x14ac:dyDescent="0.65">
      <c r="A14" s="140"/>
      <c r="B14" s="141" t="s">
        <v>77</v>
      </c>
      <c r="C14" s="193">
        <v>1</v>
      </c>
      <c r="D14" s="183" t="s">
        <v>81</v>
      </c>
      <c r="E14" s="142"/>
      <c r="F14" s="137">
        <f t="shared" si="1"/>
        <v>0</v>
      </c>
      <c r="G14" s="138"/>
      <c r="H14" s="139">
        <f t="shared" si="0"/>
        <v>0</v>
      </c>
      <c r="I14" s="139">
        <f t="shared" si="2"/>
        <v>0</v>
      </c>
      <c r="J14" s="218"/>
    </row>
    <row r="15" spans="1:10" s="18" customFormat="1" ht="30.6" x14ac:dyDescent="0.65">
      <c r="A15" s="140"/>
      <c r="B15" s="141" t="s">
        <v>78</v>
      </c>
      <c r="C15" s="193"/>
      <c r="D15" s="183"/>
      <c r="E15" s="142"/>
      <c r="F15" s="137"/>
      <c r="G15" s="138"/>
      <c r="H15" s="139"/>
      <c r="I15" s="139"/>
      <c r="J15" s="218"/>
    </row>
    <row r="16" spans="1:10" s="18" customFormat="1" ht="30.6" x14ac:dyDescent="0.65">
      <c r="A16" s="140"/>
      <c r="B16" s="141" t="s">
        <v>79</v>
      </c>
      <c r="C16" s="193"/>
      <c r="D16" s="183"/>
      <c r="E16" s="142"/>
      <c r="F16" s="137"/>
      <c r="G16" s="138"/>
      <c r="H16" s="139"/>
      <c r="I16" s="139"/>
      <c r="J16" s="218"/>
    </row>
    <row r="17" spans="1:10" s="18" customFormat="1" ht="30.6" x14ac:dyDescent="0.65">
      <c r="A17" s="140"/>
      <c r="B17" s="141" t="s">
        <v>80</v>
      </c>
      <c r="C17" s="193"/>
      <c r="D17" s="183"/>
      <c r="E17" s="142"/>
      <c r="F17" s="137"/>
      <c r="G17" s="138"/>
      <c r="H17" s="139"/>
      <c r="I17" s="139"/>
      <c r="J17" s="218"/>
    </row>
    <row r="18" spans="1:10" s="18" customFormat="1" ht="31.2" thickBot="1" x14ac:dyDescent="0.7">
      <c r="A18" s="143"/>
      <c r="B18" s="141"/>
      <c r="C18" s="139"/>
      <c r="D18" s="176"/>
      <c r="E18" s="138"/>
      <c r="F18" s="137"/>
      <c r="G18" s="138"/>
      <c r="H18" s="139"/>
      <c r="I18" s="139"/>
      <c r="J18" s="218"/>
    </row>
    <row r="19" spans="1:10" s="18" customFormat="1" ht="31.2" thickBot="1" x14ac:dyDescent="0.6">
      <c r="A19" s="144"/>
      <c r="B19" s="145" t="s">
        <v>38</v>
      </c>
      <c r="C19" s="146"/>
      <c r="D19" s="147"/>
      <c r="E19" s="146"/>
      <c r="F19" s="148">
        <f>SUM(F12:F16)</f>
        <v>0</v>
      </c>
      <c r="G19" s="149"/>
      <c r="H19" s="148">
        <f>SUM(H12:H16)</f>
        <v>0</v>
      </c>
      <c r="I19" s="148">
        <f>SUM(I12:I17)</f>
        <v>0</v>
      </c>
      <c r="J19" s="218"/>
    </row>
    <row r="20" spans="1:10" s="18" customFormat="1" ht="24" thickBot="1" x14ac:dyDescent="0.65">
      <c r="A20" s="150"/>
      <c r="B20" s="151"/>
      <c r="C20" s="194"/>
      <c r="D20" s="152"/>
      <c r="E20" s="153"/>
      <c r="F20" s="154"/>
      <c r="G20" s="155"/>
      <c r="H20" s="156"/>
      <c r="I20" s="204"/>
      <c r="J20" s="218"/>
    </row>
    <row r="21" spans="1:10" s="18" customFormat="1" ht="32.4" thickBot="1" x14ac:dyDescent="0.6">
      <c r="A21" s="157">
        <v>2</v>
      </c>
      <c r="B21" s="158" t="s">
        <v>50</v>
      </c>
      <c r="C21" s="159"/>
      <c r="D21" s="160"/>
      <c r="E21" s="161"/>
      <c r="F21" s="162"/>
      <c r="G21" s="163"/>
      <c r="H21" s="164"/>
      <c r="I21" s="164"/>
      <c r="J21" s="218"/>
    </row>
    <row r="22" spans="1:10" s="18" customFormat="1" ht="30.6" x14ac:dyDescent="0.65">
      <c r="A22" s="140"/>
      <c r="B22" s="141" t="s">
        <v>76</v>
      </c>
      <c r="C22" s="193">
        <v>5</v>
      </c>
      <c r="D22" s="183" t="s">
        <v>43</v>
      </c>
      <c r="E22" s="142"/>
      <c r="F22" s="137">
        <f t="shared" ref="F22:F23" si="3">C22*E22</f>
        <v>0</v>
      </c>
      <c r="G22" s="138"/>
      <c r="H22" s="139">
        <f t="shared" ref="H22:H23" si="4">C22*G22</f>
        <v>0</v>
      </c>
      <c r="I22" s="139">
        <f t="shared" ref="I22:I23" si="5">H22+F22</f>
        <v>0</v>
      </c>
      <c r="J22" s="218"/>
    </row>
    <row r="23" spans="1:10" s="18" customFormat="1" ht="27" customHeight="1" x14ac:dyDescent="0.65">
      <c r="A23" s="140"/>
      <c r="B23" s="141" t="s">
        <v>77</v>
      </c>
      <c r="C23" s="193">
        <v>1</v>
      </c>
      <c r="D23" s="183" t="s">
        <v>81</v>
      </c>
      <c r="E23" s="142"/>
      <c r="F23" s="137">
        <f t="shared" si="3"/>
        <v>0</v>
      </c>
      <c r="G23" s="138"/>
      <c r="H23" s="139">
        <f t="shared" si="4"/>
        <v>0</v>
      </c>
      <c r="I23" s="139">
        <f t="shared" si="5"/>
        <v>0</v>
      </c>
      <c r="J23" s="218"/>
    </row>
    <row r="24" spans="1:10" s="18" customFormat="1" ht="30.6" x14ac:dyDescent="0.65">
      <c r="A24" s="140"/>
      <c r="B24" s="141" t="s">
        <v>78</v>
      </c>
      <c r="C24" s="193"/>
      <c r="D24" s="183"/>
      <c r="E24" s="142"/>
      <c r="F24" s="137"/>
      <c r="G24" s="138"/>
      <c r="H24" s="139"/>
      <c r="I24" s="139"/>
      <c r="J24" s="218"/>
    </row>
    <row r="25" spans="1:10" s="18" customFormat="1" ht="30.6" x14ac:dyDescent="0.65">
      <c r="A25" s="140"/>
      <c r="B25" s="141" t="s">
        <v>79</v>
      </c>
      <c r="C25" s="193"/>
      <c r="D25" s="183"/>
      <c r="E25" s="142"/>
      <c r="F25" s="137"/>
      <c r="G25" s="138"/>
      <c r="H25" s="139"/>
      <c r="I25" s="139"/>
      <c r="J25" s="218"/>
    </row>
    <row r="26" spans="1:10" s="18" customFormat="1" ht="30.6" x14ac:dyDescent="0.65">
      <c r="A26" s="140"/>
      <c r="B26" s="141" t="s">
        <v>80</v>
      </c>
      <c r="C26" s="193"/>
      <c r="D26" s="183"/>
      <c r="E26" s="142"/>
      <c r="F26" s="137"/>
      <c r="G26" s="138"/>
      <c r="H26" s="139"/>
      <c r="I26" s="139"/>
      <c r="J26" s="218"/>
    </row>
    <row r="27" spans="1:10" s="18" customFormat="1" ht="28.2" thickBot="1" x14ac:dyDescent="0.7">
      <c r="A27" s="165"/>
      <c r="B27" s="166"/>
      <c r="C27" s="167"/>
      <c r="D27" s="166"/>
      <c r="E27" s="168"/>
      <c r="F27" s="169"/>
      <c r="G27" s="170"/>
      <c r="H27" s="170"/>
      <c r="I27" s="170"/>
      <c r="J27" s="218"/>
    </row>
    <row r="28" spans="1:10" s="18" customFormat="1" ht="31.2" thickBot="1" x14ac:dyDescent="0.6">
      <c r="A28" s="171"/>
      <c r="B28" s="145" t="s">
        <v>37</v>
      </c>
      <c r="C28" s="146"/>
      <c r="D28" s="147"/>
      <c r="E28" s="146"/>
      <c r="F28" s="172">
        <f>SUM(F22:F27)</f>
        <v>0</v>
      </c>
      <c r="G28" s="173"/>
      <c r="H28" s="172">
        <f>SUM(H22:H27)</f>
        <v>0</v>
      </c>
      <c r="I28" s="174">
        <f>SUM(I22:I27)</f>
        <v>0</v>
      </c>
      <c r="J28" s="218"/>
    </row>
    <row r="29" spans="1:10" ht="23.4" customHeight="1" thickBot="1" x14ac:dyDescent="0.7">
      <c r="A29" s="44"/>
      <c r="B29" s="107"/>
      <c r="C29" s="195"/>
      <c r="D29" s="184"/>
      <c r="E29" s="108"/>
      <c r="F29" s="109"/>
      <c r="G29" s="110"/>
      <c r="H29" s="111"/>
      <c r="I29" s="205"/>
      <c r="J29" s="219"/>
    </row>
    <row r="30" spans="1:10" ht="32.4" thickBot="1" x14ac:dyDescent="0.6">
      <c r="A30" s="73">
        <v>3</v>
      </c>
      <c r="B30" s="112" t="s">
        <v>51</v>
      </c>
      <c r="C30" s="196"/>
      <c r="D30" s="185"/>
      <c r="E30" s="113"/>
      <c r="F30" s="114"/>
      <c r="G30" s="115"/>
      <c r="H30" s="114"/>
      <c r="I30" s="114"/>
      <c r="J30" s="219"/>
    </row>
    <row r="31" spans="1:10" s="18" customFormat="1" ht="30.6" x14ac:dyDescent="0.65">
      <c r="A31" s="140"/>
      <c r="B31" s="141" t="s">
        <v>82</v>
      </c>
      <c r="C31" s="193">
        <v>6</v>
      </c>
      <c r="D31" s="183" t="s">
        <v>43</v>
      </c>
      <c r="E31" s="142"/>
      <c r="F31" s="137">
        <f t="shared" ref="F31:F32" si="6">C31*E31</f>
        <v>0</v>
      </c>
      <c r="G31" s="138"/>
      <c r="H31" s="139">
        <f t="shared" ref="H31:H32" si="7">C31*G31</f>
        <v>0</v>
      </c>
      <c r="I31" s="139">
        <f t="shared" ref="I31:I32" si="8">H31+F31</f>
        <v>0</v>
      </c>
      <c r="J31" s="218"/>
    </row>
    <row r="32" spans="1:10" s="18" customFormat="1" ht="27" customHeight="1" x14ac:dyDescent="0.65">
      <c r="A32" s="140"/>
      <c r="B32" s="141" t="s">
        <v>77</v>
      </c>
      <c r="C32" s="193">
        <v>1</v>
      </c>
      <c r="D32" s="183" t="s">
        <v>81</v>
      </c>
      <c r="E32" s="142"/>
      <c r="F32" s="137">
        <f t="shared" si="6"/>
        <v>0</v>
      </c>
      <c r="G32" s="138"/>
      <c r="H32" s="139">
        <f t="shared" si="7"/>
        <v>0</v>
      </c>
      <c r="I32" s="139">
        <f t="shared" si="8"/>
        <v>0</v>
      </c>
      <c r="J32" s="218"/>
    </row>
    <row r="33" spans="1:10" s="18" customFormat="1" ht="30.6" x14ac:dyDescent="0.65">
      <c r="A33" s="140"/>
      <c r="B33" s="141" t="s">
        <v>78</v>
      </c>
      <c r="C33" s="193"/>
      <c r="D33" s="183"/>
      <c r="E33" s="142"/>
      <c r="F33" s="137"/>
      <c r="G33" s="138"/>
      <c r="H33" s="139"/>
      <c r="I33" s="139"/>
      <c r="J33" s="218"/>
    </row>
    <row r="34" spans="1:10" s="18" customFormat="1" ht="30.6" x14ac:dyDescent="0.65">
      <c r="A34" s="140"/>
      <c r="B34" s="141" t="s">
        <v>79</v>
      </c>
      <c r="C34" s="193"/>
      <c r="D34" s="183"/>
      <c r="E34" s="142"/>
      <c r="F34" s="137"/>
      <c r="G34" s="138"/>
      <c r="H34" s="139"/>
      <c r="I34" s="139"/>
      <c r="J34" s="218"/>
    </row>
    <row r="35" spans="1:10" s="18" customFormat="1" ht="30.6" x14ac:dyDescent="0.65">
      <c r="A35" s="140"/>
      <c r="B35" s="141" t="s">
        <v>80</v>
      </c>
      <c r="C35" s="193"/>
      <c r="D35" s="183"/>
      <c r="E35" s="142"/>
      <c r="F35" s="137"/>
      <c r="G35" s="138"/>
      <c r="H35" s="139"/>
      <c r="I35" s="139"/>
      <c r="J35" s="218"/>
    </row>
    <row r="36" spans="1:10" ht="31.2" thickBot="1" x14ac:dyDescent="0.7">
      <c r="A36" s="47"/>
      <c r="B36" s="116"/>
      <c r="C36" s="197"/>
      <c r="D36" s="178"/>
      <c r="E36" s="100"/>
      <c r="F36" s="101"/>
      <c r="G36" s="102"/>
      <c r="H36" s="101"/>
      <c r="I36" s="117"/>
      <c r="J36" s="219"/>
    </row>
    <row r="37" spans="1:10" ht="29.4" thickBot="1" x14ac:dyDescent="0.6">
      <c r="A37" s="25"/>
      <c r="B37" s="103" t="s">
        <v>29</v>
      </c>
      <c r="C37" s="198"/>
      <c r="D37" s="186"/>
      <c r="E37" s="104"/>
      <c r="F37" s="106">
        <f>SUM(F31:F36)</f>
        <v>0</v>
      </c>
      <c r="G37" s="105"/>
      <c r="H37" s="106">
        <f>SUM(H31:H36)</f>
        <v>0</v>
      </c>
      <c r="I37" s="106">
        <f>SUM(I31:I36)</f>
        <v>0</v>
      </c>
      <c r="J37" s="219"/>
    </row>
    <row r="38" spans="1:10" ht="28.2" thickBot="1" x14ac:dyDescent="0.6">
      <c r="A38" s="20"/>
      <c r="B38" s="118"/>
      <c r="C38" s="199"/>
      <c r="D38" s="187"/>
      <c r="E38" s="119"/>
      <c r="F38" s="120"/>
      <c r="G38" s="121"/>
      <c r="H38" s="120"/>
      <c r="I38" s="120"/>
      <c r="J38" s="219"/>
    </row>
    <row r="39" spans="1:10" s="18" customFormat="1" ht="32.4" thickBot="1" x14ac:dyDescent="0.6">
      <c r="A39" s="157">
        <v>4</v>
      </c>
      <c r="B39" s="158" t="s">
        <v>52</v>
      </c>
      <c r="C39" s="159"/>
      <c r="D39" s="160"/>
      <c r="E39" s="161"/>
      <c r="F39" s="162"/>
      <c r="G39" s="163"/>
      <c r="H39" s="164"/>
      <c r="I39" s="164"/>
      <c r="J39" s="218"/>
    </row>
    <row r="40" spans="1:10" s="18" customFormat="1" ht="30.6" x14ac:dyDescent="0.65">
      <c r="A40" s="140"/>
      <c r="B40" s="141" t="s">
        <v>82</v>
      </c>
      <c r="C40" s="193">
        <v>1</v>
      </c>
      <c r="D40" s="183" t="s">
        <v>43</v>
      </c>
      <c r="E40" s="142"/>
      <c r="F40" s="137">
        <f t="shared" ref="F40:F41" si="9">C40*E40</f>
        <v>0</v>
      </c>
      <c r="G40" s="138"/>
      <c r="H40" s="139">
        <f t="shared" ref="H40:H41" si="10">C40*G40</f>
        <v>0</v>
      </c>
      <c r="I40" s="139">
        <f t="shared" ref="I40:I41" si="11">H40+F40</f>
        <v>0</v>
      </c>
      <c r="J40" s="218"/>
    </row>
    <row r="41" spans="1:10" s="18" customFormat="1" ht="27" customHeight="1" x14ac:dyDescent="0.65">
      <c r="A41" s="140"/>
      <c r="B41" s="141" t="s">
        <v>77</v>
      </c>
      <c r="C41" s="193">
        <v>1</v>
      </c>
      <c r="D41" s="183" t="s">
        <v>81</v>
      </c>
      <c r="E41" s="142"/>
      <c r="F41" s="137">
        <f t="shared" si="9"/>
        <v>0</v>
      </c>
      <c r="G41" s="138"/>
      <c r="H41" s="139">
        <f t="shared" si="10"/>
        <v>0</v>
      </c>
      <c r="I41" s="139">
        <f t="shared" si="11"/>
        <v>0</v>
      </c>
      <c r="J41" s="218"/>
    </row>
    <row r="42" spans="1:10" s="18" customFormat="1" ht="30.6" x14ac:dyDescent="0.65">
      <c r="A42" s="140"/>
      <c r="B42" s="141" t="s">
        <v>78</v>
      </c>
      <c r="C42" s="193"/>
      <c r="D42" s="183"/>
      <c r="E42" s="142"/>
      <c r="F42" s="137"/>
      <c r="G42" s="138"/>
      <c r="H42" s="139"/>
      <c r="I42" s="139"/>
      <c r="J42" s="218"/>
    </row>
    <row r="43" spans="1:10" s="18" customFormat="1" ht="30.6" x14ac:dyDescent="0.65">
      <c r="A43" s="140"/>
      <c r="B43" s="141" t="s">
        <v>79</v>
      </c>
      <c r="C43" s="193"/>
      <c r="D43" s="183"/>
      <c r="E43" s="142"/>
      <c r="F43" s="137"/>
      <c r="G43" s="138"/>
      <c r="H43" s="139"/>
      <c r="I43" s="139"/>
      <c r="J43" s="218"/>
    </row>
    <row r="44" spans="1:10" s="18" customFormat="1" ht="30.6" x14ac:dyDescent="0.65">
      <c r="A44" s="140"/>
      <c r="B44" s="141" t="s">
        <v>80</v>
      </c>
      <c r="C44" s="193"/>
      <c r="D44" s="183"/>
      <c r="E44" s="142"/>
      <c r="F44" s="137"/>
      <c r="G44" s="138"/>
      <c r="H44" s="139"/>
      <c r="I44" s="139"/>
      <c r="J44" s="218"/>
    </row>
    <row r="45" spans="1:10" s="18" customFormat="1" ht="27" customHeight="1" x14ac:dyDescent="0.65">
      <c r="A45" s="140"/>
      <c r="B45" s="141" t="s">
        <v>83</v>
      </c>
      <c r="C45" s="193">
        <v>1</v>
      </c>
      <c r="D45" s="183" t="s">
        <v>81</v>
      </c>
      <c r="E45" s="232"/>
      <c r="F45" s="137">
        <f t="shared" ref="F45" si="12">C45*E45</f>
        <v>0</v>
      </c>
      <c r="G45" s="138"/>
      <c r="H45" s="139">
        <f t="shared" ref="H45" si="13">C45*G45</f>
        <v>0</v>
      </c>
      <c r="I45" s="139">
        <f t="shared" ref="I45" si="14">H45+F45</f>
        <v>0</v>
      </c>
      <c r="J45" s="218"/>
    </row>
    <row r="46" spans="1:10" s="18" customFormat="1" ht="28.2" thickBot="1" x14ac:dyDescent="0.7">
      <c r="A46" s="165"/>
      <c r="B46" s="166"/>
      <c r="C46" s="167"/>
      <c r="D46" s="166"/>
      <c r="E46" s="168"/>
      <c r="F46" s="169"/>
      <c r="G46" s="170"/>
      <c r="H46" s="170"/>
      <c r="I46" s="170"/>
      <c r="J46" s="218"/>
    </row>
    <row r="47" spans="1:10" s="18" customFormat="1" ht="31.2" thickBot="1" x14ac:dyDescent="0.6">
      <c r="A47" s="171"/>
      <c r="B47" s="145" t="s">
        <v>44</v>
      </c>
      <c r="C47" s="146"/>
      <c r="D47" s="147"/>
      <c r="E47" s="146"/>
      <c r="F47" s="172">
        <f>SUM(F40:F46)</f>
        <v>0</v>
      </c>
      <c r="G47" s="173"/>
      <c r="H47" s="172">
        <f>SUM(H40:H46)</f>
        <v>0</v>
      </c>
      <c r="I47" s="174">
        <f>SUM(I40:I46)</f>
        <v>0</v>
      </c>
      <c r="J47" s="218"/>
    </row>
    <row r="48" spans="1:10" ht="23.4" customHeight="1" thickBot="1" x14ac:dyDescent="0.7">
      <c r="A48" s="44"/>
      <c r="B48" s="107"/>
      <c r="C48" s="195"/>
      <c r="D48" s="184"/>
      <c r="E48" s="108"/>
      <c r="F48" s="109"/>
      <c r="G48" s="110"/>
      <c r="H48" s="111"/>
      <c r="I48" s="205"/>
      <c r="J48" s="219"/>
    </row>
    <row r="49" spans="1:10" s="18" customFormat="1" ht="32.4" thickBot="1" x14ac:dyDescent="0.6">
      <c r="A49" s="157">
        <v>5</v>
      </c>
      <c r="B49" s="158" t="s">
        <v>53</v>
      </c>
      <c r="C49" s="159"/>
      <c r="D49" s="160"/>
      <c r="E49" s="161"/>
      <c r="F49" s="162"/>
      <c r="G49" s="163"/>
      <c r="H49" s="164"/>
      <c r="I49" s="164"/>
      <c r="J49" s="218"/>
    </row>
    <row r="50" spans="1:10" s="18" customFormat="1" ht="30.6" x14ac:dyDescent="0.65">
      <c r="A50" s="140"/>
      <c r="B50" s="141" t="s">
        <v>76</v>
      </c>
      <c r="C50" s="193">
        <v>1</v>
      </c>
      <c r="D50" s="183" t="s">
        <v>43</v>
      </c>
      <c r="E50" s="142"/>
      <c r="F50" s="137">
        <f t="shared" ref="F50:F51" si="15">C50*E50</f>
        <v>0</v>
      </c>
      <c r="G50" s="138"/>
      <c r="H50" s="139">
        <f t="shared" ref="H50:H51" si="16">C50*G50</f>
        <v>0</v>
      </c>
      <c r="I50" s="139">
        <f t="shared" ref="I50:I51" si="17">H50+F50</f>
        <v>0</v>
      </c>
      <c r="J50" s="218"/>
    </row>
    <row r="51" spans="1:10" s="18" customFormat="1" ht="27" customHeight="1" x14ac:dyDescent="0.65">
      <c r="A51" s="140"/>
      <c r="B51" s="141" t="s">
        <v>77</v>
      </c>
      <c r="C51" s="193">
        <v>1</v>
      </c>
      <c r="D51" s="183" t="s">
        <v>81</v>
      </c>
      <c r="E51" s="142"/>
      <c r="F51" s="137">
        <f t="shared" si="15"/>
        <v>0</v>
      </c>
      <c r="G51" s="138"/>
      <c r="H51" s="139">
        <f t="shared" si="16"/>
        <v>0</v>
      </c>
      <c r="I51" s="139">
        <f t="shared" si="17"/>
        <v>0</v>
      </c>
      <c r="J51" s="218"/>
    </row>
    <row r="52" spans="1:10" s="18" customFormat="1" ht="30.6" x14ac:dyDescent="0.65">
      <c r="A52" s="140"/>
      <c r="B52" s="141" t="s">
        <v>78</v>
      </c>
      <c r="C52" s="193"/>
      <c r="D52" s="183"/>
      <c r="E52" s="142"/>
      <c r="F52" s="137"/>
      <c r="G52" s="138"/>
      <c r="H52" s="139"/>
      <c r="I52" s="139"/>
      <c r="J52" s="218"/>
    </row>
    <row r="53" spans="1:10" s="18" customFormat="1" ht="30.6" x14ac:dyDescent="0.65">
      <c r="A53" s="140"/>
      <c r="B53" s="141" t="s">
        <v>79</v>
      </c>
      <c r="C53" s="193"/>
      <c r="D53" s="183"/>
      <c r="E53" s="142"/>
      <c r="F53" s="137"/>
      <c r="G53" s="138"/>
      <c r="H53" s="139"/>
      <c r="I53" s="139"/>
      <c r="J53" s="218"/>
    </row>
    <row r="54" spans="1:10" s="18" customFormat="1" ht="30.6" x14ac:dyDescent="0.65">
      <c r="A54" s="140"/>
      <c r="B54" s="141" t="s">
        <v>80</v>
      </c>
      <c r="C54" s="193"/>
      <c r="D54" s="183"/>
      <c r="E54" s="142"/>
      <c r="F54" s="137"/>
      <c r="G54" s="138"/>
      <c r="H54" s="139"/>
      <c r="I54" s="139"/>
      <c r="J54" s="218"/>
    </row>
    <row r="55" spans="1:10" s="18" customFormat="1" ht="28.2" thickBot="1" x14ac:dyDescent="0.7">
      <c r="A55" s="165"/>
      <c r="B55" s="166"/>
      <c r="C55" s="167"/>
      <c r="D55" s="166"/>
      <c r="E55" s="168"/>
      <c r="F55" s="169"/>
      <c r="G55" s="170"/>
      <c r="H55" s="170"/>
      <c r="I55" s="170"/>
      <c r="J55" s="218"/>
    </row>
    <row r="56" spans="1:10" s="18" customFormat="1" ht="31.2" thickBot="1" x14ac:dyDescent="0.6">
      <c r="A56" s="171"/>
      <c r="B56" s="145" t="s">
        <v>74</v>
      </c>
      <c r="C56" s="146"/>
      <c r="D56" s="147"/>
      <c r="E56" s="146"/>
      <c r="F56" s="172">
        <f>SUM(F50:F55)</f>
        <v>0</v>
      </c>
      <c r="G56" s="173"/>
      <c r="H56" s="172">
        <f>SUM(H50:H55)</f>
        <v>0</v>
      </c>
      <c r="I56" s="174">
        <f>SUM(I50:I55)</f>
        <v>0</v>
      </c>
      <c r="J56" s="218"/>
    </row>
    <row r="57" spans="1:10" ht="23.4" customHeight="1" thickBot="1" x14ac:dyDescent="0.7">
      <c r="A57" s="44"/>
      <c r="B57" s="107"/>
      <c r="C57" s="195"/>
      <c r="D57" s="184"/>
      <c r="E57" s="108"/>
      <c r="F57" s="109"/>
      <c r="G57" s="110"/>
      <c r="H57" s="111"/>
      <c r="I57" s="205"/>
      <c r="J57" s="219"/>
    </row>
    <row r="58" spans="1:10" s="18" customFormat="1" ht="32.4" thickBot="1" x14ac:dyDescent="0.6">
      <c r="A58" s="157">
        <v>6</v>
      </c>
      <c r="B58" s="158" t="s">
        <v>54</v>
      </c>
      <c r="C58" s="159"/>
      <c r="D58" s="160"/>
      <c r="E58" s="161"/>
      <c r="F58" s="162"/>
      <c r="G58" s="163"/>
      <c r="H58" s="164"/>
      <c r="I58" s="164"/>
      <c r="J58" s="218"/>
    </row>
    <row r="59" spans="1:10" s="18" customFormat="1" ht="30.6" x14ac:dyDescent="0.65">
      <c r="A59" s="140"/>
      <c r="B59" s="141" t="s">
        <v>76</v>
      </c>
      <c r="C59" s="193">
        <v>2</v>
      </c>
      <c r="D59" s="183" t="s">
        <v>43</v>
      </c>
      <c r="E59" s="142"/>
      <c r="F59" s="137">
        <f t="shared" ref="F59:F60" si="18">C59*E59</f>
        <v>0</v>
      </c>
      <c r="G59" s="138"/>
      <c r="H59" s="139">
        <f t="shared" ref="H59:H60" si="19">C59*G59</f>
        <v>0</v>
      </c>
      <c r="I59" s="139">
        <f t="shared" ref="I59:I60" si="20">H59+F59</f>
        <v>0</v>
      </c>
      <c r="J59" s="218"/>
    </row>
    <row r="60" spans="1:10" s="18" customFormat="1" ht="27" customHeight="1" x14ac:dyDescent="0.65">
      <c r="A60" s="140"/>
      <c r="B60" s="141" t="s">
        <v>77</v>
      </c>
      <c r="C60" s="193">
        <v>1</v>
      </c>
      <c r="D60" s="183" t="s">
        <v>81</v>
      </c>
      <c r="E60" s="142"/>
      <c r="F60" s="137">
        <f t="shared" si="18"/>
        <v>0</v>
      </c>
      <c r="G60" s="138"/>
      <c r="H60" s="139">
        <f t="shared" si="19"/>
        <v>0</v>
      </c>
      <c r="I60" s="139">
        <f t="shared" si="20"/>
        <v>0</v>
      </c>
      <c r="J60" s="218"/>
    </row>
    <row r="61" spans="1:10" s="18" customFormat="1" ht="30.6" x14ac:dyDescent="0.65">
      <c r="A61" s="140"/>
      <c r="B61" s="141" t="s">
        <v>78</v>
      </c>
      <c r="C61" s="193"/>
      <c r="D61" s="183"/>
      <c r="E61" s="142"/>
      <c r="F61" s="137"/>
      <c r="G61" s="138"/>
      <c r="H61" s="139"/>
      <c r="I61" s="139"/>
      <c r="J61" s="218"/>
    </row>
    <row r="62" spans="1:10" s="18" customFormat="1" ht="30.6" x14ac:dyDescent="0.65">
      <c r="A62" s="140"/>
      <c r="B62" s="141" t="s">
        <v>79</v>
      </c>
      <c r="C62" s="193"/>
      <c r="D62" s="183"/>
      <c r="E62" s="142"/>
      <c r="F62" s="137"/>
      <c r="G62" s="138"/>
      <c r="H62" s="139"/>
      <c r="I62" s="139"/>
      <c r="J62" s="218"/>
    </row>
    <row r="63" spans="1:10" s="18" customFormat="1" ht="30.6" x14ac:dyDescent="0.65">
      <c r="A63" s="140"/>
      <c r="B63" s="141" t="s">
        <v>80</v>
      </c>
      <c r="C63" s="193"/>
      <c r="D63" s="183"/>
      <c r="E63" s="142"/>
      <c r="F63" s="137"/>
      <c r="G63" s="138"/>
      <c r="H63" s="139"/>
      <c r="I63" s="139"/>
      <c r="J63" s="218"/>
    </row>
    <row r="64" spans="1:10" s="18" customFormat="1" ht="28.2" thickBot="1" x14ac:dyDescent="0.7">
      <c r="A64" s="165"/>
      <c r="B64" s="166"/>
      <c r="C64" s="167"/>
      <c r="D64" s="166"/>
      <c r="E64" s="168"/>
      <c r="F64" s="169"/>
      <c r="G64" s="170"/>
      <c r="H64" s="170"/>
      <c r="I64" s="170"/>
      <c r="J64" s="218"/>
    </row>
    <row r="65" spans="1:10" s="18" customFormat="1" ht="31.2" thickBot="1" x14ac:dyDescent="0.6">
      <c r="A65" s="171"/>
      <c r="B65" s="145" t="s">
        <v>73</v>
      </c>
      <c r="C65" s="146"/>
      <c r="D65" s="147"/>
      <c r="E65" s="146"/>
      <c r="F65" s="172">
        <f>SUM(F59:F64)</f>
        <v>0</v>
      </c>
      <c r="G65" s="173"/>
      <c r="H65" s="172">
        <f>SUM(H59:H64)</f>
        <v>0</v>
      </c>
      <c r="I65" s="174">
        <f>SUM(I59:I64)</f>
        <v>0</v>
      </c>
      <c r="J65" s="218"/>
    </row>
    <row r="66" spans="1:10" ht="23.4" customHeight="1" thickBot="1" x14ac:dyDescent="0.7">
      <c r="A66" s="44"/>
      <c r="B66" s="107"/>
      <c r="C66" s="195"/>
      <c r="D66" s="184"/>
      <c r="E66" s="108"/>
      <c r="F66" s="109"/>
      <c r="G66" s="110"/>
      <c r="H66" s="111"/>
      <c r="I66" s="205"/>
      <c r="J66" s="219"/>
    </row>
    <row r="67" spans="1:10" s="18" customFormat="1" ht="32.4" thickBot="1" x14ac:dyDescent="0.6">
      <c r="A67" s="157">
        <v>7</v>
      </c>
      <c r="B67" s="158" t="s">
        <v>55</v>
      </c>
      <c r="C67" s="159"/>
      <c r="D67" s="160"/>
      <c r="E67" s="161"/>
      <c r="F67" s="162"/>
      <c r="G67" s="163"/>
      <c r="H67" s="164"/>
      <c r="I67" s="164"/>
      <c r="J67" s="218"/>
    </row>
    <row r="68" spans="1:10" s="18" customFormat="1" ht="30.6" x14ac:dyDescent="0.65">
      <c r="A68" s="140"/>
      <c r="B68" s="141" t="s">
        <v>82</v>
      </c>
      <c r="C68" s="193">
        <v>4</v>
      </c>
      <c r="D68" s="183" t="s">
        <v>43</v>
      </c>
      <c r="E68" s="142"/>
      <c r="F68" s="137">
        <f t="shared" ref="F68:F69" si="21">C68*E68</f>
        <v>0</v>
      </c>
      <c r="G68" s="138"/>
      <c r="H68" s="139">
        <f t="shared" ref="H68:H69" si="22">C68*G68</f>
        <v>0</v>
      </c>
      <c r="I68" s="139">
        <f t="shared" ref="I68:I69" si="23">H68+F68</f>
        <v>0</v>
      </c>
      <c r="J68" s="218"/>
    </row>
    <row r="69" spans="1:10" s="18" customFormat="1" ht="27" customHeight="1" x14ac:dyDescent="0.65">
      <c r="A69" s="140"/>
      <c r="B69" s="141" t="s">
        <v>77</v>
      </c>
      <c r="C69" s="193">
        <v>1</v>
      </c>
      <c r="D69" s="183" t="s">
        <v>81</v>
      </c>
      <c r="E69" s="142"/>
      <c r="F69" s="137">
        <f t="shared" si="21"/>
        <v>0</v>
      </c>
      <c r="G69" s="138"/>
      <c r="H69" s="139">
        <f t="shared" si="22"/>
        <v>0</v>
      </c>
      <c r="I69" s="139">
        <f t="shared" si="23"/>
        <v>0</v>
      </c>
      <c r="J69" s="218"/>
    </row>
    <row r="70" spans="1:10" s="18" customFormat="1" ht="30.6" x14ac:dyDescent="0.65">
      <c r="A70" s="140"/>
      <c r="B70" s="141" t="s">
        <v>78</v>
      </c>
      <c r="C70" s="193"/>
      <c r="D70" s="183"/>
      <c r="E70" s="142"/>
      <c r="F70" s="137"/>
      <c r="G70" s="138"/>
      <c r="H70" s="139"/>
      <c r="I70" s="139"/>
      <c r="J70" s="218"/>
    </row>
    <row r="71" spans="1:10" s="18" customFormat="1" ht="30.6" x14ac:dyDescent="0.65">
      <c r="A71" s="140"/>
      <c r="B71" s="141" t="s">
        <v>79</v>
      </c>
      <c r="C71" s="193"/>
      <c r="D71" s="183"/>
      <c r="E71" s="142"/>
      <c r="F71" s="137"/>
      <c r="G71" s="138"/>
      <c r="H71" s="139"/>
      <c r="I71" s="139"/>
      <c r="J71" s="218"/>
    </row>
    <row r="72" spans="1:10" s="18" customFormat="1" ht="30.6" x14ac:dyDescent="0.65">
      <c r="A72" s="140"/>
      <c r="B72" s="141" t="s">
        <v>80</v>
      </c>
      <c r="C72" s="193"/>
      <c r="D72" s="183"/>
      <c r="E72" s="142"/>
      <c r="F72" s="137"/>
      <c r="G72" s="138"/>
      <c r="H72" s="139"/>
      <c r="I72" s="139"/>
      <c r="J72" s="218"/>
    </row>
    <row r="73" spans="1:10" s="18" customFormat="1" ht="28.2" thickBot="1" x14ac:dyDescent="0.7">
      <c r="A73" s="165"/>
      <c r="B73" s="166"/>
      <c r="C73" s="167"/>
      <c r="D73" s="166"/>
      <c r="E73" s="168"/>
      <c r="F73" s="169"/>
      <c r="G73" s="170"/>
      <c r="H73" s="170"/>
      <c r="I73" s="170"/>
      <c r="J73" s="218"/>
    </row>
    <row r="74" spans="1:10" s="18" customFormat="1" ht="31.2" thickBot="1" x14ac:dyDescent="0.6">
      <c r="A74" s="171"/>
      <c r="B74" s="145" t="s">
        <v>72</v>
      </c>
      <c r="C74" s="146"/>
      <c r="D74" s="147"/>
      <c r="E74" s="146"/>
      <c r="F74" s="172">
        <f>SUM(F68:F73)</f>
        <v>0</v>
      </c>
      <c r="G74" s="173"/>
      <c r="H74" s="172">
        <f>SUM(H68:H73)</f>
        <v>0</v>
      </c>
      <c r="I74" s="174">
        <f>SUM(I68:I73)</f>
        <v>0</v>
      </c>
      <c r="J74" s="218"/>
    </row>
    <row r="75" spans="1:10" ht="23.4" customHeight="1" thickBot="1" x14ac:dyDescent="0.7">
      <c r="A75" s="44"/>
      <c r="B75" s="107"/>
      <c r="C75" s="195"/>
      <c r="D75" s="184"/>
      <c r="E75" s="108"/>
      <c r="F75" s="109"/>
      <c r="G75" s="110"/>
      <c r="H75" s="111"/>
      <c r="I75" s="205"/>
      <c r="J75" s="219"/>
    </row>
    <row r="76" spans="1:10" s="18" customFormat="1" ht="32.4" thickBot="1" x14ac:dyDescent="0.6">
      <c r="A76" s="157">
        <v>8</v>
      </c>
      <c r="B76" s="158" t="s">
        <v>56</v>
      </c>
      <c r="C76" s="159"/>
      <c r="D76" s="160"/>
      <c r="E76" s="161"/>
      <c r="F76" s="162"/>
      <c r="G76" s="163"/>
      <c r="H76" s="164"/>
      <c r="I76" s="164"/>
      <c r="J76" s="218"/>
    </row>
    <row r="77" spans="1:10" s="18" customFormat="1" ht="30.6" x14ac:dyDescent="0.65">
      <c r="A77" s="140"/>
      <c r="B77" s="141" t="s">
        <v>82</v>
      </c>
      <c r="C77" s="193">
        <v>4</v>
      </c>
      <c r="D77" s="183" t="s">
        <v>43</v>
      </c>
      <c r="E77" s="142"/>
      <c r="F77" s="137">
        <f t="shared" ref="F77:F78" si="24">C77*E77</f>
        <v>0</v>
      </c>
      <c r="G77" s="138"/>
      <c r="H77" s="139">
        <f t="shared" ref="H77:H78" si="25">C77*G77</f>
        <v>0</v>
      </c>
      <c r="I77" s="139">
        <f t="shared" ref="I77:I78" si="26">H77+F77</f>
        <v>0</v>
      </c>
      <c r="J77" s="218"/>
    </row>
    <row r="78" spans="1:10" s="18" customFormat="1" ht="27" customHeight="1" x14ac:dyDescent="0.65">
      <c r="A78" s="140"/>
      <c r="B78" s="141" t="s">
        <v>77</v>
      </c>
      <c r="C78" s="193">
        <v>1</v>
      </c>
      <c r="D78" s="183" t="s">
        <v>81</v>
      </c>
      <c r="E78" s="142"/>
      <c r="F78" s="137">
        <f t="shared" si="24"/>
        <v>0</v>
      </c>
      <c r="G78" s="138"/>
      <c r="H78" s="139">
        <f t="shared" si="25"/>
        <v>0</v>
      </c>
      <c r="I78" s="139">
        <f t="shared" si="26"/>
        <v>0</v>
      </c>
      <c r="J78" s="218"/>
    </row>
    <row r="79" spans="1:10" s="18" customFormat="1" ht="30.6" x14ac:dyDescent="0.65">
      <c r="A79" s="140"/>
      <c r="B79" s="141" t="s">
        <v>78</v>
      </c>
      <c r="C79" s="193"/>
      <c r="D79" s="183"/>
      <c r="E79" s="142"/>
      <c r="F79" s="137"/>
      <c r="G79" s="138"/>
      <c r="H79" s="139"/>
      <c r="I79" s="139"/>
      <c r="J79" s="218"/>
    </row>
    <row r="80" spans="1:10" s="18" customFormat="1" ht="30.6" x14ac:dyDescent="0.65">
      <c r="A80" s="140"/>
      <c r="B80" s="141" t="s">
        <v>79</v>
      </c>
      <c r="C80" s="193"/>
      <c r="D80" s="183"/>
      <c r="E80" s="142"/>
      <c r="F80" s="137"/>
      <c r="G80" s="138"/>
      <c r="H80" s="139"/>
      <c r="I80" s="139"/>
      <c r="J80" s="218"/>
    </row>
    <row r="81" spans="1:10" s="18" customFormat="1" ht="30.6" x14ac:dyDescent="0.65">
      <c r="A81" s="140"/>
      <c r="B81" s="141" t="s">
        <v>80</v>
      </c>
      <c r="C81" s="193"/>
      <c r="D81" s="183"/>
      <c r="E81" s="142"/>
      <c r="F81" s="137"/>
      <c r="G81" s="138"/>
      <c r="H81" s="139"/>
      <c r="I81" s="139"/>
      <c r="J81" s="218"/>
    </row>
    <row r="82" spans="1:10" s="18" customFormat="1" ht="28.2" thickBot="1" x14ac:dyDescent="0.7">
      <c r="A82" s="165"/>
      <c r="B82" s="166"/>
      <c r="C82" s="167"/>
      <c r="D82" s="166"/>
      <c r="E82" s="168"/>
      <c r="F82" s="169"/>
      <c r="G82" s="170"/>
      <c r="H82" s="170"/>
      <c r="I82" s="170"/>
      <c r="J82" s="218"/>
    </row>
    <row r="83" spans="1:10" s="18" customFormat="1" ht="31.2" thickBot="1" x14ac:dyDescent="0.6">
      <c r="A83" s="171"/>
      <c r="B83" s="145" t="s">
        <v>71</v>
      </c>
      <c r="C83" s="146"/>
      <c r="D83" s="147"/>
      <c r="E83" s="146"/>
      <c r="F83" s="172">
        <f>SUM(F77:F82)</f>
        <v>0</v>
      </c>
      <c r="G83" s="173"/>
      <c r="H83" s="172">
        <f>SUM(H77:H82)</f>
        <v>0</v>
      </c>
      <c r="I83" s="174">
        <f>SUM(I77:I82)</f>
        <v>0</v>
      </c>
      <c r="J83" s="218"/>
    </row>
    <row r="84" spans="1:10" ht="23.4" customHeight="1" thickBot="1" x14ac:dyDescent="0.7">
      <c r="A84" s="44"/>
      <c r="B84" s="107"/>
      <c r="C84" s="195"/>
      <c r="D84" s="184"/>
      <c r="E84" s="108"/>
      <c r="F84" s="109"/>
      <c r="G84" s="110"/>
      <c r="H84" s="111"/>
      <c r="I84" s="205"/>
      <c r="J84" s="219"/>
    </row>
    <row r="85" spans="1:10" s="18" customFormat="1" ht="32.4" thickBot="1" x14ac:dyDescent="0.6">
      <c r="A85" s="157">
        <v>9</v>
      </c>
      <c r="B85" s="158" t="s">
        <v>57</v>
      </c>
      <c r="C85" s="159"/>
      <c r="D85" s="160"/>
      <c r="E85" s="161"/>
      <c r="F85" s="162"/>
      <c r="G85" s="163"/>
      <c r="H85" s="164"/>
      <c r="I85" s="164"/>
      <c r="J85" s="218"/>
    </row>
    <row r="86" spans="1:10" s="18" customFormat="1" ht="30.6" x14ac:dyDescent="0.65">
      <c r="A86" s="140"/>
      <c r="B86" s="141" t="s">
        <v>76</v>
      </c>
      <c r="C86" s="193">
        <v>3</v>
      </c>
      <c r="D86" s="183" t="s">
        <v>43</v>
      </c>
      <c r="E86" s="142"/>
      <c r="F86" s="137">
        <f t="shared" ref="F86:F87" si="27">C86*E86</f>
        <v>0</v>
      </c>
      <c r="G86" s="138"/>
      <c r="H86" s="139">
        <f t="shared" ref="H86:H87" si="28">C86*G86</f>
        <v>0</v>
      </c>
      <c r="I86" s="139">
        <f t="shared" ref="I86:I87" si="29">H86+F86</f>
        <v>0</v>
      </c>
      <c r="J86" s="218"/>
    </row>
    <row r="87" spans="1:10" s="18" customFormat="1" ht="27" customHeight="1" x14ac:dyDescent="0.65">
      <c r="A87" s="140"/>
      <c r="B87" s="141" t="s">
        <v>77</v>
      </c>
      <c r="C87" s="193">
        <v>1</v>
      </c>
      <c r="D87" s="183" t="s">
        <v>81</v>
      </c>
      <c r="E87" s="142"/>
      <c r="F87" s="137">
        <f t="shared" si="27"/>
        <v>0</v>
      </c>
      <c r="G87" s="138"/>
      <c r="H87" s="139">
        <f t="shared" si="28"/>
        <v>0</v>
      </c>
      <c r="I87" s="139">
        <f t="shared" si="29"/>
        <v>0</v>
      </c>
      <c r="J87" s="218"/>
    </row>
    <row r="88" spans="1:10" s="18" customFormat="1" ht="30.6" x14ac:dyDescent="0.65">
      <c r="A88" s="140"/>
      <c r="B88" s="141" t="s">
        <v>78</v>
      </c>
      <c r="C88" s="193"/>
      <c r="D88" s="183"/>
      <c r="E88" s="142"/>
      <c r="F88" s="137"/>
      <c r="G88" s="138"/>
      <c r="H88" s="139"/>
      <c r="I88" s="139"/>
      <c r="J88" s="218"/>
    </row>
    <row r="89" spans="1:10" s="18" customFormat="1" ht="30.6" x14ac:dyDescent="0.65">
      <c r="A89" s="140"/>
      <c r="B89" s="141" t="s">
        <v>79</v>
      </c>
      <c r="C89" s="193"/>
      <c r="D89" s="183"/>
      <c r="E89" s="142"/>
      <c r="F89" s="137"/>
      <c r="G89" s="138"/>
      <c r="H89" s="139"/>
      <c r="I89" s="139"/>
      <c r="J89" s="218"/>
    </row>
    <row r="90" spans="1:10" s="18" customFormat="1" ht="30.6" x14ac:dyDescent="0.65">
      <c r="A90" s="140"/>
      <c r="B90" s="141" t="s">
        <v>80</v>
      </c>
      <c r="C90" s="193"/>
      <c r="D90" s="183"/>
      <c r="E90" s="142"/>
      <c r="F90" s="137"/>
      <c r="G90" s="138"/>
      <c r="H90" s="139"/>
      <c r="I90" s="139"/>
      <c r="J90" s="218"/>
    </row>
    <row r="91" spans="1:10" s="18" customFormat="1" ht="30.6" x14ac:dyDescent="0.65">
      <c r="A91" s="140"/>
      <c r="B91" s="141" t="s">
        <v>84</v>
      </c>
      <c r="C91" s="193">
        <v>1</v>
      </c>
      <c r="D91" s="183" t="s">
        <v>81</v>
      </c>
      <c r="E91" s="232"/>
      <c r="F91" s="137">
        <f t="shared" ref="F91" si="30">C91*E91</f>
        <v>0</v>
      </c>
      <c r="G91" s="138"/>
      <c r="H91" s="139">
        <f t="shared" ref="H91" si="31">C91*G91</f>
        <v>0</v>
      </c>
      <c r="I91" s="139">
        <f t="shared" ref="I91" si="32">H91+F91</f>
        <v>0</v>
      </c>
      <c r="J91" s="218"/>
    </row>
    <row r="92" spans="1:10" s="18" customFormat="1" ht="28.2" thickBot="1" x14ac:dyDescent="0.7">
      <c r="A92" s="165"/>
      <c r="B92" s="166"/>
      <c r="C92" s="167"/>
      <c r="D92" s="166"/>
      <c r="E92" s="168"/>
      <c r="F92" s="169"/>
      <c r="G92" s="170"/>
      <c r="H92" s="170"/>
      <c r="I92" s="170"/>
      <c r="J92" s="218"/>
    </row>
    <row r="93" spans="1:10" s="18" customFormat="1" ht="31.2" thickBot="1" x14ac:dyDescent="0.6">
      <c r="A93" s="171"/>
      <c r="B93" s="145" t="s">
        <v>70</v>
      </c>
      <c r="C93" s="146"/>
      <c r="D93" s="147"/>
      <c r="E93" s="146"/>
      <c r="F93" s="172">
        <f>SUM(F86:F92)</f>
        <v>0</v>
      </c>
      <c r="G93" s="173"/>
      <c r="H93" s="172">
        <f>SUM(H86:H92)</f>
        <v>0</v>
      </c>
      <c r="I93" s="174">
        <f>SUM(I86:I92)</f>
        <v>0</v>
      </c>
      <c r="J93" s="218"/>
    </row>
    <row r="94" spans="1:10" ht="23.4" customHeight="1" thickBot="1" x14ac:dyDescent="0.7">
      <c r="A94" s="44"/>
      <c r="B94" s="107"/>
      <c r="C94" s="195"/>
      <c r="D94" s="184"/>
      <c r="E94" s="108"/>
      <c r="F94" s="109"/>
      <c r="G94" s="110"/>
      <c r="H94" s="111"/>
      <c r="I94" s="205"/>
      <c r="J94" s="219"/>
    </row>
    <row r="95" spans="1:10" s="18" customFormat="1" ht="32.4" thickBot="1" x14ac:dyDescent="0.6">
      <c r="A95" s="157">
        <v>10</v>
      </c>
      <c r="B95" s="158" t="s">
        <v>58</v>
      </c>
      <c r="C95" s="159"/>
      <c r="D95" s="160"/>
      <c r="E95" s="161"/>
      <c r="F95" s="162"/>
      <c r="G95" s="163"/>
      <c r="H95" s="164"/>
      <c r="I95" s="164"/>
      <c r="J95" s="218"/>
    </row>
    <row r="96" spans="1:10" s="18" customFormat="1" ht="30.6" x14ac:dyDescent="0.65">
      <c r="A96" s="140"/>
      <c r="B96" s="141" t="s">
        <v>76</v>
      </c>
      <c r="C96" s="193">
        <v>1</v>
      </c>
      <c r="D96" s="183" t="s">
        <v>43</v>
      </c>
      <c r="E96" s="142"/>
      <c r="F96" s="137">
        <f t="shared" ref="F96:F97" si="33">C96*E96</f>
        <v>0</v>
      </c>
      <c r="G96" s="138"/>
      <c r="H96" s="139">
        <f t="shared" ref="H96:H97" si="34">C96*G96</f>
        <v>0</v>
      </c>
      <c r="I96" s="139">
        <f t="shared" ref="I96:I97" si="35">H96+F96</f>
        <v>0</v>
      </c>
      <c r="J96" s="218"/>
    </row>
    <row r="97" spans="1:10" s="18" customFormat="1" ht="27" customHeight="1" x14ac:dyDescent="0.65">
      <c r="A97" s="140"/>
      <c r="B97" s="141" t="s">
        <v>77</v>
      </c>
      <c r="C97" s="193">
        <v>1</v>
      </c>
      <c r="D97" s="183" t="s">
        <v>81</v>
      </c>
      <c r="E97" s="142"/>
      <c r="F97" s="137">
        <f t="shared" si="33"/>
        <v>0</v>
      </c>
      <c r="G97" s="138"/>
      <c r="H97" s="139">
        <f t="shared" si="34"/>
        <v>0</v>
      </c>
      <c r="I97" s="139">
        <f t="shared" si="35"/>
        <v>0</v>
      </c>
      <c r="J97" s="218"/>
    </row>
    <row r="98" spans="1:10" s="18" customFormat="1" ht="30.6" x14ac:dyDescent="0.65">
      <c r="A98" s="140"/>
      <c r="B98" s="141" t="s">
        <v>78</v>
      </c>
      <c r="C98" s="193"/>
      <c r="D98" s="183"/>
      <c r="E98" s="142"/>
      <c r="F98" s="137"/>
      <c r="G98" s="138"/>
      <c r="H98" s="139"/>
      <c r="I98" s="139"/>
      <c r="J98" s="218"/>
    </row>
    <row r="99" spans="1:10" s="18" customFormat="1" ht="30.6" x14ac:dyDescent="0.65">
      <c r="A99" s="140"/>
      <c r="B99" s="141" t="s">
        <v>79</v>
      </c>
      <c r="C99" s="193"/>
      <c r="D99" s="183"/>
      <c r="E99" s="142"/>
      <c r="F99" s="137"/>
      <c r="G99" s="138"/>
      <c r="H99" s="139"/>
      <c r="I99" s="139"/>
      <c r="J99" s="218"/>
    </row>
    <row r="100" spans="1:10" s="18" customFormat="1" ht="30.6" x14ac:dyDescent="0.65">
      <c r="A100" s="140"/>
      <c r="B100" s="141" t="s">
        <v>80</v>
      </c>
      <c r="C100" s="193"/>
      <c r="D100" s="183"/>
      <c r="E100" s="142"/>
      <c r="F100" s="137"/>
      <c r="G100" s="138"/>
      <c r="H100" s="139"/>
      <c r="I100" s="139"/>
      <c r="J100" s="218"/>
    </row>
    <row r="101" spans="1:10" s="18" customFormat="1" ht="28.2" thickBot="1" x14ac:dyDescent="0.7">
      <c r="A101" s="165"/>
      <c r="B101" s="166"/>
      <c r="C101" s="167"/>
      <c r="D101" s="166"/>
      <c r="E101" s="168"/>
      <c r="F101" s="169"/>
      <c r="G101" s="170"/>
      <c r="H101" s="170"/>
      <c r="I101" s="170"/>
      <c r="J101" s="218"/>
    </row>
    <row r="102" spans="1:10" s="18" customFormat="1" ht="31.2" thickBot="1" x14ac:dyDescent="0.6">
      <c r="A102" s="171"/>
      <c r="B102" s="145" t="s">
        <v>69</v>
      </c>
      <c r="C102" s="146"/>
      <c r="D102" s="147"/>
      <c r="E102" s="146"/>
      <c r="F102" s="172">
        <f>SUM(F96:F101)</f>
        <v>0</v>
      </c>
      <c r="G102" s="173"/>
      <c r="H102" s="172">
        <f>SUM(H96:H101)</f>
        <v>0</v>
      </c>
      <c r="I102" s="174">
        <f>SUM(I96:I101)</f>
        <v>0</v>
      </c>
      <c r="J102" s="218"/>
    </row>
    <row r="103" spans="1:10" ht="23.4" customHeight="1" thickBot="1" x14ac:dyDescent="0.7">
      <c r="A103" s="44"/>
      <c r="B103" s="107"/>
      <c r="C103" s="195"/>
      <c r="D103" s="184"/>
      <c r="E103" s="108"/>
      <c r="F103" s="109"/>
      <c r="G103" s="110"/>
      <c r="H103" s="111"/>
      <c r="I103" s="205"/>
      <c r="J103" s="219"/>
    </row>
    <row r="104" spans="1:10" s="18" customFormat="1" ht="32.4" thickBot="1" x14ac:dyDescent="0.6">
      <c r="A104" s="157">
        <v>11</v>
      </c>
      <c r="B104" s="158" t="s">
        <v>59</v>
      </c>
      <c r="C104" s="159"/>
      <c r="D104" s="160"/>
      <c r="E104" s="161"/>
      <c r="F104" s="162"/>
      <c r="G104" s="163"/>
      <c r="H104" s="164"/>
      <c r="I104" s="164"/>
      <c r="J104" s="218"/>
    </row>
    <row r="105" spans="1:10" s="18" customFormat="1" ht="30.6" x14ac:dyDescent="0.65">
      <c r="A105" s="140"/>
      <c r="B105" s="141" t="s">
        <v>76</v>
      </c>
      <c r="C105" s="193">
        <v>1</v>
      </c>
      <c r="D105" s="183" t="s">
        <v>43</v>
      </c>
      <c r="E105" s="142"/>
      <c r="F105" s="137">
        <f t="shared" ref="F105:F106" si="36">C105*E105</f>
        <v>0</v>
      </c>
      <c r="G105" s="138"/>
      <c r="H105" s="139">
        <f t="shared" ref="H105:H106" si="37">C105*G105</f>
        <v>0</v>
      </c>
      <c r="I105" s="139">
        <f t="shared" ref="I105:I106" si="38">H105+F105</f>
        <v>0</v>
      </c>
      <c r="J105" s="218"/>
    </row>
    <row r="106" spans="1:10" s="18" customFormat="1" ht="27" customHeight="1" x14ac:dyDescent="0.65">
      <c r="A106" s="140"/>
      <c r="B106" s="141" t="s">
        <v>77</v>
      </c>
      <c r="C106" s="193">
        <v>1</v>
      </c>
      <c r="D106" s="183" t="s">
        <v>81</v>
      </c>
      <c r="E106" s="142"/>
      <c r="F106" s="137">
        <f t="shared" si="36"/>
        <v>0</v>
      </c>
      <c r="G106" s="138"/>
      <c r="H106" s="139">
        <f t="shared" si="37"/>
        <v>0</v>
      </c>
      <c r="I106" s="139">
        <f t="shared" si="38"/>
        <v>0</v>
      </c>
      <c r="J106" s="218"/>
    </row>
    <row r="107" spans="1:10" s="18" customFormat="1" ht="30.6" x14ac:dyDescent="0.65">
      <c r="A107" s="140"/>
      <c r="B107" s="141" t="s">
        <v>78</v>
      </c>
      <c r="C107" s="193"/>
      <c r="D107" s="183"/>
      <c r="E107" s="142"/>
      <c r="F107" s="137"/>
      <c r="G107" s="138"/>
      <c r="H107" s="139"/>
      <c r="I107" s="139"/>
      <c r="J107" s="218"/>
    </row>
    <row r="108" spans="1:10" s="18" customFormat="1" ht="30.6" x14ac:dyDescent="0.65">
      <c r="A108" s="140"/>
      <c r="B108" s="141" t="s">
        <v>79</v>
      </c>
      <c r="C108" s="193"/>
      <c r="D108" s="183"/>
      <c r="E108" s="142"/>
      <c r="F108" s="137"/>
      <c r="G108" s="138"/>
      <c r="H108" s="139"/>
      <c r="I108" s="139"/>
      <c r="J108" s="218"/>
    </row>
    <row r="109" spans="1:10" s="18" customFormat="1" ht="30.6" x14ac:dyDescent="0.65">
      <c r="A109" s="140"/>
      <c r="B109" s="141" t="s">
        <v>80</v>
      </c>
      <c r="C109" s="193"/>
      <c r="D109" s="183"/>
      <c r="E109" s="142"/>
      <c r="F109" s="137"/>
      <c r="G109" s="138"/>
      <c r="H109" s="139"/>
      <c r="I109" s="139"/>
      <c r="J109" s="218"/>
    </row>
    <row r="110" spans="1:10" s="18" customFormat="1" ht="28.2" thickBot="1" x14ac:dyDescent="0.7">
      <c r="A110" s="165"/>
      <c r="B110" s="166"/>
      <c r="C110" s="167"/>
      <c r="D110" s="166"/>
      <c r="E110" s="168"/>
      <c r="F110" s="169"/>
      <c r="G110" s="170"/>
      <c r="H110" s="170"/>
      <c r="I110" s="170"/>
      <c r="J110" s="218"/>
    </row>
    <row r="111" spans="1:10" s="18" customFormat="1" ht="31.2" thickBot="1" x14ac:dyDescent="0.6">
      <c r="A111" s="171"/>
      <c r="B111" s="145" t="s">
        <v>68</v>
      </c>
      <c r="C111" s="146"/>
      <c r="D111" s="147"/>
      <c r="E111" s="146"/>
      <c r="F111" s="172">
        <f>SUM(F105:F110)</f>
        <v>0</v>
      </c>
      <c r="G111" s="173"/>
      <c r="H111" s="172">
        <f>SUM(H105:H110)</f>
        <v>0</v>
      </c>
      <c r="I111" s="174">
        <f>SUM(I105:I110)</f>
        <v>0</v>
      </c>
      <c r="J111" s="218"/>
    </row>
    <row r="112" spans="1:10" ht="23.4" customHeight="1" thickBot="1" x14ac:dyDescent="0.7">
      <c r="A112" s="44"/>
      <c r="B112" s="107"/>
      <c r="C112" s="195"/>
      <c r="D112" s="184"/>
      <c r="E112" s="108"/>
      <c r="F112" s="109"/>
      <c r="G112" s="110"/>
      <c r="H112" s="111"/>
      <c r="I112" s="205"/>
      <c r="J112" s="219"/>
    </row>
    <row r="113" spans="1:10" s="18" customFormat="1" ht="32.4" thickBot="1" x14ac:dyDescent="0.6">
      <c r="A113" s="157">
        <v>12</v>
      </c>
      <c r="B113" s="158" t="s">
        <v>60</v>
      </c>
      <c r="C113" s="159"/>
      <c r="D113" s="160"/>
      <c r="E113" s="161"/>
      <c r="F113" s="162"/>
      <c r="G113" s="163"/>
      <c r="H113" s="164"/>
      <c r="I113" s="164"/>
      <c r="J113" s="218"/>
    </row>
    <row r="114" spans="1:10" s="18" customFormat="1" ht="30.6" x14ac:dyDescent="0.65">
      <c r="A114" s="140"/>
      <c r="B114" s="141" t="s">
        <v>76</v>
      </c>
      <c r="C114" s="193">
        <v>1</v>
      </c>
      <c r="D114" s="183" t="s">
        <v>43</v>
      </c>
      <c r="E114" s="142"/>
      <c r="F114" s="137">
        <f t="shared" ref="F114:F115" si="39">C114*E114</f>
        <v>0</v>
      </c>
      <c r="G114" s="138"/>
      <c r="H114" s="139">
        <f t="shared" ref="H114:H115" si="40">C114*G114</f>
        <v>0</v>
      </c>
      <c r="I114" s="139">
        <f t="shared" ref="I114:I115" si="41">H114+F114</f>
        <v>0</v>
      </c>
      <c r="J114" s="218"/>
    </row>
    <row r="115" spans="1:10" s="18" customFormat="1" ht="27" customHeight="1" x14ac:dyDescent="0.65">
      <c r="A115" s="140"/>
      <c r="B115" s="141" t="s">
        <v>77</v>
      </c>
      <c r="C115" s="193">
        <v>1</v>
      </c>
      <c r="D115" s="183" t="s">
        <v>81</v>
      </c>
      <c r="E115" s="142"/>
      <c r="F115" s="137">
        <f t="shared" si="39"/>
        <v>0</v>
      </c>
      <c r="G115" s="138"/>
      <c r="H115" s="139">
        <f t="shared" si="40"/>
        <v>0</v>
      </c>
      <c r="I115" s="139">
        <f t="shared" si="41"/>
        <v>0</v>
      </c>
      <c r="J115" s="218"/>
    </row>
    <row r="116" spans="1:10" s="18" customFormat="1" ht="30.6" x14ac:dyDescent="0.65">
      <c r="A116" s="140"/>
      <c r="B116" s="141" t="s">
        <v>78</v>
      </c>
      <c r="C116" s="193"/>
      <c r="D116" s="183"/>
      <c r="E116" s="142"/>
      <c r="F116" s="137"/>
      <c r="G116" s="138"/>
      <c r="H116" s="139"/>
      <c r="I116" s="139"/>
      <c r="J116" s="218"/>
    </row>
    <row r="117" spans="1:10" s="18" customFormat="1" ht="30.6" x14ac:dyDescent="0.65">
      <c r="A117" s="140"/>
      <c r="B117" s="141" t="s">
        <v>79</v>
      </c>
      <c r="C117" s="193"/>
      <c r="D117" s="183"/>
      <c r="E117" s="142"/>
      <c r="F117" s="137"/>
      <c r="G117" s="138"/>
      <c r="H117" s="139"/>
      <c r="I117" s="139"/>
      <c r="J117" s="218"/>
    </row>
    <row r="118" spans="1:10" s="18" customFormat="1" ht="30.6" x14ac:dyDescent="0.65">
      <c r="A118" s="140"/>
      <c r="B118" s="141" t="s">
        <v>80</v>
      </c>
      <c r="C118" s="193"/>
      <c r="D118" s="183"/>
      <c r="E118" s="142"/>
      <c r="F118" s="137"/>
      <c r="G118" s="138"/>
      <c r="H118" s="139"/>
      <c r="I118" s="139"/>
      <c r="J118" s="218"/>
    </row>
    <row r="119" spans="1:10" s="18" customFormat="1" ht="28.2" thickBot="1" x14ac:dyDescent="0.7">
      <c r="A119" s="165"/>
      <c r="B119" s="166"/>
      <c r="C119" s="167"/>
      <c r="D119" s="166"/>
      <c r="E119" s="168"/>
      <c r="F119" s="169"/>
      <c r="G119" s="170"/>
      <c r="H119" s="170"/>
      <c r="I119" s="170"/>
      <c r="J119" s="218"/>
    </row>
    <row r="120" spans="1:10" s="18" customFormat="1" ht="31.2" thickBot="1" x14ac:dyDescent="0.6">
      <c r="A120" s="171"/>
      <c r="B120" s="145" t="s">
        <v>67</v>
      </c>
      <c r="C120" s="146"/>
      <c r="D120" s="147"/>
      <c r="E120" s="146"/>
      <c r="F120" s="172">
        <f>SUM(F114:F119)</f>
        <v>0</v>
      </c>
      <c r="G120" s="173"/>
      <c r="H120" s="172">
        <f>SUM(H114:H119)</f>
        <v>0</v>
      </c>
      <c r="I120" s="174">
        <f>SUM(I114:I119)</f>
        <v>0</v>
      </c>
      <c r="J120" s="218"/>
    </row>
    <row r="121" spans="1:10" ht="23.4" customHeight="1" thickBot="1" x14ac:dyDescent="0.7">
      <c r="A121" s="44"/>
      <c r="B121" s="107"/>
      <c r="C121" s="195"/>
      <c r="D121" s="184"/>
      <c r="E121" s="108"/>
      <c r="F121" s="109"/>
      <c r="G121" s="110"/>
      <c r="H121" s="111"/>
      <c r="I121" s="205"/>
      <c r="J121" s="219"/>
    </row>
    <row r="122" spans="1:10" s="18" customFormat="1" ht="32.4" thickBot="1" x14ac:dyDescent="0.6">
      <c r="A122" s="157">
        <v>13</v>
      </c>
      <c r="B122" s="158" t="s">
        <v>61</v>
      </c>
      <c r="C122" s="159"/>
      <c r="D122" s="160"/>
      <c r="E122" s="161"/>
      <c r="F122" s="162"/>
      <c r="G122" s="163"/>
      <c r="H122" s="164"/>
      <c r="I122" s="164"/>
      <c r="J122" s="218"/>
    </row>
    <row r="123" spans="1:10" s="18" customFormat="1" ht="30.6" x14ac:dyDescent="0.65">
      <c r="A123" s="140"/>
      <c r="B123" s="141" t="s">
        <v>82</v>
      </c>
      <c r="C123" s="193">
        <v>2</v>
      </c>
      <c r="D123" s="183" t="s">
        <v>43</v>
      </c>
      <c r="E123" s="142"/>
      <c r="F123" s="137">
        <f t="shared" ref="F123:F124" si="42">C123*E123</f>
        <v>0</v>
      </c>
      <c r="G123" s="138"/>
      <c r="H123" s="139">
        <f t="shared" ref="H123:H124" si="43">C123*G123</f>
        <v>0</v>
      </c>
      <c r="I123" s="139">
        <f t="shared" ref="I123:I124" si="44">H123+F123</f>
        <v>0</v>
      </c>
      <c r="J123" s="218"/>
    </row>
    <row r="124" spans="1:10" s="18" customFormat="1" ht="27" customHeight="1" x14ac:dyDescent="0.65">
      <c r="A124" s="140"/>
      <c r="B124" s="141" t="s">
        <v>77</v>
      </c>
      <c r="C124" s="193">
        <v>1</v>
      </c>
      <c r="D124" s="183" t="s">
        <v>81</v>
      </c>
      <c r="E124" s="142"/>
      <c r="F124" s="137">
        <f t="shared" si="42"/>
        <v>0</v>
      </c>
      <c r="G124" s="138"/>
      <c r="H124" s="139">
        <f t="shared" si="43"/>
        <v>0</v>
      </c>
      <c r="I124" s="139">
        <f t="shared" si="44"/>
        <v>0</v>
      </c>
      <c r="J124" s="218"/>
    </row>
    <row r="125" spans="1:10" s="18" customFormat="1" ht="30.6" x14ac:dyDescent="0.65">
      <c r="A125" s="140"/>
      <c r="B125" s="141" t="s">
        <v>78</v>
      </c>
      <c r="C125" s="193"/>
      <c r="D125" s="183"/>
      <c r="E125" s="142"/>
      <c r="F125" s="137"/>
      <c r="G125" s="138"/>
      <c r="H125" s="139"/>
      <c r="I125" s="139"/>
      <c r="J125" s="218"/>
    </row>
    <row r="126" spans="1:10" s="18" customFormat="1" ht="30.6" x14ac:dyDescent="0.65">
      <c r="A126" s="140"/>
      <c r="B126" s="141" t="s">
        <v>79</v>
      </c>
      <c r="C126" s="193"/>
      <c r="D126" s="183"/>
      <c r="E126" s="142"/>
      <c r="F126" s="137"/>
      <c r="G126" s="138"/>
      <c r="H126" s="139"/>
      <c r="I126" s="139"/>
      <c r="J126" s="218"/>
    </row>
    <row r="127" spans="1:10" s="18" customFormat="1" ht="30.6" x14ac:dyDescent="0.65">
      <c r="A127" s="140"/>
      <c r="B127" s="141" t="s">
        <v>80</v>
      </c>
      <c r="C127" s="193"/>
      <c r="D127" s="183"/>
      <c r="E127" s="142"/>
      <c r="F127" s="137"/>
      <c r="G127" s="138"/>
      <c r="H127" s="139"/>
      <c r="I127" s="139"/>
      <c r="J127" s="218"/>
    </row>
    <row r="128" spans="1:10" s="18" customFormat="1" ht="28.2" thickBot="1" x14ac:dyDescent="0.7">
      <c r="A128" s="165"/>
      <c r="B128" s="166"/>
      <c r="C128" s="167"/>
      <c r="D128" s="166"/>
      <c r="E128" s="168"/>
      <c r="F128" s="169"/>
      <c r="G128" s="170"/>
      <c r="H128" s="170"/>
      <c r="I128" s="170"/>
      <c r="J128" s="218"/>
    </row>
    <row r="129" spans="1:10" s="18" customFormat="1" ht="31.2" thickBot="1" x14ac:dyDescent="0.6">
      <c r="A129" s="171"/>
      <c r="B129" s="145" t="s">
        <v>66</v>
      </c>
      <c r="C129" s="146"/>
      <c r="D129" s="147"/>
      <c r="E129" s="146"/>
      <c r="F129" s="172">
        <f>SUM(F123:F128)</f>
        <v>0</v>
      </c>
      <c r="G129" s="173"/>
      <c r="H129" s="172">
        <f>SUM(H123:H128)</f>
        <v>0</v>
      </c>
      <c r="I129" s="174">
        <f>SUM(I123:I128)</f>
        <v>0</v>
      </c>
      <c r="J129" s="218"/>
    </row>
    <row r="130" spans="1:10" ht="23.4" customHeight="1" thickBot="1" x14ac:dyDescent="0.7">
      <c r="A130" s="44"/>
      <c r="B130" s="107"/>
      <c r="C130" s="195"/>
      <c r="D130" s="184"/>
      <c r="E130" s="108"/>
      <c r="F130" s="109"/>
      <c r="G130" s="110"/>
      <c r="H130" s="111"/>
      <c r="I130" s="205"/>
      <c r="J130" s="219"/>
    </row>
    <row r="131" spans="1:10" ht="32.4" thickBot="1" x14ac:dyDescent="0.8">
      <c r="A131" s="74" t="s">
        <v>62</v>
      </c>
      <c r="B131" s="122" t="s">
        <v>30</v>
      </c>
      <c r="C131" s="191"/>
      <c r="D131" s="181"/>
      <c r="E131" s="123"/>
      <c r="F131" s="124"/>
      <c r="G131" s="125"/>
      <c r="H131" s="126"/>
      <c r="I131" s="126"/>
      <c r="J131" s="219"/>
    </row>
    <row r="132" spans="1:10" ht="30.6" x14ac:dyDescent="0.65">
      <c r="A132" s="91"/>
      <c r="B132" s="127" t="s">
        <v>34</v>
      </c>
      <c r="C132" s="192">
        <v>1</v>
      </c>
      <c r="D132" s="182" t="s">
        <v>21</v>
      </c>
      <c r="E132" s="128"/>
      <c r="F132" s="96">
        <f>C132*E132</f>
        <v>0</v>
      </c>
      <c r="G132" s="67"/>
      <c r="H132" s="97">
        <f>C132*G132</f>
        <v>0</v>
      </c>
      <c r="I132" s="97">
        <f>H132+F132</f>
        <v>0</v>
      </c>
      <c r="J132" s="219"/>
    </row>
    <row r="133" spans="1:10" ht="30.6" x14ac:dyDescent="0.65">
      <c r="A133" s="92"/>
      <c r="B133" s="129" t="s">
        <v>40</v>
      </c>
      <c r="C133" s="193">
        <v>1</v>
      </c>
      <c r="D133" s="183" t="s">
        <v>21</v>
      </c>
      <c r="E133" s="68"/>
      <c r="F133" s="96">
        <f>C133*E133</f>
        <v>0</v>
      </c>
      <c r="G133" s="67"/>
      <c r="H133" s="97">
        <f t="shared" ref="H133:H136" si="45">C133*G133</f>
        <v>0</v>
      </c>
      <c r="I133" s="97">
        <f t="shared" ref="I133:I136" si="46">H133+F133</f>
        <v>0</v>
      </c>
      <c r="J133" s="219"/>
    </row>
    <row r="134" spans="1:10" ht="30.6" x14ac:dyDescent="0.65">
      <c r="A134" s="92"/>
      <c r="B134" s="129" t="s">
        <v>33</v>
      </c>
      <c r="C134" s="193">
        <v>1</v>
      </c>
      <c r="D134" s="183" t="s">
        <v>21</v>
      </c>
      <c r="E134" s="130"/>
      <c r="F134" s="96">
        <f t="shared" ref="F134:F136" si="47">C134*E134</f>
        <v>0</v>
      </c>
      <c r="G134" s="67"/>
      <c r="H134" s="97">
        <f t="shared" si="45"/>
        <v>0</v>
      </c>
      <c r="I134" s="97">
        <f t="shared" si="46"/>
        <v>0</v>
      </c>
      <c r="J134" s="219"/>
    </row>
    <row r="135" spans="1:10" ht="30.6" x14ac:dyDescent="0.65">
      <c r="A135" s="92"/>
      <c r="B135" s="129" t="s">
        <v>35</v>
      </c>
      <c r="C135" s="193">
        <v>1</v>
      </c>
      <c r="D135" s="183" t="s">
        <v>21</v>
      </c>
      <c r="E135" s="68"/>
      <c r="F135" s="96">
        <f t="shared" si="47"/>
        <v>0</v>
      </c>
      <c r="G135" s="67"/>
      <c r="H135" s="97">
        <f t="shared" si="45"/>
        <v>0</v>
      </c>
      <c r="I135" s="97">
        <f t="shared" si="46"/>
        <v>0</v>
      </c>
      <c r="J135" s="219"/>
    </row>
    <row r="136" spans="1:10" ht="30.6" x14ac:dyDescent="0.65">
      <c r="A136" s="92"/>
      <c r="B136" s="129" t="s">
        <v>41</v>
      </c>
      <c r="C136" s="193">
        <v>1</v>
      </c>
      <c r="D136" s="183" t="s">
        <v>21</v>
      </c>
      <c r="E136" s="68"/>
      <c r="F136" s="96">
        <f t="shared" si="47"/>
        <v>0</v>
      </c>
      <c r="G136" s="67"/>
      <c r="H136" s="97">
        <f t="shared" si="45"/>
        <v>0</v>
      </c>
      <c r="I136" s="97">
        <f t="shared" si="46"/>
        <v>0</v>
      </c>
      <c r="J136" s="219"/>
    </row>
    <row r="137" spans="1:10" ht="31.2" thickBot="1" x14ac:dyDescent="0.75">
      <c r="A137" s="93"/>
      <c r="B137" s="86"/>
      <c r="C137" s="200"/>
      <c r="D137" s="188"/>
      <c r="E137" s="77"/>
      <c r="F137" s="78"/>
      <c r="G137" s="79"/>
      <c r="H137" s="78"/>
      <c r="I137" s="179"/>
      <c r="J137" s="219"/>
    </row>
    <row r="138" spans="1:10" ht="32.4" thickBot="1" x14ac:dyDescent="0.85">
      <c r="A138" s="75"/>
      <c r="B138" s="87" t="s">
        <v>65</v>
      </c>
      <c r="C138" s="201"/>
      <c r="D138" s="189"/>
      <c r="E138" s="76"/>
      <c r="F138" s="99">
        <f>SUM(F132:F136)</f>
        <v>0</v>
      </c>
      <c r="G138" s="98"/>
      <c r="H138" s="99">
        <f>SUM(H132:H137)</f>
        <v>0</v>
      </c>
      <c r="I138" s="99">
        <f>SUM(I132:I137)</f>
        <v>0</v>
      </c>
      <c r="J138" s="219"/>
    </row>
    <row r="139" spans="1:10" ht="31.2" thickBot="1" x14ac:dyDescent="0.75">
      <c r="A139" s="44"/>
      <c r="B139" s="85"/>
      <c r="C139" s="202"/>
      <c r="D139" s="190"/>
      <c r="E139" s="66"/>
      <c r="F139" s="45"/>
      <c r="G139" s="60"/>
      <c r="H139" s="46"/>
      <c r="I139" s="46"/>
      <c r="J139" s="219"/>
    </row>
    <row r="140" spans="1:10" ht="32.4" thickBot="1" x14ac:dyDescent="0.85">
      <c r="A140" s="48"/>
      <c r="B140" s="88" t="s">
        <v>64</v>
      </c>
      <c r="C140" s="49"/>
      <c r="D140" s="88"/>
      <c r="E140" s="49"/>
      <c r="F140" s="94">
        <f>F19+F28+F37+F47+F56+F65+F74+F83+F93+F102+F111+F120+F129+F138</f>
        <v>0</v>
      </c>
      <c r="G140" s="51"/>
      <c r="H140" s="94">
        <f>H19+H28+H37+H47+H56+H65+H74+H83+H93+H102+H111+H120+H129+H138</f>
        <v>0</v>
      </c>
      <c r="I140" s="94">
        <f>I19+I28+I37+I47+I56+I65+I74+I83+I93+I102+I111+I120+I129+I138</f>
        <v>0</v>
      </c>
      <c r="J140" s="219"/>
    </row>
    <row r="141" spans="1:10" s="14" customFormat="1" ht="32.4" thickBot="1" x14ac:dyDescent="0.85">
      <c r="A141" s="52"/>
      <c r="B141" s="89" t="s">
        <v>16</v>
      </c>
      <c r="C141" s="53"/>
      <c r="D141" s="89"/>
      <c r="E141" s="62"/>
      <c r="F141" s="54"/>
      <c r="G141" s="71"/>
      <c r="H141" s="54"/>
      <c r="I141" s="54">
        <f>I140*10%</f>
        <v>0</v>
      </c>
      <c r="J141" s="220"/>
    </row>
    <row r="142" spans="1:10" ht="32.4" thickBot="1" x14ac:dyDescent="0.85">
      <c r="A142" s="48"/>
      <c r="B142" s="88" t="s">
        <v>31</v>
      </c>
      <c r="C142" s="49"/>
      <c r="D142" s="88"/>
      <c r="E142" s="61"/>
      <c r="F142" s="50"/>
      <c r="G142" s="70"/>
      <c r="H142" s="50"/>
      <c r="I142" s="50">
        <f>SUM(I140:I141)</f>
        <v>0</v>
      </c>
      <c r="J142" s="219"/>
    </row>
    <row r="143" spans="1:10" ht="32.4" thickBot="1" x14ac:dyDescent="0.85">
      <c r="A143" s="55"/>
      <c r="B143" s="90" t="s">
        <v>19</v>
      </c>
      <c r="C143" s="56"/>
      <c r="D143" s="90"/>
      <c r="E143" s="63"/>
      <c r="F143" s="57"/>
      <c r="G143" s="72"/>
      <c r="H143" s="58"/>
      <c r="I143" s="206">
        <f>I142*7%</f>
        <v>0</v>
      </c>
      <c r="J143" s="219"/>
    </row>
    <row r="144" spans="1:10" ht="32.4" thickBot="1" x14ac:dyDescent="0.85">
      <c r="A144" s="48"/>
      <c r="B144" s="88" t="s">
        <v>20</v>
      </c>
      <c r="C144" s="49"/>
      <c r="D144" s="88"/>
      <c r="E144" s="61"/>
      <c r="F144" s="50"/>
      <c r="G144" s="70"/>
      <c r="H144" s="51"/>
      <c r="I144" s="207">
        <f>SUM(I142:I143)</f>
        <v>0</v>
      </c>
      <c r="J144" s="221"/>
    </row>
    <row r="145" spans="1:2" ht="30.6" x14ac:dyDescent="0.7">
      <c r="A145" s="59"/>
      <c r="B145" s="60"/>
    </row>
  </sheetData>
  <mergeCells count="9">
    <mergeCell ref="J8:J9"/>
    <mergeCell ref="D5:E5"/>
    <mergeCell ref="A8:A9"/>
    <mergeCell ref="B8:B9"/>
    <mergeCell ref="C6:I7"/>
    <mergeCell ref="C8:D8"/>
    <mergeCell ref="E8:F8"/>
    <mergeCell ref="G8:H8"/>
    <mergeCell ref="I8:I9"/>
  </mergeCells>
  <printOptions horizontalCentered="1"/>
  <pageMargins left="0.7" right="0.7" top="0.75" bottom="0.75" header="0.3" footer="0.3"/>
  <pageSetup paperSize="9" scale="40" orientation="landscape" r:id="rId1"/>
  <customProperties>
    <customPr name="EpmWorksheetKeyString_GUID" r:id="rId2"/>
  </customPropertie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เวิร์กชีต</vt:lpstr>
      </vt:variant>
      <vt:variant>
        <vt:i4>2</vt:i4>
      </vt:variant>
      <vt:variant>
        <vt:lpstr>ช่วงที่มีชื่อ</vt:lpstr>
      </vt:variant>
      <vt:variant>
        <vt:i4>3</vt:i4>
      </vt:variant>
    </vt:vector>
  </HeadingPairs>
  <TitlesOfParts>
    <vt:vector size="5" baseType="lpstr">
      <vt:lpstr>SUM</vt:lpstr>
      <vt:lpstr>Detail </vt:lpstr>
      <vt:lpstr>'Detail '!Print_Area</vt:lpstr>
      <vt:lpstr>SUM!Print_Area</vt:lpstr>
      <vt:lpstr>'Detail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THANAPON KAEWKAEN</dc:creator>
  <cp:lastModifiedBy>SUPAKIT JITTANUN</cp:lastModifiedBy>
  <cp:lastPrinted>2025-04-22T09:55:26Z</cp:lastPrinted>
  <dcterms:created xsi:type="dcterms:W3CDTF">2019-10-28T09:58:11Z</dcterms:created>
  <dcterms:modified xsi:type="dcterms:W3CDTF">2026-03-30T09:16:42Z</dcterms:modified>
</cp:coreProperties>
</file>